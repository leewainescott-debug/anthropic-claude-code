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pivotCache/pivotCacheRecords2.xml" ContentType="application/vnd.openxmlformats-officedocument.spreadsheetml.pivotCacheRecords+xml"/>
  <Override PartName="/xl/pivotCache/pivotCacheDefinition2.xml" ContentType="application/vnd.openxmlformats-officedocument.spreadsheetml.pivotCacheDefinition+xml"/>
  <Override PartName="/xl/pivotTables/pivotTable2.xml" ContentType="application/vnd.openxmlformats-officedocument.spreadsheetml.pivotTable+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http://schemas.openxmlformats.org/spreadsheetml/2006/main" xmlns:r="http://schemas.openxmlformats.org/officeDocument/2006/relationships">
  <workbookPr/>
  <bookViews>
    <workbookView visibility="visible" minimized="0" showHorizontalScroll="1" showVerticalScroll="1" showSheetTabs="1" xWindow="-6870" yWindow="-14510" windowWidth="34620" windowHeight="13900" tabRatio="913" firstSheet="18" activeTab="18" autoFilterDateGrouping="1"/>
  </bookViews>
  <sheets>
    <sheet name="Exec Summary" sheetId="1" state="visible" r:id="rId1"/>
    <sheet name="- INPUTS -" sheetId="2" state="visible" r:id="rId2"/>
    <sheet name="0.0 Guide" sheetId="3" state="visible" r:id="rId3"/>
    <sheet name="0.1 Budget Table (Fin)" sheetId="4" state="visible" r:id="rId4"/>
    <sheet name="0.2 Data Config" sheetId="5" state="visible" r:id="rId5"/>
    <sheet name="0.3 Squad Archetypes" sheetId="6" state="visible" r:id="rId6"/>
    <sheet name="0.4 Presentation Pack" sheetId="7" state="visible" r:id="rId7"/>
    <sheet name="- DESIGNS -" sheetId="8" state="visible" r:id="rId8"/>
    <sheet name="1.1 Ampol Retail" sheetId="9" state="visible" r:id="rId9"/>
    <sheet name="1.2 Customer" sheetId="10" state="visible" r:id="rId10"/>
    <sheet name="1.3 Enterprise Data" sheetId="11" state="visible" r:id="rId11"/>
    <sheet name="1.4 TDD Group Functions" sheetId="12" state="visible" r:id="rId12"/>
    <sheet name="1.5 P&amp;C" sheetId="13" state="visible" r:id="rId13"/>
    <sheet name="1.6 Finance" sheetId="14" state="visible" r:id="rId14"/>
    <sheet name="1.7 Infrastructure" sheetId="15" state="visible" r:id="rId15"/>
    <sheet name="1.8 Energy Solutions &amp; B2B" sheetId="16" state="visible" r:id="rId16"/>
    <sheet name="1.9 Commercial Fuels" sheetId="17" state="visible" r:id="rId17"/>
    <sheet name="1.10 Z Retail" sheetId="18" state="visible" r:id="rId18"/>
    <sheet name="1.11 TDD Cyber" sheetId="19" state="visible" r:id="rId19"/>
    <sheet name="- ROLL-UP -" sheetId="20" state="visible" r:id="rId20"/>
    <sheet name="2.1 BP&amp;T" sheetId="21" state="visible" r:id="rId21"/>
    <sheet name="2.2 SA&amp;D" sheetId="22" state="visible" r:id="rId22"/>
    <sheet name="2.3 Cyber Roles" sheetId="23" state="visible" r:id="rId23"/>
    <sheet name="2.4 COE Summary" sheetId="24" state="visible" r:id="rId24"/>
    <sheet name="2.5 Group Summary" sheetId="25" state="visible" r:id="rId25"/>
    <sheet name="2.6 Total Cost" sheetId="26" state="visible" r:id="rId26"/>
    <sheet name="2.7 Squad Detail" sheetId="27" state="visible" r:id="rId27"/>
    <sheet name="- DECISIONS -" sheetId="28" state="visible" r:id="rId28"/>
    <sheet name="4.1 Ampol Retail" sheetId="29" state="visible" r:id="rId29"/>
    <sheet name="4.2 Customer" sheetId="30" state="visible" r:id="rId30"/>
    <sheet name="4.3 Enterprise Data" sheetId="31" state="visible" r:id="rId31"/>
    <sheet name="4.4 TDD Group Functions" sheetId="32" state="visible" r:id="rId32"/>
    <sheet name="4.5 P&amp;C" sheetId="33" state="visible" r:id="rId33"/>
    <sheet name="4.6 Finance" sheetId="34" state="visible" r:id="rId34"/>
    <sheet name="4.7 Infrastructure" sheetId="35" state="visible" r:id="rId35"/>
    <sheet name="4.8 Energy Solutions &amp; B2B" sheetId="36" state="visible" r:id="rId36"/>
    <sheet name="4.9 Commercial Fuels" sheetId="37" state="visible" r:id="rId37"/>
    <sheet name="4.10 Z Retail" sheetId="38" state="visible" r:id="rId38"/>
    <sheet name="4.11 TDD Cyber" sheetId="39" state="visible" r:id="rId39"/>
    <sheet name="4.12 BP&amp;T" sheetId="40" state="visible" r:id="rId40"/>
    <sheet name="4.13 SA&amp;D" sheetId="41" state="visible" r:id="rId41"/>
    <sheet name="4.14 EGI &amp; Central" sheetId="42" state="visible" r:id="rId42"/>
    <sheet name="- EVIDENCE -" sheetId="43" state="visible" r:id="rId43"/>
    <sheet name="5.0 Data QA" sheetId="44" state="visible" r:id="rId44"/>
    <sheet name="Squads" sheetId="45" state="visible" r:id="rId45"/>
    <sheet name="Added data" sheetId="46" state="visible" r:id="rId46"/>
    <sheet name="Sheet2" sheetId="47" state="visible" r:id="rId47"/>
    <sheet name="FY26 Budget (ref)" sheetId="48" state="hidden" r:id="rId48"/>
    <sheet name="Sheet1" sheetId="49" state="hidden" r:id="rId49"/>
    <sheet name="squad mapping" sheetId="50" state="hidden" r:id="rId50"/>
    <sheet name="Lists" sheetId="51" state="hidden" r:id="rId51"/>
  </sheets>
  <definedNames>
    <definedName name="BPTCat">Lists!$E$2:$E$4</definedName>
    <definedName name="CYBCat">Lists!$G$2:$G$4</definedName>
    <definedName name="OnOff">Lists!$C$2:$C$3</definedName>
    <definedName name="SADCat">Lists!$F$2:$F$4</definedName>
    <definedName name="SquadSizes">Lists!$B$2:$B$5</definedName>
    <definedName name="SquadTypes">Lists!$A$2:$A$8</definedName>
    <definedName name="SupportPct">Lists!$D$2:$D$10</definedName>
    <definedName name="_xlnm._FilterDatabase" localSheetId="44" hidden="1">'Squads'!$A$1:$XEV$538</definedName>
    <definedName name="_xlnm._FilterDatabase" localSheetId="45" hidden="1">'Added data'!$A$1:$AC$550</definedName>
    <definedName name="_xlnm._FilterDatabase" localSheetId="46" hidden="1">'Sheet2'!$A$1:$AB$153</definedName>
  </definedNames>
  <calcPr calcId="191029" fullCalcOnLoad="1" iterateDelta="0.0001"/>
  <pivotCaches>
    <pivotCache cacheId="36" r:id="rId52"/>
    <pivotCache cacheId="35" r:id="rId53"/>
  </pivotCaches>
</workbook>
</file>

<file path=xl/styles.xml><?xml version="1.0" encoding="utf-8"?>
<styleSheet xmlns="http://schemas.openxmlformats.org/spreadsheetml/2006/main">
  <numFmts count="15">
    <numFmt numFmtId="164" formatCode="#,##0.00;\(#,##0.00\);\-"/>
    <numFmt numFmtId="165" formatCode="#,##0.000;\(#,##0.000\);\-"/>
    <numFmt numFmtId="166" formatCode="#,##0.0"/>
    <numFmt numFmtId="167" formatCode="_-\$#,##0.0_-;[Red]&quot;-$&quot;#,##0.0_-;_-\-_-;_-@_-"/>
    <numFmt numFmtId="168" formatCode="0%;[Red]\-0%"/>
    <numFmt numFmtId="169" formatCode="\$#,##0.00_);[Red]&quot;($&quot;#,##0.00\)"/>
    <numFmt numFmtId="170" formatCode="\$#,##0.00;[Red]&quot;-$&quot;#,##0.00"/>
    <numFmt numFmtId="171" formatCode="_-\$#,##0.0,,_-;[Red]&quot;-$&quot;#,##0.0,,_-;_-\-_-;_-@_-"/>
    <numFmt numFmtId="172" formatCode="_-* #,##0_-;\-* #,##0_-;_-* &quot;-&quot;??_-;_-@_-"/>
    <numFmt numFmtId="173" formatCode="&quot;$&quot;#,##0;[Red]\-&quot;$&quot;#,##0"/>
    <numFmt numFmtId="174" formatCode="_-* #,##0.0_-;\-* #,##0.0_-;_-* &quot;-&quot;?_-;_-@_-"/>
    <numFmt numFmtId="175" formatCode="0.0%"/>
    <numFmt numFmtId="176" formatCode="_-* #,##0_-;\-* #,##0_-;_-* &quot;-&quot;?_-;_-@_-"/>
    <numFmt numFmtId="177" formatCode="\$#,##0;\(\$#,##0\);\-"/>
    <numFmt numFmtId="178" formatCode="0.0"/>
  </numFmts>
  <fonts count="86">
    <font>
      <name val="Calibri"/>
      <charset val="1"/>
      <family val="2"/>
      <color theme="1"/>
      <sz val="11"/>
    </font>
    <font>
      <name val="Calibri"/>
      <family val="2"/>
      <color theme="1"/>
      <sz val="11"/>
      <scheme val="minor"/>
    </font>
    <font>
      <name val="Calibri"/>
      <family val="2"/>
      <color theme="1"/>
      <sz val="11"/>
      <scheme val="minor"/>
    </font>
    <font>
      <name val="Calibri"/>
      <family val="2"/>
      <color theme="1"/>
      <sz val="11"/>
      <scheme val="minor"/>
    </font>
    <font>
      <name val="Calibri"/>
      <charset val="1"/>
      <family val="2"/>
      <b val="1"/>
      <sz val="14"/>
    </font>
    <font>
      <name val="Calibri"/>
      <charset val="1"/>
      <family val="2"/>
      <b val="1"/>
      <color rgb="FFFFFFFF"/>
      <sz val="11"/>
    </font>
    <font>
      <name val="Calibri"/>
      <charset val="1"/>
      <family val="2"/>
      <b val="1"/>
      <color rgb="FFFFFFFF"/>
      <sz val="10"/>
    </font>
    <font>
      <name val="Calibri"/>
      <charset val="1"/>
      <family val="2"/>
      <sz val="11"/>
    </font>
    <font>
      <name val="Calibri"/>
      <charset val="1"/>
      <family val="2"/>
      <sz val="10"/>
    </font>
    <font>
      <name val="Calibri"/>
      <charset val="1"/>
      <family val="2"/>
      <b val="1"/>
      <sz val="10"/>
    </font>
    <font>
      <name val="Calibri"/>
      <charset val="1"/>
      <family val="2"/>
      <color rgb="FFFF0000"/>
      <sz val="11"/>
    </font>
    <font>
      <name val="Calibri"/>
      <charset val="1"/>
      <family val="2"/>
      <b val="1"/>
      <sz val="11"/>
    </font>
    <font>
      <name val="Aptos"/>
      <charset val="1"/>
      <family val="2"/>
      <b val="1"/>
      <color rgb="FFFFFFFF"/>
      <sz val="10"/>
    </font>
    <font>
      <name val="Calibri"/>
      <charset val="1"/>
      <family val="2"/>
      <i val="1"/>
      <color rgb="FF595959"/>
      <sz val="9"/>
    </font>
    <font>
      <name val="Arial"/>
      <charset val="1"/>
      <family val="2"/>
      <color theme="1"/>
      <sz val="10"/>
    </font>
    <font>
      <name val="Arial"/>
      <charset val="1"/>
      <family val="2"/>
      <color theme="1"/>
      <sz val="12"/>
    </font>
    <font>
      <name val="Arial"/>
      <charset val="1"/>
      <family val="2"/>
      <b val="1"/>
      <color rgb="FFFFFFFF"/>
      <sz val="12"/>
    </font>
    <font>
      <name val="Arial"/>
      <charset val="1"/>
      <family val="2"/>
      <b val="1"/>
      <color theme="0"/>
      <sz val="10"/>
    </font>
    <font>
      <name val="Arial"/>
      <charset val="1"/>
      <family val="2"/>
      <b val="1"/>
      <sz val="10"/>
    </font>
    <font>
      <name val="Arial"/>
      <charset val="1"/>
      <family val="2"/>
      <b val="1"/>
      <color rgb="FFFFFFFF"/>
      <sz val="10"/>
    </font>
    <font>
      <name val="Arial"/>
      <charset val="1"/>
      <family val="2"/>
      <color rgb="FFFFFFFF"/>
      <sz val="10"/>
    </font>
    <font>
      <name val="Arial"/>
      <charset val="1"/>
      <family val="2"/>
      <b val="1"/>
      <color rgb="FF151515"/>
      <sz val="10"/>
    </font>
    <font>
      <name val="Arial"/>
      <charset val="1"/>
      <family val="2"/>
      <b val="1"/>
      <color theme="1" tint="0.3497726371044038"/>
      <sz val="8"/>
    </font>
    <font>
      <name val="Arial"/>
      <charset val="1"/>
      <family val="2"/>
      <color rgb="FF151515"/>
      <sz val="10"/>
    </font>
    <font>
      <name val="Arial"/>
      <charset val="1"/>
      <family val="2"/>
      <sz val="10"/>
    </font>
    <font>
      <name val="Arial"/>
      <charset val="1"/>
      <family val="2"/>
      <color theme="1"/>
      <sz val="11"/>
    </font>
    <font>
      <name val="Arial"/>
      <charset val="1"/>
      <family val="2"/>
      <b val="1"/>
      <color theme="0"/>
      <sz val="12"/>
    </font>
    <font>
      <name val="Arial"/>
      <charset val="1"/>
      <family val="2"/>
      <b val="1"/>
      <sz val="11"/>
    </font>
    <font>
      <name val="Arial"/>
      <charset val="1"/>
      <family val="2"/>
      <b val="1"/>
      <color rgb="FF151515"/>
      <sz val="11"/>
    </font>
    <font>
      <name val="Arial"/>
      <charset val="1"/>
      <family val="2"/>
      <b val="1"/>
      <color theme="0"/>
      <sz val="11"/>
    </font>
    <font>
      <name val="Arial"/>
      <charset val="1"/>
      <family val="2"/>
      <b val="1"/>
      <color theme="1"/>
      <sz val="10"/>
    </font>
    <font>
      <name val="Arial"/>
      <charset val="1"/>
      <family val="2"/>
      <color theme="0"/>
      <sz val="10"/>
    </font>
    <font>
      <name val="Calibri"/>
      <charset val="1"/>
      <family val="2"/>
      <color theme="1"/>
      <sz val="10"/>
    </font>
    <font>
      <name val="Aptos"/>
      <charset val="1"/>
      <family val="2"/>
      <b val="1"/>
      <color rgb="FFFFFFFF"/>
      <sz val="11"/>
    </font>
    <font>
      <name val="Aptos"/>
      <charset val="1"/>
      <family val="2"/>
      <b val="1"/>
      <color rgb="FF000000"/>
      <sz val="11"/>
    </font>
    <font>
      <name val="Arial"/>
      <charset val="1"/>
      <family val="2"/>
      <sz val="18"/>
    </font>
    <font>
      <name val="Aptos"/>
      <charset val="1"/>
      <family val="2"/>
      <color rgb="FF000000"/>
      <sz val="11"/>
    </font>
    <font>
      <name val="Aptos"/>
      <charset val="1"/>
      <family val="2"/>
      <b val="1"/>
      <color rgb="FF000000"/>
      <sz val="10"/>
    </font>
    <font>
      <name val="Aptos"/>
      <charset val="1"/>
      <family val="2"/>
      <color rgb="FF000000"/>
      <sz val="10"/>
    </font>
    <font>
      <name val="Calibri"/>
      <charset val="1"/>
      <family val="2"/>
      <i val="1"/>
      <sz val="9"/>
    </font>
    <font>
      <name val="Calibri"/>
      <charset val="1"/>
      <family val="2"/>
      <b val="1"/>
      <sz val="16"/>
    </font>
    <font>
      <name val="Calibri"/>
      <charset val="1"/>
      <family val="2"/>
      <color rgb="FF008000"/>
      <sz val="10"/>
    </font>
    <font>
      <name val="Calibri"/>
      <charset val="1"/>
      <family val="2"/>
      <color rgb="FF0000FF"/>
      <sz val="10"/>
    </font>
    <font>
      <name val="Calibri"/>
      <charset val="1"/>
      <family val="2"/>
      <b val="1"/>
      <color theme="0"/>
      <sz val="10"/>
    </font>
    <font>
      <name val="Calibri"/>
      <charset val="1"/>
      <family val="2"/>
      <i val="1"/>
      <sz val="10"/>
    </font>
    <font>
      <name val="Calibri"/>
      <family val="2"/>
      <color rgb="FF0000FF"/>
      <sz val="10"/>
    </font>
    <font>
      <name val="Calibri"/>
      <family val="2"/>
      <i val="1"/>
      <color rgb="FF808080"/>
      <sz val="9"/>
    </font>
    <font>
      <name val="Calibri"/>
      <family val="2"/>
      <color rgb="FF008000"/>
      <sz val="10"/>
    </font>
    <font>
      <name val="Calibri"/>
      <charset val="1"/>
      <family val="2"/>
      <b val="1"/>
      <color theme="1"/>
      <sz val="10"/>
    </font>
    <font>
      <name val="Calibri"/>
      <family val="2"/>
      <b val="1"/>
      <sz val="10"/>
    </font>
    <font>
      <name val="Calibri"/>
      <charset val="1"/>
      <family val="2"/>
      <color theme="1"/>
      <sz val="11"/>
    </font>
    <font>
      <name val="Calibri"/>
      <family val="2"/>
      <color rgb="FFFF0000"/>
      <sz val="11"/>
      <scheme val="minor"/>
    </font>
    <font>
      <name val="Calibri"/>
      <family val="2"/>
      <color theme="0"/>
      <sz val="11"/>
      <scheme val="minor"/>
    </font>
    <font>
      <name val="Calibri"/>
      <charset val="1"/>
      <family val="2"/>
      <color rgb="FFFF0000"/>
      <sz val="10"/>
    </font>
    <font>
      <name val="Calibri"/>
      <family val="2"/>
      <color rgb="FF0000FF"/>
      <sz val="10"/>
    </font>
    <font>
      <name val="Century Gothic"/>
      <family val="2"/>
      <b val="1"/>
      <color rgb="FFFFFFFF"/>
      <sz val="11"/>
    </font>
    <font>
      <name val="Calibri"/>
      <family val="2"/>
      <color rgb="FF000000"/>
      <sz val="11"/>
    </font>
    <font>
      <name val="Calibri"/>
      <family val="2"/>
      <color theme="1"/>
      <sz val="11"/>
    </font>
    <font>
      <name val="Aptos"/>
      <family val="2"/>
      <color theme="1"/>
      <sz val="12"/>
    </font>
    <font>
      <name val="Calibri"/>
      <family val="2"/>
      <sz val="11"/>
      <scheme val="minor"/>
    </font>
    <font>
      <name val="Calibri"/>
      <family val="2"/>
      <sz val="11"/>
    </font>
    <font>
      <name val="Calibri"/>
      <family val="2"/>
      <color rgb="FF0000FF"/>
      <sz val="10"/>
    </font>
    <font>
      <name val="Century Gothic"/>
      <family val="2"/>
      <b val="1"/>
      <color theme="1"/>
      <sz val="11"/>
    </font>
    <font>
      <name val="Calibri"/>
      <b val="1"/>
      <sz val="10"/>
    </font>
    <font>
      <name val="Calibri"/>
      <b val="1"/>
      <color rgb="FFFFFFFF"/>
      <sz val="10"/>
    </font>
    <font>
      <name val="Calibri"/>
      <sz val="10"/>
    </font>
    <font>
      <name val="Calibri"/>
      <color rgb="FF0000FF"/>
      <sz val="10"/>
    </font>
    <font>
      <name val="Calibri"/>
      <b val="1"/>
      <sz val="16"/>
    </font>
    <font>
      <name val="Calibri"/>
      <b val="1"/>
      <color rgb="FF9C0006"/>
      <sz val="11"/>
    </font>
    <font>
      <name val="Calibri"/>
      <color rgb="FF008000"/>
      <sz val="10"/>
    </font>
    <font>
      <name val="Calibri"/>
      <b val="1"/>
      <sz val="18"/>
    </font>
    <font>
      <name val="Calibri"/>
      <b val="1"/>
      <sz val="14"/>
    </font>
    <font>
      <name val="Calibri"/>
      <color rgb="FFFF0000"/>
      <sz val="10"/>
    </font>
    <font>
      <name val="Calibri"/>
      <family val="2"/>
      <b val="1"/>
      <color theme="0"/>
      <sz val="10"/>
    </font>
    <font>
      <name val="Calibri"/>
      <family val="2"/>
      <b val="1"/>
      <sz val="16"/>
    </font>
    <font>
      <name val="Calibri"/>
      <family val="2"/>
      <sz val="10"/>
    </font>
    <font>
      <name val="Calibri"/>
      <family val="2"/>
      <b val="1"/>
      <color rgb="FFFFFFFF"/>
      <sz val="10"/>
    </font>
    <font>
      <name val="Calibri"/>
      <sz val="11"/>
    </font>
    <font>
      <name val="Calibri"/>
      <b val="1"/>
      <color rgb="FFFFFFFF"/>
      <sz val="11"/>
    </font>
    <font>
      <name val="Calibri"/>
      <b val="1"/>
      <sz val="11"/>
    </font>
    <font>
      <name val="Calibri"/>
      <b val="1"/>
      <color rgb="FF002F6C"/>
      <sz val="14"/>
    </font>
    <font>
      <name val="Calibri"/>
      <b val="1"/>
      <color rgb="FF002F6C"/>
      <sz val="16"/>
    </font>
    <font>
      <name val="Calibri"/>
      <b val="1"/>
      <color rgb="FF808080"/>
      <sz val="16"/>
    </font>
    <font>
      <name val="Calibri"/>
      <b val="1"/>
      <color rgb="FF1F4E79"/>
      <sz val="16"/>
    </font>
    <font>
      <name val="Calibri"/>
      <b val="1"/>
      <color rgb="FFBF8F00"/>
      <sz val="16"/>
    </font>
    <font>
      <name val="Calibri"/>
      <b val="1"/>
      <color rgb="FF375623"/>
      <sz val="16"/>
    </font>
  </fonts>
  <fills count="44">
    <fill>
      <patternFill/>
    </fill>
    <fill>
      <patternFill patternType="gray125"/>
    </fill>
    <fill>
      <patternFill patternType="solid">
        <fgColor rgb="FF002F6C"/>
        <bgColor rgb="FF1D2E99"/>
      </patternFill>
    </fill>
    <fill>
      <patternFill patternType="solid">
        <fgColor rgb="FF1F4E79"/>
        <bgColor rgb="FF1F497D"/>
      </patternFill>
    </fill>
    <fill>
      <patternFill patternType="solid">
        <fgColor rgb="FFF2F2F2"/>
        <bgColor rgb="FFE7EAED"/>
      </patternFill>
    </fill>
    <fill>
      <patternFill patternType="solid">
        <fgColor theme="0"/>
        <bgColor rgb="FFF2F2F2"/>
      </patternFill>
    </fill>
    <fill>
      <patternFill patternType="solid">
        <fgColor rgb="FF151515"/>
        <bgColor rgb="FF000000"/>
      </patternFill>
    </fill>
    <fill>
      <patternFill patternType="solid">
        <fgColor rgb="FF18249C"/>
        <bgColor rgb="FF1D2E99"/>
      </patternFill>
    </fill>
    <fill>
      <patternFill patternType="solid">
        <fgColor theme="3" tint="0.749778740806299"/>
        <bgColor rgb="FFBFBFBF"/>
      </patternFill>
    </fill>
    <fill>
      <patternFill patternType="solid">
        <fgColor rgb="FFD9D9D9"/>
        <bgColor rgb="FFDDD9C3"/>
      </patternFill>
    </fill>
    <fill>
      <patternFill patternType="solid">
        <fgColor rgb="FF1D2E99"/>
        <bgColor rgb="FF18249C"/>
      </patternFill>
    </fill>
    <fill>
      <patternFill patternType="solid">
        <fgColor theme="2" tint="-0.09997863704336681"/>
        <bgColor rgb="FFD9D9D9"/>
      </patternFill>
    </fill>
    <fill>
      <patternFill patternType="solid">
        <fgColor rgb="FF92D050"/>
        <bgColor rgb="FFAEAEAE"/>
      </patternFill>
    </fill>
    <fill>
      <patternFill patternType="solid">
        <fgColor rgb="FFFFC000"/>
        <bgColor rgb="FFFF9900"/>
      </patternFill>
    </fill>
    <fill>
      <patternFill patternType="solid">
        <fgColor rgb="FFFF0000"/>
        <bgColor rgb="FF9C0006"/>
      </patternFill>
    </fill>
    <fill>
      <patternFill patternType="solid">
        <fgColor theme="1"/>
        <bgColor rgb="FF151515"/>
      </patternFill>
    </fill>
    <fill>
      <patternFill patternType="solid">
        <fgColor theme="4" tint="0.7997985778374584"/>
        <bgColor rgb="FFDCEAF7"/>
      </patternFill>
    </fill>
    <fill>
      <patternFill patternType="solid">
        <fgColor rgb="FFDCEAF7"/>
        <bgColor rgb="FFDCE6F2"/>
      </patternFill>
    </fill>
    <fill>
      <patternFill patternType="solid">
        <fgColor rgb="FFAEAEAE"/>
        <bgColor rgb="FFBFBFBF"/>
      </patternFill>
    </fill>
    <fill>
      <patternFill patternType="solid">
        <fgColor rgb="FF000099"/>
        <bgColor rgb="FF18249C"/>
      </patternFill>
    </fill>
    <fill>
      <patternFill patternType="solid">
        <fgColor rgb="FFFBE3D6"/>
        <bgColor rgb="FFFBE4D5"/>
      </patternFill>
    </fill>
    <fill>
      <patternFill patternType="solid">
        <fgColor rgb="FFE7EAED"/>
        <bgColor rgb="FFDCEAF7"/>
      </patternFill>
    </fill>
    <fill>
      <patternFill patternType="solid">
        <fgColor theme="9" tint="0.3997314371166112"/>
        <bgColor rgb="FFF8CBAD"/>
      </patternFill>
    </fill>
    <fill>
      <patternFill patternType="solid">
        <fgColor rgb="FFFFF2CC"/>
        <bgColor rgb="FFFBE4D5"/>
      </patternFill>
    </fill>
    <fill>
      <patternFill patternType="solid">
        <fgColor theme="3"/>
        <bgColor rgb="FF1F4E79"/>
      </patternFill>
    </fill>
    <fill>
      <patternFill patternType="solid">
        <fgColor rgb="FFF8CBAD"/>
        <bgColor rgb="FFFAC090"/>
      </patternFill>
    </fill>
    <fill>
      <patternFill patternType="solid">
        <fgColor theme="6" tint="-0.499984740745262"/>
        <bgColor indexed="64"/>
      </patternFill>
    </fill>
    <fill>
      <patternFill patternType="solid">
        <fgColor rgb="FFFFFF00"/>
        <bgColor indexed="64"/>
      </patternFill>
    </fill>
    <fill>
      <patternFill patternType="solid">
        <fgColor theme="6" tint="-0.249977111117893"/>
        <bgColor indexed="64"/>
      </patternFill>
    </fill>
    <fill>
      <patternFill patternType="solid">
        <fgColor rgb="FF1F4E78"/>
        <bgColor rgb="FF000000"/>
      </patternFill>
    </fill>
    <fill>
      <patternFill patternType="solid">
        <fgColor rgb="FF00B0F0"/>
        <bgColor indexed="64"/>
      </patternFill>
    </fill>
    <fill>
      <patternFill patternType="solid">
        <fgColor rgb="FFFFFFCC"/>
        <bgColor indexed="64"/>
      </patternFill>
    </fill>
    <fill>
      <patternFill patternType="solid">
        <fgColor rgb="FFFFF2CC"/>
      </patternFill>
    </fill>
    <fill>
      <patternFill patternType="solid">
        <fgColor rgb="FFFBE4D5"/>
      </patternFill>
    </fill>
    <fill>
      <patternFill patternType="solid">
        <fgColor theme="4" tint="0.7999816888943144"/>
        <bgColor rgb="FF000000"/>
      </patternFill>
    </fill>
    <fill>
      <patternFill patternType="solid">
        <fgColor theme="6" tint="0.7999816888943144"/>
        <bgColor indexed="64"/>
      </patternFill>
    </fill>
    <fill>
      <patternFill patternType="solid">
        <fgColor theme="5"/>
        <bgColor indexed="64"/>
      </patternFill>
    </fill>
    <fill>
      <patternFill patternType="solid">
        <fgColor theme="0"/>
        <bgColor indexed="64"/>
      </patternFill>
    </fill>
    <fill>
      <patternFill patternType="solid">
        <fgColor rgb="FF1F4E79"/>
      </patternFill>
    </fill>
    <fill>
      <patternFill patternType="solid">
        <fgColor rgb="FFD9D9D9"/>
      </patternFill>
    </fill>
    <fill>
      <patternFill patternType="solid">
        <fgColor rgb="FF002F6C"/>
      </patternFill>
    </fill>
    <fill>
      <patternFill patternType="solid">
        <fgColor rgb="FFEDF2F7"/>
      </patternFill>
    </fill>
    <fill>
      <patternFill patternType="solid">
        <fgColor rgb="FFFF0000"/>
        <bgColor indexed="64"/>
      </patternFill>
    </fill>
    <fill>
      <patternFill patternType="solid">
        <fgColor rgb="FFF2F2F2"/>
      </patternFill>
    </fill>
  </fills>
  <borders count="115">
    <border>
      <left/>
      <right/>
      <top/>
      <bottom/>
      <diagonal/>
    </border>
    <border>
      <left style="thin">
        <color rgb="FFBFBFBF"/>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auto="1"/>
      </left>
      <right/>
      <top style="thin">
        <color auto="1"/>
      </top>
      <bottom style="thin">
        <color auto="1"/>
      </bottom>
      <diagonal/>
    </border>
    <border>
      <left style="thin">
        <color auto="1"/>
      </left>
      <right style="medium">
        <color rgb="FFFFFFFF"/>
      </right>
      <top style="thin">
        <color auto="1"/>
      </top>
      <bottom style="medium">
        <color rgb="FFFFFFFF"/>
      </bottom>
      <diagonal/>
    </border>
    <border>
      <left style="medium">
        <color rgb="FFFFFFFF"/>
      </left>
      <right style="medium">
        <color rgb="FFFFFFFF"/>
      </right>
      <top style="thin">
        <color auto="1"/>
      </top>
      <bottom style="medium">
        <color rgb="FFFFFFFF"/>
      </bottom>
      <diagonal/>
    </border>
    <border>
      <left style="medium">
        <color rgb="FFFFFFFF"/>
      </left>
      <right style="thin">
        <color auto="1"/>
      </right>
      <top style="thin">
        <color auto="1"/>
      </top>
      <bottom style="medium">
        <color rgb="FFFFFFFF"/>
      </bottom>
      <diagonal/>
    </border>
    <border>
      <left style="medium">
        <color rgb="FFFFFFFF"/>
      </left>
      <right/>
      <top style="thin">
        <color auto="1"/>
      </top>
      <bottom style="medium">
        <color rgb="FFFFFFFF"/>
      </bottom>
      <diagonal/>
    </border>
    <border>
      <left style="thin">
        <color auto="1"/>
      </left>
      <right style="thin">
        <color auto="1"/>
      </right>
      <top style="thin">
        <color auto="1"/>
      </top>
      <bottom style="medium">
        <color rgb="FFFFFFFF"/>
      </bottom>
      <diagonal/>
    </border>
    <border>
      <left style="thin">
        <color auto="1"/>
      </left>
      <right style="medium">
        <color rgb="FFFFFFFF"/>
      </right>
      <top style="medium">
        <color rgb="FFFFFFFF"/>
      </top>
      <bottom style="thin">
        <color auto="1"/>
      </bottom>
      <diagonal/>
    </border>
    <border>
      <left style="medium">
        <color rgb="FFFFFFFF"/>
      </left>
      <right style="medium">
        <color rgb="FFFFFFFF"/>
      </right>
      <top style="medium">
        <color rgb="FFFFFFFF"/>
      </top>
      <bottom style="thin">
        <color auto="1"/>
      </bottom>
      <diagonal/>
    </border>
    <border>
      <left style="medium">
        <color rgb="FFFFFFFF"/>
      </left>
      <right style="thin">
        <color auto="1"/>
      </right>
      <top style="medium">
        <color rgb="FFFFFFFF"/>
      </top>
      <bottom style="thin">
        <color auto="1"/>
      </bottom>
      <diagonal/>
    </border>
    <border>
      <left style="medium">
        <color rgb="FFFFFFFF"/>
      </left>
      <right/>
      <top style="medium">
        <color rgb="FFFFFFFF"/>
      </top>
      <bottom style="thin">
        <color auto="1"/>
      </bottom>
      <diagonal/>
    </border>
    <border>
      <left style="thin">
        <color auto="1"/>
      </left>
      <right/>
      <top/>
      <bottom style="medium">
        <color rgb="FFFFFFFF"/>
      </bottom>
      <diagonal/>
    </border>
    <border>
      <left style="thin">
        <color auto="1"/>
      </left>
      <right style="medium">
        <color rgb="FFFFFFFF"/>
      </right>
      <top/>
      <bottom style="medium">
        <color rgb="FFFFFFFF"/>
      </bottom>
      <diagonal/>
    </border>
    <border>
      <left/>
      <right style="medium">
        <color rgb="FFFFFFFF"/>
      </right>
      <top/>
      <bottom style="medium">
        <color rgb="FFFFFFFF"/>
      </bottom>
      <diagonal/>
    </border>
    <border>
      <left style="medium">
        <color rgb="FFFFFFFF"/>
      </left>
      <right style="medium">
        <color rgb="FFFFFFFF"/>
      </right>
      <top/>
      <bottom style="medium">
        <color rgb="FFFFFFFF"/>
      </bottom>
      <diagonal/>
    </border>
    <border>
      <left style="medium">
        <color rgb="FFFFFFFF"/>
      </left>
      <right style="medium">
        <color rgb="FFFFFFFF"/>
      </right>
      <top style="medium">
        <color rgb="FFFFFFFF"/>
      </top>
      <bottom style="medium">
        <color rgb="FFFFFFFF"/>
      </bottom>
      <diagonal/>
    </border>
    <border>
      <left style="medium">
        <color rgb="FFFFFFFF"/>
      </left>
      <right style="thin">
        <color auto="1"/>
      </right>
      <top/>
      <bottom style="medium">
        <color rgb="FFFFFFFF"/>
      </bottom>
      <diagonal/>
    </border>
    <border>
      <left style="thin">
        <color auto="1"/>
      </left>
      <right style="medium">
        <color rgb="FFFFFFFF"/>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rgb="FFFFFFFF"/>
      </left>
      <right style="thin">
        <color auto="1"/>
      </right>
      <top style="medium">
        <color rgb="FFFFFFFF"/>
      </top>
      <bottom/>
      <diagonal/>
    </border>
    <border>
      <left style="thin">
        <color auto="1"/>
      </left>
      <right/>
      <top style="medium">
        <color rgb="FFFFFFFF"/>
      </top>
      <bottom style="medium">
        <color rgb="FFFFFFFF"/>
      </bottom>
      <diagonal/>
    </border>
    <border>
      <left style="medium">
        <color rgb="FFFFFFFF"/>
      </left>
      <right style="thin">
        <color auto="1"/>
      </right>
      <top style="medium">
        <color rgb="FFFFFFFF"/>
      </top>
      <bottom style="medium">
        <color rgb="FFFFFFFF"/>
      </bottom>
      <diagonal/>
    </border>
    <border>
      <left style="medium">
        <color rgb="FFFFFFFF"/>
      </left>
      <right style="medium">
        <color rgb="FFFFFFFF"/>
      </right>
      <top/>
      <bottom/>
      <diagonal/>
    </border>
    <border>
      <left style="thin">
        <color auto="1"/>
      </left>
      <right/>
      <top style="medium">
        <color rgb="FFFFFFFF"/>
      </top>
      <bottom/>
      <diagonal/>
    </border>
    <border>
      <left style="thin">
        <color auto="1"/>
      </left>
      <right style="medium">
        <color rgb="FFFFFFFF"/>
      </right>
      <top style="medium">
        <color rgb="FFFFFFFF"/>
      </top>
      <bottom/>
      <diagonal/>
    </border>
    <border>
      <left/>
      <right style="medium">
        <color rgb="FFFFFFFF"/>
      </right>
      <top style="medium">
        <color rgb="FFFFFFFF"/>
      </top>
      <bottom/>
      <diagonal/>
    </border>
    <border>
      <left style="medium">
        <color rgb="FFFFFFFF"/>
      </left>
      <right style="medium">
        <color rgb="FFFFFFFF"/>
      </right>
      <top style="medium">
        <color rgb="FFFFFFFF"/>
      </top>
      <bottom/>
      <diagonal/>
    </border>
    <border>
      <left/>
      <right style="medium">
        <color rgb="FFFFFFFF"/>
      </right>
      <top/>
      <bottom/>
      <diagonal/>
    </border>
    <border>
      <left style="thin">
        <color auto="1"/>
      </left>
      <right style="medium">
        <color rgb="FFFFFFFF"/>
      </right>
      <top style="thin">
        <color auto="1"/>
      </top>
      <bottom style="thin">
        <color auto="1"/>
      </bottom>
      <diagonal/>
    </border>
    <border>
      <left/>
      <right style="medium">
        <color rgb="FFFFFFFF"/>
      </right>
      <top style="thin">
        <color auto="1"/>
      </top>
      <bottom style="thin">
        <color auto="1"/>
      </bottom>
      <diagonal/>
    </border>
    <border>
      <left style="medium">
        <color rgb="FFFFFFFF"/>
      </left>
      <right style="medium">
        <color rgb="FFFFFFFF"/>
      </right>
      <top style="thin">
        <color auto="1"/>
      </top>
      <bottom style="thin">
        <color auto="1"/>
      </bottom>
      <diagonal/>
    </border>
    <border>
      <left style="medium">
        <color rgb="FFFFFFFF"/>
      </left>
      <right style="thin">
        <color auto="1"/>
      </right>
      <top style="thin">
        <color auto="1"/>
      </top>
      <bottom style="thin">
        <color auto="1"/>
      </bottom>
      <diagonal/>
    </border>
    <border>
      <left/>
      <right style="medium">
        <color rgb="FFFFFFFF"/>
      </right>
      <top style="medium">
        <color rgb="FFFFFFFF"/>
      </top>
      <bottom style="thin">
        <color auto="1"/>
      </bottom>
      <diagonal/>
    </border>
    <border>
      <left style="thin">
        <color auto="1"/>
      </left>
      <right/>
      <top style="thin">
        <color auto="1"/>
      </top>
      <bottom/>
      <diagonal/>
    </border>
    <border>
      <left style="thin">
        <color auto="1"/>
      </left>
      <right/>
      <top/>
      <bottom/>
      <diagonal/>
    </border>
    <border>
      <left style="thin">
        <color auto="1"/>
      </left>
      <right/>
      <top style="thin">
        <color auto="1"/>
      </top>
      <bottom style="medium">
        <color rgb="FFFFFFFF"/>
      </bottom>
      <diagonal/>
    </border>
    <border>
      <left style="thin">
        <color auto="1"/>
      </left>
      <right/>
      <top/>
      <bottom style="thin">
        <color auto="1"/>
      </bottom>
      <diagonal/>
    </border>
    <border>
      <left style="medium">
        <color auto="1"/>
      </left>
      <right style="medium">
        <color rgb="FFFFFFFF"/>
      </right>
      <top style="medium">
        <color auto="1"/>
      </top>
      <bottom/>
      <diagonal/>
    </border>
    <border>
      <left style="medium">
        <color rgb="FFFFFFFF"/>
      </left>
      <right style="medium">
        <color rgb="FFFFFFFF"/>
      </right>
      <top style="medium">
        <color auto="1"/>
      </top>
      <bottom style="medium">
        <color rgb="FFFFFFFF"/>
      </bottom>
      <diagonal/>
    </border>
    <border>
      <left style="medium">
        <color rgb="FFFFFFFF"/>
      </left>
      <right style="medium">
        <color auto="1"/>
      </right>
      <top style="medium">
        <color auto="1"/>
      </top>
      <bottom/>
      <diagonal/>
    </border>
    <border>
      <left style="medium">
        <color auto="1"/>
      </left>
      <right style="medium">
        <color auto="1"/>
      </right>
      <top style="medium">
        <color rgb="FFFFFFFF"/>
      </top>
      <bottom style="medium">
        <color rgb="FFFFFFFF"/>
      </bottom>
      <diagonal/>
    </border>
    <border>
      <left style="medium">
        <color auto="1"/>
      </left>
      <right style="medium">
        <color rgb="FFFFFFFF"/>
      </right>
      <top style="medium">
        <color auto="1"/>
      </top>
      <bottom style="medium">
        <color rgb="FFFFFFFF"/>
      </bottom>
      <diagonal/>
    </border>
    <border>
      <left style="medium">
        <color auto="1"/>
      </left>
      <right style="medium">
        <color rgb="FFFFFFFF"/>
      </right>
      <top/>
      <bottom style="medium">
        <color rgb="FFFFFFFF"/>
      </bottom>
      <diagonal/>
    </border>
    <border>
      <left style="medium">
        <color rgb="FFFFFFFF"/>
      </left>
      <right style="medium">
        <color auto="1"/>
      </right>
      <top/>
      <bottom style="medium">
        <color rgb="FFFFFFFF"/>
      </bottom>
      <diagonal/>
    </border>
    <border>
      <left style="medium">
        <color auto="1"/>
      </left>
      <right style="medium">
        <color rgb="FFFFFFFF"/>
      </right>
      <top style="medium">
        <color rgb="FFFFFFFF"/>
      </top>
      <bottom style="medium">
        <color rgb="FFFFFFFF"/>
      </bottom>
      <diagonal/>
    </border>
    <border>
      <left style="medium">
        <color rgb="FFFFFFFF"/>
      </left>
      <right style="medium">
        <color auto="1"/>
      </right>
      <top style="medium">
        <color rgb="FFFFFFFF"/>
      </top>
      <bottom style="medium">
        <color rgb="FFFFFFFF"/>
      </bottom>
      <diagonal/>
    </border>
    <border>
      <left style="medium">
        <color rgb="FFFFFFFF"/>
      </left>
      <right style="medium">
        <color rgb="FFFFFFFF"/>
      </right>
      <top style="medium">
        <color rgb="FFFFFFFF"/>
      </top>
      <bottom style="medium">
        <color auto="1"/>
      </bottom>
      <diagonal/>
    </border>
    <border>
      <left style="medium">
        <color rgb="FFFFFFFF"/>
      </left>
      <right style="medium">
        <color auto="1"/>
      </right>
      <top style="medium">
        <color rgb="FFFFFFFF"/>
      </top>
      <bottom style="medium">
        <color auto="1"/>
      </bottom>
      <diagonal/>
    </border>
    <border>
      <left style="medium">
        <color auto="1"/>
      </left>
      <right style="medium">
        <color auto="1"/>
      </right>
      <top style="medium">
        <color rgb="FFFFFFFF"/>
      </top>
      <bottom style="medium">
        <color auto="1"/>
      </bottom>
      <diagonal/>
    </border>
    <border>
      <left style="medium">
        <color auto="1"/>
      </left>
      <right style="medium">
        <color rgb="FFFFFFFF"/>
      </right>
      <top style="medium">
        <color rgb="FFFFFFFF"/>
      </top>
      <bottom style="medium">
        <color auto="1"/>
      </bottom>
      <diagonal/>
    </border>
    <border>
      <left style="medium">
        <color rgb="FFFFFFFF"/>
      </left>
      <right style="medium">
        <color rgb="FFFFFFFF"/>
      </right>
      <top style="medium">
        <color auto="1"/>
      </top>
      <bottom style="medium">
        <color auto="1"/>
      </bottom>
      <diagonal/>
    </border>
    <border>
      <left style="medium">
        <color rgb="FFFFFFFF"/>
      </left>
      <right style="medium">
        <color auto="1"/>
      </right>
      <top style="medium">
        <color auto="1"/>
      </top>
      <bottom style="medium">
        <color auto="1"/>
      </bottom>
      <diagonal/>
    </border>
    <border>
      <left style="medium">
        <color auto="1"/>
      </left>
      <right style="medium">
        <color auto="1"/>
      </right>
      <top style="medium">
        <color auto="1"/>
      </top>
      <bottom style="medium">
        <color rgb="FFFFFFFF"/>
      </bottom>
      <diagonal/>
    </border>
    <border>
      <left style="medium">
        <color auto="1"/>
      </left>
      <right style="medium">
        <color rgb="FFFFFFFF"/>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rgb="FFFFFFFF"/>
      </left>
      <right style="medium">
        <color rgb="FFFFFFFF"/>
      </right>
      <top style="medium">
        <color auto="1"/>
      </top>
      <bottom/>
      <diagonal/>
    </border>
    <border>
      <left style="medium">
        <color auto="1"/>
      </left>
      <right style="medium">
        <color auto="1"/>
      </right>
      <top/>
      <bottom style="medium">
        <color auto="1"/>
      </bottom>
      <diagonal/>
    </border>
    <border>
      <left style="medium">
        <color rgb="FFFFFFFF"/>
      </left>
      <right style="medium">
        <color auto="1"/>
      </right>
      <top style="medium">
        <color auto="1"/>
      </top>
      <bottom style="medium">
        <color rgb="FFFFFFFF"/>
      </bottom>
      <diagonal/>
    </border>
    <border>
      <left style="thin">
        <color auto="1"/>
      </left>
      <right style="thin">
        <color auto="1"/>
      </right>
      <top style="thin">
        <color auto="1"/>
      </top>
      <bottom style="thin">
        <color auto="1"/>
      </bottom>
      <diagonal/>
    </border>
    <border>
      <left style="thin">
        <color rgb="FFBFBFBF"/>
      </left>
      <right/>
      <top/>
      <bottom style="thin">
        <color rgb="FFBFBFBF"/>
      </bottom>
      <diagonal/>
    </border>
    <border>
      <left style="thin">
        <color auto="1"/>
      </left>
      <right style="thin">
        <color auto="1"/>
      </right>
      <top/>
      <bottom/>
      <diagonal/>
    </border>
    <border>
      <left style="thin">
        <color rgb="FFBFBFBF"/>
      </left>
      <right style="thin">
        <color rgb="FFBFBFBF"/>
      </right>
      <top style="thin">
        <color rgb="FFBFBFBF"/>
      </top>
      <bottom/>
      <diagonal/>
    </border>
    <border>
      <left style="thin">
        <color rgb="FFBFBFBF"/>
      </left>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auto="1"/>
      </left>
      <right style="thin">
        <color auto="1"/>
      </right>
      <top style="thin">
        <color auto="1"/>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auto="1"/>
      </left>
      <right style="thin">
        <color auto="1"/>
      </right>
      <top/>
      <bottom style="medium">
        <color rgb="FFFFFFFF"/>
      </bottom>
      <diagonal/>
    </border>
    <border>
      <left/>
      <right/>
      <top style="thin">
        <color auto="1"/>
      </top>
      <bottom style="medium">
        <color rgb="FFFFFFFF"/>
      </bottom>
      <diagonal/>
    </border>
    <border>
      <left/>
      <right style="thin">
        <color auto="1"/>
      </right>
      <top style="thin">
        <color auto="1"/>
      </top>
      <bottom style="medium">
        <color rgb="FFFFFFFF"/>
      </bottom>
      <diagonal/>
    </border>
    <border>
      <left/>
      <right style="medium">
        <color rgb="FFFFFFFF"/>
      </right>
      <top style="thin">
        <color auto="1"/>
      </top>
      <bottom style="medium">
        <color rgb="FFFFFFFF"/>
      </bottom>
      <diagonal/>
    </border>
    <border>
      <left/>
      <right/>
      <top style="medium">
        <color auto="1"/>
      </top>
      <bottom/>
      <diagonal/>
    </border>
    <border>
      <left/>
      <right/>
      <top style="medium">
        <color auto="1"/>
      </top>
      <bottom style="medium">
        <color auto="1"/>
      </bottom>
      <diagonal/>
    </border>
    <border>
      <left/>
      <right style="medium">
        <color rgb="FFFFFFFF"/>
      </right>
      <top style="medium">
        <color auto="1"/>
      </top>
      <bottom style="medium">
        <color auto="1"/>
      </bottom>
      <diagonal/>
    </border>
    <border>
      <left style="medium">
        <color auto="1"/>
      </left>
      <right/>
      <top/>
      <bottom/>
      <diagonal/>
    </border>
    <border>
      <left/>
      <right style="medium">
        <color auto="1"/>
      </right>
      <top style="medium">
        <color auto="1"/>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style="medium">
        <color rgb="FFFFFFFF"/>
      </right>
      <top style="medium">
        <color auto="1"/>
      </top>
      <bottom style="medium">
        <color rgb="FFFFFFFF"/>
      </bottom>
      <diagonal/>
    </border>
    <border>
      <left/>
      <right style="medium">
        <color rgb="FFFFFFFF"/>
      </right>
      <top style="medium">
        <color rgb="FFFFFFFF"/>
      </top>
      <bottom style="medium">
        <color auto="1"/>
      </bottom>
      <diagonal/>
    </border>
    <border>
      <left/>
      <right/>
      <top/>
      <bottom style="medium">
        <color auto="1"/>
      </bottom>
      <diagonal/>
    </border>
    <border>
      <left/>
      <right style="medium">
        <color auto="1"/>
      </right>
      <top style="medium">
        <color auto="1"/>
      </top>
      <bottom style="medium">
        <color auto="1"/>
      </bottom>
      <diagonal/>
    </border>
    <border>
      <left/>
      <right/>
      <top style="medium">
        <color auto="1"/>
      </top>
      <bottom style="medium">
        <color rgb="FFFFFFFF"/>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rgb="FFBFBFBF"/>
      </bottom>
      <diagonal/>
    </border>
    <border>
      <left/>
      <right style="thin">
        <color auto="1"/>
      </right>
      <top/>
      <bottom/>
      <diagonal/>
    </border>
    <border>
      <left style="thin">
        <color auto="1"/>
      </left>
      <right style="thin">
        <color auto="1"/>
      </right>
      <top/>
      <bottom style="thin">
        <color auto="1"/>
      </bottom>
      <diagonal/>
    </border>
    <border>
      <left style="thin">
        <color rgb="FFB8C9CC"/>
      </left>
      <right style="thin">
        <color rgb="FFB8C9CC"/>
      </right>
      <top style="thin">
        <color rgb="FFB8C9CC"/>
      </top>
      <bottom style="thin">
        <color rgb="FFB8C9CC"/>
      </bottom>
      <diagonal/>
    </border>
    <border>
      <left/>
      <right/>
      <top style="thin">
        <color rgb="FFBFBFBF"/>
      </top>
      <bottom/>
      <diagonal/>
    </border>
    <border>
      <left/>
      <right style="thin">
        <color rgb="FFBFBFBF"/>
      </right>
      <top style="thin">
        <color rgb="FFBFBFBF"/>
      </top>
      <bottom/>
      <diagonal/>
    </border>
    <border>
      <left/>
      <right/>
      <top style="thin">
        <color auto="1"/>
      </top>
      <bottom/>
      <diagonal/>
    </border>
    <border>
      <left/>
      <right style="thin">
        <color auto="1"/>
      </right>
      <top style="thin">
        <color auto="1"/>
      </top>
      <bottom/>
      <diagonal/>
    </border>
    <border>
      <left/>
      <right style="medium">
        <color rgb="FFFFFFFF"/>
      </right>
      <top style="thin">
        <color auto="1"/>
      </top>
      <bottom/>
      <diagonal/>
    </border>
    <border>
      <left style="medium">
        <color rgb="FFFFFFFF"/>
      </left>
      <right/>
      <top/>
      <bottom/>
      <diagonal/>
    </border>
    <border>
      <left style="medium">
        <color auto="1"/>
      </left>
      <right style="medium">
        <color rgb="FFFFFFFF"/>
      </right>
      <top/>
      <bottom/>
      <diagonal/>
    </border>
    <border>
      <left/>
      <right style="medium">
        <color rgb="FFFFFFFF"/>
      </right>
      <top style="medium">
        <color auto="1"/>
      </top>
      <bottom/>
      <diagonal/>
    </border>
    <border>
      <left style="medium">
        <color auto="1"/>
      </left>
      <right style="medium">
        <color auto="1"/>
      </right>
      <top/>
      <bottom/>
      <diagonal/>
    </border>
    <border>
      <left/>
      <right/>
      <top style="medium">
        <color rgb="FFFFFFFF"/>
      </top>
      <bottom/>
      <diagonal/>
    </border>
    <border/>
    <border>
      <left style="thin">
        <color rgb="FFBFBFBF"/>
      </left>
      <right style="thin">
        <color rgb="FFBFBFBF"/>
      </right>
      <top style="thin">
        <color rgb="FFBFBFBF"/>
      </top>
      <bottom style="thin">
        <color rgb="FFBFBFBF"/>
      </bottom>
    </border>
  </borders>
  <cellStyleXfs count="10">
    <xf numFmtId="0" fontId="50" fillId="0" borderId="0"/>
    <xf numFmtId="0" fontId="50" fillId="0" borderId="0"/>
    <xf numFmtId="9" fontId="50" fillId="0" borderId="0"/>
    <xf numFmtId="0" fontId="3" fillId="0" borderId="0"/>
    <xf numFmtId="43" fontId="50" fillId="0" borderId="0"/>
    <xf numFmtId="9" fontId="50" fillId="0" borderId="0"/>
    <xf numFmtId="0" fontId="3" fillId="0" borderId="0"/>
    <xf numFmtId="0" fontId="3" fillId="0" borderId="0"/>
    <xf numFmtId="43" fontId="50" fillId="0" borderId="0"/>
    <xf numFmtId="9" fontId="50" fillId="0" borderId="0"/>
  </cellStyleXfs>
  <cellXfs count="755">
    <xf numFmtId="0" fontId="0" fillId="0" borderId="0" pivotButton="0" quotePrefix="0" xfId="0"/>
    <xf numFmtId="0" fontId="6" fillId="2" borderId="2" applyAlignment="1" pivotButton="0" quotePrefix="0" xfId="0">
      <alignment horizontal="left" vertical="center"/>
    </xf>
    <xf numFmtId="0" fontId="4" fillId="0" borderId="0" pivotButton="0" quotePrefix="0" xfId="0"/>
    <xf numFmtId="0" fontId="5" fillId="3" borderId="2" applyAlignment="1" pivotButton="0" quotePrefix="0" xfId="0">
      <alignment horizontal="left" vertical="center"/>
    </xf>
    <xf numFmtId="0" fontId="5" fillId="3" borderId="0" applyAlignment="1" pivotButton="0" quotePrefix="0" xfId="0">
      <alignment horizontal="left" vertical="center"/>
    </xf>
    <xf numFmtId="0" fontId="6" fillId="3" borderId="2" applyAlignment="1" pivotButton="0" quotePrefix="0" xfId="0">
      <alignment horizontal="left" vertical="center"/>
    </xf>
    <xf numFmtId="0" fontId="7" fillId="4" borderId="2" pivotButton="0" quotePrefix="0" xfId="0"/>
    <xf numFmtId="164" fontId="7" fillId="4" borderId="2" pivotButton="0" quotePrefix="0" xfId="0"/>
    <xf numFmtId="0" fontId="8" fillId="0" borderId="2" pivotButton="0" quotePrefix="0" xfId="0"/>
    <xf numFmtId="164" fontId="8" fillId="0" borderId="2" pivotButton="0" quotePrefix="0" xfId="0"/>
    <xf numFmtId="9" fontId="8" fillId="0" borderId="2" pivotButton="0" quotePrefix="0" xfId="0"/>
    <xf numFmtId="0" fontId="7" fillId="0" borderId="2" pivotButton="0" quotePrefix="0" xfId="0"/>
    <xf numFmtId="164" fontId="7" fillId="0" borderId="2" pivotButton="0" quotePrefix="0" xfId="0"/>
    <xf numFmtId="0" fontId="9" fillId="0" borderId="0" pivotButton="0" quotePrefix="0" xfId="0"/>
    <xf numFmtId="165" fontId="9" fillId="0" borderId="2" pivotButton="0" quotePrefix="0" xfId="0"/>
    <xf numFmtId="0" fontId="10" fillId="0" borderId="2" pivotButton="0" quotePrefix="0" xfId="0"/>
    <xf numFmtId="0" fontId="11" fillId="0" borderId="0" pivotButton="0" quotePrefix="0" xfId="0"/>
    <xf numFmtId="164" fontId="11" fillId="0" borderId="2" pivotButton="0" quotePrefix="0" xfId="0"/>
    <xf numFmtId="166" fontId="0" fillId="0" borderId="0" pivotButton="0" quotePrefix="0" xfId="0"/>
    <xf numFmtId="0" fontId="13" fillId="0" borderId="0" pivotButton="0" quotePrefix="0" xfId="0"/>
    <xf numFmtId="0" fontId="8" fillId="4" borderId="2" pivotButton="0" quotePrefix="0" xfId="0"/>
    <xf numFmtId="164" fontId="8" fillId="4" borderId="2" pivotButton="0" quotePrefix="0" xfId="0"/>
    <xf numFmtId="164" fontId="9" fillId="0" borderId="2" pivotButton="0" quotePrefix="0" xfId="0"/>
    <xf numFmtId="0" fontId="14" fillId="5" borderId="0" pivotButton="0" quotePrefix="0" xfId="1"/>
    <xf numFmtId="0" fontId="15" fillId="5" borderId="0" pivotButton="0" quotePrefix="0" xfId="1"/>
    <xf numFmtId="0" fontId="20" fillId="6" borderId="10" applyAlignment="1" pivotButton="0" quotePrefix="0" xfId="1">
      <alignment horizontal="center" vertical="center" wrapText="1" readingOrder="1"/>
    </xf>
    <xf numFmtId="0" fontId="20" fillId="6" borderId="11" applyAlignment="1" pivotButton="0" quotePrefix="0" xfId="1">
      <alignment horizontal="center" vertical="center" wrapText="1" readingOrder="1"/>
    </xf>
    <xf numFmtId="0" fontId="21" fillId="9" borderId="11" applyAlignment="1" pivotButton="0" quotePrefix="0" xfId="1">
      <alignment horizontal="center" vertical="center" wrapText="1" readingOrder="1"/>
    </xf>
    <xf numFmtId="0" fontId="21" fillId="9" borderId="12" applyAlignment="1" pivotButton="0" quotePrefix="0" xfId="1">
      <alignment horizontal="center" vertical="center" wrapText="1" readingOrder="1"/>
    </xf>
    <xf numFmtId="0" fontId="21" fillId="9" borderId="13" applyAlignment="1" pivotButton="0" quotePrefix="0" xfId="1">
      <alignment horizontal="center" vertical="center" wrapText="1" readingOrder="1"/>
    </xf>
    <xf numFmtId="0" fontId="20" fillId="6" borderId="12" applyAlignment="1" pivotButton="0" quotePrefix="0" xfId="1">
      <alignment horizontal="center" vertical="center" wrapText="1" readingOrder="1"/>
    </xf>
    <xf numFmtId="0" fontId="14" fillId="5" borderId="0" applyAlignment="1" pivotButton="0" quotePrefix="0" xfId="1">
      <alignment vertical="center"/>
    </xf>
    <xf numFmtId="0" fontId="16" fillId="10" borderId="14" applyAlignment="1" pivotButton="0" quotePrefix="0" xfId="1">
      <alignment horizontal="left" vertical="center" wrapText="1" indent="1" readingOrder="1"/>
    </xf>
    <xf numFmtId="0" fontId="22" fillId="11" borderId="14" applyAlignment="1" pivotButton="0" quotePrefix="0" xfId="1">
      <alignment horizontal="left" vertical="center" wrapText="1" indent="1" readingOrder="1"/>
    </xf>
    <xf numFmtId="167" fontId="23" fillId="4" borderId="15" applyAlignment="1" pivotButton="0" quotePrefix="0" xfId="1">
      <alignment horizontal="center" vertical="center" wrapText="1" readingOrder="1"/>
    </xf>
    <xf numFmtId="167" fontId="23" fillId="4" borderId="16" applyAlignment="1" pivotButton="0" quotePrefix="0" xfId="1">
      <alignment horizontal="center" vertical="center" wrapText="1" readingOrder="1"/>
    </xf>
    <xf numFmtId="168" fontId="23" fillId="4" borderId="17" applyAlignment="1" pivotButton="0" quotePrefix="0" xfId="2">
      <alignment horizontal="center" vertical="center" wrapText="1" readingOrder="1"/>
    </xf>
    <xf numFmtId="0" fontId="21" fillId="12" borderId="17" applyAlignment="1" pivotButton="0" quotePrefix="0" xfId="1">
      <alignment horizontal="center" vertical="center" wrapText="1" readingOrder="1"/>
    </xf>
    <xf numFmtId="0" fontId="21" fillId="12" borderId="18" applyAlignment="1" pivotButton="0" quotePrefix="0" xfId="1">
      <alignment horizontal="center" vertical="center" wrapText="1" readingOrder="1"/>
    </xf>
    <xf numFmtId="0" fontId="21" fillId="13" borderId="17" applyAlignment="1" pivotButton="0" quotePrefix="0" xfId="1">
      <alignment horizontal="center" vertical="center" wrapText="1" readingOrder="1"/>
    </xf>
    <xf numFmtId="0" fontId="21" fillId="12" borderId="19" applyAlignment="1" pivotButton="0" quotePrefix="0" xfId="1">
      <alignment horizontal="center" vertical="center" wrapText="1" readingOrder="1"/>
    </xf>
    <xf numFmtId="167" fontId="23" fillId="4" borderId="20" applyAlignment="1" pivotButton="0" quotePrefix="0" xfId="1">
      <alignment horizontal="center" vertical="center" wrapText="1" readingOrder="1"/>
    </xf>
    <xf numFmtId="167" fontId="23" fillId="4" borderId="21" applyAlignment="1" pivotButton="0" quotePrefix="0" xfId="1">
      <alignment horizontal="center" vertical="center" wrapText="1" readingOrder="1"/>
    </xf>
    <xf numFmtId="0" fontId="21" fillId="13" borderId="22" applyAlignment="1" pivotButton="0" quotePrefix="0" xfId="1">
      <alignment horizontal="center" vertical="center" wrapText="1" readingOrder="1"/>
    </xf>
    <xf numFmtId="0" fontId="16" fillId="10" borderId="23" applyAlignment="1" pivotButton="0" quotePrefix="0" xfId="1">
      <alignment horizontal="left" vertical="center" wrapText="1" indent="1" readingOrder="1"/>
    </xf>
    <xf numFmtId="0" fontId="22" fillId="11" borderId="23" applyAlignment="1" pivotButton="0" quotePrefix="0" xfId="1">
      <alignment horizontal="left" vertical="center" wrapText="1" indent="1" readingOrder="1"/>
    </xf>
    <xf numFmtId="168" fontId="23" fillId="4" borderId="18" applyAlignment="1" pivotButton="0" quotePrefix="0" xfId="2">
      <alignment horizontal="center" vertical="center" wrapText="1" readingOrder="1"/>
    </xf>
    <xf numFmtId="0" fontId="24" fillId="4" borderId="18" applyAlignment="1" pivotButton="0" quotePrefix="0" xfId="1">
      <alignment horizontal="center" vertical="center" wrapText="1"/>
    </xf>
    <xf numFmtId="0" fontId="21" fillId="12" borderId="24" applyAlignment="1" pivotButton="0" quotePrefix="0" xfId="1">
      <alignment horizontal="center" vertical="center" wrapText="1" readingOrder="1"/>
    </xf>
    <xf numFmtId="0" fontId="17" fillId="14" borderId="22" applyAlignment="1" pivotButton="0" quotePrefix="0" xfId="1">
      <alignment horizontal="center" vertical="center" wrapText="1" readingOrder="1"/>
    </xf>
    <xf numFmtId="0" fontId="17" fillId="14" borderId="17" applyAlignment="1" pivotButton="0" quotePrefix="0" xfId="1">
      <alignment horizontal="center" vertical="center" wrapText="1" readingOrder="1"/>
    </xf>
    <xf numFmtId="0" fontId="17" fillId="14" borderId="25" applyAlignment="1" pivotButton="0" quotePrefix="0" xfId="1">
      <alignment horizontal="center" vertical="center" wrapText="1" readingOrder="1"/>
    </xf>
    <xf numFmtId="0" fontId="24" fillId="4" borderId="24" applyAlignment="1" pivotButton="0" quotePrefix="0" xfId="1">
      <alignment horizontal="center" vertical="center" wrapText="1"/>
    </xf>
    <xf numFmtId="0" fontId="16" fillId="10" borderId="26" applyAlignment="1" pivotButton="0" quotePrefix="0" xfId="1">
      <alignment horizontal="left" vertical="center" wrapText="1" indent="1" readingOrder="1"/>
    </xf>
    <xf numFmtId="0" fontId="22" fillId="11" borderId="26" applyAlignment="1" pivotButton="0" quotePrefix="0" xfId="1">
      <alignment horizontal="left" vertical="center" wrapText="1" indent="1" readingOrder="1"/>
    </xf>
    <xf numFmtId="167" fontId="23" fillId="4" borderId="27" applyAlignment="1" pivotButton="0" quotePrefix="0" xfId="1">
      <alignment horizontal="center" vertical="center" wrapText="1" readingOrder="1"/>
    </xf>
    <xf numFmtId="167" fontId="23" fillId="4" borderId="28" applyAlignment="1" pivotButton="0" quotePrefix="0" xfId="1">
      <alignment horizontal="center" vertical="center" wrapText="1" readingOrder="1"/>
    </xf>
    <xf numFmtId="168" fontId="23" fillId="4" borderId="29" applyAlignment="1" pivotButton="0" quotePrefix="0" xfId="2">
      <alignment horizontal="center" vertical="center" wrapText="1" readingOrder="1"/>
    </xf>
    <xf numFmtId="0" fontId="21" fillId="12" borderId="29" applyAlignment="1" pivotButton="0" quotePrefix="0" xfId="1">
      <alignment horizontal="center" vertical="center" wrapText="1" readingOrder="1"/>
    </xf>
    <xf numFmtId="167" fontId="23" fillId="4" borderId="30" applyAlignment="1" pivotButton="0" quotePrefix="0" xfId="1">
      <alignment horizontal="center" vertical="center" wrapText="1" readingOrder="1"/>
    </xf>
    <xf numFmtId="0" fontId="24" fillId="4" borderId="29" applyAlignment="1" pivotButton="0" quotePrefix="0" xfId="1">
      <alignment horizontal="center" vertical="center" wrapText="1"/>
    </xf>
    <xf numFmtId="0" fontId="21" fillId="12" borderId="22" applyAlignment="1" pivotButton="0" quotePrefix="0" xfId="1">
      <alignment horizontal="center" vertical="center" wrapText="1" readingOrder="1"/>
    </xf>
    <xf numFmtId="0" fontId="25" fillId="5" borderId="0" applyAlignment="1" pivotButton="0" quotePrefix="0" xfId="1">
      <alignment vertical="center"/>
    </xf>
    <xf numFmtId="0" fontId="26" fillId="15" borderId="4" applyAlignment="1" pivotButton="0" quotePrefix="0" xfId="1">
      <alignment horizontal="left" vertical="center" wrapText="1" indent="1" readingOrder="1"/>
    </xf>
    <xf numFmtId="167" fontId="21" fillId="4" borderId="31" applyAlignment="1" pivotButton="0" quotePrefix="0" xfId="1">
      <alignment horizontal="center" vertical="center" wrapText="1" readingOrder="1"/>
    </xf>
    <xf numFmtId="167" fontId="21" fillId="4" borderId="32" applyAlignment="1" pivotButton="0" quotePrefix="0" xfId="1">
      <alignment horizontal="center" vertical="center" wrapText="1" readingOrder="1"/>
    </xf>
    <xf numFmtId="168" fontId="27" fillId="4" borderId="33" applyAlignment="1" pivotButton="0" quotePrefix="0" xfId="2">
      <alignment horizontal="center" vertical="center" wrapText="1" readingOrder="1"/>
    </xf>
    <xf numFmtId="0" fontId="28" fillId="12" borderId="33" applyAlignment="1" pivotButton="0" quotePrefix="0" xfId="1">
      <alignment horizontal="center" vertical="center" wrapText="1" readingOrder="1"/>
    </xf>
    <xf numFmtId="167" fontId="21" fillId="4" borderId="33" applyAlignment="1" pivotButton="0" quotePrefix="0" xfId="1">
      <alignment horizontal="center" vertical="center" wrapText="1" readingOrder="1"/>
    </xf>
    <xf numFmtId="0" fontId="21" fillId="13" borderId="33" applyAlignment="1" pivotButton="0" quotePrefix="0" xfId="1">
      <alignment horizontal="center" vertical="center" wrapText="1" readingOrder="1"/>
    </xf>
    <xf numFmtId="0" fontId="28" fillId="12" borderId="34" applyAlignment="1" pivotButton="0" quotePrefix="0" xfId="1">
      <alignment horizontal="center" vertical="center" wrapText="1" readingOrder="1"/>
    </xf>
    <xf numFmtId="168" fontId="29" fillId="15" borderId="33" applyAlignment="1" pivotButton="0" quotePrefix="0" xfId="2">
      <alignment horizontal="center" vertical="center" wrapText="1" readingOrder="1"/>
    </xf>
    <xf numFmtId="168" fontId="21" fillId="4" borderId="17" applyAlignment="1" pivotButton="0" quotePrefix="0" xfId="2">
      <alignment horizontal="center" vertical="center" wrapText="1" readingOrder="1"/>
    </xf>
    <xf numFmtId="0" fontId="30" fillId="5" borderId="0" pivotButton="0" quotePrefix="0" xfId="1"/>
    <xf numFmtId="0" fontId="31" fillId="15" borderId="11" applyAlignment="1" pivotButton="0" quotePrefix="0" xfId="1">
      <alignment horizontal="center" vertical="center" wrapText="1" readingOrder="1"/>
    </xf>
    <xf numFmtId="0" fontId="21" fillId="9" borderId="35" applyAlignment="1" pivotButton="0" quotePrefix="0" xfId="1">
      <alignment horizontal="center" vertical="center" wrapText="1" readingOrder="1"/>
    </xf>
    <xf numFmtId="0" fontId="16" fillId="10" borderId="15" applyAlignment="1" pivotButton="0" quotePrefix="0" xfId="1">
      <alignment horizontal="left" vertical="center" wrapText="1" indent="1" readingOrder="1"/>
    </xf>
    <xf numFmtId="169" fontId="14" fillId="5" borderId="0" applyAlignment="1" pivotButton="0" quotePrefix="0" xfId="1">
      <alignment vertical="center"/>
    </xf>
    <xf numFmtId="0" fontId="16" fillId="10" borderId="20" applyAlignment="1" pivotButton="0" quotePrefix="0" xfId="1">
      <alignment horizontal="left" vertical="center" wrapText="1" indent="1" readingOrder="1"/>
    </xf>
    <xf numFmtId="0" fontId="16" fillId="10" borderId="27" applyAlignment="1" pivotButton="0" quotePrefix="0" xfId="1">
      <alignment horizontal="left" vertical="center" wrapText="1" indent="1" readingOrder="1"/>
    </xf>
    <xf numFmtId="0" fontId="17" fillId="14" borderId="29" applyAlignment="1" pivotButton="0" quotePrefix="0" xfId="1">
      <alignment horizontal="center" vertical="center" wrapText="1"/>
    </xf>
    <xf numFmtId="0" fontId="18" fillId="12" borderId="29" applyAlignment="1" pivotButton="0" quotePrefix="0" xfId="1">
      <alignment horizontal="center" vertical="center" wrapText="1"/>
    </xf>
    <xf numFmtId="170" fontId="14" fillId="5" borderId="0" pivotButton="0" quotePrefix="0" xfId="1"/>
    <xf numFmtId="0" fontId="15" fillId="5" borderId="36" pivotButton="0" quotePrefix="0" xfId="1"/>
    <xf numFmtId="0" fontId="17" fillId="15" borderId="14" applyAlignment="1" pivotButton="0" quotePrefix="0" xfId="1">
      <alignment vertical="center" wrapText="1" readingOrder="1"/>
    </xf>
    <xf numFmtId="0" fontId="17" fillId="15" borderId="37" applyAlignment="1" pivotButton="0" quotePrefix="0" xfId="1">
      <alignment vertical="center" wrapText="1" readingOrder="1"/>
    </xf>
    <xf numFmtId="171" fontId="31" fillId="15" borderId="27" applyAlignment="1" pivotButton="0" quotePrefix="0" xfId="1">
      <alignment horizontal="center" vertical="center" wrapText="1" readingOrder="1"/>
    </xf>
    <xf numFmtId="171" fontId="31" fillId="15" borderId="29" applyAlignment="1" pivotButton="0" quotePrefix="0" xfId="1">
      <alignment horizontal="center" vertical="center" wrapText="1" readingOrder="1"/>
    </xf>
    <xf numFmtId="0" fontId="23" fillId="4" borderId="14" applyAlignment="1" pivotButton="0" quotePrefix="0" xfId="1">
      <alignment horizontal="left" vertical="center" wrapText="1" indent="1" readingOrder="1"/>
    </xf>
    <xf numFmtId="0" fontId="21" fillId="13" borderId="24" applyAlignment="1" pivotButton="0" quotePrefix="0" xfId="1">
      <alignment horizontal="center" vertical="center" wrapText="1" readingOrder="1"/>
    </xf>
    <xf numFmtId="0" fontId="23" fillId="4" borderId="37" applyAlignment="1" pivotButton="0" quotePrefix="0" xfId="1">
      <alignment horizontal="left" vertical="center" wrapText="1" indent="1" readingOrder="1"/>
    </xf>
    <xf numFmtId="0" fontId="21" fillId="11" borderId="4" applyAlignment="1" pivotButton="0" quotePrefix="0" xfId="1">
      <alignment vertical="center" wrapText="1" readingOrder="1"/>
    </xf>
    <xf numFmtId="167" fontId="21" fillId="11" borderId="31" applyAlignment="1" pivotButton="0" quotePrefix="0" xfId="1">
      <alignment horizontal="center" vertical="center" wrapText="1" readingOrder="1"/>
    </xf>
    <xf numFmtId="167" fontId="21" fillId="11" borderId="32" applyAlignment="1" pivotButton="0" quotePrefix="0" xfId="1">
      <alignment horizontal="center" vertical="center" wrapText="1" readingOrder="1"/>
    </xf>
    <xf numFmtId="168" fontId="21" fillId="11" borderId="33" applyAlignment="1" pivotButton="0" quotePrefix="0" xfId="2">
      <alignment horizontal="center" vertical="center" wrapText="1" readingOrder="1"/>
    </xf>
    <xf numFmtId="0" fontId="21" fillId="13" borderId="34" applyAlignment="1" pivotButton="0" quotePrefix="0" xfId="1">
      <alignment horizontal="center" vertical="center" wrapText="1" readingOrder="1"/>
    </xf>
    <xf numFmtId="0" fontId="23" fillId="4" borderId="38" applyAlignment="1" pivotButton="0" quotePrefix="0" xfId="1">
      <alignment horizontal="left" vertical="center" wrapText="1" indent="1" readingOrder="1"/>
    </xf>
    <xf numFmtId="0" fontId="23" fillId="4" borderId="36" applyAlignment="1" pivotButton="0" quotePrefix="0" xfId="1">
      <alignment horizontal="left" vertical="center" wrapText="1" indent="1" readingOrder="1"/>
    </xf>
    <xf numFmtId="0" fontId="21" fillId="12" borderId="34" applyAlignment="1" pivotButton="0" quotePrefix="0" xfId="1">
      <alignment horizontal="center" vertical="center" wrapText="1" readingOrder="1"/>
    </xf>
    <xf numFmtId="0" fontId="17" fillId="15" borderId="39" applyAlignment="1" pivotButton="0" quotePrefix="0" xfId="1">
      <alignment horizontal="left" vertical="center" wrapText="1" indent="1" readingOrder="1"/>
    </xf>
    <xf numFmtId="0" fontId="17" fillId="15" borderId="36" applyAlignment="1" pivotButton="0" quotePrefix="0" xfId="1">
      <alignment horizontal="left" vertical="center" wrapText="1" readingOrder="1"/>
    </xf>
    <xf numFmtId="0" fontId="17" fillId="15" borderId="37" applyAlignment="1" pivotButton="0" quotePrefix="0" xfId="1">
      <alignment horizontal="left" vertical="center" wrapText="1" readingOrder="1"/>
    </xf>
    <xf numFmtId="0" fontId="32" fillId="0" borderId="0" pivotButton="0" quotePrefix="0" xfId="0"/>
    <xf numFmtId="0" fontId="33" fillId="15" borderId="40" applyAlignment="1" pivotButton="0" quotePrefix="0" xfId="0">
      <alignment horizontal="center" vertical="center" wrapText="1" readingOrder="1"/>
    </xf>
    <xf numFmtId="0" fontId="33" fillId="15" borderId="42" applyAlignment="1" pivotButton="0" quotePrefix="0" xfId="0">
      <alignment horizontal="center" vertical="center" wrapText="1" readingOrder="1"/>
    </xf>
    <xf numFmtId="0" fontId="35" fillId="4" borderId="43" applyAlignment="1" pivotButton="0" quotePrefix="0" xfId="0">
      <alignment vertical="center" wrapText="1"/>
    </xf>
    <xf numFmtId="0" fontId="33" fillId="15" borderId="45" applyAlignment="1" pivotButton="0" quotePrefix="0" xfId="0">
      <alignment horizontal="center" vertical="center" wrapText="1" readingOrder="1"/>
    </xf>
    <xf numFmtId="0" fontId="34" fillId="18" borderId="18" applyAlignment="1" pivotButton="0" quotePrefix="0" xfId="0">
      <alignment horizontal="center" vertical="center" wrapText="1" readingOrder="1"/>
    </xf>
    <xf numFmtId="0" fontId="33" fillId="15" borderId="46" applyAlignment="1" pivotButton="0" quotePrefix="0" xfId="0">
      <alignment horizontal="center" vertical="center" wrapText="1" readingOrder="1"/>
    </xf>
    <xf numFmtId="0" fontId="35" fillId="4" borderId="43" applyAlignment="1" pivotButton="0" quotePrefix="0" xfId="0">
      <alignment horizontal="center" vertical="center" wrapText="1"/>
    </xf>
    <xf numFmtId="0" fontId="33" fillId="19" borderId="47" applyAlignment="1" pivotButton="0" quotePrefix="0" xfId="0">
      <alignment horizontal="left" vertical="center" wrapText="1" readingOrder="1"/>
    </xf>
    <xf numFmtId="0" fontId="36" fillId="4" borderId="18" applyAlignment="1" pivotButton="0" quotePrefix="0" xfId="0">
      <alignment horizontal="left" vertical="center" wrapText="1" readingOrder="1"/>
    </xf>
    <xf numFmtId="0" fontId="35" fillId="4" borderId="18" applyAlignment="1" pivotButton="0" quotePrefix="0" xfId="0">
      <alignment vertical="center" wrapText="1"/>
    </xf>
    <xf numFmtId="0" fontId="36" fillId="4" borderId="18" applyAlignment="1" pivotButton="0" quotePrefix="0" xfId="0">
      <alignment horizontal="center" vertical="center" wrapText="1" readingOrder="1"/>
    </xf>
    <xf numFmtId="0" fontId="34" fillId="9" borderId="18" applyAlignment="1" pivotButton="0" quotePrefix="0" xfId="0">
      <alignment horizontal="center" vertical="center" wrapText="1" readingOrder="1"/>
    </xf>
    <xf numFmtId="0" fontId="34" fillId="18" borderId="48" applyAlignment="1" pivotButton="0" quotePrefix="0" xfId="0">
      <alignment horizontal="center" vertical="center" wrapText="1" readingOrder="1"/>
    </xf>
    <xf numFmtId="0" fontId="35" fillId="4" borderId="47" applyAlignment="1" pivotButton="0" quotePrefix="0" xfId="0">
      <alignment horizontal="center" vertical="center" wrapText="1"/>
    </xf>
    <xf numFmtId="0" fontId="35" fillId="4" borderId="18" applyAlignment="1" pivotButton="0" quotePrefix="0" xfId="0">
      <alignment horizontal="center" vertical="center" wrapText="1"/>
    </xf>
    <xf numFmtId="0" fontId="34" fillId="20" borderId="18" applyAlignment="1" pivotButton="0" quotePrefix="0" xfId="0">
      <alignment horizontal="center" vertical="center" wrapText="1" readingOrder="1"/>
    </xf>
    <xf numFmtId="0" fontId="34" fillId="4" borderId="47" applyAlignment="1" pivotButton="0" quotePrefix="0" xfId="0">
      <alignment horizontal="center" vertical="center" wrapText="1" readingOrder="1"/>
    </xf>
    <xf numFmtId="0" fontId="35" fillId="9" borderId="18" applyAlignment="1" pivotButton="0" quotePrefix="0" xfId="0">
      <alignment horizontal="center" vertical="center" wrapText="1"/>
    </xf>
    <xf numFmtId="0" fontId="34" fillId="17" borderId="18" applyAlignment="1" pivotButton="0" quotePrefix="0" xfId="0">
      <alignment horizontal="center" vertical="center" wrapText="1" readingOrder="1"/>
    </xf>
    <xf numFmtId="0" fontId="36" fillId="4" borderId="49" applyAlignment="1" pivotButton="0" quotePrefix="0" xfId="0">
      <alignment horizontal="left" vertical="center" wrapText="1" readingOrder="1"/>
    </xf>
    <xf numFmtId="0" fontId="35" fillId="4" borderId="49" applyAlignment="1" pivotButton="0" quotePrefix="0" xfId="0">
      <alignment vertical="center" wrapText="1"/>
    </xf>
    <xf numFmtId="0" fontId="35" fillId="4" borderId="49" applyAlignment="1" pivotButton="0" quotePrefix="0" xfId="0">
      <alignment horizontal="center" vertical="center" wrapText="1"/>
    </xf>
    <xf numFmtId="0" fontId="36" fillId="4" borderId="49" applyAlignment="1" pivotButton="0" quotePrefix="0" xfId="0">
      <alignment horizontal="center" vertical="center" wrapText="1" readingOrder="1"/>
    </xf>
    <xf numFmtId="0" fontId="34" fillId="9" borderId="49" applyAlignment="1" pivotButton="0" quotePrefix="0" xfId="0">
      <alignment horizontal="center" vertical="center" wrapText="1" readingOrder="1"/>
    </xf>
    <xf numFmtId="0" fontId="35" fillId="9" borderId="49" applyAlignment="1" pivotButton="0" quotePrefix="0" xfId="0">
      <alignment horizontal="center" vertical="center" wrapText="1"/>
    </xf>
    <xf numFmtId="0" fontId="34" fillId="18" borderId="50" applyAlignment="1" pivotButton="0" quotePrefix="0" xfId="0">
      <alignment horizontal="center" vertical="center" wrapText="1" readingOrder="1"/>
    </xf>
    <xf numFmtId="0" fontId="35" fillId="4" borderId="51" applyAlignment="1" pivotButton="0" quotePrefix="0" xfId="0">
      <alignment horizontal="center" vertical="center" wrapText="1"/>
    </xf>
    <xf numFmtId="0" fontId="34" fillId="4" borderId="52" applyAlignment="1" pivotButton="0" quotePrefix="0" xfId="0">
      <alignment horizontal="center" vertical="center" wrapText="1" readingOrder="1"/>
    </xf>
    <xf numFmtId="0" fontId="34" fillId="17" borderId="49" applyAlignment="1" pivotButton="0" quotePrefix="0" xfId="0">
      <alignment horizontal="center" vertical="center" wrapText="1" readingOrder="1"/>
    </xf>
    <xf numFmtId="0" fontId="33" fillId="19" borderId="52" applyAlignment="1" pivotButton="0" quotePrefix="0" xfId="0">
      <alignment horizontal="left" vertical="center" wrapText="1" readingOrder="1"/>
    </xf>
    <xf numFmtId="0" fontId="35" fillId="4" borderId="53" applyAlignment="1" pivotButton="0" quotePrefix="0" xfId="0">
      <alignment vertical="center" wrapText="1"/>
    </xf>
    <xf numFmtId="0" fontId="36" fillId="4" borderId="53" applyAlignment="1" pivotButton="0" quotePrefix="0" xfId="0">
      <alignment horizontal="center" vertical="center" wrapText="1" readingOrder="1"/>
    </xf>
    <xf numFmtId="0" fontId="34" fillId="9" borderId="53" applyAlignment="1" pivotButton="0" quotePrefix="0" xfId="0">
      <alignment horizontal="center" vertical="center" wrapText="1" readingOrder="1"/>
    </xf>
    <xf numFmtId="0" fontId="34" fillId="18" borderId="54" applyAlignment="1" pivotButton="0" quotePrefix="0" xfId="0">
      <alignment horizontal="center" vertical="center" wrapText="1" readingOrder="1"/>
    </xf>
    <xf numFmtId="0" fontId="35" fillId="4" borderId="55" applyAlignment="1" pivotButton="0" quotePrefix="0" xfId="0">
      <alignment horizontal="center" vertical="center" wrapText="1"/>
    </xf>
    <xf numFmtId="0" fontId="34" fillId="4" borderId="56" applyAlignment="1" pivotButton="0" quotePrefix="0" xfId="0">
      <alignment horizontal="center" vertical="center" wrapText="1" readingOrder="1"/>
    </xf>
    <xf numFmtId="0" fontId="34" fillId="4" borderId="53" applyAlignment="1" pivotButton="0" quotePrefix="0" xfId="0">
      <alignment horizontal="center" vertical="center" wrapText="1" readingOrder="1"/>
    </xf>
    <xf numFmtId="0" fontId="12" fillId="15" borderId="58" applyAlignment="1" pivotButton="0" quotePrefix="0" xfId="0">
      <alignment horizontal="center" vertical="center" wrapText="1" readingOrder="1"/>
    </xf>
    <xf numFmtId="0" fontId="24" fillId="5" borderId="43" applyAlignment="1" pivotButton="0" quotePrefix="0" xfId="0">
      <alignment vertical="center" wrapText="1"/>
    </xf>
    <xf numFmtId="0" fontId="37" fillId="17" borderId="59" applyAlignment="1" pivotButton="0" quotePrefix="0" xfId="0">
      <alignment horizontal="center" vertical="center" wrapText="1" readingOrder="1"/>
    </xf>
    <xf numFmtId="0" fontId="12" fillId="15" borderId="42" applyAlignment="1" pivotButton="0" quotePrefix="0" xfId="0">
      <alignment horizontal="center" vertical="center" wrapText="1" readingOrder="1"/>
    </xf>
    <xf numFmtId="0" fontId="37" fillId="18" borderId="57" applyAlignment="1" pivotButton="0" quotePrefix="0" xfId="0">
      <alignment horizontal="center" vertical="center" wrapText="1" readingOrder="1"/>
    </xf>
    <xf numFmtId="0" fontId="12" fillId="15" borderId="60" applyAlignment="1" pivotButton="0" quotePrefix="0" xfId="0">
      <alignment horizontal="center" vertical="center" wrapText="1" readingOrder="1"/>
    </xf>
    <xf numFmtId="0" fontId="24" fillId="5" borderId="43" applyAlignment="1" pivotButton="0" quotePrefix="0" xfId="0">
      <alignment horizontal="center" vertical="center" wrapText="1"/>
    </xf>
    <xf numFmtId="0" fontId="37" fillId="17" borderId="17" applyAlignment="1" pivotButton="0" quotePrefix="0" xfId="0">
      <alignment horizontal="center" vertical="center" wrapText="1" readingOrder="1"/>
    </xf>
    <xf numFmtId="0" fontId="12" fillId="15" borderId="46" applyAlignment="1" pivotButton="0" quotePrefix="0" xfId="0">
      <alignment horizontal="center" vertical="center" wrapText="1" readingOrder="1"/>
    </xf>
    <xf numFmtId="0" fontId="38" fillId="17" borderId="44" applyAlignment="1" pivotButton="0" quotePrefix="0" xfId="0">
      <alignment horizontal="left" vertical="center" wrapText="1" readingOrder="1"/>
    </xf>
    <xf numFmtId="0" fontId="24" fillId="17" borderId="41" applyAlignment="1" pivotButton="0" quotePrefix="0" xfId="0">
      <alignment vertical="center" wrapText="1"/>
    </xf>
    <xf numFmtId="0" fontId="37" fillId="21" borderId="41" applyAlignment="1" pivotButton="0" quotePrefix="0" xfId="0">
      <alignment horizontal="center" vertical="center" wrapText="1" readingOrder="1"/>
    </xf>
    <xf numFmtId="0" fontId="24" fillId="21" borderId="41" applyAlignment="1" pivotButton="0" quotePrefix="0" xfId="0">
      <alignment horizontal="center" vertical="center" wrapText="1"/>
    </xf>
    <xf numFmtId="0" fontId="24" fillId="21" borderId="61" applyAlignment="1" pivotButton="0" quotePrefix="0" xfId="0">
      <alignment horizontal="center" vertical="center" wrapText="1"/>
    </xf>
    <xf numFmtId="0" fontId="37" fillId="17" borderId="55" applyAlignment="1" pivotButton="0" quotePrefix="0" xfId="0">
      <alignment horizontal="center" vertical="center" wrapText="1" readingOrder="1"/>
    </xf>
    <xf numFmtId="0" fontId="24" fillId="21" borderId="47" applyAlignment="1" pivotButton="0" quotePrefix="0" xfId="0">
      <alignment horizontal="center" vertical="center" wrapText="1"/>
    </xf>
    <xf numFmtId="0" fontId="24" fillId="21" borderId="18" applyAlignment="1" pivotButton="0" quotePrefix="0" xfId="0">
      <alignment horizontal="center" vertical="center" wrapText="1"/>
    </xf>
    <xf numFmtId="0" fontId="37" fillId="18" borderId="48" applyAlignment="1" pivotButton="0" quotePrefix="0" xfId="0">
      <alignment horizontal="center" vertical="center" wrapText="1" readingOrder="1"/>
    </xf>
    <xf numFmtId="0" fontId="38" fillId="17" borderId="47" applyAlignment="1" pivotButton="0" quotePrefix="0" xfId="0">
      <alignment horizontal="left" vertical="center" wrapText="1" readingOrder="1"/>
    </xf>
    <xf numFmtId="0" fontId="24" fillId="17" borderId="18" applyAlignment="1" pivotButton="0" quotePrefix="0" xfId="0">
      <alignment vertical="center" wrapText="1"/>
    </xf>
    <xf numFmtId="0" fontId="37" fillId="21" borderId="18" applyAlignment="1" pivotButton="0" quotePrefix="0" xfId="0">
      <alignment horizontal="center" vertical="center" wrapText="1" readingOrder="1"/>
    </xf>
    <xf numFmtId="0" fontId="24" fillId="21" borderId="48" applyAlignment="1" pivotButton="0" quotePrefix="0" xfId="0">
      <alignment horizontal="center" vertical="center" wrapText="1"/>
    </xf>
    <xf numFmtId="0" fontId="37" fillId="17" borderId="43" applyAlignment="1" pivotButton="0" quotePrefix="0" xfId="0">
      <alignment horizontal="center" vertical="center" wrapText="1" readingOrder="1"/>
    </xf>
    <xf numFmtId="0" fontId="38" fillId="20" borderId="47" applyAlignment="1" pivotButton="0" quotePrefix="0" xfId="0">
      <alignment horizontal="left" vertical="center" wrapText="1" readingOrder="1"/>
    </xf>
    <xf numFmtId="0" fontId="24" fillId="20" borderId="18" applyAlignment="1" pivotButton="0" quotePrefix="0" xfId="0">
      <alignment vertical="center" wrapText="1"/>
    </xf>
    <xf numFmtId="0" fontId="38" fillId="20" borderId="18" applyAlignment="1" pivotButton="0" quotePrefix="0" xfId="0">
      <alignment horizontal="left" vertical="center" wrapText="1" readingOrder="1"/>
    </xf>
    <xf numFmtId="0" fontId="37" fillId="20" borderId="43" applyAlignment="1" pivotButton="0" quotePrefix="0" xfId="0">
      <alignment horizontal="center" vertical="center" wrapText="1" readingOrder="1"/>
    </xf>
    <xf numFmtId="0" fontId="37" fillId="20" borderId="18" applyAlignment="1" pivotButton="0" quotePrefix="0" xfId="0">
      <alignment horizontal="center" vertical="center" wrapText="1" readingOrder="1"/>
    </xf>
    <xf numFmtId="0" fontId="37" fillId="21" borderId="48" applyAlignment="1" pivotButton="0" quotePrefix="0" xfId="0">
      <alignment horizontal="center" vertical="center" wrapText="1" readingOrder="1"/>
    </xf>
    <xf numFmtId="0" fontId="38" fillId="20" borderId="52" applyAlignment="1" pivotButton="0" quotePrefix="0" xfId="0">
      <alignment horizontal="left" vertical="center" wrapText="1" readingOrder="1"/>
    </xf>
    <xf numFmtId="0" fontId="24" fillId="20" borderId="49" applyAlignment="1" pivotButton="0" quotePrefix="0" xfId="0">
      <alignment vertical="center" wrapText="1"/>
    </xf>
    <xf numFmtId="0" fontId="38" fillId="20" borderId="49" applyAlignment="1" pivotButton="0" quotePrefix="0" xfId="0">
      <alignment horizontal="left" vertical="center" wrapText="1" readingOrder="1"/>
    </xf>
    <xf numFmtId="0" fontId="37" fillId="21" borderId="49" applyAlignment="1" pivotButton="0" quotePrefix="0" xfId="0">
      <alignment horizontal="center" vertical="center" wrapText="1" readingOrder="1"/>
    </xf>
    <xf numFmtId="0" fontId="24" fillId="21" borderId="49" applyAlignment="1" pivotButton="0" quotePrefix="0" xfId="0">
      <alignment horizontal="center" vertical="center" wrapText="1"/>
    </xf>
    <xf numFmtId="0" fontId="24" fillId="21" borderId="50" applyAlignment="1" pivotButton="0" quotePrefix="0" xfId="0">
      <alignment horizontal="center" vertical="center" wrapText="1"/>
    </xf>
    <xf numFmtId="0" fontId="37" fillId="20" borderId="51" applyAlignment="1" pivotButton="0" quotePrefix="0" xfId="0">
      <alignment horizontal="center" vertical="center" wrapText="1" readingOrder="1"/>
    </xf>
    <xf numFmtId="0" fontId="24" fillId="5" borderId="51" applyAlignment="1" pivotButton="0" quotePrefix="0" xfId="0">
      <alignment horizontal="center" vertical="center" wrapText="1"/>
    </xf>
    <xf numFmtId="0" fontId="24" fillId="21" borderId="52" applyAlignment="1" pivotButton="0" quotePrefix="0" xfId="0">
      <alignment horizontal="center" vertical="center" wrapText="1"/>
    </xf>
    <xf numFmtId="0" fontId="37" fillId="20" borderId="49" applyAlignment="1" pivotButton="0" quotePrefix="0" xfId="0">
      <alignment horizontal="center" vertical="center" wrapText="1" readingOrder="1"/>
    </xf>
    <xf numFmtId="0" fontId="37" fillId="18" borderId="50" applyAlignment="1" pivotButton="0" quotePrefix="0" xfId="0">
      <alignment horizontal="center" vertical="center" wrapText="1" readingOrder="1"/>
    </xf>
    <xf numFmtId="0" fontId="12" fillId="19" borderId="53" applyAlignment="1" pivotButton="0" quotePrefix="0" xfId="0">
      <alignment horizontal="left" vertical="center" wrapText="1" readingOrder="1"/>
    </xf>
    <xf numFmtId="0" fontId="24" fillId="19" borderId="53" applyAlignment="1" pivotButton="0" quotePrefix="0" xfId="0">
      <alignment vertical="center" wrapText="1"/>
    </xf>
    <xf numFmtId="0" fontId="37" fillId="18" borderId="53" applyAlignment="1" pivotButton="0" quotePrefix="0" xfId="0">
      <alignment horizontal="center" vertical="center" wrapText="1" readingOrder="1"/>
    </xf>
    <xf numFmtId="0" fontId="37" fillId="18" borderId="54" applyAlignment="1" pivotButton="0" quotePrefix="0" xfId="0">
      <alignment horizontal="center" vertical="center" wrapText="1" readingOrder="1"/>
    </xf>
    <xf numFmtId="0" fontId="24" fillId="5" borderId="57" applyAlignment="1" pivotButton="0" quotePrefix="0" xfId="0">
      <alignment horizontal="center" vertical="center" wrapText="1"/>
    </xf>
    <xf numFmtId="0" fontId="24" fillId="18" borderId="56" applyAlignment="1" pivotButton="0" quotePrefix="0" xfId="0">
      <alignment horizontal="center" vertical="center" wrapText="1"/>
    </xf>
    <xf numFmtId="0" fontId="24" fillId="18" borderId="53" applyAlignment="1" pivotButton="0" quotePrefix="0" xfId="0">
      <alignment horizontal="center" vertical="center" wrapText="1"/>
    </xf>
    <xf numFmtId="0" fontId="24" fillId="21" borderId="55" applyAlignment="1" pivotButton="0" quotePrefix="0" xfId="0">
      <alignment vertical="center" wrapText="1"/>
    </xf>
    <xf numFmtId="0" fontId="24" fillId="21" borderId="41" applyAlignment="1" pivotButton="0" quotePrefix="0" xfId="0">
      <alignment vertical="center" wrapText="1"/>
    </xf>
    <xf numFmtId="0" fontId="37" fillId="21" borderId="61" applyAlignment="1" pivotButton="0" quotePrefix="0" xfId="0">
      <alignment horizontal="center" vertical="center" wrapText="1" readingOrder="1"/>
    </xf>
    <xf numFmtId="0" fontId="37" fillId="18" borderId="55" applyAlignment="1" pivotButton="0" quotePrefix="0" xfId="0">
      <alignment horizontal="center" vertical="center" wrapText="1" readingOrder="1"/>
    </xf>
    <xf numFmtId="0" fontId="24" fillId="5" borderId="55" applyAlignment="1" pivotButton="0" quotePrefix="0" xfId="0">
      <alignment horizontal="center" vertical="center" wrapText="1"/>
    </xf>
    <xf numFmtId="0" fontId="24" fillId="21" borderId="44" applyAlignment="1" pivotButton="0" quotePrefix="0" xfId="0">
      <alignment horizontal="center" vertical="center" wrapText="1"/>
    </xf>
    <xf numFmtId="0" fontId="37" fillId="18" borderId="61" applyAlignment="1" pivotButton="0" quotePrefix="0" xfId="0">
      <alignment horizontal="center" vertical="center" wrapText="1" readingOrder="1"/>
    </xf>
    <xf numFmtId="0" fontId="24" fillId="21" borderId="51" applyAlignment="1" pivotButton="0" quotePrefix="0" xfId="0">
      <alignment vertical="center" wrapText="1"/>
    </xf>
    <xf numFmtId="0" fontId="24" fillId="21" borderId="49" applyAlignment="1" pivotButton="0" quotePrefix="0" xfId="0">
      <alignment vertical="center" wrapText="1"/>
    </xf>
    <xf numFmtId="0" fontId="37" fillId="18" borderId="51" applyAlignment="1" pivotButton="0" quotePrefix="0" xfId="0">
      <alignment horizontal="center" vertical="center" wrapText="1" readingOrder="1"/>
    </xf>
    <xf numFmtId="0" fontId="37" fillId="18" borderId="56" applyAlignment="1" pivotButton="0" quotePrefix="0" xfId="0">
      <alignment horizontal="center" vertical="center" wrapText="1" readingOrder="1"/>
    </xf>
    <xf numFmtId="0" fontId="39" fillId="0" borderId="0" pivotButton="0" quotePrefix="0" xfId="0"/>
    <xf numFmtId="0" fontId="40" fillId="0" borderId="0" pivotButton="0" quotePrefix="0" xfId="0"/>
    <xf numFmtId="0" fontId="6" fillId="15" borderId="2" applyAlignment="1" pivotButton="0" quotePrefix="0" xfId="0">
      <alignment vertical="center"/>
    </xf>
    <xf numFmtId="0" fontId="32" fillId="0" borderId="2" pivotButton="0" quotePrefix="0" xfId="0"/>
    <xf numFmtId="164" fontId="41" fillId="0" borderId="2" pivotButton="0" quotePrefix="0" xfId="0"/>
    <xf numFmtId="0" fontId="9" fillId="9" borderId="2" pivotButton="0" quotePrefix="0" xfId="0"/>
    <xf numFmtId="164" fontId="9" fillId="9" borderId="2" pivotButton="0" quotePrefix="0" xfId="0"/>
    <xf numFmtId="0" fontId="6" fillId="15" borderId="2" applyAlignment="1" pivotButton="0" quotePrefix="0" xfId="0">
      <alignment horizontal="left" vertical="center"/>
    </xf>
    <xf numFmtId="164" fontId="32" fillId="0" borderId="62" pivotButton="0" quotePrefix="0" xfId="0"/>
    <xf numFmtId="2" fontId="32" fillId="0" borderId="62" pivotButton="0" quotePrefix="0" xfId="0"/>
    <xf numFmtId="164" fontId="42" fillId="23" borderId="2" pivotButton="0" quotePrefix="0" xfId="0"/>
    <xf numFmtId="0" fontId="43" fillId="24" borderId="62" pivotButton="0" quotePrefix="0" xfId="0"/>
    <xf numFmtId="164" fontId="43" fillId="24" borderId="62" pivotButton="0" quotePrefix="0" xfId="0"/>
    <xf numFmtId="0" fontId="9" fillId="0" borderId="2" pivotButton="0" quotePrefix="0" xfId="0"/>
    <xf numFmtId="0" fontId="32" fillId="9" borderId="2" pivotButton="0" quotePrefix="0" xfId="0"/>
    <xf numFmtId="0" fontId="8" fillId="23" borderId="2" pivotButton="0" quotePrefix="0" xfId="0"/>
    <xf numFmtId="9" fontId="32" fillId="23" borderId="2" pivotButton="0" quotePrefix="0" xfId="0"/>
    <xf numFmtId="0" fontId="44" fillId="0" borderId="2" pivotButton="0" quotePrefix="0" xfId="0"/>
    <xf numFmtId="164" fontId="45" fillId="23" borderId="2" pivotButton="0" quotePrefix="0" xfId="0"/>
    <xf numFmtId="0" fontId="6" fillId="3" borderId="62" applyAlignment="1" pivotButton="0" quotePrefix="0" xfId="0">
      <alignment horizontal="left" vertical="center"/>
    </xf>
    <xf numFmtId="0" fontId="8" fillId="0" borderId="62" pivotButton="0" quotePrefix="0" xfId="0"/>
    <xf numFmtId="0" fontId="8" fillId="23" borderId="62" pivotButton="0" quotePrefix="0" xfId="0"/>
    <xf numFmtId="9" fontId="32" fillId="23" borderId="62" pivotButton="0" quotePrefix="0" xfId="0"/>
    <xf numFmtId="164" fontId="41" fillId="0" borderId="62" pivotButton="0" quotePrefix="0" xfId="0"/>
    <xf numFmtId="164" fontId="8" fillId="0" borderId="62" pivotButton="0" quotePrefix="0" xfId="0"/>
    <xf numFmtId="0" fontId="44" fillId="0" borderId="62" pivotButton="0" quotePrefix="0" xfId="0"/>
    <xf numFmtId="0" fontId="0" fillId="0" borderId="62" pivotButton="0" quotePrefix="0" xfId="0"/>
    <xf numFmtId="0" fontId="9" fillId="9" borderId="62" pivotButton="0" quotePrefix="0" xfId="0"/>
    <xf numFmtId="164" fontId="9" fillId="9" borderId="62" pivotButton="0" quotePrefix="0" xfId="0"/>
    <xf numFmtId="164" fontId="45" fillId="23" borderId="62" pivotButton="0" quotePrefix="0" xfId="0"/>
    <xf numFmtId="164" fontId="47" fillId="0" borderId="2" pivotButton="0" quotePrefix="0" xfId="0"/>
    <xf numFmtId="164" fontId="42" fillId="23" borderId="62" pivotButton="0" quotePrefix="0" xfId="0"/>
    <xf numFmtId="0" fontId="9" fillId="0" borderId="62" pivotButton="0" quotePrefix="0" xfId="0"/>
    <xf numFmtId="164" fontId="9" fillId="0" borderId="62" pivotButton="0" quotePrefix="0" xfId="0"/>
    <xf numFmtId="0" fontId="6" fillId="3" borderId="65" applyAlignment="1" pivotButton="0" quotePrefix="0" xfId="0">
      <alignment horizontal="left" vertical="center"/>
    </xf>
    <xf numFmtId="0" fontId="8" fillId="0" borderId="66" pivotButton="0" quotePrefix="0" xfId="0"/>
    <xf numFmtId="164" fontId="8" fillId="0" borderId="67" pivotButton="0" quotePrefix="0" xfId="0"/>
    <xf numFmtId="0" fontId="0" fillId="0" borderId="68" pivotButton="0" quotePrefix="0" xfId="0"/>
    <xf numFmtId="0" fontId="0" fillId="0" borderId="69" pivotButton="0" quotePrefix="0" xfId="0"/>
    <xf numFmtId="0" fontId="49" fillId="0" borderId="2" pivotButton="0" quotePrefix="0" xfId="0"/>
    <xf numFmtId="164" fontId="49" fillId="0" borderId="2" pivotButton="0" quotePrefix="0" xfId="0"/>
    <xf numFmtId="0" fontId="46" fillId="0" borderId="0" pivotButton="0" quotePrefix="0" xfId="0"/>
    <xf numFmtId="0" fontId="0" fillId="25" borderId="0" pivotButton="0" quotePrefix="0" xfId="0"/>
    <xf numFmtId="9" fontId="0" fillId="0" borderId="0" pivotButton="0" quotePrefix="0" xfId="0"/>
    <xf numFmtId="0" fontId="8" fillId="23" borderId="0" pivotButton="0" quotePrefix="0" xfId="0"/>
    <xf numFmtId="9" fontId="32" fillId="23" borderId="0" pivotButton="0" quotePrefix="0" xfId="0"/>
    <xf numFmtId="0" fontId="53" fillId="0" borderId="2" pivotButton="0" quotePrefix="0" xfId="0"/>
    <xf numFmtId="0" fontId="53" fillId="23" borderId="2" pivotButton="0" quotePrefix="0" xfId="0"/>
    <xf numFmtId="9" fontId="53" fillId="23" borderId="2" pivotButton="0" quotePrefix="0" xfId="0"/>
    <xf numFmtId="0" fontId="53" fillId="0" borderId="62" pivotButton="0" quotePrefix="0" xfId="0"/>
    <xf numFmtId="0" fontId="6" fillId="3" borderId="2" applyAlignment="1" pivotButton="0" quotePrefix="0" xfId="0">
      <alignment horizontal="left" vertical="center" wrapText="1"/>
    </xf>
    <xf numFmtId="0" fontId="32" fillId="0" borderId="0" applyAlignment="1" pivotButton="0" quotePrefix="0" xfId="0">
      <alignment wrapText="1"/>
    </xf>
    <xf numFmtId="164" fontId="54" fillId="23" borderId="2" pivotButton="0" quotePrefix="0" xfId="0"/>
    <xf numFmtId="0" fontId="52" fillId="26" borderId="70" applyAlignment="1" pivotButton="0" quotePrefix="0" xfId="0">
      <alignment horizontal="left" vertical="top" wrapText="1"/>
    </xf>
    <xf numFmtId="0" fontId="52" fillId="26" borderId="62" applyAlignment="1" pivotButton="0" quotePrefix="0" xfId="0">
      <alignment horizontal="left" vertical="top" wrapText="1"/>
    </xf>
    <xf numFmtId="0" fontId="3" fillId="27" borderId="62" applyAlignment="1" pivotButton="0" quotePrefix="0" xfId="0">
      <alignment horizontal="left" vertical="top" wrapText="1"/>
    </xf>
    <xf numFmtId="0" fontId="52" fillId="26" borderId="62" applyAlignment="1" pivotButton="0" quotePrefix="0" xfId="3">
      <alignment horizontal="left" vertical="top" wrapText="1"/>
    </xf>
    <xf numFmtId="0" fontId="52" fillId="28" borderId="62" applyAlignment="1" pivotButton="0" quotePrefix="0" xfId="3">
      <alignment horizontal="left" vertical="top" wrapText="1"/>
    </xf>
    <xf numFmtId="0" fontId="52" fillId="28" borderId="62" applyAlignment="1" pivotButton="0" quotePrefix="0" xfId="0">
      <alignment horizontal="left" vertical="top" wrapText="1"/>
    </xf>
    <xf numFmtId="0" fontId="55" fillId="29" borderId="0" pivotButton="0" quotePrefix="0" xfId="0"/>
    <xf numFmtId="0" fontId="3" fillId="0" borderId="0" applyAlignment="1" pivotButton="0" quotePrefix="0" xfId="3">
      <alignment horizontal="left" vertical="top" wrapText="1"/>
    </xf>
    <xf numFmtId="1" fontId="56" fillId="0" borderId="62" applyAlignment="1" pivotButton="0" quotePrefix="0" xfId="0">
      <alignment horizontal="left"/>
    </xf>
    <xf numFmtId="0" fontId="3" fillId="0" borderId="62" pivotButton="0" quotePrefix="0" xfId="3"/>
    <xf numFmtId="0" fontId="56" fillId="0" borderId="62" applyAlignment="1" pivotButton="0" quotePrefix="0" xfId="0">
      <alignment horizontal="left"/>
    </xf>
    <xf numFmtId="0" fontId="3" fillId="0" borderId="0" pivotButton="0" quotePrefix="0" xfId="3"/>
    <xf numFmtId="0" fontId="0" fillId="0" borderId="71" pivotButton="0" quotePrefix="0" xfId="0"/>
    <xf numFmtId="0" fontId="0" fillId="0" borderId="72" pivotButton="0" quotePrefix="0" xfId="0"/>
    <xf numFmtId="0" fontId="0" fillId="0" borderId="73" pivotButton="0" quotePrefix="0" xfId="0"/>
    <xf numFmtId="0" fontId="0" fillId="0" borderId="74" pivotButton="0" quotePrefix="0" xfId="0"/>
    <xf numFmtId="0" fontId="0" fillId="0" borderId="75" pivotButton="0" quotePrefix="0" xfId="0"/>
    <xf numFmtId="0" fontId="0" fillId="0" borderId="76" pivotButton="0" quotePrefix="0" xfId="0"/>
    <xf numFmtId="0" fontId="3" fillId="0" borderId="62" applyAlignment="1" pivotButton="0" quotePrefix="0" xfId="3">
      <alignment vertical="top" wrapText="1"/>
    </xf>
    <xf numFmtId="0" fontId="0" fillId="27" borderId="62" pivotButton="0" quotePrefix="0" xfId="0"/>
    <xf numFmtId="0" fontId="0" fillId="0" borderId="77" pivotButton="0" quotePrefix="0" xfId="0"/>
    <xf numFmtId="0" fontId="0" fillId="0" borderId="78" pivotButton="0" quotePrefix="0" xfId="0"/>
    <xf numFmtId="0" fontId="0" fillId="0" borderId="79" pivotButton="0" quotePrefix="0" xfId="0"/>
    <xf numFmtId="0" fontId="0" fillId="30" borderId="62" pivotButton="0" quotePrefix="0" xfId="0"/>
    <xf numFmtId="0" fontId="57" fillId="30" borderId="62" pivotButton="0" quotePrefix="0" xfId="0"/>
    <xf numFmtId="0" fontId="3" fillId="30" borderId="62" pivotButton="0" quotePrefix="0" xfId="3"/>
    <xf numFmtId="0" fontId="51" fillId="0" borderId="0" pivotButton="0" quotePrefix="0" xfId="3"/>
    <xf numFmtId="0" fontId="59" fillId="0" borderId="0" pivotButton="0" quotePrefix="0" xfId="3"/>
    <xf numFmtId="1" fontId="56" fillId="30" borderId="62" applyAlignment="1" pivotButton="0" quotePrefix="0" xfId="0">
      <alignment horizontal="left"/>
    </xf>
    <xf numFmtId="0" fontId="56" fillId="30" borderId="62" applyAlignment="1" pivotButton="0" quotePrefix="0" xfId="0">
      <alignment horizontal="left"/>
    </xf>
    <xf numFmtId="0" fontId="3" fillId="30" borderId="0" pivotButton="0" quotePrefix="0" xfId="3"/>
    <xf numFmtId="0" fontId="3" fillId="0" borderId="62" applyAlignment="1" pivotButton="0" quotePrefix="0" xfId="3">
      <alignment horizontal="left" vertical="top" wrapText="1"/>
    </xf>
    <xf numFmtId="0" fontId="3" fillId="31" borderId="0" pivotButton="0" quotePrefix="0" xfId="3"/>
    <xf numFmtId="0" fontId="57" fillId="0" borderId="62" pivotButton="0" quotePrefix="0" xfId="3"/>
    <xf numFmtId="0" fontId="57" fillId="0" borderId="62" applyAlignment="1" pivotButton="0" quotePrefix="0" xfId="3">
      <alignment vertical="top" wrapText="1"/>
    </xf>
    <xf numFmtId="1" fontId="60" fillId="0" borderId="62" applyAlignment="1" pivotButton="0" quotePrefix="0" xfId="0">
      <alignment horizontal="left"/>
    </xf>
    <xf numFmtId="0" fontId="60" fillId="0" borderId="62" pivotButton="0" quotePrefix="0" xfId="0"/>
    <xf numFmtId="0" fontId="59" fillId="0" borderId="62" pivotButton="0" quotePrefix="0" xfId="3"/>
    <xf numFmtId="0" fontId="59" fillId="0" borderId="62" applyAlignment="1" pivotButton="0" quotePrefix="0" xfId="3">
      <alignment vertical="top" wrapText="1"/>
    </xf>
    <xf numFmtId="0" fontId="60" fillId="0" borderId="62" applyAlignment="1" pivotButton="0" quotePrefix="0" xfId="0">
      <alignment horizontal="left"/>
    </xf>
    <xf numFmtId="0" fontId="3" fillId="0" borderId="0" applyAlignment="1" pivotButton="0" quotePrefix="0" xfId="3">
      <alignment vertical="top" wrapText="1"/>
    </xf>
    <xf numFmtId="0" fontId="0" fillId="30" borderId="0" pivotButton="0" quotePrefix="0" xfId="0"/>
    <xf numFmtId="0" fontId="3" fillId="0" borderId="62" pivotButton="0" quotePrefix="0" xfId="0"/>
    <xf numFmtId="1" fontId="56" fillId="27" borderId="62" applyAlignment="1" pivotButton="0" quotePrefix="0" xfId="0">
      <alignment horizontal="left"/>
    </xf>
    <xf numFmtId="0" fontId="0" fillId="27" borderId="0" pivotButton="0" quotePrefix="0" xfId="0"/>
    <xf numFmtId="0" fontId="3" fillId="27" borderId="62" pivotButton="0" quotePrefix="0" xfId="3"/>
    <xf numFmtId="0" fontId="56" fillId="27" borderId="62" applyAlignment="1" pivotButton="0" quotePrefix="0" xfId="0">
      <alignment horizontal="left"/>
    </xf>
    <xf numFmtId="0" fontId="3" fillId="27" borderId="0" pivotButton="0" quotePrefix="0" xfId="3"/>
    <xf numFmtId="0" fontId="51" fillId="0" borderId="62" pivotButton="0" quotePrefix="0" xfId="3"/>
    <xf numFmtId="0" fontId="3" fillId="31" borderId="62" pivotButton="0" quotePrefix="0" xfId="3"/>
    <xf numFmtId="0" fontId="0" fillId="0" borderId="62" applyAlignment="1" pivotButton="0" quotePrefix="0" xfId="0">
      <alignment horizontal="left"/>
    </xf>
    <xf numFmtId="0" fontId="3" fillId="0" borderId="0" applyAlignment="1" pivotButton="0" quotePrefix="0" xfId="3">
      <alignment horizontal="center"/>
    </xf>
    <xf numFmtId="164" fontId="61" fillId="32" borderId="2" pivotButton="0" quotePrefix="0" xfId="0"/>
    <xf numFmtId="0" fontId="8" fillId="32" borderId="62" pivotButton="0" quotePrefix="0" xfId="0"/>
    <xf numFmtId="9" fontId="61" fillId="32" borderId="62" pivotButton="0" quotePrefix="0" xfId="0"/>
    <xf numFmtId="0" fontId="2" fillId="27" borderId="62" applyAlignment="1" pivotButton="0" quotePrefix="0" xfId="0">
      <alignment horizontal="left" vertical="top" wrapText="1"/>
    </xf>
    <xf numFmtId="0" fontId="52" fillId="26" borderId="62" applyAlignment="1" pivotButton="0" quotePrefix="0" xfId="6">
      <alignment horizontal="left" vertical="top" wrapText="1"/>
    </xf>
    <xf numFmtId="0" fontId="52" fillId="28" borderId="62" applyAlignment="1" pivotButton="0" quotePrefix="0" xfId="6">
      <alignment horizontal="left" vertical="top" wrapText="1"/>
    </xf>
    <xf numFmtId="0" fontId="55" fillId="29" borderId="62" applyAlignment="1" pivotButton="0" quotePrefix="0" xfId="0">
      <alignment horizontal="center"/>
    </xf>
    <xf numFmtId="0" fontId="62" fillId="34" borderId="62" applyAlignment="1" pivotButton="0" quotePrefix="0" xfId="0">
      <alignment horizontal="center"/>
    </xf>
    <xf numFmtId="0" fontId="62" fillId="34" borderId="4" applyAlignment="1" pivotButton="0" quotePrefix="0" xfId="0">
      <alignment horizontal="center" wrapText="1"/>
    </xf>
    <xf numFmtId="0" fontId="62" fillId="34" borderId="62" applyAlignment="1" pivotButton="0" quotePrefix="0" xfId="0">
      <alignment horizontal="center" wrapText="1"/>
    </xf>
    <xf numFmtId="0" fontId="62" fillId="34" borderId="70" applyAlignment="1" pivotButton="0" quotePrefix="0" xfId="0">
      <alignment horizontal="center"/>
    </xf>
    <xf numFmtId="0" fontId="62" fillId="34" borderId="0" applyAlignment="1" pivotButton="0" quotePrefix="0" xfId="0">
      <alignment horizontal="center"/>
    </xf>
    <xf numFmtId="0" fontId="62" fillId="34" borderId="0" applyAlignment="1" pivotButton="0" quotePrefix="0" xfId="0">
      <alignment horizontal="center" wrapText="1"/>
    </xf>
    <xf numFmtId="0" fontId="2" fillId="0" borderId="0" applyAlignment="1" pivotButton="0" quotePrefix="0" xfId="6">
      <alignment horizontal="left" vertical="top" wrapText="1"/>
    </xf>
    <xf numFmtId="0" fontId="0" fillId="35" borderId="62" pivotButton="0" quotePrefix="0" xfId="0"/>
    <xf numFmtId="0" fontId="2" fillId="0" borderId="62" pivotButton="0" quotePrefix="0" xfId="6"/>
    <xf numFmtId="0" fontId="56" fillId="0" borderId="4" applyAlignment="1" pivotButton="0" quotePrefix="0" xfId="0">
      <alignment horizontal="left"/>
    </xf>
    <xf numFmtId="0" fontId="2" fillId="0" borderId="62" applyAlignment="1" pivotButton="0" quotePrefix="0" xfId="6">
      <alignment horizontal="center" vertical="center"/>
    </xf>
    <xf numFmtId="0" fontId="0" fillId="0" borderId="62" applyAlignment="1" pivotButton="0" quotePrefix="0" xfId="0">
      <alignment horizontal="center"/>
    </xf>
    <xf numFmtId="0" fontId="2" fillId="0" borderId="62" applyAlignment="1" pivotButton="0" quotePrefix="0" xfId="6">
      <alignment horizontal="center"/>
    </xf>
    <xf numFmtId="172" fontId="2" fillId="0" borderId="62" applyAlignment="1" pivotButton="0" quotePrefix="0" xfId="4">
      <alignment horizontal="center"/>
    </xf>
    <xf numFmtId="9" fontId="0" fillId="0" borderId="62" applyAlignment="1" pivotButton="0" quotePrefix="0" xfId="0">
      <alignment horizontal="center"/>
    </xf>
    <xf numFmtId="9" fontId="2" fillId="0" borderId="62" applyAlignment="1" pivotButton="0" quotePrefix="0" xfId="6">
      <alignment horizontal="center"/>
    </xf>
    <xf numFmtId="173" fontId="2" fillId="0" borderId="62" pivotButton="0" quotePrefix="0" xfId="6"/>
    <xf numFmtId="174" fontId="2" fillId="0" borderId="62" pivotButton="0" quotePrefix="0" xfId="6"/>
    <xf numFmtId="0" fontId="2" fillId="0" borderId="0" pivotButton="0" quotePrefix="0" xfId="6"/>
    <xf numFmtId="175" fontId="2" fillId="0" borderId="62" applyAlignment="1" pivotButton="0" quotePrefix="0" xfId="6">
      <alignment horizontal="center"/>
    </xf>
    <xf numFmtId="175" fontId="2" fillId="0" borderId="62" pivotButton="0" quotePrefix="0" xfId="6"/>
    <xf numFmtId="14" fontId="2" fillId="0" borderId="62" applyAlignment="1" pivotButton="0" quotePrefix="0" xfId="6">
      <alignment horizontal="center"/>
    </xf>
    <xf numFmtId="172" fontId="2" fillId="0" borderId="62" pivotButton="0" quotePrefix="0" xfId="4"/>
    <xf numFmtId="172" fontId="2" fillId="0" borderId="4" applyAlignment="1" pivotButton="0" quotePrefix="0" xfId="4">
      <alignment horizontal="center"/>
    </xf>
    <xf numFmtId="0" fontId="2" fillId="0" borderId="4" applyAlignment="1" pivotButton="0" quotePrefix="0" xfId="6">
      <alignment horizontal="center"/>
    </xf>
    <xf numFmtId="0" fontId="2" fillId="0" borderId="62" applyAlignment="1" pivotButton="0" quotePrefix="0" xfId="6">
      <alignment vertical="top" wrapText="1"/>
    </xf>
    <xf numFmtId="0" fontId="2" fillId="35" borderId="62" pivotButton="0" quotePrefix="0" xfId="6"/>
    <xf numFmtId="1" fontId="56" fillId="0" borderId="0" applyAlignment="1" pivotButton="0" quotePrefix="0" xfId="0">
      <alignment horizontal="left"/>
    </xf>
    <xf numFmtId="0" fontId="57" fillId="35" borderId="62" pivotButton="0" quotePrefix="0" xfId="0"/>
    <xf numFmtId="0" fontId="2" fillId="27" borderId="62" pivotButton="0" quotePrefix="0" xfId="6"/>
    <xf numFmtId="0" fontId="59" fillId="0" borderId="62" applyAlignment="1" pivotButton="0" quotePrefix="0" xfId="6">
      <alignment horizontal="center"/>
    </xf>
    <xf numFmtId="0" fontId="2" fillId="0" borderId="0" applyAlignment="1" pivotButton="0" quotePrefix="0" xfId="6">
      <alignment horizontal="center"/>
    </xf>
    <xf numFmtId="0" fontId="51" fillId="0" borderId="0" pivotButton="0" quotePrefix="0" xfId="6"/>
    <xf numFmtId="0" fontId="2" fillId="0" borderId="0" applyAlignment="1" pivotButton="0" quotePrefix="0" xfId="6">
      <alignment horizontal="center" vertical="center"/>
    </xf>
    <xf numFmtId="0" fontId="2" fillId="31" borderId="62" pivotButton="0" quotePrefix="0" xfId="6"/>
    <xf numFmtId="0" fontId="0" fillId="0" borderId="0" applyAlignment="1" pivotButton="0" quotePrefix="0" xfId="0">
      <alignment horizontal="center"/>
    </xf>
    <xf numFmtId="0" fontId="59" fillId="0" borderId="0" pivotButton="0" quotePrefix="0" xfId="6"/>
    <xf numFmtId="10" fontId="2" fillId="0" borderId="62" applyAlignment="1" pivotButton="0" quotePrefix="0" xfId="6">
      <alignment horizontal="center"/>
    </xf>
    <xf numFmtId="14" fontId="2" fillId="0" borderId="0" applyAlignment="1" pivotButton="0" quotePrefix="0" xfId="6">
      <alignment horizontal="center"/>
    </xf>
    <xf numFmtId="0" fontId="2" fillId="36" borderId="62" applyAlignment="1" pivotButton="0" quotePrefix="0" xfId="6">
      <alignment horizontal="center"/>
    </xf>
    <xf numFmtId="0" fontId="2" fillId="0" borderId="70" applyAlignment="1" pivotButton="0" quotePrefix="0" xfId="6">
      <alignment horizontal="center" vertical="center"/>
    </xf>
    <xf numFmtId="0" fontId="2" fillId="0" borderId="70" applyAlignment="1" pivotButton="0" quotePrefix="0" xfId="6">
      <alignment horizontal="center"/>
    </xf>
    <xf numFmtId="0" fontId="2" fillId="0" borderId="101" applyAlignment="1" pivotButton="0" quotePrefix="0" xfId="6">
      <alignment horizontal="center" vertical="center"/>
    </xf>
    <xf numFmtId="0" fontId="2" fillId="0" borderId="101" applyAlignment="1" pivotButton="0" quotePrefix="0" xfId="6">
      <alignment horizontal="center"/>
    </xf>
    <xf numFmtId="14" fontId="2" fillId="0" borderId="101" applyAlignment="1" pivotButton="0" quotePrefix="0" xfId="6">
      <alignment horizontal="center"/>
    </xf>
    <xf numFmtId="0" fontId="2" fillId="36" borderId="101" applyAlignment="1" pivotButton="0" quotePrefix="0" xfId="6">
      <alignment horizontal="center"/>
    </xf>
    <xf numFmtId="1" fontId="56" fillId="0" borderId="70" applyAlignment="1" pivotButton="0" quotePrefix="0" xfId="0">
      <alignment horizontal="left"/>
    </xf>
    <xf numFmtId="0" fontId="0" fillId="0" borderId="70" pivotButton="0" quotePrefix="0" xfId="0"/>
    <xf numFmtId="0" fontId="0" fillId="35" borderId="70" pivotButton="0" quotePrefix="0" xfId="0"/>
    <xf numFmtId="0" fontId="2" fillId="0" borderId="70" pivotButton="0" quotePrefix="0" xfId="6"/>
    <xf numFmtId="0" fontId="56" fillId="0" borderId="36" applyAlignment="1" pivotButton="0" quotePrefix="0" xfId="0">
      <alignment horizontal="left"/>
    </xf>
    <xf numFmtId="9" fontId="2" fillId="0" borderId="0" applyAlignment="1" pivotButton="0" quotePrefix="0" xfId="6">
      <alignment horizontal="center"/>
    </xf>
    <xf numFmtId="175" fontId="2" fillId="0" borderId="0" applyAlignment="1" pivotButton="0" quotePrefix="0" xfId="6">
      <alignment horizontal="center"/>
    </xf>
    <xf numFmtId="175" fontId="2" fillId="0" borderId="0" pivotButton="0" quotePrefix="0" xfId="6"/>
    <xf numFmtId="174" fontId="2" fillId="0" borderId="0" pivotButton="0" quotePrefix="0" xfId="6"/>
    <xf numFmtId="9" fontId="0" fillId="0" borderId="0" applyAlignment="1" pivotButton="0" quotePrefix="0" xfId="0">
      <alignment horizontal="center"/>
    </xf>
    <xf numFmtId="173" fontId="2" fillId="0" borderId="0" pivotButton="0" quotePrefix="0" xfId="6"/>
    <xf numFmtId="0" fontId="2" fillId="0" borderId="62" applyAlignment="1" pivotButton="0" quotePrefix="0" xfId="6">
      <alignment horizontal="left" vertical="top" wrapText="1"/>
    </xf>
    <xf numFmtId="1" fontId="56" fillId="0" borderId="101" applyAlignment="1" pivotButton="0" quotePrefix="0" xfId="0">
      <alignment horizontal="left"/>
    </xf>
    <xf numFmtId="0" fontId="2" fillId="0" borderId="101" applyAlignment="1" pivotButton="0" quotePrefix="0" xfId="6">
      <alignment horizontal="left" vertical="top" wrapText="1"/>
    </xf>
    <xf numFmtId="0" fontId="2" fillId="35" borderId="101" pivotButton="0" quotePrefix="0" xfId="6"/>
    <xf numFmtId="0" fontId="2" fillId="0" borderId="101" pivotButton="0" quotePrefix="0" xfId="6"/>
    <xf numFmtId="0" fontId="0" fillId="0" borderId="101" pivotButton="0" quotePrefix="0" xfId="0"/>
    <xf numFmtId="0" fontId="56" fillId="0" borderId="37" applyAlignment="1" pivotButton="0" quotePrefix="0" xfId="0">
      <alignment horizontal="left"/>
    </xf>
    <xf numFmtId="0" fontId="2" fillId="0" borderId="64" applyAlignment="1" pivotButton="0" quotePrefix="0" xfId="6">
      <alignment horizontal="center" vertical="center"/>
    </xf>
    <xf numFmtId="0" fontId="2" fillId="0" borderId="64" applyAlignment="1" pivotButton="0" quotePrefix="0" xfId="6">
      <alignment horizontal="center"/>
    </xf>
    <xf numFmtId="0" fontId="2" fillId="0" borderId="36" applyAlignment="1" pivotButton="0" quotePrefix="0" xfId="6">
      <alignment horizontal="center"/>
    </xf>
    <xf numFmtId="172" fontId="2" fillId="0" borderId="36" applyAlignment="1" pivotButton="0" quotePrefix="0" xfId="4">
      <alignment horizontal="center"/>
    </xf>
    <xf numFmtId="9" fontId="2" fillId="0" borderId="70" applyAlignment="1" pivotButton="0" quotePrefix="0" xfId="6">
      <alignment horizontal="center"/>
    </xf>
    <xf numFmtId="175" fontId="2" fillId="0" borderId="70" applyAlignment="1" pivotButton="0" quotePrefix="0" xfId="6">
      <alignment horizontal="center"/>
    </xf>
    <xf numFmtId="175" fontId="2" fillId="0" borderId="70" pivotButton="0" quotePrefix="0" xfId="6"/>
    <xf numFmtId="174" fontId="2" fillId="0" borderId="70" pivotButton="0" quotePrefix="0" xfId="6"/>
    <xf numFmtId="0" fontId="56" fillId="0" borderId="39" applyAlignment="1" pivotButton="0" quotePrefix="0" xfId="0">
      <alignment horizontal="left"/>
    </xf>
    <xf numFmtId="0" fontId="2" fillId="0" borderId="39" applyAlignment="1" pivotButton="0" quotePrefix="0" xfId="6">
      <alignment horizontal="center"/>
    </xf>
    <xf numFmtId="172" fontId="2" fillId="0" borderId="39" applyAlignment="1" pivotButton="0" quotePrefix="0" xfId="4">
      <alignment horizontal="center"/>
    </xf>
    <xf numFmtId="9" fontId="2" fillId="0" borderId="101" applyAlignment="1" pivotButton="0" quotePrefix="0" xfId="6">
      <alignment horizontal="center"/>
    </xf>
    <xf numFmtId="175" fontId="2" fillId="0" borderId="101" applyAlignment="1" pivotButton="0" quotePrefix="0" xfId="6">
      <alignment horizontal="center"/>
    </xf>
    <xf numFmtId="175" fontId="2" fillId="0" borderId="101" pivotButton="0" quotePrefix="0" xfId="6"/>
    <xf numFmtId="174" fontId="2" fillId="0" borderId="101" pivotButton="0" quotePrefix="0" xfId="6"/>
    <xf numFmtId="0" fontId="0" fillId="0" borderId="4" applyAlignment="1" pivotButton="0" quotePrefix="0" xfId="0">
      <alignment horizontal="center"/>
    </xf>
    <xf numFmtId="176" fontId="2" fillId="0" borderId="62" pivotButton="0" quotePrefix="0" xfId="6"/>
    <xf numFmtId="1" fontId="0" fillId="0" borderId="62" applyAlignment="1" pivotButton="0" quotePrefix="0" xfId="0">
      <alignment horizontal="left"/>
    </xf>
    <xf numFmtId="0" fontId="0" fillId="0" borderId="62" applyAlignment="1" pivotButton="0" quotePrefix="0" xfId="0">
      <alignment horizontal="center" vertical="center"/>
    </xf>
    <xf numFmtId="175" fontId="2" fillId="0" borderId="62" applyAlignment="1" pivotButton="0" quotePrefix="0" xfId="5">
      <alignment horizontal="center"/>
    </xf>
    <xf numFmtId="175" fontId="2" fillId="0" borderId="62" pivotButton="0" quotePrefix="0" xfId="5"/>
    <xf numFmtId="0" fontId="57" fillId="0" borderId="62" pivotButton="0" quotePrefix="0" xfId="6"/>
    <xf numFmtId="0" fontId="2" fillId="0" borderId="0" applyAlignment="1" pivotButton="0" quotePrefix="0" xfId="6">
      <alignment vertical="top" wrapText="1"/>
    </xf>
    <xf numFmtId="0" fontId="57" fillId="0" borderId="62" applyAlignment="1" pivotButton="0" quotePrefix="0" xfId="6">
      <alignment vertical="top" wrapText="1"/>
    </xf>
    <xf numFmtId="0" fontId="51" fillId="37" borderId="62" applyAlignment="1" pivotButton="0" quotePrefix="0" xfId="6">
      <alignment horizontal="center" vertical="center"/>
    </xf>
    <xf numFmtId="0" fontId="60" fillId="35" borderId="62" pivotButton="0" quotePrefix="0" xfId="0"/>
    <xf numFmtId="0" fontId="59" fillId="0" borderId="62" applyAlignment="1" pivotButton="0" quotePrefix="0" xfId="6">
      <alignment vertical="top" wrapText="1"/>
    </xf>
    <xf numFmtId="0" fontId="59" fillId="0" borderId="62" pivotButton="0" quotePrefix="0" xfId="6"/>
    <xf numFmtId="172" fontId="0" fillId="0" borderId="4" applyAlignment="1" pivotButton="0" quotePrefix="0" xfId="4">
      <alignment horizontal="center"/>
    </xf>
    <xf numFmtId="0" fontId="2" fillId="35" borderId="62" applyAlignment="1" pivotButton="0" quotePrefix="0" xfId="6">
      <alignment vertical="top" wrapText="1"/>
    </xf>
    <xf numFmtId="0" fontId="2" fillId="35" borderId="62" pivotButton="0" quotePrefix="0" xfId="0"/>
    <xf numFmtId="0" fontId="56" fillId="27" borderId="4" applyAlignment="1" pivotButton="0" quotePrefix="0" xfId="0">
      <alignment horizontal="left"/>
    </xf>
    <xf numFmtId="0" fontId="2" fillId="27" borderId="4" applyAlignment="1" pivotButton="0" quotePrefix="0" xfId="6">
      <alignment horizontal="center"/>
    </xf>
    <xf numFmtId="172" fontId="2" fillId="27" borderId="4" applyAlignment="1" pivotButton="0" quotePrefix="0" xfId="4">
      <alignment horizontal="center"/>
    </xf>
    <xf numFmtId="0" fontId="59" fillId="35" borderId="62" applyAlignment="1" pivotButton="0" quotePrefix="0" xfId="6">
      <alignment vertical="top" wrapText="1"/>
    </xf>
    <xf numFmtId="0" fontId="60" fillId="0" borderId="4" applyAlignment="1" pivotButton="0" quotePrefix="0" xfId="0">
      <alignment horizontal="left"/>
    </xf>
    <xf numFmtId="0" fontId="59" fillId="0" borderId="4" applyAlignment="1" pivotButton="0" quotePrefix="0" xfId="6">
      <alignment horizontal="center"/>
    </xf>
    <xf numFmtId="172" fontId="59" fillId="0" borderId="4" applyAlignment="1" pivotButton="0" quotePrefix="0" xfId="4">
      <alignment horizontal="center"/>
    </xf>
    <xf numFmtId="9" fontId="59" fillId="0" borderId="62" applyAlignment="1" pivotButton="0" quotePrefix="0" xfId="6">
      <alignment horizontal="center"/>
    </xf>
    <xf numFmtId="175" fontId="59" fillId="0" borderId="62" applyAlignment="1" pivotButton="0" quotePrefix="0" xfId="6">
      <alignment horizontal="center"/>
    </xf>
    <xf numFmtId="175" fontId="59" fillId="0" borderId="62" pivotButton="0" quotePrefix="0" xfId="6"/>
    <xf numFmtId="174" fontId="59" fillId="0" borderId="62" pivotButton="0" quotePrefix="0" xfId="6"/>
    <xf numFmtId="0" fontId="51" fillId="0" borderId="62" pivotButton="0" quotePrefix="0" xfId="6"/>
    <xf numFmtId="172" fontId="2" fillId="0" borderId="0" applyAlignment="1" pivotButton="0" quotePrefix="0" xfId="4">
      <alignment horizontal="center"/>
    </xf>
    <xf numFmtId="0" fontId="0" fillId="35" borderId="0" pivotButton="0" quotePrefix="0" xfId="0"/>
    <xf numFmtId="0" fontId="56" fillId="0" borderId="0" applyAlignment="1" pivotButton="0" quotePrefix="0" xfId="0">
      <alignment horizontal="left"/>
    </xf>
    <xf numFmtId="0" fontId="2" fillId="0" borderId="0" applyAlignment="1" pivotButton="0" quotePrefix="0" xfId="6">
      <alignment horizontal="left"/>
    </xf>
    <xf numFmtId="0" fontId="2" fillId="35" borderId="0" pivotButton="0" quotePrefix="0" xfId="6"/>
    <xf numFmtId="172" fontId="2" fillId="27" borderId="0" pivotButton="0" quotePrefix="0" xfId="6"/>
    <xf numFmtId="0" fontId="2" fillId="27" borderId="0" pivotButton="0" quotePrefix="0" xfId="6"/>
    <xf numFmtId="0" fontId="2" fillId="36" borderId="0" applyAlignment="1" pivotButton="0" quotePrefix="0" xfId="6">
      <alignment horizontal="center"/>
    </xf>
    <xf numFmtId="172" fontId="2" fillId="0" borderId="0" applyAlignment="1" pivotButton="0" quotePrefix="0" xfId="6">
      <alignment horizontal="center"/>
    </xf>
    <xf numFmtId="9" fontId="2" fillId="0" borderId="0" pivotButton="0" quotePrefix="0" xfId="5"/>
    <xf numFmtId="0" fontId="64" fillId="38" borderId="102" applyAlignment="1" pivotButton="0" quotePrefix="0" xfId="0">
      <alignment horizontal="left" vertical="center"/>
    </xf>
    <xf numFmtId="0" fontId="64" fillId="38" borderId="102" pivotButton="0" quotePrefix="0" xfId="0"/>
    <xf numFmtId="0" fontId="65" fillId="0" borderId="102" applyAlignment="1" pivotButton="0" quotePrefix="0" xfId="0">
      <alignment horizontal="left" vertical="center"/>
    </xf>
    <xf numFmtId="164" fontId="65" fillId="0" borderId="102" applyAlignment="1" pivotButton="0" quotePrefix="0" xfId="0">
      <alignment horizontal="right" vertical="center"/>
    </xf>
    <xf numFmtId="0" fontId="63" fillId="39" borderId="102" applyAlignment="1" pivotButton="0" quotePrefix="0" xfId="0">
      <alignment horizontal="left" vertical="center"/>
    </xf>
    <xf numFmtId="164" fontId="63" fillId="39" borderId="102" applyAlignment="1" pivotButton="0" quotePrefix="0" xfId="0">
      <alignment horizontal="right" vertical="center"/>
    </xf>
    <xf numFmtId="164" fontId="64" fillId="38" borderId="102" applyAlignment="1" pivotButton="0" quotePrefix="0" xfId="0">
      <alignment horizontal="center" vertical="center"/>
    </xf>
    <xf numFmtId="0" fontId="65" fillId="0" borderId="102" pivotButton="0" quotePrefix="0" xfId="0"/>
    <xf numFmtId="164" fontId="66" fillId="32" borderId="62" pivotButton="0" quotePrefix="0" xfId="0"/>
    <xf numFmtId="164" fontId="65" fillId="0" borderId="2" pivotButton="0" quotePrefix="0" xfId="0"/>
    <xf numFmtId="0" fontId="67" fillId="0" borderId="0" pivotButton="0" quotePrefix="0" xfId="0"/>
    <xf numFmtId="0" fontId="64" fillId="38" borderId="102" applyAlignment="1" pivotButton="0" quotePrefix="0" xfId="0">
      <alignment horizontal="center" vertical="center"/>
    </xf>
    <xf numFmtId="0" fontId="65" fillId="0" borderId="102" applyAlignment="1" pivotButton="0" quotePrefix="0" xfId="0">
      <alignment horizontal="center" vertical="center"/>
    </xf>
    <xf numFmtId="0" fontId="65" fillId="32" borderId="102" applyAlignment="1" pivotButton="0" quotePrefix="0" xfId="0">
      <alignment horizontal="left" vertical="center"/>
    </xf>
    <xf numFmtId="0" fontId="65" fillId="32" borderId="102" applyAlignment="1" pivotButton="0" quotePrefix="0" xfId="0">
      <alignment horizontal="center" vertical="center"/>
    </xf>
    <xf numFmtId="177" fontId="65" fillId="0" borderId="102" applyAlignment="1" pivotButton="0" quotePrefix="0" xfId="0">
      <alignment horizontal="right" vertical="center"/>
    </xf>
    <xf numFmtId="0" fontId="64" fillId="40" borderId="102" applyAlignment="1" pivotButton="0" quotePrefix="0" xfId="0">
      <alignment horizontal="left" vertical="center"/>
    </xf>
    <xf numFmtId="0" fontId="64" fillId="40" borderId="102" pivotButton="0" quotePrefix="0" xfId="0"/>
    <xf numFmtId="164" fontId="63" fillId="0" borderId="102" applyAlignment="1" pivotButton="0" quotePrefix="0" xfId="0">
      <alignment horizontal="right" vertical="center"/>
    </xf>
    <xf numFmtId="0" fontId="65" fillId="0" borderId="0" pivotButton="0" quotePrefix="0" xfId="0"/>
    <xf numFmtId="0" fontId="63" fillId="39" borderId="102" applyAlignment="1" pivotButton="0" quotePrefix="0" xfId="0">
      <alignment horizontal="center" vertical="center"/>
    </xf>
    <xf numFmtId="0" fontId="63" fillId="0" borderId="102" applyAlignment="1" pivotButton="0" quotePrefix="0" xfId="0">
      <alignment horizontal="left" vertical="center"/>
    </xf>
    <xf numFmtId="9" fontId="63" fillId="39" borderId="102" applyAlignment="1" pivotButton="0" quotePrefix="0" xfId="0">
      <alignment horizontal="center" vertical="center"/>
    </xf>
    <xf numFmtId="9" fontId="65" fillId="0" borderId="102" applyAlignment="1" pivotButton="0" quotePrefix="0" xfId="0">
      <alignment horizontal="center" vertical="center"/>
    </xf>
    <xf numFmtId="0" fontId="63" fillId="39" borderId="102" pivotButton="0" quotePrefix="0" xfId="0"/>
    <xf numFmtId="0" fontId="64" fillId="40" borderId="102" applyAlignment="1" pivotButton="0" quotePrefix="0" xfId="0">
      <alignment horizontal="center" vertical="center"/>
    </xf>
    <xf numFmtId="9" fontId="64" fillId="40" borderId="102" applyAlignment="1" pivotButton="0" quotePrefix="0" xfId="0">
      <alignment horizontal="center" vertical="center"/>
    </xf>
    <xf numFmtId="164" fontId="64" fillId="40" borderId="102" applyAlignment="1" pivotButton="0" quotePrefix="0" xfId="0">
      <alignment horizontal="right" vertical="center"/>
    </xf>
    <xf numFmtId="0" fontId="68" fillId="33" borderId="102" applyAlignment="1" pivotButton="0" quotePrefix="0" xfId="0">
      <alignment horizontal="left" vertical="center"/>
    </xf>
    <xf numFmtId="0" fontId="65" fillId="33" borderId="102" applyAlignment="1" pivotButton="0" quotePrefix="0" xfId="0">
      <alignment horizontal="left" vertical="center"/>
    </xf>
    <xf numFmtId="0" fontId="65" fillId="33" borderId="102" applyAlignment="1" pivotButton="0" quotePrefix="0" xfId="0">
      <alignment horizontal="center" vertical="center"/>
    </xf>
    <xf numFmtId="0" fontId="63" fillId="0" borderId="102" applyAlignment="1" pivotButton="0" quotePrefix="0" xfId="0">
      <alignment horizontal="center" vertical="center"/>
    </xf>
    <xf numFmtId="0" fontId="63" fillId="0" borderId="102" applyAlignment="1" pivotButton="0" quotePrefix="0" xfId="0">
      <alignment horizontal="right" vertical="center"/>
    </xf>
    <xf numFmtId="9" fontId="63" fillId="0" borderId="102" applyAlignment="1" pivotButton="0" quotePrefix="0" xfId="0">
      <alignment horizontal="right" vertical="center"/>
    </xf>
    <xf numFmtId="0" fontId="66" fillId="32" borderId="102" applyAlignment="1" pivotButton="0" quotePrefix="0" xfId="0">
      <alignment horizontal="center" vertical="center"/>
    </xf>
    <xf numFmtId="0" fontId="58" fillId="0" borderId="62" pivotButton="0" quotePrefix="0" xfId="0"/>
    <xf numFmtId="0" fontId="70" fillId="0" borderId="0" pivotButton="0" quotePrefix="0" xfId="0"/>
    <xf numFmtId="0" fontId="63" fillId="41" borderId="102" applyAlignment="1" pivotButton="0" quotePrefix="0" xfId="0">
      <alignment horizontal="left" vertical="center"/>
    </xf>
    <xf numFmtId="0" fontId="63" fillId="41" borderId="102" pivotButton="0" quotePrefix="0" xfId="0"/>
    <xf numFmtId="178" fontId="63" fillId="0" borderId="102" applyAlignment="1" pivotButton="0" quotePrefix="0" xfId="0">
      <alignment horizontal="right" vertical="center"/>
    </xf>
    <xf numFmtId="164" fontId="0" fillId="0" borderId="0" pivotButton="0" quotePrefix="0" xfId="0"/>
    <xf numFmtId="0" fontId="71" fillId="0" borderId="0" pivotButton="0" quotePrefix="0" xfId="0"/>
    <xf numFmtId="0" fontId="64" fillId="2" borderId="2" applyAlignment="1" pivotButton="0" quotePrefix="0" xfId="0">
      <alignment horizontal="left" vertical="center"/>
    </xf>
    <xf numFmtId="0" fontId="65" fillId="0" borderId="2" pivotButton="0" quotePrefix="0" xfId="0"/>
    <xf numFmtId="178" fontId="65" fillId="0" borderId="2" pivotButton="0" quotePrefix="0" xfId="0"/>
    <xf numFmtId="9" fontId="63" fillId="32" borderId="102" applyAlignment="1" pivotButton="0" quotePrefix="0" xfId="0">
      <alignment horizontal="center" vertical="center"/>
    </xf>
    <xf numFmtId="0" fontId="65" fillId="4" borderId="2" pivotButton="0" quotePrefix="0" xfId="0"/>
    <xf numFmtId="178" fontId="65" fillId="4" borderId="2" pivotButton="0" quotePrefix="0" xfId="0"/>
    <xf numFmtId="164" fontId="65" fillId="4" borderId="2" pivotButton="0" quotePrefix="0" xfId="0"/>
    <xf numFmtId="0" fontId="72" fillId="4" borderId="2" pivotButton="0" quotePrefix="0" xfId="0"/>
    <xf numFmtId="178" fontId="72" fillId="4" borderId="2" pivotButton="0" quotePrefix="0" xfId="0"/>
    <xf numFmtId="164" fontId="72" fillId="4" borderId="2" pivotButton="0" quotePrefix="0" xfId="0"/>
    <xf numFmtId="0" fontId="65" fillId="4" borderId="3" pivotButton="0" quotePrefix="0" xfId="0"/>
    <xf numFmtId="0" fontId="6" fillId="3" borderId="2" applyAlignment="1" pivotButton="0" quotePrefix="0" xfId="0">
      <alignment horizontal="center" vertical="center"/>
    </xf>
    <xf numFmtId="164" fontId="50" fillId="0" borderId="0" pivotButton="0" quotePrefix="0" xfId="1"/>
    <xf numFmtId="9" fontId="32" fillId="0" borderId="2" pivotButton="0" quotePrefix="0" xfId="0"/>
    <xf numFmtId="0" fontId="6" fillId="3" borderId="3" applyAlignment="1" pivotButton="0" quotePrefix="0" xfId="0">
      <alignment horizontal="center" vertical="center"/>
    </xf>
    <xf numFmtId="164" fontId="32" fillId="9" borderId="2" pivotButton="0" quotePrefix="0" xfId="0"/>
    <xf numFmtId="0" fontId="6" fillId="3" borderId="62" applyAlignment="1" pivotButton="0" quotePrefix="0" xfId="0">
      <alignment horizontal="center" vertical="center"/>
    </xf>
    <xf numFmtId="0" fontId="65" fillId="0" borderId="62" pivotButton="0" quotePrefix="0" xfId="0"/>
    <xf numFmtId="164" fontId="0" fillId="0" borderId="62" pivotButton="0" quotePrefix="0" xfId="0"/>
    <xf numFmtId="0" fontId="6" fillId="3" borderId="65" applyAlignment="1" pivotButton="0" quotePrefix="0" xfId="0">
      <alignment horizontal="center" vertical="center"/>
    </xf>
    <xf numFmtId="164" fontId="6" fillId="3" borderId="62" applyAlignment="1" pivotButton="0" quotePrefix="0" xfId="0">
      <alignment horizontal="center" vertical="center"/>
    </xf>
    <xf numFmtId="164" fontId="48" fillId="9" borderId="2" pivotButton="0" quotePrefix="0" xfId="0"/>
    <xf numFmtId="164" fontId="69" fillId="0" borderId="62" pivotButton="0" quotePrefix="0" xfId="0"/>
    <xf numFmtId="0" fontId="65" fillId="41" borderId="102" applyAlignment="1" pivotButton="0" quotePrefix="0" xfId="0">
      <alignment horizontal="left" vertical="center"/>
    </xf>
    <xf numFmtId="164" fontId="65" fillId="41" borderId="102" applyAlignment="1" pivotButton="0" quotePrefix="0" xfId="0">
      <alignment horizontal="right" vertical="center"/>
    </xf>
    <xf numFmtId="9" fontId="41" fillId="0" borderId="2" pivotButton="0" quotePrefix="0" xfId="0"/>
    <xf numFmtId="177" fontId="63" fillId="39" borderId="102" applyAlignment="1" pivotButton="0" quotePrefix="0" xfId="0">
      <alignment horizontal="right" vertical="center"/>
    </xf>
    <xf numFmtId="0" fontId="63" fillId="41" borderId="102" applyAlignment="1" pivotButton="0" quotePrefix="0" xfId="0">
      <alignment horizontal="right" vertical="center"/>
    </xf>
    <xf numFmtId="164" fontId="63" fillId="41" borderId="102" applyAlignment="1" pivotButton="0" quotePrefix="0" xfId="0">
      <alignment horizontal="right" vertical="center"/>
    </xf>
    <xf numFmtId="0" fontId="63" fillId="41" borderId="102" applyAlignment="1" pivotButton="0" quotePrefix="0" xfId="0">
      <alignment horizontal="center" vertical="center"/>
    </xf>
    <xf numFmtId="164" fontId="63" fillId="39" borderId="102" applyAlignment="1" pivotButton="0" quotePrefix="0" xfId="0">
      <alignment horizontal="center" vertical="center"/>
    </xf>
    <xf numFmtId="9" fontId="63" fillId="41" borderId="102" applyAlignment="1" pivotButton="0" quotePrefix="0" xfId="0">
      <alignment horizontal="center" vertical="center"/>
    </xf>
    <xf numFmtId="0" fontId="63" fillId="0" borderId="102" pivotButton="0" quotePrefix="0" xfId="0"/>
    <xf numFmtId="178" fontId="65" fillId="0" borderId="102" applyAlignment="1" pivotButton="0" quotePrefix="0" xfId="0">
      <alignment horizontal="center" vertical="center"/>
    </xf>
    <xf numFmtId="178" fontId="63" fillId="39" borderId="102" applyAlignment="1" pivotButton="0" quotePrefix="0" xfId="0">
      <alignment horizontal="center" vertical="center"/>
    </xf>
    <xf numFmtId="0" fontId="63" fillId="32" borderId="102" applyAlignment="1" pivotButton="0" quotePrefix="0" xfId="0">
      <alignment horizontal="center" vertical="center"/>
    </xf>
    <xf numFmtId="0" fontId="32" fillId="22" borderId="64" applyAlignment="1" pivotButton="0" quotePrefix="0" xfId="0">
      <alignment horizontal="left"/>
    </xf>
    <xf numFmtId="0" fontId="0" fillId="0" borderId="0" pivotButton="0" quotePrefix="0" xfId="0"/>
    <xf numFmtId="0" fontId="0" fillId="0" borderId="100" pivotButton="0" quotePrefix="0" xfId="0"/>
    <xf numFmtId="0" fontId="6" fillId="2" borderId="2" applyAlignment="1" pivotButton="0" quotePrefix="0" xfId="0">
      <alignment horizontal="left" vertical="center"/>
    </xf>
    <xf numFmtId="0" fontId="0" fillId="0" borderId="68" pivotButton="0" quotePrefix="0" xfId="0"/>
    <xf numFmtId="0" fontId="0" fillId="0" borderId="69" pivotButton="0" quotePrefix="0" xfId="0"/>
    <xf numFmtId="0" fontId="6" fillId="15" borderId="62" applyAlignment="1" pivotButton="0" quotePrefix="0" xfId="0">
      <alignment horizontal="left" vertical="center"/>
    </xf>
    <xf numFmtId="0" fontId="0" fillId="0" borderId="97" pivotButton="0" quotePrefix="0" xfId="0"/>
    <xf numFmtId="0" fontId="0" fillId="0" borderId="98" pivotButton="0" quotePrefix="0" xfId="0"/>
    <xf numFmtId="0" fontId="6" fillId="15" borderId="62" applyAlignment="1" pivotButton="0" quotePrefix="0" xfId="0">
      <alignment horizontal="left" vertical="top"/>
    </xf>
    <xf numFmtId="0" fontId="5" fillId="2" borderId="1" applyAlignment="1" pivotButton="0" quotePrefix="0" xfId="0">
      <alignment horizontal="center" vertical="center"/>
    </xf>
    <xf numFmtId="0" fontId="18" fillId="16" borderId="9" applyAlignment="1" pivotButton="0" quotePrefix="0" xfId="1">
      <alignment horizontal="center" vertical="center" wrapText="1" readingOrder="1"/>
    </xf>
    <xf numFmtId="0" fontId="0" fillId="0" borderId="81" pivotButton="0" quotePrefix="0" xfId="0"/>
    <xf numFmtId="0" fontId="0" fillId="0" borderId="82" pivotButton="0" quotePrefix="0" xfId="0"/>
    <xf numFmtId="0" fontId="19" fillId="7" borderId="9" applyAlignment="1" pivotButton="0" quotePrefix="0" xfId="1">
      <alignment horizontal="center" vertical="center" wrapText="1" readingOrder="1"/>
    </xf>
    <xf numFmtId="0" fontId="17" fillId="15" borderId="9" applyAlignment="1" pivotButton="0" quotePrefix="0" xfId="1">
      <alignment horizontal="left" vertical="center" wrapText="1" readingOrder="1"/>
    </xf>
    <xf numFmtId="0" fontId="0" fillId="0" borderId="80" pivotButton="0" quotePrefix="0" xfId="0"/>
    <xf numFmtId="0" fontId="18" fillId="8" borderId="7" applyAlignment="1" pivotButton="0" quotePrefix="0" xfId="1">
      <alignment horizontal="center" vertical="center" wrapText="1" readingOrder="1"/>
    </xf>
    <xf numFmtId="0" fontId="16" fillId="6" borderId="4" applyAlignment="1" pivotButton="0" quotePrefix="0" xfId="1">
      <alignment horizontal="left" vertical="center" wrapText="1" indent="1" readingOrder="1"/>
    </xf>
    <xf numFmtId="0" fontId="0" fillId="0" borderId="39" pivotButton="0" quotePrefix="0" xfId="0"/>
    <xf numFmtId="0" fontId="17" fillId="7" borderId="6" applyAlignment="1" pivotButton="0" quotePrefix="0" xfId="1">
      <alignment horizontal="center" vertical="center" wrapText="1" readingOrder="1"/>
    </xf>
    <xf numFmtId="0" fontId="0" fillId="0" borderId="83" pivotButton="0" quotePrefix="0" xfId="0"/>
    <xf numFmtId="0" fontId="18" fillId="8" borderId="6" applyAlignment="1" pivotButton="0" quotePrefix="0" xfId="1">
      <alignment horizontal="center" vertical="center" wrapText="1" readingOrder="1"/>
    </xf>
    <xf numFmtId="0" fontId="18" fillId="8" borderId="8" applyAlignment="1" pivotButton="0" quotePrefix="0" xfId="1">
      <alignment horizontal="center" vertical="center" wrapText="1" readingOrder="1"/>
    </xf>
    <xf numFmtId="0" fontId="17" fillId="7" borderId="9" applyAlignment="1" pivotButton="0" quotePrefix="0" xfId="1">
      <alignment horizontal="center" vertical="center" wrapText="1" readingOrder="1"/>
    </xf>
    <xf numFmtId="0" fontId="17" fillId="7" borderId="5" applyAlignment="1" pivotButton="0" quotePrefix="0" xfId="1">
      <alignment horizontal="center" vertical="center" wrapText="1" readingOrder="1"/>
    </xf>
    <xf numFmtId="0" fontId="12" fillId="15" borderId="57" applyAlignment="1" pivotButton="0" quotePrefix="0" xfId="0">
      <alignment horizontal="center" vertical="center" wrapText="1" readingOrder="1"/>
    </xf>
    <xf numFmtId="0" fontId="0" fillId="0" borderId="60" pivotButton="0" quotePrefix="0" xfId="0"/>
    <xf numFmtId="0" fontId="34" fillId="17" borderId="41" applyAlignment="1" pivotButton="0" quotePrefix="0" xfId="0">
      <alignment horizontal="center" vertical="center" wrapText="1" readingOrder="1"/>
    </xf>
    <xf numFmtId="0" fontId="0" fillId="0" borderId="17" pivotButton="0" quotePrefix="0" xfId="0"/>
    <xf numFmtId="0" fontId="33" fillId="15" borderId="41" applyAlignment="1" pivotButton="0" quotePrefix="0" xfId="0">
      <alignment horizontal="center" vertical="center" wrapText="1" readingOrder="1"/>
    </xf>
    <xf numFmtId="0" fontId="37" fillId="17" borderId="44" applyAlignment="1" pivotButton="0" quotePrefix="0" xfId="0">
      <alignment horizontal="center" vertical="center" wrapText="1" readingOrder="1"/>
    </xf>
    <xf numFmtId="0" fontId="0" fillId="0" borderId="45" pivotButton="0" quotePrefix="0" xfId="0"/>
    <xf numFmtId="0" fontId="0" fillId="0" borderId="96" pivotButton="0" quotePrefix="0" xfId="0"/>
    <xf numFmtId="0" fontId="0" fillId="0" borderId="92" pivotButton="0" quotePrefix="0" xfId="0"/>
    <xf numFmtId="0" fontId="37" fillId="17" borderId="57" applyAlignment="1" pivotButton="0" quotePrefix="0" xfId="0">
      <alignment horizontal="center" vertical="center" wrapText="1" readingOrder="1"/>
    </xf>
    <xf numFmtId="0" fontId="0" fillId="0" borderId="85" pivotButton="0" quotePrefix="0" xfId="0"/>
    <xf numFmtId="0" fontId="0" fillId="0" borderId="95" pivotButton="0" quotePrefix="0" xfId="0"/>
    <xf numFmtId="0" fontId="12" fillId="19" borderId="56" applyAlignment="1" pivotButton="0" quotePrefix="0" xfId="0">
      <alignment horizontal="left" vertical="center" wrapText="1" readingOrder="1"/>
    </xf>
    <xf numFmtId="0" fontId="0" fillId="0" borderId="86" pivotButton="0" quotePrefix="0" xfId="0"/>
    <xf numFmtId="0" fontId="38" fillId="21" borderId="44" applyAlignment="1" pivotButton="0" quotePrefix="0" xfId="0">
      <alignment horizontal="left" vertical="center" wrapText="1" readingOrder="1"/>
    </xf>
    <xf numFmtId="0" fontId="0" fillId="0" borderId="84" pivotButton="0" quotePrefix="0" xfId="0"/>
    <xf numFmtId="0" fontId="0" fillId="0" borderId="88" pivotButton="0" quotePrefix="0" xfId="0"/>
    <xf numFmtId="0" fontId="0" fillId="0" borderId="90" pivotButton="0" quotePrefix="0" xfId="0"/>
    <xf numFmtId="0" fontId="0" fillId="0" borderId="94" pivotButton="0" quotePrefix="0" xfId="0"/>
    <xf numFmtId="0" fontId="0" fillId="0" borderId="91" pivotButton="0" quotePrefix="0" xfId="0"/>
    <xf numFmtId="0" fontId="38" fillId="21" borderId="52" applyAlignment="1" pivotButton="0" quotePrefix="0" xfId="0">
      <alignment horizontal="left" vertical="center" wrapText="1" readingOrder="1"/>
    </xf>
    <xf numFmtId="0" fontId="0" fillId="0" borderId="93" pivotButton="0" quotePrefix="0" xfId="0"/>
    <xf numFmtId="0" fontId="37" fillId="17" borderId="41" applyAlignment="1" pivotButton="0" quotePrefix="0" xfId="0">
      <alignment horizontal="center" vertical="center" wrapText="1" readingOrder="1"/>
    </xf>
    <xf numFmtId="0" fontId="34" fillId="17" borderId="44" applyAlignment="1" pivotButton="0" quotePrefix="0" xfId="0">
      <alignment horizontal="center" vertical="center" wrapText="1" readingOrder="1"/>
    </xf>
    <xf numFmtId="0" fontId="24" fillId="21" borderId="57" applyAlignment="1" pivotButton="0" quotePrefix="0" xfId="0">
      <alignment horizontal="center" vertical="center" wrapText="1"/>
    </xf>
    <xf numFmtId="0" fontId="0" fillId="0" borderId="87" pivotButton="0" quotePrefix="0" xfId="0"/>
    <xf numFmtId="0" fontId="0" fillId="0" borderId="89" pivotButton="0" quotePrefix="0" xfId="0"/>
    <xf numFmtId="0" fontId="6" fillId="15" borderId="2" applyAlignment="1" pivotButton="0" quotePrefix="0" xfId="0">
      <alignment horizontal="left" vertical="center"/>
    </xf>
    <xf numFmtId="0" fontId="32" fillId="22" borderId="62" applyAlignment="1" pivotButton="0" quotePrefix="0" xfId="0">
      <alignment horizontal="center"/>
    </xf>
    <xf numFmtId="0" fontId="32" fillId="22" borderId="64" applyAlignment="1" pivotButton="0" quotePrefix="0" xfId="0">
      <alignment horizontal="center"/>
    </xf>
    <xf numFmtId="0" fontId="6" fillId="15" borderId="63" applyAlignment="1" pivotButton="0" quotePrefix="0" xfId="0">
      <alignment horizontal="left" vertical="center"/>
    </xf>
    <xf numFmtId="0" fontId="0" fillId="0" borderId="99" pivotButton="0" quotePrefix="0" xfId="0"/>
    <xf numFmtId="0" fontId="6" fillId="15" borderId="1" applyAlignment="1" pivotButton="0" quotePrefix="0" xfId="0">
      <alignment horizontal="left" vertical="center"/>
    </xf>
    <xf numFmtId="0" fontId="46" fillId="22" borderId="64" applyAlignment="1" pivotButton="0" quotePrefix="0" xfId="0">
      <alignment horizontal="left"/>
    </xf>
    <xf numFmtId="0" fontId="65" fillId="22" borderId="64" applyAlignment="1" pivotButton="0" quotePrefix="0" xfId="0">
      <alignment horizontal="left"/>
    </xf>
    <xf numFmtId="0" fontId="6" fillId="15" borderId="2" applyAlignment="1" pivotButton="0" quotePrefix="0" xfId="0">
      <alignment horizontal="center" vertical="center"/>
    </xf>
    <xf numFmtId="0" fontId="32" fillId="22" borderId="62" applyAlignment="1" pivotButton="0" quotePrefix="0" xfId="0">
      <alignment horizontal="left"/>
    </xf>
    <xf numFmtId="0" fontId="65" fillId="22" borderId="64" applyAlignment="1" pivotButton="0" quotePrefix="0" xfId="0">
      <alignment horizontal="center" wrapText="1"/>
    </xf>
    <xf numFmtId="0" fontId="74" fillId="0" borderId="0" pivotButton="0" quotePrefix="0" xfId="0"/>
    <xf numFmtId="0" fontId="60" fillId="0" borderId="0" pivotButton="0" quotePrefix="0" xfId="0"/>
    <xf numFmtId="0" fontId="49" fillId="40" borderId="102" pivotButton="0" quotePrefix="0" xfId="0"/>
    <xf numFmtId="0" fontId="49" fillId="38" borderId="102" applyAlignment="1" pivotButton="0" quotePrefix="0" xfId="0">
      <alignment horizontal="center" vertical="center"/>
    </xf>
    <xf numFmtId="0" fontId="75" fillId="0" borderId="102" applyAlignment="1" pivotButton="0" quotePrefix="0" xfId="0">
      <alignment horizontal="center" vertical="center"/>
    </xf>
    <xf numFmtId="0" fontId="49" fillId="33" borderId="102" applyAlignment="1" pivotButton="0" quotePrefix="0" xfId="0">
      <alignment horizontal="center" vertical="center"/>
    </xf>
    <xf numFmtId="0" fontId="49" fillId="0" borderId="102" applyAlignment="1" pivotButton="0" quotePrefix="0" xfId="0">
      <alignment horizontal="center" vertical="center"/>
    </xf>
    <xf numFmtId="0" fontId="49" fillId="41" borderId="102" applyAlignment="1" pivotButton="0" quotePrefix="0" xfId="0">
      <alignment horizontal="center" vertical="center"/>
    </xf>
    <xf numFmtId="0" fontId="76" fillId="38" borderId="102" applyAlignment="1" pivotButton="0" quotePrefix="0" xfId="0">
      <alignment horizontal="center" vertical="center"/>
    </xf>
    <xf numFmtId="0" fontId="75" fillId="41" borderId="102" applyAlignment="1" pivotButton="0" quotePrefix="0" xfId="0">
      <alignment horizontal="left" vertical="center"/>
    </xf>
    <xf numFmtId="0" fontId="75" fillId="0" borderId="0" applyAlignment="1" pivotButton="0" quotePrefix="0" xfId="0">
      <alignment horizontal="left" vertical="center"/>
    </xf>
    <xf numFmtId="0" fontId="73" fillId="42" borderId="102" applyAlignment="1" pivotButton="0" quotePrefix="0" xfId="0">
      <alignment horizontal="right" vertical="center"/>
    </xf>
    <xf numFmtId="0" fontId="73" fillId="42" borderId="102" applyAlignment="1" pivotButton="0" quotePrefix="0" xfId="0">
      <alignment horizontal="left" vertical="center"/>
    </xf>
    <xf numFmtId="0" fontId="1" fillId="27" borderId="62" applyAlignment="1" pivotButton="0" quotePrefix="0" xfId="0">
      <alignment horizontal="left" vertical="top" wrapText="1"/>
    </xf>
    <xf numFmtId="0" fontId="52" fillId="26" borderId="62" applyAlignment="1" pivotButton="0" quotePrefix="0" xfId="7">
      <alignment horizontal="left" vertical="top" wrapText="1"/>
    </xf>
    <xf numFmtId="0" fontId="52" fillId="28" borderId="62" applyAlignment="1" pivotButton="0" quotePrefix="0" xfId="7">
      <alignment horizontal="left" vertical="top" wrapText="1"/>
    </xf>
    <xf numFmtId="0" fontId="55" fillId="29" borderId="0" applyAlignment="1" pivotButton="0" quotePrefix="0" xfId="0">
      <alignment wrapText="1"/>
    </xf>
    <xf numFmtId="0" fontId="55" fillId="29" borderId="62" applyAlignment="1" pivotButton="0" quotePrefix="0" xfId="0">
      <alignment horizontal="center" wrapText="1"/>
    </xf>
    <xf numFmtId="0" fontId="62" fillId="34" borderId="70" applyAlignment="1" pivotButton="0" quotePrefix="0" xfId="0">
      <alignment horizontal="center" wrapText="1"/>
    </xf>
    <xf numFmtId="0" fontId="1" fillId="0" borderId="0" applyAlignment="1" pivotButton="0" quotePrefix="0" xfId="7">
      <alignment horizontal="left" vertical="top" wrapText="1"/>
    </xf>
    <xf numFmtId="0" fontId="0" fillId="0" borderId="0" applyAlignment="1" pivotButton="0" quotePrefix="0" xfId="0">
      <alignment wrapText="1"/>
    </xf>
    <xf numFmtId="1" fontId="56" fillId="0" borderId="62" applyAlignment="1" pivotButton="0" quotePrefix="0" xfId="0">
      <alignment horizontal="left" wrapText="1"/>
    </xf>
    <xf numFmtId="0" fontId="0" fillId="0" borderId="62" applyAlignment="1" pivotButton="0" quotePrefix="0" xfId="0">
      <alignment wrapText="1"/>
    </xf>
    <xf numFmtId="0" fontId="0" fillId="35" borderId="62" applyAlignment="1" pivotButton="0" quotePrefix="0" xfId="0">
      <alignment wrapText="1"/>
    </xf>
    <xf numFmtId="0" fontId="1" fillId="0" borderId="62" applyAlignment="1" pivotButton="0" quotePrefix="0" xfId="7">
      <alignment wrapText="1"/>
    </xf>
    <xf numFmtId="0" fontId="56" fillId="0" borderId="4" applyAlignment="1" pivotButton="0" quotePrefix="0" xfId="0">
      <alignment horizontal="left" wrapText="1"/>
    </xf>
    <xf numFmtId="0" fontId="1" fillId="0" borderId="62" applyAlignment="1" pivotButton="0" quotePrefix="0" xfId="7">
      <alignment horizontal="center" vertical="center" wrapText="1"/>
    </xf>
    <xf numFmtId="0" fontId="0" fillId="0" borderId="62" applyAlignment="1" pivotButton="0" quotePrefix="0" xfId="0">
      <alignment horizontal="center" wrapText="1"/>
    </xf>
    <xf numFmtId="0" fontId="1" fillId="0" borderId="62" applyAlignment="1" pivotButton="0" quotePrefix="0" xfId="7">
      <alignment horizontal="center" wrapText="1"/>
    </xf>
    <xf numFmtId="0" fontId="1" fillId="0" borderId="4" applyAlignment="1" pivotButton="0" quotePrefix="0" xfId="7">
      <alignment horizontal="center" wrapText="1"/>
    </xf>
    <xf numFmtId="172" fontId="1" fillId="0" borderId="4" applyAlignment="1" pivotButton="0" quotePrefix="0" xfId="8">
      <alignment horizontal="center" wrapText="1"/>
    </xf>
    <xf numFmtId="9" fontId="0" fillId="0" borderId="62" applyAlignment="1" pivotButton="0" quotePrefix="0" xfId="0">
      <alignment horizontal="center" wrapText="1"/>
    </xf>
    <xf numFmtId="9" fontId="1" fillId="0" borderId="62" applyAlignment="1" pivotButton="0" quotePrefix="0" xfId="7">
      <alignment horizontal="center" wrapText="1"/>
    </xf>
    <xf numFmtId="173" fontId="1" fillId="0" borderId="62" applyAlignment="1" pivotButton="0" quotePrefix="0" xfId="7">
      <alignment wrapText="1"/>
    </xf>
    <xf numFmtId="174" fontId="1" fillId="0" borderId="62" applyAlignment="1" pivotButton="0" quotePrefix="0" xfId="7">
      <alignment wrapText="1"/>
    </xf>
    <xf numFmtId="175" fontId="1" fillId="0" borderId="62" applyAlignment="1" pivotButton="0" quotePrefix="0" xfId="7">
      <alignment horizontal="center" wrapText="1"/>
    </xf>
    <xf numFmtId="175" fontId="1" fillId="0" borderId="62" applyAlignment="1" pivotButton="0" quotePrefix="0" xfId="7">
      <alignment wrapText="1"/>
    </xf>
    <xf numFmtId="0" fontId="1" fillId="0" borderId="0" applyAlignment="1" pivotButton="0" quotePrefix="0" xfId="7">
      <alignment wrapText="1"/>
    </xf>
    <xf numFmtId="172" fontId="1" fillId="0" borderId="62" applyAlignment="1" pivotButton="0" quotePrefix="0" xfId="8">
      <alignment horizontal="center" wrapText="1"/>
    </xf>
    <xf numFmtId="9" fontId="1" fillId="0" borderId="0" applyAlignment="1" pivotButton="0" quotePrefix="0" xfId="7">
      <alignment horizontal="center" wrapText="1"/>
    </xf>
    <xf numFmtId="175" fontId="1" fillId="0" borderId="0" applyAlignment="1" pivotButton="0" quotePrefix="0" xfId="7">
      <alignment horizontal="center" wrapText="1"/>
    </xf>
    <xf numFmtId="175" fontId="1" fillId="0" borderId="0" applyAlignment="1" pivotButton="0" quotePrefix="0" xfId="7">
      <alignment wrapText="1"/>
    </xf>
    <xf numFmtId="174" fontId="1" fillId="0" borderId="0" applyAlignment="1" pivotButton="0" quotePrefix="0" xfId="7">
      <alignment wrapText="1"/>
    </xf>
    <xf numFmtId="9" fontId="0" fillId="0" borderId="0" applyAlignment="1" pivotButton="0" quotePrefix="0" xfId="0">
      <alignment horizontal="center" wrapText="1"/>
    </xf>
    <xf numFmtId="0" fontId="0" fillId="0" borderId="0" applyAlignment="1" pivotButton="0" quotePrefix="0" xfId="0">
      <alignment horizontal="center" wrapText="1"/>
    </xf>
    <xf numFmtId="173" fontId="1" fillId="0" borderId="0" applyAlignment="1" pivotButton="0" quotePrefix="0" xfId="7">
      <alignment wrapText="1"/>
    </xf>
    <xf numFmtId="175" fontId="1" fillId="0" borderId="62" applyAlignment="1" pivotButton="0" quotePrefix="0" xfId="9">
      <alignment horizontal="center" wrapText="1"/>
    </xf>
    <xf numFmtId="175" fontId="1" fillId="0" borderId="62" applyAlignment="1" pivotButton="0" quotePrefix="0" xfId="9">
      <alignment wrapText="1"/>
    </xf>
    <xf numFmtId="0" fontId="57" fillId="0" borderId="62" applyAlignment="1" pivotButton="0" quotePrefix="0" xfId="7">
      <alignment wrapText="1"/>
    </xf>
    <xf numFmtId="172" fontId="1" fillId="0" borderId="62" applyAlignment="1" pivotButton="0" quotePrefix="0" xfId="8">
      <alignment wrapText="1"/>
    </xf>
    <xf numFmtId="14" fontId="1" fillId="0" borderId="62" applyAlignment="1" pivotButton="0" quotePrefix="0" xfId="7">
      <alignment horizontal="center" wrapText="1"/>
    </xf>
    <xf numFmtId="10" fontId="1" fillId="0" borderId="62" applyAlignment="1" pivotButton="0" quotePrefix="0" xfId="7">
      <alignment horizontal="center" wrapText="1"/>
    </xf>
    <xf numFmtId="0" fontId="0" fillId="0" borderId="62" applyAlignment="1" pivotButton="0" quotePrefix="0" xfId="0">
      <alignment horizontal="left" wrapText="1"/>
    </xf>
    <xf numFmtId="0" fontId="1" fillId="27" borderId="62" applyAlignment="1" pivotButton="0" quotePrefix="0" xfId="7">
      <alignment wrapText="1"/>
    </xf>
    <xf numFmtId="0" fontId="1" fillId="35" borderId="62" applyAlignment="1" pivotButton="0" quotePrefix="0" xfId="7">
      <alignment wrapText="1"/>
    </xf>
    <xf numFmtId="0" fontId="1" fillId="0" borderId="62" applyAlignment="1" pivotButton="0" quotePrefix="0" xfId="7">
      <alignment vertical="top" wrapText="1"/>
    </xf>
    <xf numFmtId="1" fontId="0" fillId="0" borderId="62" applyAlignment="1" pivotButton="0" quotePrefix="0" xfId="0">
      <alignment horizontal="left" wrapText="1"/>
    </xf>
    <xf numFmtId="0" fontId="0" fillId="0" borderId="62" applyAlignment="1" pivotButton="0" quotePrefix="0" xfId="0">
      <alignment horizontal="center" vertical="center" wrapText="1"/>
    </xf>
    <xf numFmtId="0" fontId="0" fillId="0" borderId="4" applyAlignment="1" pivotButton="0" quotePrefix="0" xfId="0">
      <alignment horizontal="center" wrapText="1"/>
    </xf>
    <xf numFmtId="0" fontId="1" fillId="0" borderId="0" applyAlignment="1" pivotButton="0" quotePrefix="0" xfId="7">
      <alignment vertical="top" wrapText="1"/>
    </xf>
    <xf numFmtId="0" fontId="57" fillId="0" borderId="62" applyAlignment="1" pivotButton="0" quotePrefix="0" xfId="7">
      <alignment vertical="top" wrapText="1"/>
    </xf>
    <xf numFmtId="172" fontId="1" fillId="0" borderId="4" applyAlignment="1" pivotButton="0" quotePrefix="0" xfId="8">
      <alignment horizontal="center" wrapText="1"/>
    </xf>
    <xf numFmtId="0" fontId="51" fillId="37" borderId="62" applyAlignment="1" pivotButton="0" quotePrefix="0" xfId="7">
      <alignment horizontal="center" vertical="center" wrapText="1"/>
    </xf>
    <xf numFmtId="0" fontId="60" fillId="0" borderId="62" applyAlignment="1" pivotButton="0" quotePrefix="0" xfId="0">
      <alignment wrapText="1"/>
    </xf>
    <xf numFmtId="0" fontId="60" fillId="35" borderId="62" applyAlignment="1" pivotButton="0" quotePrefix="0" xfId="0">
      <alignment wrapText="1"/>
    </xf>
    <xf numFmtId="0" fontId="59" fillId="0" borderId="0" applyAlignment="1" pivotButton="0" quotePrefix="0" xfId="7">
      <alignment wrapText="1"/>
    </xf>
    <xf numFmtId="0" fontId="59" fillId="0" borderId="62" applyAlignment="1" pivotButton="0" quotePrefix="0" xfId="7">
      <alignment vertical="top" wrapText="1"/>
    </xf>
    <xf numFmtId="0" fontId="59" fillId="0" borderId="62" applyAlignment="1" pivotButton="0" quotePrefix="0" xfId="7">
      <alignment wrapText="1"/>
    </xf>
    <xf numFmtId="178" fontId="63" fillId="0" borderId="102" applyAlignment="1" pivotButton="0" quotePrefix="0" xfId="0">
      <alignment horizontal="right" vertical="center"/>
    </xf>
    <xf numFmtId="178" fontId="65" fillId="0" borderId="2" pivotButton="0" quotePrefix="0" xfId="0"/>
    <xf numFmtId="178" fontId="65" fillId="4" borderId="2" pivotButton="0" quotePrefix="0" xfId="0"/>
    <xf numFmtId="178" fontId="72" fillId="4" borderId="2" pivotButton="0" quotePrefix="0" xfId="0"/>
    <xf numFmtId="167" fontId="23" fillId="4" borderId="15" applyAlignment="1" pivotButton="0" quotePrefix="0" xfId="1">
      <alignment horizontal="center" vertical="center" wrapText="1" readingOrder="1"/>
    </xf>
    <xf numFmtId="167" fontId="23" fillId="4" borderId="16" applyAlignment="1" pivotButton="0" quotePrefix="0" xfId="1">
      <alignment horizontal="center" vertical="center" wrapText="1" readingOrder="1"/>
    </xf>
    <xf numFmtId="168" fontId="23" fillId="4" borderId="17" applyAlignment="1" pivotButton="0" quotePrefix="0" xfId="2">
      <alignment horizontal="center" vertical="center" wrapText="1" readingOrder="1"/>
    </xf>
    <xf numFmtId="167" fontId="23" fillId="4" borderId="20" applyAlignment="1" pivotButton="0" quotePrefix="0" xfId="1">
      <alignment horizontal="center" vertical="center" wrapText="1" readingOrder="1"/>
    </xf>
    <xf numFmtId="167" fontId="23" fillId="4" borderId="21" applyAlignment="1" pivotButton="0" quotePrefix="0" xfId="1">
      <alignment horizontal="center" vertical="center" wrapText="1" readingOrder="1"/>
    </xf>
    <xf numFmtId="168" fontId="23" fillId="4" borderId="18" applyAlignment="1" pivotButton="0" quotePrefix="0" xfId="2">
      <alignment horizontal="center" vertical="center" wrapText="1" readingOrder="1"/>
    </xf>
    <xf numFmtId="167" fontId="23" fillId="4" borderId="27" applyAlignment="1" pivotButton="0" quotePrefix="0" xfId="1">
      <alignment horizontal="center" vertical="center" wrapText="1" readingOrder="1"/>
    </xf>
    <xf numFmtId="167" fontId="23" fillId="4" borderId="28" applyAlignment="1" pivotButton="0" quotePrefix="0" xfId="1">
      <alignment horizontal="center" vertical="center" wrapText="1" readingOrder="1"/>
    </xf>
    <xf numFmtId="168" fontId="23" fillId="4" borderId="29" applyAlignment="1" pivotButton="0" quotePrefix="0" xfId="2">
      <alignment horizontal="center" vertical="center" wrapText="1" readingOrder="1"/>
    </xf>
    <xf numFmtId="167" fontId="23" fillId="4" borderId="30" applyAlignment="1" pivotButton="0" quotePrefix="0" xfId="1">
      <alignment horizontal="center" vertical="center" wrapText="1" readingOrder="1"/>
    </xf>
    <xf numFmtId="167" fontId="21" fillId="4" borderId="31" applyAlignment="1" pivotButton="0" quotePrefix="0" xfId="1">
      <alignment horizontal="center" vertical="center" wrapText="1" readingOrder="1"/>
    </xf>
    <xf numFmtId="167" fontId="21" fillId="4" borderId="32" applyAlignment="1" pivotButton="0" quotePrefix="0" xfId="1">
      <alignment horizontal="center" vertical="center" wrapText="1" readingOrder="1"/>
    </xf>
    <xf numFmtId="168" fontId="27" fillId="4" borderId="33" applyAlignment="1" pivotButton="0" quotePrefix="0" xfId="2">
      <alignment horizontal="center" vertical="center" wrapText="1" readingOrder="1"/>
    </xf>
    <xf numFmtId="167" fontId="21" fillId="4" borderId="33" applyAlignment="1" pivotButton="0" quotePrefix="0" xfId="1">
      <alignment horizontal="center" vertical="center" wrapText="1" readingOrder="1"/>
    </xf>
    <xf numFmtId="168" fontId="29" fillId="15" borderId="33" applyAlignment="1" pivotButton="0" quotePrefix="0" xfId="2">
      <alignment horizontal="center" vertical="center" wrapText="1" readingOrder="1"/>
    </xf>
    <xf numFmtId="168" fontId="21" fillId="4" borderId="17" applyAlignment="1" pivotButton="0" quotePrefix="0" xfId="2">
      <alignment horizontal="center" vertical="center" wrapText="1" readingOrder="1"/>
    </xf>
    <xf numFmtId="169" fontId="14" fillId="5" borderId="0" applyAlignment="1" pivotButton="0" quotePrefix="0" xfId="1">
      <alignment vertical="center"/>
    </xf>
    <xf numFmtId="170" fontId="14" fillId="5" borderId="0" pivotButton="0" quotePrefix="0" xfId="1"/>
    <xf numFmtId="171" fontId="31" fillId="15" borderId="27" applyAlignment="1" pivotButton="0" quotePrefix="0" xfId="1">
      <alignment horizontal="center" vertical="center" wrapText="1" readingOrder="1"/>
    </xf>
    <xf numFmtId="171" fontId="31" fillId="15" borderId="29" applyAlignment="1" pivotButton="0" quotePrefix="0" xfId="1">
      <alignment horizontal="center" vertical="center" wrapText="1" readingOrder="1"/>
    </xf>
    <xf numFmtId="167" fontId="21" fillId="11" borderId="31" applyAlignment="1" pivotButton="0" quotePrefix="0" xfId="1">
      <alignment horizontal="center" vertical="center" wrapText="1" readingOrder="1"/>
    </xf>
    <xf numFmtId="167" fontId="21" fillId="11" borderId="32" applyAlignment="1" pivotButton="0" quotePrefix="0" xfId="1">
      <alignment horizontal="center" vertical="center" wrapText="1" readingOrder="1"/>
    </xf>
    <xf numFmtId="168" fontId="21" fillId="11" borderId="33" applyAlignment="1" pivotButton="0" quotePrefix="0" xfId="2">
      <alignment horizontal="center" vertical="center" wrapText="1" readingOrder="1"/>
    </xf>
    <xf numFmtId="0" fontId="80" fillId="0" borderId="113" applyAlignment="1" pivotButton="0" quotePrefix="0" xfId="0">
      <alignment vertical="center"/>
    </xf>
    <xf numFmtId="0" fontId="77" fillId="0" borderId="113" pivotButton="0" quotePrefix="0" xfId="0"/>
    <xf numFmtId="0" fontId="78" fillId="40" borderId="114" applyAlignment="1" pivotButton="0" quotePrefix="0" xfId="0">
      <alignment vertical="center"/>
    </xf>
    <xf numFmtId="0" fontId="78" fillId="38" borderId="114" applyAlignment="1" pivotButton="0" quotePrefix="0" xfId="0">
      <alignment horizontal="center" vertical="center" wrapText="1"/>
    </xf>
    <xf numFmtId="0" fontId="79" fillId="0" borderId="114" applyAlignment="1" pivotButton="0" quotePrefix="0" xfId="0">
      <alignment vertical="center"/>
    </xf>
    <xf numFmtId="2" fontId="77" fillId="0" borderId="114" applyAlignment="1" pivotButton="0" quotePrefix="0" xfId="0">
      <alignment horizontal="right" vertical="center"/>
    </xf>
    <xf numFmtId="178" fontId="77" fillId="0" borderId="114" applyAlignment="1" pivotButton="0" quotePrefix="0" xfId="0">
      <alignment horizontal="center" vertical="center"/>
    </xf>
    <xf numFmtId="1" fontId="77" fillId="0" borderId="114" applyAlignment="1" pivotButton="0" quotePrefix="0" xfId="0">
      <alignment horizontal="center" vertical="center"/>
    </xf>
    <xf numFmtId="164" fontId="77" fillId="0" borderId="114" applyAlignment="1" pivotButton="0" quotePrefix="0" xfId="0">
      <alignment horizontal="center" vertical="center"/>
    </xf>
    <xf numFmtId="0" fontId="77" fillId="0" borderId="114" applyAlignment="1" pivotButton="0" quotePrefix="0" xfId="0">
      <alignment horizontal="center" vertical="center"/>
    </xf>
    <xf numFmtId="2" fontId="78" fillId="40" borderId="114" applyAlignment="1" pivotButton="0" quotePrefix="0" xfId="0">
      <alignment horizontal="right" vertical="center"/>
    </xf>
    <xf numFmtId="178" fontId="78" fillId="40" borderId="114" applyAlignment="1" pivotButton="0" quotePrefix="0" xfId="0">
      <alignment horizontal="center" vertical="center"/>
    </xf>
    <xf numFmtId="0" fontId="77" fillId="0" borderId="113" applyAlignment="1" pivotButton="0" quotePrefix="0" xfId="0">
      <alignment horizontal="left" vertical="center"/>
    </xf>
    <xf numFmtId="164" fontId="77" fillId="0" borderId="113" applyAlignment="1" pivotButton="0" quotePrefix="0" xfId="0">
      <alignment horizontal="right" vertical="center"/>
    </xf>
    <xf numFmtId="0" fontId="77" fillId="0" borderId="113" applyAlignment="1" pivotButton="0" quotePrefix="0" xfId="0">
      <alignment vertical="center"/>
    </xf>
    <xf numFmtId="2" fontId="77" fillId="0" borderId="113" pivotButton="0" quotePrefix="0" xfId="0"/>
    <xf numFmtId="1" fontId="77" fillId="0" borderId="113" pivotButton="0" quotePrefix="0" xfId="0"/>
    <xf numFmtId="0" fontId="77" fillId="0" borderId="113" applyAlignment="1" pivotButton="0" quotePrefix="0" xfId="0">
      <alignment horizontal="center" vertical="center"/>
    </xf>
    <xf numFmtId="177" fontId="77" fillId="0" borderId="113" applyAlignment="1" pivotButton="0" quotePrefix="0" xfId="0">
      <alignment horizontal="right" vertical="center"/>
    </xf>
    <xf numFmtId="0" fontId="79" fillId="43" borderId="114" applyAlignment="1" pivotButton="0" quotePrefix="0" xfId="0">
      <alignment vertical="center"/>
    </xf>
    <xf numFmtId="1" fontId="79" fillId="43" borderId="114" applyAlignment="1" pivotButton="0" quotePrefix="0" xfId="0">
      <alignment horizontal="center" vertical="center"/>
    </xf>
    <xf numFmtId="2" fontId="79" fillId="43" borderId="114" applyAlignment="1" pivotButton="0" quotePrefix="0" xfId="0">
      <alignment horizontal="right" vertical="center"/>
    </xf>
    <xf numFmtId="0" fontId="77" fillId="0" borderId="114" applyAlignment="1" pivotButton="0" quotePrefix="0" xfId="0">
      <alignment vertical="center"/>
    </xf>
    <xf numFmtId="1" fontId="77" fillId="0" borderId="114" applyAlignment="1" pivotButton="0" quotePrefix="0" xfId="0">
      <alignment horizontal="right" vertical="center"/>
    </xf>
    <xf numFmtId="178" fontId="77" fillId="0" borderId="114" applyAlignment="1" pivotButton="0" quotePrefix="0" xfId="0">
      <alignment horizontal="right" vertical="center"/>
    </xf>
    <xf numFmtId="2" fontId="79" fillId="0" borderId="114" applyAlignment="1" pivotButton="0" quotePrefix="0" xfId="0">
      <alignment horizontal="right" vertical="center"/>
    </xf>
    <xf numFmtId="177" fontId="78" fillId="38" borderId="114" applyAlignment="1" pivotButton="0" quotePrefix="0" xfId="0">
      <alignment horizontal="center" vertical="center" wrapText="1"/>
    </xf>
    <xf numFmtId="164" fontId="78" fillId="38" borderId="114" applyAlignment="1" pivotButton="0" quotePrefix="0" xfId="0">
      <alignment horizontal="center" vertical="center" wrapText="1"/>
    </xf>
    <xf numFmtId="0" fontId="77" fillId="0" borderId="114" applyAlignment="1" pivotButton="0" quotePrefix="0" xfId="0">
      <alignment vertical="center" wrapText="1"/>
    </xf>
    <xf numFmtId="0" fontId="77" fillId="32" borderId="114" applyAlignment="1" pivotButton="0" quotePrefix="0" xfId="0">
      <alignment horizontal="center" vertical="center"/>
    </xf>
    <xf numFmtId="3" fontId="77" fillId="0" borderId="114" applyAlignment="1" pivotButton="0" quotePrefix="0" xfId="0">
      <alignment horizontal="right" vertical="center"/>
    </xf>
    <xf numFmtId="0" fontId="77" fillId="0" borderId="0" applyAlignment="1" pivotButton="0" quotePrefix="0" xfId="0">
      <alignment vertical="center"/>
    </xf>
    <xf numFmtId="0" fontId="78" fillId="38" borderId="114" applyAlignment="1" pivotButton="0" quotePrefix="0" xfId="0">
      <alignment horizontal="center" vertical="center"/>
    </xf>
    <xf numFmtId="178" fontId="65" fillId="0" borderId="102" applyAlignment="1" pivotButton="0" quotePrefix="0" xfId="0">
      <alignment horizontal="center" vertical="center"/>
    </xf>
    <xf numFmtId="178" fontId="63" fillId="39" borderId="102" applyAlignment="1" pivotButton="0" quotePrefix="0" xfId="0">
      <alignment horizontal="center" vertical="center"/>
    </xf>
    <xf numFmtId="172" fontId="2" fillId="0" borderId="62" applyAlignment="1" pivotButton="0" quotePrefix="0" xfId="4">
      <alignment horizontal="center"/>
    </xf>
    <xf numFmtId="173" fontId="2" fillId="0" borderId="62" pivotButton="0" quotePrefix="0" xfId="6"/>
    <xf numFmtId="174" fontId="2" fillId="0" borderId="62" pivotButton="0" quotePrefix="0" xfId="6"/>
    <xf numFmtId="175" fontId="2" fillId="0" borderId="62" applyAlignment="1" pivotButton="0" quotePrefix="0" xfId="6">
      <alignment horizontal="center"/>
    </xf>
    <xf numFmtId="175" fontId="2" fillId="0" borderId="62" pivotButton="0" quotePrefix="0" xfId="6"/>
    <xf numFmtId="172" fontId="2" fillId="0" borderId="62" pivotButton="0" quotePrefix="0" xfId="4"/>
    <xf numFmtId="172" fontId="2" fillId="0" borderId="4" applyAlignment="1" pivotButton="0" quotePrefix="0" xfId="4">
      <alignment horizontal="center"/>
    </xf>
    <xf numFmtId="175" fontId="2" fillId="0" borderId="0" applyAlignment="1" pivotButton="0" quotePrefix="0" xfId="6">
      <alignment horizontal="center"/>
    </xf>
    <xf numFmtId="175" fontId="2" fillId="0" borderId="0" pivotButton="0" quotePrefix="0" xfId="6"/>
    <xf numFmtId="174" fontId="2" fillId="0" borderId="0" pivotButton="0" quotePrefix="0" xfId="6"/>
    <xf numFmtId="173" fontId="2" fillId="0" borderId="0" pivotButton="0" quotePrefix="0" xfId="6"/>
    <xf numFmtId="172" fontId="2" fillId="0" borderId="36" applyAlignment="1" pivotButton="0" quotePrefix="0" xfId="4">
      <alignment horizontal="center"/>
    </xf>
    <xf numFmtId="175" fontId="2" fillId="0" borderId="70" applyAlignment="1" pivotButton="0" quotePrefix="0" xfId="6">
      <alignment horizontal="center"/>
    </xf>
    <xf numFmtId="175" fontId="2" fillId="0" borderId="70" pivotButton="0" quotePrefix="0" xfId="6"/>
    <xf numFmtId="174" fontId="2" fillId="0" borderId="70" pivotButton="0" quotePrefix="0" xfId="6"/>
    <xf numFmtId="172" fontId="2" fillId="0" borderId="39" applyAlignment="1" pivotButton="0" quotePrefix="0" xfId="4">
      <alignment horizontal="center"/>
    </xf>
    <xf numFmtId="175" fontId="2" fillId="0" borderId="101" applyAlignment="1" pivotButton="0" quotePrefix="0" xfId="6">
      <alignment horizontal="center"/>
    </xf>
    <xf numFmtId="175" fontId="2" fillId="0" borderId="101" pivotButton="0" quotePrefix="0" xfId="6"/>
    <xf numFmtId="174" fontId="2" fillId="0" borderId="101" pivotButton="0" quotePrefix="0" xfId="6"/>
    <xf numFmtId="175" fontId="2" fillId="0" borderId="62" applyAlignment="1" pivotButton="0" quotePrefix="0" xfId="5">
      <alignment horizontal="center"/>
    </xf>
    <xf numFmtId="175" fontId="2" fillId="0" borderId="62" pivotButton="0" quotePrefix="0" xfId="5"/>
    <xf numFmtId="172" fontId="0" fillId="0" borderId="4" applyAlignment="1" pivotButton="0" quotePrefix="0" xfId="4">
      <alignment horizontal="center"/>
    </xf>
    <xf numFmtId="172" fontId="2" fillId="27" borderId="4" applyAlignment="1" pivotButton="0" quotePrefix="0" xfId="4">
      <alignment horizontal="center"/>
    </xf>
    <xf numFmtId="172" fontId="59" fillId="0" borderId="4" applyAlignment="1" pivotButton="0" quotePrefix="0" xfId="4">
      <alignment horizontal="center"/>
    </xf>
    <xf numFmtId="175" fontId="59" fillId="0" borderId="62" applyAlignment="1" pivotButton="0" quotePrefix="0" xfId="6">
      <alignment horizontal="center"/>
    </xf>
    <xf numFmtId="175" fontId="59" fillId="0" borderId="62" pivotButton="0" quotePrefix="0" xfId="6"/>
    <xf numFmtId="174" fontId="59" fillId="0" borderId="62" pivotButton="0" quotePrefix="0" xfId="6"/>
    <xf numFmtId="172" fontId="2" fillId="0" borderId="0" applyAlignment="1" pivotButton="0" quotePrefix="0" xfId="4">
      <alignment horizontal="center"/>
    </xf>
    <xf numFmtId="172" fontId="2" fillId="27" borderId="0" pivotButton="0" quotePrefix="0" xfId="6"/>
    <xf numFmtId="172" fontId="2" fillId="0" borderId="0" applyAlignment="1" pivotButton="0" quotePrefix="0" xfId="6">
      <alignment horizontal="center"/>
    </xf>
    <xf numFmtId="172" fontId="1" fillId="0" borderId="4" applyAlignment="1" pivotButton="0" quotePrefix="0" xfId="8">
      <alignment horizontal="center" wrapText="1"/>
    </xf>
    <xf numFmtId="173" fontId="1" fillId="0" borderId="62" applyAlignment="1" pivotButton="0" quotePrefix="0" xfId="7">
      <alignment wrapText="1"/>
    </xf>
    <xf numFmtId="174" fontId="1" fillId="0" borderId="62" applyAlignment="1" pivotButton="0" quotePrefix="0" xfId="7">
      <alignment wrapText="1"/>
    </xf>
    <xf numFmtId="175" fontId="1" fillId="0" borderId="62" applyAlignment="1" pivotButton="0" quotePrefix="0" xfId="7">
      <alignment horizontal="center" wrapText="1"/>
    </xf>
    <xf numFmtId="175" fontId="1" fillId="0" borderId="62" applyAlignment="1" pivotButton="0" quotePrefix="0" xfId="7">
      <alignment wrapText="1"/>
    </xf>
    <xf numFmtId="172" fontId="1" fillId="0" borderId="62" applyAlignment="1" pivotButton="0" quotePrefix="0" xfId="8">
      <alignment horizontal="center" wrapText="1"/>
    </xf>
    <xf numFmtId="175" fontId="1" fillId="0" borderId="0" applyAlignment="1" pivotButton="0" quotePrefix="0" xfId="7">
      <alignment horizontal="center" wrapText="1"/>
    </xf>
    <xf numFmtId="175" fontId="1" fillId="0" borderId="0" applyAlignment="1" pivotButton="0" quotePrefix="0" xfId="7">
      <alignment wrapText="1"/>
    </xf>
    <xf numFmtId="174" fontId="1" fillId="0" borderId="0" applyAlignment="1" pivotButton="0" quotePrefix="0" xfId="7">
      <alignment wrapText="1"/>
    </xf>
    <xf numFmtId="173" fontId="1" fillId="0" borderId="0" applyAlignment="1" pivotButton="0" quotePrefix="0" xfId="7">
      <alignment wrapText="1"/>
    </xf>
    <xf numFmtId="175" fontId="1" fillId="0" borderId="62" applyAlignment="1" pivotButton="0" quotePrefix="0" xfId="9">
      <alignment horizontal="center" wrapText="1"/>
    </xf>
    <xf numFmtId="175" fontId="1" fillId="0" borderId="62" applyAlignment="1" pivotButton="0" quotePrefix="0" xfId="9">
      <alignment wrapText="1"/>
    </xf>
    <xf numFmtId="172" fontId="1" fillId="0" borderId="62" applyAlignment="1" pivotButton="0" quotePrefix="0" xfId="8">
      <alignment wrapText="1"/>
    </xf>
    <xf numFmtId="0" fontId="82" fillId="0" borderId="0" applyAlignment="1" pivotButton="0" quotePrefix="0" xfId="0">
      <alignment vertical="center"/>
    </xf>
    <xf numFmtId="0" fontId="81" fillId="0" borderId="113" applyAlignment="1" pivotButton="0" quotePrefix="0" xfId="0">
      <alignment vertical="center"/>
    </xf>
    <xf numFmtId="0" fontId="77" fillId="0" borderId="113" applyAlignment="1" pivotButton="0" quotePrefix="0" xfId="0">
      <alignment vertical="center" wrapText="1"/>
    </xf>
    <xf numFmtId="0" fontId="83" fillId="0" borderId="0" applyAlignment="1" pivotButton="0" quotePrefix="0" xfId="0">
      <alignment vertical="center"/>
    </xf>
    <xf numFmtId="0" fontId="81" fillId="0" borderId="0" applyAlignment="1" pivotButton="0" quotePrefix="0" xfId="0">
      <alignment vertical="center"/>
    </xf>
    <xf numFmtId="0" fontId="84" fillId="0" borderId="0" applyAlignment="1" pivotButton="0" quotePrefix="0" xfId="0">
      <alignment vertical="center"/>
    </xf>
    <xf numFmtId="1" fontId="65" fillId="0" borderId="102" applyAlignment="1" pivotButton="0" quotePrefix="0" xfId="0">
      <alignment horizontal="center" vertical="center"/>
    </xf>
    <xf numFmtId="0" fontId="78" fillId="40" borderId="102" applyAlignment="1" pivotButton="0" quotePrefix="0" xfId="0">
      <alignment horizontal="left" vertical="center"/>
    </xf>
    <xf numFmtId="0" fontId="78" fillId="40" borderId="102" pivotButton="0" quotePrefix="0" xfId="0"/>
    <xf numFmtId="0" fontId="64" fillId="0" borderId="113" pivotButton="0" quotePrefix="0" xfId="0"/>
    <xf numFmtId="178" fontId="79" fillId="43" borderId="114" applyAlignment="1" pivotButton="0" quotePrefix="0" xfId="0">
      <alignment horizontal="center" vertical="center"/>
    </xf>
    <xf numFmtId="0" fontId="80" fillId="0" borderId="0" applyAlignment="1" pivotButton="0" quotePrefix="0" xfId="0">
      <alignment vertical="center"/>
    </xf>
    <xf numFmtId="0" fontId="85" fillId="0" borderId="0" applyAlignment="1" pivotButton="0" quotePrefix="0" xfId="0">
      <alignment vertical="center"/>
    </xf>
  </cellXfs>
  <cellStyles count="10">
    <cellStyle name="Normal" xfId="0" builtinId="0"/>
    <cellStyle name="Normal 2" xfId="1"/>
    <cellStyle name="Percent 2" xfId="2"/>
    <cellStyle name="Normal 3" xfId="3"/>
    <cellStyle name="Comma" xfId="4" builtinId="3"/>
    <cellStyle name="Percent" xfId="5" builtinId="5"/>
    <cellStyle name="Normal 3 2" xfId="6"/>
    <cellStyle name="Normal 3 3" xfId="7"/>
    <cellStyle name="Comma 2" xfId="8"/>
    <cellStyle name="Percent 3" xfId="9"/>
  </cellStyles>
  <dxfs count="131">
    <dxf>
      <font>
        <b val="1"/>
        <color rgb="FF006100"/>
      </font>
      <fill>
        <patternFill patternType="solid">
          <fgColor rgb="FFE2EFDA"/>
        </patternFill>
      </fill>
    </dxf>
    <dxf>
      <font>
        <b val="1"/>
        <color rgb="FF9C0006"/>
      </font>
      <fill>
        <patternFill patternType="solid">
          <fgColor rgb="FFFBE4D5"/>
        </patternFill>
      </fill>
    </dxf>
    <dxf>
      <font>
        <b val="1"/>
        <color rgb="FF9C0006"/>
      </font>
      <fill>
        <patternFill patternType="solid">
          <fgColor rgb="FFFBE4D5"/>
        </patternFill>
      </fill>
    </dxf>
    <dxf>
      <font>
        <b val="1"/>
        <color rgb="FF006100"/>
      </font>
      <fill>
        <patternFill patternType="solid">
          <fgColor rgb="FFE2EFDA"/>
        </patternFill>
      </fill>
    </dxf>
    <dxf>
      <font>
        <b val="1"/>
        <color rgb="FF9C0006"/>
      </font>
      <fill>
        <patternFill patternType="solid">
          <fgColor rgb="FFFBE4D5"/>
        </patternFill>
      </fill>
    </dxf>
    <dxf>
      <font>
        <b val="1"/>
        <color rgb="FF9C0006"/>
      </font>
      <fill>
        <patternFill patternType="solid">
          <fgColor rgb="FFFBE4D5"/>
        </patternFill>
      </fill>
    </dxf>
    <dxf>
      <font>
        <b val="1"/>
        <color rgb="FF006100"/>
      </font>
      <fill>
        <patternFill patternType="solid">
          <fgColor rgb="FFE2EFDA"/>
        </patternFill>
      </fill>
    </dxf>
    <dxf>
      <font>
        <b val="1"/>
        <color rgb="FF9C0006"/>
      </font>
      <fill>
        <patternFill patternType="solid">
          <fgColor rgb="FFFBE4D5"/>
        </patternFill>
      </fill>
    </dxf>
    <dxf>
      <font>
        <b val="1"/>
        <color rgb="FF9C0006"/>
      </font>
      <fill>
        <patternFill patternType="solid">
          <fgColor rgb="FFFBE4D5"/>
        </patternFill>
      </fill>
    </dxf>
    <dxf>
      <font>
        <b val="1"/>
        <color rgb="FF006100"/>
      </font>
      <fill>
        <patternFill patternType="solid">
          <fgColor rgb="FFE2EFDA"/>
        </patternFill>
      </fill>
    </dxf>
    <dxf>
      <font>
        <b val="1"/>
        <color rgb="FF9C0006"/>
      </font>
      <fill>
        <patternFill patternType="solid">
          <fgColor rgb="FFFBE4D5"/>
        </patternFill>
      </fill>
    </dxf>
    <dxf>
      <font>
        <b val="1"/>
        <color rgb="FF9C0006"/>
      </font>
      <fill>
        <patternFill patternType="solid">
          <fgColor rgb="FFFBE4D5"/>
        </patternFill>
      </fill>
    </dxf>
    <dxf>
      <font>
        <b val="1"/>
        <color rgb="FF006100"/>
      </font>
      <fill>
        <patternFill patternType="solid">
          <fgColor rgb="FFE2EFDA"/>
        </patternFill>
      </fill>
    </dxf>
    <dxf>
      <font>
        <b val="1"/>
        <color rgb="FF9C0006"/>
      </font>
      <fill>
        <patternFill patternType="solid">
          <fgColor rgb="FFFBE4D5"/>
        </patternFill>
      </fill>
    </dxf>
    <dxf>
      <font>
        <b val="1"/>
        <color rgb="FF9C0006"/>
      </font>
      <fill>
        <patternFill patternType="solid">
          <fgColor rgb="FFFBE4D5"/>
        </patternFill>
      </fill>
    </dxf>
    <dxf>
      <font>
        <b val="1"/>
        <color rgb="FF006100"/>
      </font>
      <fill>
        <patternFill patternType="solid">
          <fgColor rgb="FFE2EFDA"/>
        </patternFill>
      </fill>
    </dxf>
    <dxf>
      <font>
        <b val="1"/>
        <color rgb="FF9C0006"/>
      </font>
      <fill>
        <patternFill patternType="solid">
          <fgColor rgb="FFFBE4D5"/>
        </patternFill>
      </fill>
    </dxf>
    <dxf>
      <font>
        <b val="1"/>
        <color rgb="FF9C0006"/>
      </font>
      <fill>
        <patternFill patternType="solid">
          <fgColor rgb="FFFBE4D5"/>
        </patternFill>
      </fill>
    </dxf>
    <dxf>
      <font>
        <b val="1"/>
        <color rgb="FF006100"/>
      </font>
      <fill>
        <patternFill patternType="solid">
          <fgColor rgb="FFE2EFDA"/>
        </patternFill>
      </fill>
    </dxf>
    <dxf>
      <font>
        <b val="1"/>
        <color rgb="FF9C0006"/>
      </font>
      <fill>
        <patternFill patternType="solid">
          <fgColor rgb="FFFBE4D5"/>
        </patternFill>
      </fill>
    </dxf>
    <dxf>
      <font>
        <b val="1"/>
        <color rgb="FF9C0006"/>
      </font>
      <fill>
        <patternFill patternType="solid">
          <fgColor rgb="FFFBE4D5"/>
        </patternFill>
      </fill>
    </dxf>
    <dxf>
      <font>
        <b val="1"/>
        <color rgb="FF006100"/>
      </font>
      <fill>
        <patternFill patternType="solid">
          <fgColor rgb="FFE2EFDA"/>
        </patternFill>
      </fill>
    </dxf>
    <dxf>
      <font>
        <b val="1"/>
        <color rgb="FF9C0006"/>
      </font>
      <fill>
        <patternFill patternType="solid">
          <fgColor rgb="FFFBE4D5"/>
        </patternFill>
      </fill>
    </dxf>
    <dxf>
      <font>
        <b val="1"/>
        <color rgb="FF9C0006"/>
      </font>
      <fill>
        <patternFill patternType="solid">
          <fgColor rgb="FFFBE4D5"/>
        </patternFill>
      </fill>
    </dxf>
    <dxf>
      <font>
        <b val="1"/>
        <color rgb="FF006100"/>
      </font>
      <fill>
        <patternFill patternType="solid">
          <fgColor rgb="FFE2EFDA"/>
        </patternFill>
      </fill>
    </dxf>
    <dxf>
      <font>
        <b val="1"/>
        <color rgb="FF9C0006"/>
      </font>
      <fill>
        <patternFill patternType="solid">
          <fgColor rgb="FFFBE4D5"/>
        </patternFill>
      </fill>
    </dxf>
    <dxf>
      <font>
        <b val="1"/>
        <color rgb="FF9C0006"/>
      </font>
      <fill>
        <patternFill patternType="solid">
          <fgColor rgb="FFFBE4D5"/>
        </patternFill>
      </fill>
    </dxf>
    <dxf>
      <font>
        <b val="1"/>
        <color rgb="FF006100"/>
      </font>
      <fill>
        <patternFill patternType="solid">
          <fgColor rgb="FFE2EFDA"/>
        </patternFill>
      </fill>
    </dxf>
    <dxf>
      <font>
        <b val="1"/>
        <color rgb="FF9C0006"/>
      </font>
      <fill>
        <patternFill patternType="solid">
          <fgColor rgb="FFFBE4D5"/>
        </patternFill>
      </fill>
    </dxf>
    <dxf>
      <font>
        <b val="1"/>
        <color rgb="FF9C0006"/>
      </font>
      <fill>
        <patternFill patternType="solid">
          <fgColor rgb="FFFBE4D5"/>
        </patternFill>
      </fill>
    </dxf>
    <dxf>
      <font>
        <b val="1"/>
        <color rgb="FF006100"/>
      </font>
      <fill>
        <patternFill patternType="solid">
          <fgColor rgb="FFE2EFDA"/>
        </patternFill>
      </fill>
    </dxf>
    <dxf>
      <font>
        <b val="1"/>
        <color rgb="FF9C0006"/>
      </font>
      <fill>
        <patternFill patternType="solid">
          <fgColor rgb="FFFBE4D5"/>
        </patternFill>
      </fill>
    </dxf>
    <dxf>
      <font>
        <b val="1"/>
        <color rgb="FF9C0006"/>
      </font>
      <fill>
        <patternFill patternType="solid">
          <fgColor rgb="FFFBE4D5"/>
        </patternFill>
      </fill>
    </dxf>
    <dxf>
      <font>
        <b val="1"/>
        <color rgb="FF006100"/>
      </font>
      <fill>
        <patternFill patternType="solid">
          <fgColor rgb="FFE2EFDA"/>
        </patternFill>
      </fill>
    </dxf>
    <dxf>
      <font>
        <b val="1"/>
        <color rgb="FF9C0006"/>
      </font>
      <fill>
        <patternFill patternType="solid">
          <fgColor rgb="FFFBE4D5"/>
        </patternFill>
      </fill>
    </dxf>
    <dxf>
      <font>
        <b val="1"/>
        <color rgb="FF9C0006"/>
      </font>
      <fill>
        <patternFill patternType="solid">
          <fgColor rgb="FFFBE4D5"/>
        </patternFill>
      </fill>
    </dxf>
    <dxf>
      <font>
        <b val="1"/>
        <color rgb="FF006100"/>
      </font>
      <fill>
        <patternFill patternType="solid">
          <fgColor rgb="FFE2EFDA"/>
        </patternFill>
      </fill>
    </dxf>
    <dxf>
      <font>
        <b val="1"/>
        <color rgb="FF9C0006"/>
      </font>
      <fill>
        <patternFill patternType="solid">
          <fgColor rgb="FFFBE4D5"/>
        </patternFill>
      </fill>
    </dxf>
    <dxf>
      <font>
        <b val="1"/>
        <color rgb="FF006100"/>
      </font>
      <fill>
        <patternFill patternType="solid">
          <fgColor rgb="FFE2EFDA"/>
        </patternFill>
      </fill>
    </dxf>
    <dxf>
      <font>
        <b val="1"/>
        <color rgb="FF9C0006"/>
      </font>
      <fill>
        <patternFill patternType="solid">
          <fgColor rgb="FFFBE4D5"/>
        </patternFill>
      </fill>
    </dxf>
    <dxf>
      <font>
        <b val="1"/>
        <color rgb="FF006100"/>
      </font>
      <fill>
        <patternFill patternType="solid">
          <fgColor rgb="FFE2EFDA"/>
        </patternFill>
      </fill>
    </dxf>
    <dxf>
      <font>
        <b val="1"/>
        <color rgb="FF9C0006"/>
      </font>
      <fill>
        <patternFill patternType="solid">
          <fgColor rgb="FFFBE4D5"/>
        </patternFill>
      </fill>
    </dxf>
    <dxf>
      <font>
        <b val="1"/>
        <color rgb="FF9C0006"/>
      </font>
      <fill>
        <patternFill patternType="solid">
          <fgColor rgb="FFFBE4D5"/>
        </patternFill>
      </fill>
    </dxf>
    <dxf>
      <font>
        <b val="1"/>
        <color rgb="FF006100"/>
      </font>
      <fill>
        <patternFill patternType="solid">
          <fgColor rgb="FFE2EFDA"/>
        </patternFill>
      </fill>
    </dxf>
    <dxf>
      <font>
        <b val="1"/>
        <color rgb="FF9C0006"/>
      </font>
      <fill>
        <patternFill patternType="solid">
          <fgColor rgb="FFFBE4D5"/>
        </patternFill>
      </fill>
    </dxf>
    <dxf>
      <font>
        <b val="1"/>
        <color rgb="FF006100"/>
      </font>
      <fill>
        <patternFill patternType="solid">
          <fgColor rgb="FFE2EFDA"/>
        </patternFill>
      </fill>
    </dxf>
    <dxf>
      <font>
        <b val="1"/>
        <color rgb="FF9C0006"/>
      </font>
      <fill>
        <patternFill patternType="solid">
          <fgColor rgb="FFFBE4D5"/>
        </patternFill>
      </fill>
    </dxf>
    <dxf>
      <font>
        <b val="1"/>
        <color rgb="FF9C0006"/>
      </font>
      <fill>
        <patternFill patternType="solid">
          <fgColor rgb="FFFBE4D5"/>
        </patternFill>
      </fill>
    </dxf>
    <dxf>
      <font>
        <b val="1"/>
        <color rgb="FF006100"/>
      </font>
      <fill>
        <patternFill patternType="solid">
          <fgColor rgb="FFE2EFDA"/>
        </patternFill>
      </fill>
    </dxf>
    <dxf>
      <font>
        <b val="1"/>
        <color rgb="FF9C0006"/>
      </font>
      <fill>
        <patternFill patternType="solid">
          <fgColor rgb="FFFBE4D5"/>
        </patternFill>
      </fill>
    </dxf>
    <dxf>
      <font>
        <b val="1"/>
        <color rgb="FF006100"/>
      </font>
      <fill>
        <patternFill patternType="solid">
          <fgColor rgb="FFE2EFDA"/>
        </patternFill>
      </fill>
    </dxf>
    <dxf>
      <font>
        <b val="1"/>
        <color rgb="FF9C0006"/>
      </font>
      <fill>
        <patternFill patternType="solid">
          <fgColor rgb="FFFBE4D5"/>
        </patternFill>
      </fill>
    </dxf>
    <dxf>
      <font>
        <b val="1"/>
        <color rgb="FF9C0006"/>
      </font>
      <fill>
        <patternFill patternType="solid">
          <fgColor rgb="FFFBE4D5"/>
        </patternFill>
      </fill>
    </dxf>
    <dxf>
      <font>
        <b val="1"/>
        <color rgb="FF006100"/>
      </font>
      <fill>
        <patternFill patternType="solid">
          <fgColor rgb="FFE2EFDA"/>
        </patternFill>
      </fill>
    </dxf>
    <dxf>
      <font>
        <b val="1"/>
        <color rgb="FF9C0006"/>
      </font>
      <fill>
        <patternFill patternType="solid">
          <fgColor rgb="FFFBE4D5"/>
        </patternFill>
      </fill>
    </dxf>
    <dxf>
      <font>
        <b val="1"/>
        <color rgb="FF006100"/>
      </font>
      <fill>
        <patternFill patternType="solid">
          <fgColor rgb="FFE2EFDA"/>
        </patternFill>
      </fill>
    </dxf>
    <dxf>
      <font>
        <b val="1"/>
        <color rgb="FF9C0006"/>
      </font>
      <fill>
        <patternFill patternType="solid">
          <fgColor rgb="FFFBE4D5"/>
        </patternFill>
      </fill>
    </dxf>
    <dxf>
      <font>
        <b val="1"/>
        <color rgb="FF006100"/>
      </font>
      <fill>
        <patternFill patternType="solid">
          <fgColor rgb="FFE2EFDA"/>
        </patternFill>
      </fill>
    </dxf>
    <dxf>
      <font>
        <b val="1"/>
        <color rgb="FF9C0006"/>
      </font>
      <fill>
        <patternFill patternType="solid">
          <fgColor rgb="FFFBE4D5"/>
        </patternFill>
      </fill>
    </dxf>
    <dxf>
      <font>
        <b val="1"/>
        <color rgb="FF006100"/>
      </font>
      <fill>
        <patternFill patternType="solid">
          <fgColor rgb="FFE2EFDA"/>
        </patternFill>
      </fill>
    </dxf>
    <dxf>
      <font>
        <b val="1"/>
        <color rgb="FF9C0006"/>
      </font>
      <fill>
        <patternFill patternType="solid">
          <fgColor rgb="FFFBE4D5"/>
        </patternFill>
      </fill>
    </dxf>
    <dxf>
      <font>
        <b val="1"/>
        <color rgb="FF9C0006"/>
      </font>
      <fill>
        <patternFill patternType="solid">
          <fgColor rgb="FFFBE4D5"/>
        </patternFill>
      </fill>
    </dxf>
    <dxf>
      <font>
        <b val="1"/>
        <color rgb="FF006100"/>
      </font>
      <fill>
        <patternFill patternType="solid">
          <fgColor rgb="FFE2EFDA"/>
        </patternFill>
      </fill>
    </dxf>
    <dxf>
      <font>
        <b val="1"/>
        <color rgb="FF006100"/>
      </font>
      <fill>
        <patternFill patternType="solid">
          <fgColor rgb="FFE2EFDA"/>
        </patternFill>
      </fill>
    </dxf>
    <dxf>
      <font>
        <b val="1"/>
        <color rgb="FF9C0006"/>
      </font>
      <fill>
        <patternFill patternType="solid">
          <fgColor rgb="FFFBE4D5"/>
        </patternFill>
      </fill>
    </dxf>
    <dxf>
      <font>
        <b val="1"/>
        <color rgb="FF9C0006"/>
      </font>
      <fill>
        <patternFill patternType="solid">
          <fgColor rgb="FFFBE4D5"/>
        </patternFill>
      </fill>
    </dxf>
    <dxf>
      <font>
        <b val="1"/>
        <color rgb="FF006100"/>
      </font>
      <fill>
        <patternFill patternType="solid">
          <fgColor rgb="FFE2EFDA"/>
        </patternFill>
      </fill>
    </dxf>
    <dxf>
      <font>
        <b val="1"/>
        <color rgb="FF006100"/>
      </font>
      <fill>
        <patternFill patternType="solid">
          <fgColor rgb="FFE2EFDA"/>
        </patternFill>
      </fill>
    </dxf>
    <dxf>
      <font>
        <b val="1"/>
        <color rgb="FF9C0006"/>
      </font>
      <fill>
        <patternFill patternType="solid">
          <fgColor rgb="FFFBE4D5"/>
        </patternFill>
      </fill>
    </dxf>
    <dxf>
      <font>
        <b val="1"/>
        <color rgb="FF006100"/>
      </font>
      <fill>
        <patternFill patternType="solid">
          <fgColor rgb="FFE2EFDA"/>
        </patternFill>
      </fill>
    </dxf>
    <dxf>
      <font>
        <b val="1"/>
        <color rgb="FF9C0006"/>
      </font>
      <fill>
        <patternFill patternType="solid">
          <fgColor rgb="FFFBE4D5"/>
        </patternFill>
      </fill>
    </dxf>
    <dxf>
      <font>
        <b val="1"/>
        <color rgb="FF9C0006"/>
      </font>
      <fill>
        <patternFill patternType="solid">
          <fgColor rgb="FFFBE4D5"/>
        </patternFill>
      </fill>
    </dxf>
    <dxf>
      <font>
        <b val="1"/>
        <color rgb="FF006100"/>
      </font>
      <fill>
        <patternFill patternType="solid">
          <fgColor rgb="FFE2EFDA"/>
        </patternFill>
      </fill>
    </dxf>
    <dxf>
      <font>
        <b val="1"/>
        <color rgb="FF006100"/>
      </font>
      <fill>
        <patternFill patternType="solid">
          <fgColor rgb="FFE2EFDA"/>
        </patternFill>
      </fill>
    </dxf>
    <dxf>
      <font>
        <b val="1"/>
        <color rgb="FF9C0006"/>
      </font>
      <fill>
        <patternFill patternType="solid">
          <fgColor rgb="FFFBE4D5"/>
        </patternFill>
      </fill>
    </dxf>
    <dxf>
      <font>
        <b val="1"/>
        <color rgb="FF006100"/>
      </font>
      <fill>
        <patternFill patternType="solid">
          <fgColor rgb="FFE2EFDA"/>
        </patternFill>
      </fill>
    </dxf>
    <dxf>
      <font>
        <b val="1"/>
        <color rgb="FF9C0006"/>
      </font>
      <fill>
        <patternFill patternType="solid">
          <fgColor rgb="FFFBE4D5"/>
        </patternFill>
      </fill>
    </dxf>
    <dxf>
      <font>
        <b val="1"/>
        <color rgb="FF9C0006"/>
      </font>
      <fill>
        <patternFill patternType="solid">
          <fgColor rgb="FFFBE4D5"/>
        </patternFill>
      </fill>
    </dxf>
    <dxf>
      <font>
        <b val="1"/>
        <color rgb="FF006100"/>
      </font>
      <fill>
        <patternFill patternType="solid">
          <fgColor rgb="FFE2EFDA"/>
        </patternFill>
      </fill>
    </dxf>
    <dxf>
      <font>
        <b val="1"/>
        <color rgb="FF006100"/>
      </font>
      <fill>
        <patternFill patternType="solid">
          <fgColor rgb="FFE2EFDA"/>
        </patternFill>
      </fill>
    </dxf>
    <dxf>
      <font>
        <b val="1"/>
        <color rgb="FF9C0006"/>
      </font>
      <fill>
        <patternFill patternType="solid">
          <fgColor rgb="FFFBE4D5"/>
        </patternFill>
      </fill>
    </dxf>
    <dxf>
      <font>
        <b val="1"/>
        <color rgb="FF006100"/>
      </font>
      <fill>
        <patternFill patternType="solid">
          <fgColor rgb="FFE2EFDA"/>
        </patternFill>
      </fill>
    </dxf>
    <dxf>
      <font>
        <b val="1"/>
        <color rgb="FF9C0006"/>
      </font>
      <fill>
        <patternFill patternType="solid">
          <fgColor rgb="FFFBE4D5"/>
        </patternFill>
      </fill>
    </dxf>
    <dxf>
      <font>
        <b val="1"/>
        <color rgb="FF9C0006"/>
      </font>
      <fill>
        <patternFill patternType="solid">
          <fgColor rgb="FFFBE4D5"/>
        </patternFill>
      </fill>
    </dxf>
    <dxf>
      <font>
        <b val="1"/>
        <color rgb="FF006100"/>
      </font>
      <fill>
        <patternFill patternType="solid">
          <fgColor rgb="FFE2EFDA"/>
        </patternFill>
      </fill>
    </dxf>
    <dxf>
      <font>
        <b val="1"/>
        <color rgb="FF006100"/>
      </font>
      <fill>
        <patternFill patternType="solid">
          <fgColor rgb="FFE2EFDA"/>
        </patternFill>
      </fill>
    </dxf>
    <dxf>
      <font>
        <b val="1"/>
        <color rgb="FF9C0006"/>
      </font>
      <fill>
        <patternFill patternType="solid">
          <fgColor rgb="FFFBE4D5"/>
        </patternFill>
      </fill>
    </dxf>
    <dxf>
      <font>
        <b val="1"/>
        <color rgb="FF006100"/>
      </font>
      <fill>
        <patternFill patternType="solid">
          <fgColor rgb="FFE2EFDA"/>
        </patternFill>
      </fill>
    </dxf>
    <dxf>
      <font>
        <b val="1"/>
        <color rgb="FF9C0006"/>
      </font>
      <fill>
        <patternFill patternType="solid">
          <fgColor rgb="FFFBE4D5"/>
        </patternFill>
      </fill>
    </dxf>
    <dxf>
      <font>
        <b val="1"/>
        <color rgb="FF9C0006"/>
      </font>
      <fill>
        <patternFill patternType="solid">
          <fgColor rgb="FFFBE4D5"/>
        </patternFill>
      </fill>
    </dxf>
    <dxf>
      <font>
        <b val="1"/>
        <color rgb="FF006100"/>
      </font>
      <fill>
        <patternFill patternType="solid">
          <fgColor rgb="FFE2EFDA"/>
        </patternFill>
      </fill>
    </dxf>
    <dxf>
      <font>
        <b val="1"/>
        <color rgb="FF006100"/>
      </font>
      <fill>
        <patternFill patternType="solid">
          <fgColor rgb="FFE2EFDA"/>
        </patternFill>
      </fill>
    </dxf>
    <dxf>
      <font>
        <b val="1"/>
        <color rgb="FF9C0006"/>
      </font>
      <fill>
        <patternFill patternType="solid">
          <fgColor rgb="FFFBE4D5"/>
        </patternFill>
      </fill>
    </dxf>
    <dxf>
      <font>
        <b val="1"/>
        <color rgb="FF006100"/>
      </font>
      <fill>
        <patternFill patternType="solid">
          <fgColor rgb="FFE2EFDA"/>
        </patternFill>
      </fill>
    </dxf>
    <dxf>
      <font>
        <b val="1"/>
        <color rgb="FF9C0006"/>
      </font>
      <fill>
        <patternFill patternType="solid">
          <fgColor rgb="FFFBE4D5"/>
        </patternFill>
      </fill>
    </dxf>
    <dxf>
      <font>
        <b val="1"/>
        <color rgb="FF9C0006"/>
      </font>
      <fill>
        <patternFill patternType="solid">
          <fgColor rgb="FFFBE4D5"/>
        </patternFill>
      </fill>
    </dxf>
    <dxf>
      <font>
        <b val="1"/>
        <color rgb="FF006100"/>
      </font>
      <fill>
        <patternFill patternType="solid">
          <fgColor rgb="FFE2EFDA"/>
        </patternFill>
      </fill>
    </dxf>
    <dxf>
      <font>
        <b val="1"/>
        <color rgb="FF006100"/>
      </font>
      <fill>
        <patternFill patternType="solid">
          <fgColor rgb="FFE2EFDA"/>
        </patternFill>
      </fill>
    </dxf>
    <dxf>
      <font>
        <b val="1"/>
        <color rgb="FF9C0006"/>
      </font>
      <fill>
        <patternFill patternType="solid">
          <fgColor rgb="FFFBE4D5"/>
        </patternFill>
      </fill>
    </dxf>
    <dxf>
      <font>
        <b val="1"/>
        <color rgb="FF006100"/>
      </font>
      <fill>
        <patternFill patternType="solid">
          <fgColor rgb="FFE2EFDA"/>
        </patternFill>
      </fill>
    </dxf>
    <dxf>
      <font>
        <b val="1"/>
        <color rgb="FF9C0006"/>
      </font>
      <fill>
        <patternFill patternType="solid">
          <fgColor rgb="FFFBE4D5"/>
        </patternFill>
      </fill>
    </dxf>
    <dxf>
      <font>
        <b val="1"/>
        <color rgb="FF9C0006"/>
      </font>
      <fill>
        <patternFill patternType="solid">
          <fgColor rgb="FFFBE4D5"/>
        </patternFill>
      </fill>
    </dxf>
    <dxf>
      <font>
        <b val="1"/>
        <color rgb="FF006100"/>
      </font>
      <fill>
        <patternFill patternType="solid">
          <fgColor rgb="FFE2EFDA"/>
        </patternFill>
      </fill>
    </dxf>
    <dxf>
      <font>
        <b val="1"/>
        <color rgb="FF006100"/>
      </font>
      <fill>
        <patternFill patternType="solid">
          <fgColor rgb="FFE2EFDA"/>
        </patternFill>
      </fill>
    </dxf>
    <dxf>
      <font>
        <b val="1"/>
        <color rgb="FF9C0006"/>
      </font>
      <fill>
        <patternFill patternType="solid">
          <fgColor rgb="FFFBE4D5"/>
        </patternFill>
      </fill>
    </dxf>
    <dxf>
      <font>
        <b val="1"/>
        <color rgb="FF006100"/>
      </font>
      <fill>
        <patternFill patternType="solid">
          <fgColor rgb="FFE2EFDA"/>
        </patternFill>
      </fill>
    </dxf>
    <dxf>
      <font>
        <b val="1"/>
        <color rgb="FF9C0006"/>
      </font>
      <fill>
        <patternFill patternType="solid">
          <fgColor rgb="FFFBE4D5"/>
        </patternFill>
      </fill>
    </dxf>
    <dxf>
      <font>
        <b val="1"/>
        <color rgb="FF9C0006"/>
      </font>
      <fill>
        <patternFill patternType="solid">
          <fgColor rgb="FFFBE4D5"/>
        </patternFill>
      </fill>
    </dxf>
    <dxf>
      <font>
        <b val="1"/>
        <color rgb="FF006100"/>
      </font>
      <fill>
        <patternFill patternType="solid">
          <fgColor rgb="FFE2EFDA"/>
        </patternFill>
      </fill>
    </dxf>
    <dxf>
      <font>
        <b val="1"/>
        <color rgb="FF006100"/>
      </font>
      <fill>
        <patternFill patternType="solid">
          <fgColor rgb="FFE2EFDA"/>
        </patternFill>
      </fill>
    </dxf>
    <dxf>
      <font>
        <b val="1"/>
        <color rgb="FF9C0006"/>
      </font>
      <fill>
        <patternFill patternType="solid">
          <fgColor rgb="FFFBE4D5"/>
        </patternFill>
      </fill>
    </dxf>
    <dxf>
      <font>
        <b val="1"/>
        <color rgb="FF006100"/>
      </font>
      <fill>
        <patternFill patternType="solid">
          <fgColor rgb="FFE2EFDA"/>
        </patternFill>
      </fill>
    </dxf>
    <dxf>
      <font>
        <b val="1"/>
        <color rgb="FF9C0006"/>
      </font>
      <fill>
        <patternFill patternType="solid">
          <fgColor rgb="FFFBE4D5"/>
        </patternFill>
      </fill>
    </dxf>
    <dxf>
      <font>
        <b val="1"/>
        <color rgb="FF9C0006"/>
      </font>
      <fill>
        <patternFill patternType="solid">
          <fgColor rgb="FFFBE4D5"/>
        </patternFill>
      </fill>
    </dxf>
    <dxf>
      <font>
        <b val="1"/>
        <color rgb="FF006100"/>
      </font>
      <fill>
        <patternFill patternType="solid">
          <fgColor rgb="FFE2EFDA"/>
        </patternFill>
      </fill>
    </dxf>
    <dxf>
      <font>
        <b val="1"/>
        <color rgb="FF006100"/>
      </font>
      <fill>
        <patternFill patternType="solid">
          <fgColor rgb="FFE2EFDA"/>
        </patternFill>
      </fill>
    </dxf>
    <dxf>
      <font>
        <b val="1"/>
        <color rgb="FF9C0006"/>
      </font>
      <fill>
        <patternFill patternType="solid">
          <fgColor rgb="FFFBE4D5"/>
        </patternFill>
      </fill>
    </dxf>
    <dxf>
      <font>
        <b val="1"/>
        <color rgb="FF006100"/>
      </font>
      <fill>
        <patternFill patternType="solid">
          <fgColor rgb="FFE2EFDA"/>
        </patternFill>
      </fill>
    </dxf>
    <dxf>
      <font>
        <b val="1"/>
        <color rgb="FF9C0006"/>
      </font>
      <fill>
        <patternFill patternType="solid">
          <fgColor rgb="FFFBE4D5"/>
        </patternFill>
      </fill>
    </dxf>
    <dxf>
      <font>
        <b val="1"/>
        <color rgb="FF9C0006"/>
      </font>
      <fill>
        <patternFill patternType="solid">
          <fgColor rgb="FFFBE4D5"/>
        </patternFill>
      </fill>
    </dxf>
    <dxf>
      <font>
        <b val="1"/>
        <color rgb="FF006100"/>
      </font>
      <fill>
        <patternFill patternType="solid">
          <fgColor rgb="FFE2EFDA"/>
        </patternFill>
      </fill>
    </dxf>
    <dxf>
      <font>
        <b val="1"/>
        <color rgb="FF006100"/>
      </font>
      <fill>
        <patternFill patternType="solid">
          <fgColor rgb="FFE2EFDA"/>
        </patternFill>
      </fill>
    </dxf>
    <dxf>
      <font>
        <b val="1"/>
        <color rgb="FF9C0006"/>
      </font>
      <fill>
        <patternFill patternType="solid">
          <fgColor rgb="FFFBE4D5"/>
        </patternFill>
      </fill>
    </dxf>
    <dxf>
      <font>
        <b val="1"/>
        <color rgb="FF006100"/>
      </font>
      <fill>
        <patternFill patternType="solid">
          <fgColor rgb="FFE2EFDA"/>
        </patternFill>
      </fill>
    </dxf>
    <dxf>
      <font>
        <b val="1"/>
        <color rgb="FF9C0006"/>
      </font>
      <fill>
        <patternFill patternType="solid">
          <fgColor rgb="FFFBE4D5"/>
        </patternFill>
      </fill>
    </dxf>
    <dxf>
      <font>
        <b val="1"/>
        <color rgb="FF9C0006"/>
      </font>
      <fill>
        <patternFill patternType="solid">
          <fgColor rgb="FFFBE4D5"/>
        </patternFill>
      </fill>
    </dxf>
    <dxf>
      <font>
        <b val="1"/>
        <color rgb="FF006100"/>
      </font>
      <fill>
        <patternFill patternType="solid">
          <fgColor rgb="FFE2EFDA"/>
        </patternFill>
      </fill>
    </dxf>
    <dxf>
      <font>
        <b val="1"/>
        <color rgb="FF006100"/>
      </font>
      <fill>
        <patternFill patternType="solid">
          <fgColor rgb="FFE2EFDA"/>
        </patternFill>
      </fill>
    </dxf>
    <dxf>
      <font>
        <b val="1"/>
        <color rgb="FF9C0006"/>
      </font>
      <fill>
        <patternFill patternType="solid">
          <fgColor rgb="FFFBE4D5"/>
        </patternFill>
      </fill>
    </dxf>
    <dxf>
      <font>
        <b val="1"/>
        <color rgb="FF006100"/>
      </font>
      <fill>
        <patternFill patternType="solid">
          <fgColor rgb="FFE2EFDA"/>
        </patternFill>
      </fill>
    </dxf>
    <dxf>
      <font>
        <b val="1"/>
        <color rgb="FF9C0006"/>
      </font>
      <fill>
        <patternFill patternType="solid">
          <fgColor rgb="FFFBE4D5"/>
        </patternFill>
      </fill>
    </dxf>
  </dxfs>
  <tableStyles count="0" defaultTableStyle="TableStyleMedium2" defaultPivotStyle="PivotStyleLight16"/>
  <colors>
    <indexedColors>
      <rgbColor rgb="FF000000"/>
      <rgbColor rgb="FFFFFFFF"/>
      <rgbColor rgb="FFFF0000"/>
      <rgbColor rgb="FF00FF00"/>
      <rgbColor rgb="FF0000FF"/>
      <rgbColor rgb="FFFBE3D6"/>
      <rgbColor rgb="FFFF00FF"/>
      <rgbColor rgb="FF00FFFF"/>
      <rgbColor rgb="FF9C0006"/>
      <rgbColor rgb="FF008000"/>
      <rgbColor rgb="FF000099"/>
      <rgbColor rgb="FF808000"/>
      <rgbColor rgb="FF800080"/>
      <rgbColor rgb="FF008080"/>
      <rgbColor rgb="FFBFBFBF"/>
      <rgbColor rgb="FF808080"/>
      <rgbColor rgb="FFE7EAED"/>
      <rgbColor rgb="FF993366"/>
      <rgbColor rgb="FFFFF2CC"/>
      <rgbColor rgb="FFDCEAF7"/>
      <rgbColor rgb="FF660066"/>
      <rgbColor rgb="FFFF8080"/>
      <rgbColor rgb="FF1F4E79"/>
      <rgbColor rgb="FFB8D0ED"/>
      <rgbColor rgb="FF18249C"/>
      <rgbColor rgb="FFFF00FF"/>
      <rgbColor rgb="FFF2F2F2"/>
      <rgbColor rgb="FF00FFFF"/>
      <rgbColor rgb="FF800080"/>
      <rgbColor rgb="FF800000"/>
      <rgbColor rgb="FF008080"/>
      <rgbColor rgb="FF0000FF"/>
      <rgbColor rgb="FF00CCFF"/>
      <rgbColor rgb="FFDCE6F2"/>
      <rgbColor rgb="FFE2EFDA"/>
      <rgbColor rgb="FFFBE4D5"/>
      <rgbColor rgb="FFD9D9D9"/>
      <rgbColor rgb="FFFAC090"/>
      <rgbColor rgb="FFDDD9C3"/>
      <rgbColor rgb="FFF8CBAD"/>
      <rgbColor rgb="FF3366FF"/>
      <rgbColor rgb="FF33CCCC"/>
      <rgbColor rgb="FF92D050"/>
      <rgbColor rgb="FFFFC000"/>
      <rgbColor rgb="FFFF9900"/>
      <rgbColor rgb="FFFF6600"/>
      <rgbColor rgb="FF595959"/>
      <rgbColor rgb="FFAEAEAE"/>
      <rgbColor rgb="FF002F6C"/>
      <rgbColor rgb="FF339966"/>
      <rgbColor rgb="FF151515"/>
      <rgbColor rgb="FF006100"/>
      <rgbColor rgb="FF993300"/>
      <rgbColor rgb="FF993366"/>
      <rgbColor rgb="FF1D2E99"/>
      <rgbColor rgb="FF1F497D"/>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pivotCacheDefinition" Target="/xl/pivotCache/pivotCacheDefinition1.xml" Id="rId52" /><Relationship Type="http://schemas.openxmlformats.org/officeDocument/2006/relationships/pivotCacheDefinition" Target="/xl/pivotCache/pivotCacheDefinition2.xml" Id="rId53" /><Relationship Type="http://schemas.openxmlformats.org/officeDocument/2006/relationships/styles" Target="styles.xml" Id="rId54" /><Relationship Type="http://schemas.openxmlformats.org/officeDocument/2006/relationships/theme" Target="theme/theme1.xml" Id="rId55" /></Relationships>
</file>

<file path=xl/pivotCache/_rels/pivotCacheDefinition1.xml.rels><Relationships xmlns="http://schemas.openxmlformats.org/package/2006/relationships"><Relationship Type="http://schemas.openxmlformats.org/officeDocument/2006/relationships/pivotCacheRecords" Target="/xl/pivotCache/pivotCacheRecords1.xml" Id="rId1" /></Relationships>
</file>

<file path=xl/pivotCache/_rels/pivotCacheDefinition2.xml.rels><Relationships xmlns="http://schemas.openxmlformats.org/package/2006/relationships"><Relationship Type="http://schemas.openxmlformats.org/officeDocument/2006/relationships/pivotCacheRecords" Target="/xl/pivotCache/pivotCacheRecords2.xml" Id="rId1" /></Relationships>
</file>

<file path=xl/pivotCache/pivotCacheDefinition1.xml><?xml version="1.0" encoding="utf-8"?>
<pivotCacheDefinition xmlns:r="http://schemas.openxmlformats.org/officeDocument/2006/relationships" xmlns="http://schemas.openxmlformats.org/spreadsheetml/2006/main" refreshedBy="Jackie Birch" refreshedDate="46223.42097592592" createdVersion="8" refreshedVersion="8" minRefreshableVersion="3" recordCount="537" r:id="rId1">
  <cacheSource type="worksheet">
    <worksheetSource ref="A1:M538" sheet="REVIEW - Complete Role Mapping"/>
  </cacheSource>
  <cacheFields count="13">
    <cacheField name="EE Number" uniqueList="1" numFmtId="1" sqlType="0" hierarchy="0" level="0" databaseField="1">
      <sharedItems count="0" containsBlank="1" containsInteger="1" containsMixedTypes="1" containsNumber="1" minValue="0" maxValue="9999970029518"/>
    </cacheField>
    <cacheField name="Name" uniqueList="1" numFmtId="0" sqlType="0" hierarchy="0" level="0" databaseField="1">
      <sharedItems count="0" containsBlank="1"/>
    </cacheField>
    <cacheField name="Position Title" uniqueList="1" numFmtId="0" sqlType="0" hierarchy="0" level="0" databaseField="1">
      <sharedItems count="0" containsBlank="1"/>
    </cacheField>
    <cacheField name="Reports to name" uniqueList="1" numFmtId="0" sqlType="0" hierarchy="0" level="0" databaseField="1">
      <sharedItems count="0" containsBlank="1"/>
    </cacheField>
    <cacheField name="Reports to Position" uniqueList="1" numFmtId="0" sqlType="0" hierarchy="0" level="0" databaseField="1">
      <sharedItems count="0" containsBlank="1"/>
    </cacheField>
    <cacheField name="Division (GM)" uniqueList="1" numFmtId="0" sqlType="0" hierarchy="0" level="0" databaseField="1">
      <sharedItems count="0" containsBlank="1"/>
    </cacheField>
    <cacheField name="Department (GM-1)" uniqueList="1" numFmtId="0" sqlType="0" hierarchy="0" level="0" databaseField="1">
      <sharedItems count="0" containsBlank="1"/>
    </cacheField>
    <cacheField name="Team (GM-2)" uniqueList="1" numFmtId="0" sqlType="0" hierarchy="0" level="0" databaseField="1">
      <sharedItems count="0" containsBlank="1"/>
    </cacheField>
    <cacheField name="Portfolio" uniqueList="1" numFmtId="0" sqlType="0" hierarchy="0" level="0" databaseField="1">
      <sharedItems count="0" containsBlank="1"/>
    </cacheField>
    <cacheField name="Platform" uniqueList="1" numFmtId="0" sqlType="0" hierarchy="0" level="0" databaseField="1">
      <sharedItems count="0" containsBlank="1"/>
    </cacheField>
    <cacheField name="Squad" uniqueList="1" numFmtId="0" sqlType="0" hierarchy="0" level="0" databaseField="1">
      <sharedItems count="0" containsBlank="1"/>
    </cacheField>
    <cacheField name="CC" uniqueList="1" numFmtId="0" sqlType="0" hierarchy="0" level="0" databaseField="1">
      <sharedItems count="0" containsBlank="1" containsNonDate="0" containsString="0"/>
    </cacheField>
    <cacheField name="Country" uniqueList="1" numFmtId="0" sqlType="0" hierarchy="0" level="0" databaseField="1">
      <sharedItems count="0" containsBlank="1" containsInteger="1" containsMixedTypes="1" containsNumber="1" minValue="0" maxValue="0"/>
    </cacheField>
  </cacheFields>
</pivotCacheDefinition>
</file>

<file path=xl/pivotCache/pivotCacheDefinition2.xml><?xml version="1.0" encoding="utf-8"?>
<pivotCacheDefinition xmlns:r="http://schemas.openxmlformats.org/officeDocument/2006/relationships" xmlns="http://schemas.openxmlformats.org/spreadsheetml/2006/main" refreshedBy="Jackie Birch" refreshedDate="46223.41999768519" createdVersion="8" refreshedVersion="8" minRefreshableVersion="3" recordCount="539" r:id="rId1">
  <cacheSource type="worksheet">
    <worksheetSource ref="A1:B1048576" sheet="REVIEW - Complete Role Mapping"/>
  </cacheSource>
  <cacheFields count="2">
    <cacheField name="EE Number" uniqueList="1" numFmtId="0" sqlType="0" hierarchy="0" level="0" databaseField="1">
      <sharedItems count="0" containsBlank="1" containsInteger="1" containsMixedTypes="1" containsNumber="1" minValue="0" maxValue="9999970029518"/>
    </cacheField>
    <cacheField name="Name" uniqueList="1" numFmtId="0" sqlType="0" hierarchy="0" level="0" databaseField="1">
      <sharedItems count="0" containsBlank="1"/>
    </cacheField>
  </cacheFields>
</pivotCacheDefinition>
</file>

<file path=xl/pivotCache/pivotCacheRecords1.xml><?xml version="1.0" encoding="utf-8"?>
<pivotCacheRecords xmlns="http://schemas.openxmlformats.org/spreadsheetml/2006/main" count="539">
  <r>
    <n v="99999100977"/>
    <s v="Warren Grieve"/>
  </r>
  <r>
    <n v="99999100975"/>
    <s v="Chris Mitchell"/>
  </r>
  <r>
    <n v="99999102141"/>
    <s v="Christian Guo"/>
  </r>
  <r>
    <n v="99999100432"/>
    <s v="Vanessa King"/>
  </r>
  <r>
    <n v="99999101553"/>
    <s v="Bradley Cunningham"/>
  </r>
  <r>
    <n v="99999101650"/>
    <s v="Sakshi Sachdeva"/>
  </r>
  <r>
    <n v="99999101643"/>
    <s v="Alex Sutherland"/>
  </r>
  <r>
    <n v="109974"/>
    <s v="Gerald Aguas"/>
  </r>
  <r>
    <n v="85136"/>
    <s v="Tuan Edwards"/>
  </r>
  <r>
    <n v="8445"/>
    <s v="Geoff Goddard"/>
  </r>
  <r>
    <n v="90097"/>
    <s v="Patrick Ericson Nario"/>
  </r>
  <r>
    <n v="4534"/>
    <s v="Andrew Whitford"/>
  </r>
  <r>
    <n v="95017"/>
    <s v="Sjoerd Van Sluijs"/>
  </r>
  <r>
    <n v="86604"/>
    <s v="Vanessa Allen"/>
  </r>
  <r>
    <n v="98379"/>
    <s v="Vaishnavi Viswanathan"/>
  </r>
  <r>
    <n v="95285"/>
    <s v="Tracy Lee Reaper"/>
  </r>
  <r>
    <n v="111451"/>
    <s v="Aniket Banerji"/>
  </r>
  <r>
    <n v="95128"/>
    <s v="Deepak Kubendran"/>
  </r>
  <r>
    <n v="11424"/>
    <s v="Sao Keawprasit"/>
  </r>
  <r>
    <n v="114829"/>
    <s v="Zuan Zheng"/>
  </r>
  <r>
    <m/>
    <s v="Vacant"/>
  </r>
  <r>
    <n v="108357"/>
    <s v="Pahul Oberoi"/>
  </r>
  <r>
    <m/>
    <s v="Vacant"/>
  </r>
  <r>
    <m/>
    <s v="Vacant"/>
  </r>
  <r>
    <n v="7001"/>
    <s v="Joseph Maroun"/>
  </r>
  <r>
    <n v="117167"/>
    <s v="Vijay Patel"/>
  </r>
  <r>
    <m/>
    <s v="Vacant"/>
  </r>
  <r>
    <n v="84413"/>
    <s v="Karthick Sathiyamoorthy"/>
  </r>
  <r>
    <n v="99999102104"/>
    <s v="Isuru Herath"/>
  </r>
  <r>
    <n v="99999101222"/>
    <s v="Malachi Ah Hoi"/>
  </r>
  <r>
    <m/>
    <s v="Vacant"/>
  </r>
  <r>
    <m/>
    <s v="Vacant"/>
  </r>
  <r>
    <m/>
    <s v="Vacant"/>
  </r>
  <r>
    <m/>
    <s v="Emma Natoli"/>
  </r>
  <r>
    <n v="98007"/>
    <s v="Sendhil Vinayagam (75% EGI)"/>
  </r>
  <r>
    <m/>
    <s v="Vacant"/>
  </r>
  <r>
    <n v="99999101426"/>
    <s v="Trevor Weaver"/>
  </r>
  <r>
    <n v="9999970029518"/>
    <s v="Anne Pretorius"/>
  </r>
  <r>
    <n v="4259"/>
    <s v="Ephraim Adan"/>
  </r>
  <r>
    <n v="111835"/>
    <s v="Matthew Patane"/>
  </r>
  <r>
    <n v="99999101647"/>
    <s v="Ash Muthumala"/>
  </r>
  <r>
    <n v="91356"/>
    <s v="Javier Aguirre Castellanos"/>
  </r>
  <r>
    <m/>
    <s v="Vacant"/>
  </r>
  <r>
    <n v="99999101214"/>
    <s v="Anna Koot"/>
  </r>
  <r>
    <m/>
    <s v="Manjot Kaur Malli "/>
  </r>
  <r>
    <n v="114990"/>
    <s v="Zhan Zhang"/>
  </r>
  <r>
    <n v="99999101233"/>
    <s v="Chris Wilson"/>
  </r>
  <r>
    <n v="99999102028"/>
    <s v="Lauren Lancaster"/>
  </r>
  <r>
    <n v="110388"/>
    <s v="Adrian Lueng"/>
  </r>
  <r>
    <n v="86743"/>
    <s v="Majdi Abedi"/>
  </r>
  <r>
    <n v="94420"/>
    <s v="Peter Nicolopoulos"/>
  </r>
  <r>
    <m/>
    <s v="Vacant"/>
  </r>
  <r>
    <n v="99999101542"/>
    <s v="Joe Kuttikkatt"/>
  </r>
  <r>
    <m/>
    <s v="Vacant"/>
  </r>
  <r>
    <n v="113783"/>
    <s v="Tabitha Raharadjo"/>
  </r>
  <r>
    <n v="99999100418"/>
    <s v="Callan McLaughlin"/>
  </r>
  <r>
    <m/>
    <s v="Vacant"/>
  </r>
  <r>
    <n v="99999101620"/>
    <s v="Johanah Gloria"/>
  </r>
  <r>
    <m/>
    <s v="Vacant"/>
  </r>
  <r>
    <m/>
    <s v="Vacant"/>
  </r>
  <r>
    <m/>
    <s v="Vacant"/>
  </r>
  <r>
    <m/>
    <s v="Vacant"/>
  </r>
  <r>
    <m/>
    <s v="Vacant"/>
  </r>
  <r>
    <n v="99999101668"/>
    <s v="McKenzie Tournquist"/>
  </r>
  <r>
    <m/>
    <s v="Vacant"/>
  </r>
  <r>
    <n v="99999102123"/>
    <s v="Jodie Marquez"/>
  </r>
  <r>
    <n v="9999922690"/>
    <s v="Tim Gurnsey"/>
  </r>
  <r>
    <n v="97847"/>
    <s v="Beenu Murali"/>
  </r>
  <r>
    <m/>
    <s v="Vacant"/>
  </r>
  <r>
    <n v="8904"/>
    <s v="Vedran Jukic"/>
  </r>
  <r>
    <n v="0"/>
    <s v="Kanti Hirani"/>
  </r>
  <r>
    <n v="99999102110"/>
    <s v="Eugene Yeo"/>
  </r>
  <r>
    <n v="99999101959"/>
    <s v="Brian Lai"/>
  </r>
  <r>
    <n v="99999100476"/>
    <s v="Kelly Russell"/>
  </r>
  <r>
    <m/>
    <s v="Vacant"/>
  </r>
  <r>
    <n v="99999101333"/>
    <s v="Benjamin Sheffield"/>
  </r>
  <r>
    <n v="99999170431"/>
    <s v="Mark Dickson"/>
  </r>
  <r>
    <n v="99999101533"/>
    <s v="Adrian Alcance"/>
  </r>
  <r>
    <n v="99999101548"/>
    <s v="Allana Arbuckle"/>
  </r>
  <r>
    <m/>
    <s v="Vacant"/>
  </r>
  <r>
    <n v="99999102111"/>
    <s v="Gayan Liyana Arachchige"/>
  </r>
  <r>
    <m/>
    <s v="Vacant"/>
  </r>
  <r>
    <m/>
    <s v="Vacant"/>
  </r>
  <r>
    <n v="99999100699"/>
    <s v="Helen Jones"/>
  </r>
  <r>
    <n v="104050"/>
    <s v="Violeta Trajkovski"/>
  </r>
  <r>
    <n v="99999101623"/>
    <s v="Michael Dasan"/>
  </r>
  <r>
    <m/>
    <s v="Vacant"/>
  </r>
  <r>
    <m/>
    <s v="Vacant"/>
  </r>
  <r>
    <m/>
    <s v="Vacant"/>
  </r>
  <r>
    <n v="0"/>
    <s v="Viren Khatri"/>
  </r>
  <r>
    <n v="85137"/>
    <s v="Mick Standen"/>
  </r>
  <r>
    <m/>
    <s v="Vacant"/>
  </r>
  <r>
    <n v="85321"/>
    <s v="Karthikeyan Kuppan"/>
  </r>
  <r>
    <n v="114003"/>
    <s v="Sayan Kar"/>
  </r>
  <r>
    <n v="99999101804"/>
    <s v="Kate Johnstone"/>
  </r>
  <r>
    <n v="110852"/>
    <s v="Madan Murthy"/>
  </r>
  <r>
    <m/>
    <s v="Vacant"/>
  </r>
  <r>
    <n v="0"/>
    <s v="Alex Prakhiy"/>
  </r>
  <r>
    <n v="0"/>
    <s v="Bhaskar Nandi"/>
  </r>
  <r>
    <m/>
    <s v="Vacant"/>
  </r>
  <r>
    <n v="110704"/>
    <s v="Irfan Zavahir"/>
  </r>
  <r>
    <m/>
    <s v="Vacant"/>
  </r>
  <r>
    <m/>
    <s v="Vacant"/>
  </r>
  <r>
    <n v="97784"/>
    <s v="Balaji Murugan"/>
  </r>
  <r>
    <m/>
    <s v="Vacant"/>
  </r>
  <r>
    <m/>
    <s v="Vacant"/>
  </r>
  <r>
    <n v="115831"/>
    <s v="Venkat Kedharanathan"/>
  </r>
  <r>
    <n v="98158"/>
    <s v="Vanessa Trujillo Munoz"/>
  </r>
  <r>
    <n v="114616"/>
    <s v="Marty O'Shea"/>
  </r>
  <r>
    <n v="110197"/>
    <s v="Anthony Dumbrell"/>
  </r>
  <r>
    <n v="107164"/>
    <s v="Santiago Hernandez Arevalo"/>
  </r>
  <r>
    <n v="95286"/>
    <s v="Navneet Singh"/>
  </r>
  <r>
    <m/>
    <s v="Vacant"/>
  </r>
  <r>
    <m/>
    <s v="Vacant"/>
  </r>
  <r>
    <n v="99999102079"/>
    <s v="Sam Turnball"/>
  </r>
  <r>
    <n v="99999101676"/>
    <s v="Ants Jackson"/>
  </r>
  <r>
    <n v="98015"/>
    <s v="Ethan Laffan"/>
  </r>
  <r>
    <n v="113463"/>
    <s v="Alisha Allport"/>
  </r>
  <r>
    <n v="99999101757"/>
    <s v="Tim Corin"/>
  </r>
  <r>
    <n v="116714"/>
    <s v="Maria Salman"/>
  </r>
  <r>
    <n v="0"/>
    <s v="Adam Anticaglia"/>
  </r>
  <r>
    <m/>
    <s v="Vacant"/>
  </r>
  <r>
    <n v="99999101543"/>
    <s v="Shona Paul"/>
  </r>
  <r>
    <m/>
    <s v="Vacant"/>
  </r>
  <r>
    <n v="98144"/>
    <s v="Angie Ng"/>
  </r>
  <r>
    <n v="99999101672"/>
    <s v="Kaye Javier"/>
  </r>
  <r>
    <n v="99999101500"/>
    <s v="Bharat Talreja"/>
  </r>
  <r>
    <m/>
    <s v="Vacant"/>
  </r>
  <r>
    <n v="99999101633"/>
    <s v="Kishore Ganesan"/>
  </r>
  <r>
    <n v="99999101656"/>
    <s v="Carianne Monast"/>
  </r>
  <r>
    <n v="97357"/>
    <s v="Daniel Arban"/>
  </r>
  <r>
    <n v="106200"/>
    <s v="Emile Violi"/>
  </r>
  <r>
    <n v="116957"/>
    <s v="Raj Ganesan"/>
  </r>
  <r>
    <m/>
    <s v="Shreema Das"/>
  </r>
  <r>
    <n v="0"/>
    <s v="Jordan Askwith"/>
  </r>
  <r>
    <n v="107781"/>
    <s v="Ramez Haider"/>
  </r>
  <r>
    <n v="0"/>
    <s v="Annabel Phu"/>
  </r>
  <r>
    <n v="108287"/>
    <s v="Binumon Mathai"/>
  </r>
  <r>
    <n v="0"/>
    <s v="Sheetal Karkera"/>
  </r>
  <r>
    <n v="115964"/>
    <s v="Toby Clark"/>
  </r>
  <r>
    <n v="99999101220"/>
    <s v="Byron Thornhill"/>
  </r>
  <r>
    <m/>
    <s v="Vacant"/>
  </r>
  <r>
    <m/>
    <s v="Vacant (B2B)"/>
  </r>
  <r>
    <n v="117173"/>
    <s v="Ashwini Gaikwad"/>
  </r>
  <r>
    <n v="0"/>
    <s v="Phillip Kewley"/>
  </r>
  <r>
    <n v="99999101454"/>
    <s v="Celia Voysey"/>
  </r>
  <r>
    <m/>
    <s v="Vacant"/>
  </r>
  <r>
    <n v="99999101891"/>
    <s v="Shinal Chamberlain"/>
  </r>
  <r>
    <n v="99999101370"/>
    <s v="Denise Esguerra"/>
  </r>
  <r>
    <n v="0"/>
    <s v="Waheed Malek"/>
  </r>
  <r>
    <m/>
    <s v="Vacant"/>
  </r>
  <r>
    <m/>
    <s v="Vacant"/>
  </r>
  <r>
    <n v="97200"/>
    <s v="Mitesh Shah"/>
  </r>
  <r>
    <n v="99999100279"/>
    <s v="Kris Hamilton"/>
  </r>
  <r>
    <n v="0"/>
    <s v="Aaron Lu"/>
  </r>
  <r>
    <n v="0"/>
    <s v="Safiq Iqbal"/>
  </r>
  <r>
    <m/>
    <s v="Vacant"/>
  </r>
  <r>
    <m/>
    <s v="Vacant (B2B)"/>
  </r>
  <r>
    <m/>
    <s v="Vacant"/>
  </r>
  <r>
    <n v="99999101612"/>
    <s v="Shane Abrahams"/>
  </r>
  <r>
    <n v="4781"/>
    <s v="Mark Wilson"/>
  </r>
  <r>
    <n v="115607"/>
    <s v="Zohan Sim"/>
  </r>
  <r>
    <m/>
    <s v="Vacant"/>
  </r>
  <r>
    <m/>
    <s v="Vacant"/>
  </r>
  <r>
    <n v="114395"/>
    <s v="Rishabh Bhatia"/>
  </r>
  <r>
    <m/>
    <s v="Vacant"/>
  </r>
  <r>
    <n v="99999101730"/>
    <s v="Scott Cullen"/>
  </r>
  <r>
    <n v="97634"/>
    <s v="Khalid Mahmud"/>
  </r>
  <r>
    <n v="107144"/>
    <s v="Jasper Na"/>
  </r>
  <r>
    <m/>
    <s v="Vacant"/>
  </r>
  <r>
    <m/>
    <s v="Vacant"/>
  </r>
  <r>
    <n v="99999101324"/>
    <s v="Angela Gilbert"/>
  </r>
  <r>
    <n v="109041"/>
    <s v="Darwin Morales"/>
  </r>
  <r>
    <n v="116387"/>
    <s v="Christian Lazano"/>
  </r>
  <r>
    <n v="116408"/>
    <s v="Abhilash Reddy"/>
  </r>
  <r>
    <n v="99999102164"/>
    <s v="anthonty gen"/>
  </r>
  <r>
    <n v="111777"/>
    <s v="Jeremy Xu"/>
  </r>
  <r>
    <m/>
    <s v="Sri Balan Raj"/>
  </r>
  <r>
    <m/>
    <s v="Vacant"/>
  </r>
  <r>
    <n v="94663"/>
    <s v="Penny Pennisi"/>
  </r>
  <r>
    <n v="108384"/>
    <s v="Saugata Acharya"/>
  </r>
  <r>
    <n v="99999100621"/>
    <s v="Kellie Gathergood"/>
  </r>
  <r>
    <m/>
    <s v="Vacant"/>
  </r>
  <r>
    <n v="0"/>
    <s v="Lily Fong"/>
  </r>
  <r>
    <m/>
    <s v="Vacant"/>
  </r>
  <r>
    <n v="0"/>
    <s v="Swapnil Pithwa"/>
  </r>
  <r>
    <m/>
    <s v="Vacant"/>
  </r>
  <r>
    <n v="0"/>
    <s v="Rob Jadrjevic"/>
  </r>
  <r>
    <n v="0"/>
    <s v="Andy Stewart"/>
  </r>
  <r>
    <n v="99999100847"/>
    <s v="Nimi Rose"/>
  </r>
  <r>
    <n v="114650"/>
    <s v="Jin Zhong"/>
  </r>
  <r>
    <n v="99999101540"/>
    <s v="James Nicolle"/>
  </r>
  <r>
    <m/>
    <s v="Vacant"/>
  </r>
  <r>
    <n v="99999101312"/>
    <s v="Megan Rodgers"/>
  </r>
  <r>
    <n v="99999102155"/>
    <s v="Yash Thakkar"/>
  </r>
  <r>
    <n v="0"/>
    <s v="Alan Peng"/>
  </r>
  <r>
    <n v="114411"/>
    <s v="Vacant"/>
  </r>
  <r>
    <n v="0"/>
    <s v="Anup Antony"/>
  </r>
  <r>
    <m/>
    <s v="Dasha Fothergill"/>
  </r>
  <r>
    <m/>
    <s v="Vacant"/>
  </r>
  <r>
    <n v="99999101601"/>
    <s v="Jordan Kettles"/>
  </r>
  <r>
    <m/>
    <s v="Vacant "/>
  </r>
  <r>
    <n v="96830"/>
    <s v="Lynda Niewidok"/>
  </r>
  <r>
    <n v="92681"/>
    <s v="Mark Pearson"/>
  </r>
  <r>
    <m/>
    <s v="Vacant"/>
  </r>
  <r>
    <n v="99999101697"/>
    <s v="Vanessa Castro"/>
  </r>
  <r>
    <n v="114683"/>
    <s v="Prashanth Chandran"/>
  </r>
  <r>
    <n v="109491"/>
    <s v="Pooja Kuperkar"/>
  </r>
  <r>
    <n v="98823"/>
    <s v="Brian Gates"/>
  </r>
  <r>
    <n v="101700"/>
    <s v="Diya Thomas"/>
  </r>
  <r>
    <n v="100825"/>
    <s v="James Byrne"/>
  </r>
  <r>
    <n v="97592"/>
    <s v="Kevin Sheerin"/>
  </r>
  <r>
    <n v="108809"/>
    <s v="Joe Nahma"/>
  </r>
  <r>
    <n v="101830"/>
    <s v="Vivienne Vasak"/>
  </r>
  <r>
    <n v="86962"/>
    <s v="Cameron Watman"/>
  </r>
  <r>
    <n v="116241"/>
    <s v="Raymond Cheung"/>
  </r>
  <r>
    <n v="102385"/>
    <s v="Chris Lyons"/>
  </r>
  <r>
    <n v="99707"/>
    <s v="Darshan Suvama"/>
  </r>
  <r>
    <n v="104966"/>
    <s v="Rahul Sahni"/>
  </r>
  <r>
    <m/>
    <s v="Vacant"/>
  </r>
  <r>
    <n v="113382"/>
    <s v="Jack Jenkins"/>
  </r>
  <r>
    <n v="104555"/>
    <s v="Ritika Salaria"/>
  </r>
  <r>
    <n v="114354"/>
    <s v="Kaaviya Salai Manimudian"/>
  </r>
  <r>
    <m/>
    <s v="Vacant (SYD)"/>
  </r>
  <r>
    <n v="108727"/>
    <s v="Jas Mann"/>
  </r>
  <r>
    <n v="108013"/>
    <s v="Vacant"/>
  </r>
  <r>
    <m/>
    <s v="Vacant"/>
  </r>
  <r>
    <n v="99999101684"/>
    <s v="Ashley Mueller"/>
  </r>
  <r>
    <m/>
    <s v="Vacant"/>
  </r>
  <r>
    <n v="6307"/>
    <s v="Darren Koller"/>
  </r>
  <r>
    <n v="99999101673"/>
    <s v="Lisa Ng"/>
  </r>
  <r>
    <n v="98371"/>
    <s v="Stafford Dowling"/>
  </r>
  <r>
    <n v="97425"/>
    <s v="Nischal Bhusal"/>
  </r>
  <r>
    <n v="99999101321"/>
    <s v="Sameer Pattanaik"/>
  </r>
  <r>
    <n v="98924"/>
    <s v="Dan Balsamo"/>
  </r>
  <r>
    <n v="87951"/>
    <s v="Iwan Wibisono"/>
  </r>
  <r>
    <n v="108728"/>
    <s v="Remya Pookat"/>
  </r>
  <r>
    <n v="113900"/>
    <s v="Mick Collins"/>
  </r>
  <r>
    <n v="99999100770"/>
    <s v="Spoilagi Bhutwala"/>
  </r>
  <r>
    <n v="99999101346"/>
    <s v="Shomiya Shayal"/>
  </r>
  <r>
    <m/>
    <s v="Vacant"/>
  </r>
  <r>
    <n v="90096"/>
    <s v="Mary-Grace Rivera"/>
  </r>
  <r>
    <n v="105647"/>
    <s v="Rajini Onteddu Reddy"/>
  </r>
  <r>
    <n v="106511"/>
    <s v="Catherine Gire"/>
  </r>
  <r>
    <n v="99999102157"/>
    <s v="Ethan Lamhert (FT)"/>
  </r>
  <r>
    <m/>
    <s v="Vacant  (AKL )"/>
  </r>
  <r>
    <n v="110204"/>
    <s v="Daniel Jolley"/>
  </r>
  <r>
    <m/>
    <s v="Vacant "/>
  </r>
  <r>
    <n v="84274"/>
    <s v="Chris Rojas"/>
  </r>
  <r>
    <n v="101504"/>
    <s v="Steven Atcheson"/>
  </r>
  <r>
    <n v="104805"/>
    <s v="Shruti Manchanda"/>
  </r>
  <r>
    <m/>
    <s v="Vacant"/>
  </r>
  <r>
    <n v="114383"/>
    <s v="Tony Keeler"/>
  </r>
  <r>
    <n v="0"/>
    <s v="Niall Greene"/>
  </r>
  <r>
    <n v="0"/>
    <s v="Winnie Fernandes"/>
  </r>
  <r>
    <n v="0"/>
    <s v="Areum Kim Lee"/>
  </r>
  <r>
    <n v="113935"/>
    <s v="Thomas Reid"/>
  </r>
  <r>
    <m/>
    <s v="Vacant"/>
  </r>
  <r>
    <m/>
    <s v="Vacant"/>
  </r>
  <r>
    <m/>
    <s v="Vacant"/>
  </r>
  <r>
    <m/>
    <s v="Vacant "/>
  </r>
  <r>
    <m/>
    <s v="Vacant "/>
  </r>
  <r>
    <n v="12992"/>
    <s v="Jeannie Chu"/>
  </r>
  <r>
    <n v="5607"/>
    <s v="Maria Somera"/>
  </r>
  <r>
    <n v="83658"/>
    <s v="Sam Chan"/>
  </r>
  <r>
    <n v="116540"/>
    <s v="Neil Reilly"/>
  </r>
  <r>
    <m/>
    <s v="Vacant"/>
  </r>
  <r>
    <n v="95835"/>
    <s v="Briony Scott"/>
  </r>
  <r>
    <n v="99999170371"/>
    <s v="Helen Ngu"/>
  </r>
  <r>
    <n v="101862"/>
    <s v="Vaughn Scott"/>
  </r>
  <r>
    <n v="82561"/>
    <s v="Jenny Chan"/>
  </r>
  <r>
    <m/>
    <s v="Vacant"/>
  </r>
  <r>
    <n v="99999102029"/>
    <s v="Matt Saunders"/>
  </r>
  <r>
    <n v="0"/>
    <s v="Malcolm Deare"/>
  </r>
  <r>
    <n v="113835"/>
    <s v="Ruth Chou"/>
  </r>
  <r>
    <m/>
    <s v="Vacant"/>
  </r>
  <r>
    <n v="99999102144"/>
    <s v="Shelley Crawford"/>
  </r>
  <r>
    <n v="102411"/>
    <s v="Vacant"/>
  </r>
  <r>
    <m/>
    <s v="Vacant"/>
  </r>
  <r>
    <n v="113362"/>
    <s v="Vacant"/>
  </r>
  <r>
    <m/>
    <s v="Vacant"/>
  </r>
  <r>
    <m/>
    <s v="Vacant"/>
  </r>
  <r>
    <m/>
    <s v="Vacant"/>
  </r>
  <r>
    <m/>
    <s v="Vacant"/>
  </r>
  <r>
    <m/>
    <s v="ring fenced"/>
  </r>
  <r>
    <m/>
    <s v="ring fenced"/>
  </r>
  <r>
    <m/>
    <s v="ring fenced"/>
  </r>
  <r>
    <m/>
    <s v="ring fenced"/>
  </r>
  <r>
    <m/>
    <s v="Sanjay Tikoo"/>
  </r>
  <r>
    <n v="99999102152"/>
    <s v="Vacant"/>
  </r>
  <r>
    <n v="113956"/>
    <s v="Deepali Mahajan"/>
  </r>
  <r>
    <m/>
    <s v="Vacant"/>
  </r>
  <r>
    <n v="114147"/>
    <s v="Sumathi Manikkampichai"/>
  </r>
  <r>
    <n v="99999101674"/>
    <s v="Roozbeh Shahbazirad"/>
  </r>
  <r>
    <m/>
    <s v="Vacant"/>
  </r>
  <r>
    <n v="80477"/>
    <s v="Vacant"/>
  </r>
  <r>
    <n v="94631"/>
    <s v="Rihan Schalkwyk"/>
  </r>
  <r>
    <m/>
    <s v="Vacant"/>
  </r>
  <r>
    <n v="99999101251"/>
    <s v="Tim Snedden"/>
  </r>
  <r>
    <n v="101166"/>
    <s v="Yu Chen"/>
  </r>
  <r>
    <m/>
    <s v="Vacant"/>
  </r>
  <r>
    <n v="107048"/>
    <s v="Om Singh"/>
  </r>
  <r>
    <m/>
    <s v="Vacant"/>
  </r>
  <r>
    <n v="99999101507"/>
    <s v="Vacant"/>
  </r>
  <r>
    <m/>
    <s v="Vacant"/>
  </r>
  <r>
    <n v="80469"/>
    <s v="James Holgate"/>
  </r>
  <r>
    <n v="113381"/>
    <s v="Joel Vijayakumar"/>
  </r>
  <r>
    <m/>
    <s v="Vacant"/>
  </r>
  <r>
    <m/>
    <s v="Vacant (contract)"/>
  </r>
  <r>
    <n v="106026"/>
    <s v="Vincent Lu"/>
  </r>
  <r>
    <m/>
    <s v="vacant  (Contract)"/>
  </r>
  <r>
    <n v="116032"/>
    <s v="Abdul Ghaffar"/>
  </r>
  <r>
    <n v="80549"/>
    <s v="Steve Murray"/>
  </r>
  <r>
    <n v="83092"/>
    <s v="Rakshit Kaul"/>
  </r>
  <r>
    <n v="98599"/>
    <s v="Raymond Bai"/>
  </r>
  <r>
    <n v="99522"/>
    <s v="Mitchell Clarke"/>
  </r>
  <r>
    <m/>
    <s v="Vacant"/>
  </r>
  <r>
    <n v="99999101535"/>
    <s v="Lynn Yiew"/>
  </r>
  <r>
    <n v="110146"/>
    <s v="Renosh Matthew Thomas"/>
  </r>
  <r>
    <n v="100330"/>
    <s v="Milan Patel"/>
  </r>
  <r>
    <m/>
    <s v="Vacant"/>
  </r>
  <r>
    <n v="114067"/>
    <s v="Jonathan Robinson"/>
  </r>
  <r>
    <m/>
    <s v="Vacant"/>
  </r>
  <r>
    <n v="107154"/>
    <s v="Prashant Tataskar"/>
  </r>
  <r>
    <m/>
    <s v="ring fenced"/>
  </r>
  <r>
    <m/>
    <s v="Vacant"/>
  </r>
  <r>
    <n v="12010"/>
    <s v="Sai Konka"/>
  </r>
  <r>
    <m/>
    <s v="Vacant"/>
  </r>
  <r>
    <m/>
    <s v="Vacant"/>
  </r>
  <r>
    <n v="109802"/>
    <s v="Roger Blazey"/>
  </r>
  <r>
    <m/>
    <s v="Vacant"/>
  </r>
  <r>
    <m/>
    <s v="Vacant"/>
  </r>
  <r>
    <m/>
    <s v="Vacant"/>
  </r>
  <r>
    <n v="102098"/>
    <s v="Bobby Mason"/>
  </r>
  <r>
    <m/>
    <s v="Vacant"/>
  </r>
  <r>
    <n v="0"/>
    <s v="Dinesh Chandrasekaran"/>
  </r>
  <r>
    <n v="113451"/>
    <s v="Prashanth Krishnankutty"/>
  </r>
  <r>
    <m/>
    <s v="ring fenced"/>
  </r>
  <r>
    <n v="96283"/>
    <s v="Ed Tacey"/>
  </r>
  <r>
    <m/>
    <s v="ring fenced"/>
  </r>
  <r>
    <m/>
    <s v="Vacant"/>
  </r>
  <r>
    <m/>
    <s v="Vacant"/>
  </r>
  <r>
    <n v="116312"/>
    <s v="Trung Truong"/>
  </r>
  <r>
    <n v="6511"/>
    <s v="Leo Machin"/>
  </r>
  <r>
    <n v="11661"/>
    <s v="Kevin Li"/>
  </r>
  <r>
    <n v="115836"/>
    <s v="JR Panganiban"/>
  </r>
  <r>
    <n v="14920"/>
    <s v="Poch Fernandez"/>
  </r>
  <r>
    <n v="14013"/>
    <s v="Jem Cruz"/>
  </r>
  <r>
    <n v="106547"/>
    <s v="Chin Fang Kwek"/>
  </r>
  <r>
    <m/>
    <s v="Vacant"/>
  </r>
  <r>
    <n v="109475"/>
    <s v="Jaya Ganasan"/>
  </r>
  <r>
    <m/>
    <s v="Vacant"/>
  </r>
  <r>
    <n v="106201"/>
    <s v="George Moun"/>
  </r>
  <r>
    <n v="99999101636"/>
    <s v="Rod Santillan"/>
  </r>
  <r>
    <n v="90813"/>
    <s v="Vacant  (Contract)"/>
  </r>
  <r>
    <n v="99691"/>
    <s v="Frank Liang"/>
  </r>
  <r>
    <n v="105799"/>
    <s v="Lindsay Baipas"/>
  </r>
  <r>
    <n v="99999101912"/>
    <s v="Alex Abelita"/>
  </r>
  <r>
    <n v="114366"/>
    <s v="Allyn Puente"/>
  </r>
  <r>
    <n v="109362"/>
    <s v="Scott Hasson"/>
  </r>
  <r>
    <n v="92699"/>
    <s v="Vacant"/>
  </r>
  <r>
    <n v="110040"/>
    <s v="Tyler Meggs"/>
  </r>
  <r>
    <n v="98087"/>
    <s v="Victor Olasanoye"/>
  </r>
  <r>
    <m/>
    <s v="Vacant "/>
  </r>
  <r>
    <n v="0"/>
    <s v="Chris Camacho"/>
  </r>
  <r>
    <n v="116090"/>
    <s v="Fabian Moreno Cortes"/>
  </r>
  <r>
    <n v="97776"/>
    <s v="Anvitha Kurra"/>
  </r>
  <r>
    <n v="81395"/>
    <s v="Angus Gibson"/>
  </r>
  <r>
    <n v="113202"/>
    <s v="Rohan Patel"/>
  </r>
  <r>
    <n v="101059"/>
    <s v="Sriramani Deyyala"/>
  </r>
  <r>
    <n v="101539"/>
    <s v="Vacant"/>
  </r>
  <r>
    <n v="6748"/>
    <s v="Elle Spencer"/>
  </r>
  <r>
    <m/>
    <s v="Vacant"/>
  </r>
  <r>
    <m/>
    <s v="Vacant"/>
  </r>
  <r>
    <m/>
    <s v="Vacant"/>
  </r>
  <r>
    <m/>
    <s v="Vacant"/>
  </r>
  <r>
    <m/>
    <s v="Vacant"/>
  </r>
  <r>
    <n v="106404"/>
    <s v="Carl Russo"/>
  </r>
  <r>
    <n v="97098"/>
    <s v="Amish Pandit"/>
  </r>
  <r>
    <n v="99999101304"/>
    <s v="Liesl Tye"/>
  </r>
  <r>
    <n v="99999101224"/>
    <s v="Nakul Bharade"/>
  </r>
  <r>
    <n v="14100"/>
    <s v="Belinda Ford"/>
  </r>
  <r>
    <m/>
    <s v="Vacant"/>
  </r>
  <r>
    <n v="116253"/>
    <s v="Siva Chimmani"/>
  </r>
  <r>
    <m/>
    <s v="Vacant"/>
  </r>
  <r>
    <n v="106791"/>
    <s v="Victor Beuk"/>
  </r>
  <r>
    <n v="105532"/>
    <s v="Debbie Gor"/>
  </r>
  <r>
    <m/>
    <s v="Vacant"/>
  </r>
  <r>
    <n v="107550"/>
    <s v="Gunjan Vasudeva"/>
  </r>
  <r>
    <m/>
    <s v="Vacant"/>
  </r>
  <r>
    <m/>
    <s v="Vacant"/>
  </r>
  <r>
    <n v="99999101545"/>
    <s v="Josh Campbell"/>
  </r>
  <r>
    <m/>
    <s v="Vacant"/>
  </r>
  <r>
    <m/>
    <s v="Vacant"/>
  </r>
  <r>
    <n v="96270"/>
    <s v="Zhan Liu"/>
  </r>
  <r>
    <n v="107463"/>
    <s v="Deepa Kaur"/>
  </r>
  <r>
    <n v="99999101325"/>
    <s v="Laura Roberts"/>
  </r>
  <r>
    <m/>
    <s v="Vacant (anaplan)"/>
  </r>
  <r>
    <n v="99999101752"/>
    <s v="Amanda Turnbull"/>
  </r>
  <r>
    <s v="Mike Gilbert"/>
    <s v="Byron Leung"/>
  </r>
  <r>
    <n v="99999101568"/>
    <s v="Anie Camerino"/>
  </r>
  <r>
    <s v="Craig Ambrose"/>
    <s v="Tom Moore"/>
  </r>
  <r>
    <n v="85491"/>
    <s v="Mick DaSilva"/>
  </r>
  <r>
    <n v="106555"/>
    <s v="Karla Orozco Loza"/>
  </r>
  <r>
    <n v="103651"/>
    <s v="Hari Maneti"/>
  </r>
  <r>
    <n v="13925"/>
    <s v="Allan Francia"/>
  </r>
  <r>
    <n v="99999101908"/>
    <s v="Oliver Shanks"/>
  </r>
  <r>
    <n v="99999100769"/>
    <s v="Gokila Mylsamy"/>
  </r>
  <r>
    <n v="114717"/>
    <s v="Fransiscus Setiawan"/>
  </r>
  <r>
    <n v="10572"/>
    <s v="Stevani Kho"/>
  </r>
  <r>
    <m/>
    <s v="Vacant"/>
  </r>
  <r>
    <n v="6851"/>
    <s v="Ann Aquino"/>
  </r>
  <r>
    <n v="0"/>
    <s v="Simrat Singh"/>
  </r>
  <r>
    <n v="102576"/>
    <s v="Glenn Earl"/>
  </r>
  <r>
    <m/>
    <s v="Vacant"/>
  </r>
  <r>
    <n v="115935"/>
    <s v="Rick Abainza"/>
  </r>
  <r>
    <m/>
    <s v="Vacant"/>
  </r>
  <r>
    <n v="110185"/>
    <s v="Soumya Choudhury"/>
  </r>
  <r>
    <n v="113039"/>
    <s v="Anusha Viswanatha"/>
  </r>
  <r>
    <n v="106907"/>
    <s v="Oz Shaaban"/>
  </r>
  <r>
    <m/>
    <s v="Nico Lender"/>
  </r>
  <r>
    <n v="115847"/>
    <s v="Jonathan Wong"/>
  </r>
  <r>
    <m/>
    <s v="Vacant "/>
  </r>
  <r>
    <n v="102187"/>
    <s v="Sijin Zhu"/>
  </r>
  <r>
    <n v="8367"/>
    <s v="Marcela Gonzalez"/>
  </r>
  <r>
    <m/>
    <s v="Vacant"/>
  </r>
  <r>
    <n v="99999101013"/>
    <s v="Chantal Lynch"/>
  </r>
  <r>
    <m/>
    <s v="Vacant "/>
  </r>
  <r>
    <n v="101157"/>
    <s v="Jessica Calla"/>
  </r>
  <r>
    <m/>
    <s v="Vacant"/>
  </r>
  <r>
    <m/>
    <s v="Zijie Zhang"/>
  </r>
  <r>
    <n v="115723"/>
    <s v="Kumar Siva"/>
  </r>
  <r>
    <m/>
    <s v="Vacant "/>
  </r>
  <r>
    <n v="110044"/>
    <s v="Kevin Nelson"/>
  </r>
  <r>
    <m/>
    <s v="Vacant"/>
  </r>
  <r>
    <n v="105531"/>
    <s v="Jodi Higgins"/>
  </r>
  <r>
    <n v="99999100072"/>
    <s v="Angela Ross"/>
  </r>
  <r>
    <n v="114723"/>
    <s v="Ming Shao"/>
  </r>
  <r>
    <n v="99999101505"/>
    <s v="Vacant"/>
  </r>
  <r>
    <n v="97973"/>
    <s v="Vacant"/>
  </r>
  <r>
    <n v="111319"/>
    <s v="Arun Prakash Jayaprakasam"/>
  </r>
  <r>
    <n v="105488"/>
    <s v="Louis Ballington"/>
  </r>
  <r>
    <n v="99999101143"/>
    <s v="Hayden Corney"/>
  </r>
  <r>
    <n v="104159"/>
    <s v="Vacant"/>
  </r>
  <r>
    <m/>
    <s v="Vacant"/>
  </r>
  <r>
    <n v="97884"/>
    <s v="Vacant"/>
  </r>
  <r>
    <n v="107588"/>
    <s v="Vacant"/>
  </r>
  <r>
    <n v="99999101895"/>
    <s v="Caitlin Naylor"/>
  </r>
  <r>
    <m/>
    <s v="Vacant"/>
  </r>
  <r>
    <n v="108033"/>
    <s v="Ayushi Agarwal"/>
  </r>
  <r>
    <m/>
    <s v="Vacant"/>
  </r>
  <r>
    <n v="106221"/>
    <s v="Vacant"/>
  </r>
  <r>
    <n v="99999101421"/>
    <s v="Lana Wagner"/>
  </r>
  <r>
    <n v="108075"/>
    <s v="Vacant"/>
  </r>
  <r>
    <m/>
    <s v="Vacant"/>
  </r>
  <r>
    <n v="105823"/>
    <s v="Hardik Trivedi"/>
  </r>
  <r>
    <n v="106829"/>
    <s v="C K Lau"/>
  </r>
  <r>
    <n v="99999101516"/>
    <s v="Fan Zhang"/>
  </r>
  <r>
    <m/>
    <s v="Vacant"/>
  </r>
  <r>
    <m/>
    <s v="Johnny Li"/>
  </r>
  <r>
    <n v="6591"/>
    <s v="Steven Yong"/>
  </r>
  <r>
    <n v="97625"/>
    <s v="Satish Chowdhary"/>
  </r>
  <r>
    <n v="106117"/>
    <s v="Muhammad Abubaker"/>
  </r>
  <r>
    <m/>
    <s v="Axel Soh"/>
  </r>
  <r>
    <n v="97800"/>
    <s v="John McCormack"/>
  </r>
  <r>
    <m/>
    <s v="Pierre Spee"/>
  </r>
  <r>
    <m/>
    <s v="John Badia"/>
  </r>
  <r>
    <m/>
    <s v="Vacant"/>
  </r>
  <r>
    <m/>
    <s v="Vacant"/>
  </r>
  <r>
    <m/>
    <s v="Vacant"/>
  </r>
  <r>
    <n v="99999101441"/>
    <s v="Luke Hamer"/>
  </r>
  <r>
    <n v="116057"/>
    <s v="Lucas Wang"/>
  </r>
  <r>
    <m/>
    <s v="Vacant"/>
  </r>
  <r>
    <n v="99999101958"/>
    <s v="Mike Lealamanu"/>
  </r>
  <r>
    <n v="99999102120"/>
    <s v="Sunny Arya"/>
  </r>
  <r>
    <n v="14148"/>
    <s v="Ee Lynn Yap"/>
  </r>
  <r>
    <n v="113067"/>
    <s v="Vikram Chhahira"/>
  </r>
  <r>
    <n v="0"/>
    <s v="Arun Tahlan"/>
  </r>
  <r>
    <n v="99999102153"/>
    <s v="Kris Thornley"/>
  </r>
  <r>
    <n v="99999101466"/>
    <s v="Shobhit Mittal"/>
  </r>
  <r>
    <n v="109092"/>
    <s v="Anjali Patra"/>
  </r>
  <r>
    <n v="110830"/>
    <s v="Jason Satoso"/>
  </r>
  <r>
    <n v="91635"/>
    <s v="Bala Thiruvadi"/>
  </r>
  <r>
    <m/>
    <s v="Vacant"/>
  </r>
  <r>
    <n v="99999101879"/>
    <s v="Lisa Rademakers"/>
  </r>
  <r>
    <n v="99999101273"/>
    <s v="Michael Weng"/>
  </r>
  <r>
    <n v="114367"/>
    <s v="Thandava Krishna Kakarala"/>
  </r>
  <r>
    <m/>
    <s v="Vacant"/>
  </r>
  <r>
    <n v="99999101058"/>
    <s v="Mike Seales"/>
  </r>
  <r>
    <n v="99999101879"/>
    <s v="Lisa Rademakers"/>
  </r>
  <r>
    <n v="99999101069"/>
    <s v="Vacant"/>
  </r>
  <r>
    <n v="109863"/>
    <s v="Shane Ker"/>
  </r>
  <r>
    <m/>
    <s v="Vacant"/>
  </r>
  <r>
    <n v="4818"/>
    <s v="Vaso Vukovic"/>
  </r>
  <r>
    <m/>
    <s v="Vacant"/>
  </r>
  <r>
    <m/>
    <s v="Vacant"/>
  </r>
  <r>
    <n v="99999100381"/>
    <s v="Nakul Bharade"/>
  </r>
  <r>
    <m/>
    <s v="Murray Mitchell"/>
  </r>
  <r>
    <m/>
    <s v="Vacant"/>
  </r>
  <r>
    <m/>
    <s v="Vacant"/>
  </r>
  <r>
    <m/>
    <s v="Vacant"/>
  </r>
  <r>
    <n v="114573"/>
    <s v="Vacant"/>
  </r>
  <r>
    <n v="99999170438"/>
    <s v="Leilanie Avilla"/>
  </r>
  <r>
    <m/>
    <s v="Ring fenced"/>
  </r>
  <r>
    <m/>
    <s v="Ring fenced"/>
  </r>
  <r>
    <n v="99999100336"/>
    <s v="Lydia Pritchard"/>
  </r>
  <r>
    <m/>
    <s v="Vacant"/>
  </r>
  <r>
    <n v="83003"/>
    <s v="Grace Hadiwijaya"/>
  </r>
  <r>
    <m/>
    <s v="Vacant"/>
  </r>
  <r>
    <n v="93476"/>
    <s v="Prerna Sharma"/>
  </r>
  <r>
    <m/>
    <s v="Vacant"/>
  </r>
  <r>
    <n v="108123"/>
    <s v="Maadhu Suresh"/>
  </r>
  <r>
    <n v="99999101403"/>
    <s v="Michael Pollock"/>
  </r>
  <r>
    <m/>
    <s v="Vacant"/>
  </r>
  <r>
    <n v="99876"/>
    <s v="Thai Pung"/>
  </r>
  <r>
    <m/>
    <s v="Vacant"/>
  </r>
  <r>
    <n v="0"/>
    <s v="Kurniaty Widjaya"/>
  </r>
  <r>
    <m/>
    <s v="Vacant"/>
  </r>
  <r>
    <m/>
    <s v="Vacant"/>
  </r>
  <r>
    <m/>
    <s v="Vacant"/>
  </r>
  <r>
    <m/>
    <s v="Vacant"/>
  </r>
  <r>
    <m/>
    <s v="Vacant"/>
  </r>
  <r>
    <m/>
    <s v="Vacant"/>
  </r>
  <r>
    <m/>
    <s v="Vacant"/>
  </r>
  <r>
    <n v="4251"/>
    <s v="Maudud Chaudhury"/>
  </r>
  <r>
    <m/>
    <s v="Vacant"/>
  </r>
  <r>
    <n v="11241"/>
    <s v="Julma Bhagwani"/>
  </r>
  <r>
    <m/>
    <s v="Vacant "/>
  </r>
  <r>
    <m/>
    <s v="John Forde"/>
  </r>
  <r>
    <m/>
    <s v="Vacant"/>
  </r>
  <r>
    <n v="99999101446"/>
    <s v="Rob Struthers"/>
  </r>
  <r>
    <n v="99999101229"/>
    <s v="Billie Connolly"/>
  </r>
  <r>
    <m/>
    <s v="Vacant"/>
  </r>
  <r>
    <n v="95018"/>
    <s v="Ken Thomson"/>
  </r>
  <r>
    <n v="106024"/>
    <s v="Nicholas McKay"/>
  </r>
  <r>
    <m/>
    <s v="Vacant"/>
  </r>
  <r>
    <n v="99999102124"/>
    <m/>
  </r>
  <r>
    <m/>
    <m/>
  </r>
  <r>
    <m/>
    <m/>
  </r>
</pivotCacheRecords>
</file>

<file path=xl/pivotCache/pivotCacheRecords2.xml><?xml version="1.0" encoding="utf-8"?>
<pivotCacheRecords xmlns="http://schemas.openxmlformats.org/spreadsheetml/2006/main" count="539">
  <r>
    <n v="99999100977"/>
    <s v="Warren Grieve"/>
  </r>
  <r>
    <n v="99999100975"/>
    <s v="Chris Mitchell"/>
  </r>
  <r>
    <n v="99999102141"/>
    <s v="Christian Guo"/>
  </r>
  <r>
    <n v="99999100432"/>
    <s v="Vanessa King"/>
  </r>
  <r>
    <n v="99999101553"/>
    <s v="Bradley Cunningham"/>
  </r>
  <r>
    <n v="99999101650"/>
    <s v="Sakshi Sachdeva"/>
  </r>
  <r>
    <n v="99999101643"/>
    <s v="Alex Sutherland"/>
  </r>
  <r>
    <n v="109974"/>
    <s v="Gerald Aguas"/>
  </r>
  <r>
    <n v="85136"/>
    <s v="Tuan Edwards"/>
  </r>
  <r>
    <n v="8445"/>
    <s v="Geoff Goddard"/>
  </r>
  <r>
    <n v="90097"/>
    <s v="Patrick Ericson Nario"/>
  </r>
  <r>
    <n v="4534"/>
    <s v="Andrew Whitford"/>
  </r>
  <r>
    <n v="95017"/>
    <s v="Sjoerd Van Sluijs"/>
  </r>
  <r>
    <n v="86604"/>
    <s v="Vanessa Allen"/>
  </r>
  <r>
    <n v="98379"/>
    <s v="Vaishnavi Viswanathan"/>
  </r>
  <r>
    <n v="95285"/>
    <s v="Tracy Lee Reaper"/>
  </r>
  <r>
    <n v="111451"/>
    <s v="Aniket Banerji"/>
  </r>
  <r>
    <n v="95128"/>
    <s v="Deepak Kubendran"/>
  </r>
  <r>
    <n v="11424"/>
    <s v="Sao Keawprasit"/>
  </r>
  <r>
    <n v="114829"/>
    <s v="Zuan Zheng"/>
  </r>
  <r>
    <m/>
    <s v="Vacant"/>
  </r>
  <r>
    <n v="108357"/>
    <s v="Pahul Oberoi"/>
  </r>
  <r>
    <m/>
    <s v="Vacant"/>
  </r>
  <r>
    <m/>
    <s v="Vacant"/>
  </r>
  <r>
    <n v="7001"/>
    <s v="Joseph Maroun"/>
  </r>
  <r>
    <n v="117167"/>
    <s v="Vijay Patel"/>
  </r>
  <r>
    <m/>
    <s v="Vacant"/>
  </r>
  <r>
    <n v="84413"/>
    <s v="Karthick Sathiyamoorthy"/>
  </r>
  <r>
    <n v="99999102104"/>
    <s v="Isuru Herath"/>
  </r>
  <r>
    <n v="99999101222"/>
    <s v="Malachi Ah Hoi"/>
  </r>
  <r>
    <m/>
    <s v="Vacant"/>
  </r>
  <r>
    <m/>
    <s v="Vacant"/>
  </r>
  <r>
    <m/>
    <s v="Vacant"/>
  </r>
  <r>
    <m/>
    <s v="Emma Natoli"/>
  </r>
  <r>
    <n v="98007"/>
    <s v="Sendhil Vinayagam (75% EGI)"/>
  </r>
  <r>
    <m/>
    <s v="Vacant"/>
  </r>
  <r>
    <n v="99999101426"/>
    <s v="Trevor Weaver"/>
  </r>
  <r>
    <n v="9999970029518"/>
    <s v="Anne Pretorius"/>
  </r>
  <r>
    <n v="4259"/>
    <s v="Ephraim Adan"/>
  </r>
  <r>
    <n v="111835"/>
    <s v="Matthew Patane"/>
  </r>
  <r>
    <n v="99999101647"/>
    <s v="Ash Muthumala"/>
  </r>
  <r>
    <n v="91356"/>
    <s v="Javier Aguirre Castellanos"/>
  </r>
  <r>
    <m/>
    <s v="Vacant"/>
  </r>
  <r>
    <n v="99999101214"/>
    <s v="Anna Koot"/>
  </r>
  <r>
    <m/>
    <s v="Manjot Kaur Malli "/>
  </r>
  <r>
    <n v="114990"/>
    <s v="Zhan Zhang"/>
  </r>
  <r>
    <n v="99999101233"/>
    <s v="Chris Wilson"/>
  </r>
  <r>
    <n v="99999102028"/>
    <s v="Lauren Lancaster"/>
  </r>
  <r>
    <n v="110388"/>
    <s v="Adrian Lueng"/>
  </r>
  <r>
    <n v="86743"/>
    <s v="Majdi Abedi"/>
  </r>
  <r>
    <n v="94420"/>
    <s v="Peter Nicolopoulos"/>
  </r>
  <r>
    <m/>
    <s v="Vacant"/>
  </r>
  <r>
    <n v="99999101542"/>
    <s v="Joe Kuttikkatt"/>
  </r>
  <r>
    <m/>
    <s v="Vacant"/>
  </r>
  <r>
    <n v="113783"/>
    <s v="Tabitha Raharadjo"/>
  </r>
  <r>
    <n v="99999100418"/>
    <s v="Callan McLaughlin"/>
  </r>
  <r>
    <m/>
    <s v="Vacant"/>
  </r>
  <r>
    <n v="99999101620"/>
    <s v="Johanah Gloria"/>
  </r>
  <r>
    <m/>
    <s v="Vacant"/>
  </r>
  <r>
    <m/>
    <s v="Vacant"/>
  </r>
  <r>
    <m/>
    <s v="Vacant"/>
  </r>
  <r>
    <m/>
    <s v="Vacant"/>
  </r>
  <r>
    <m/>
    <s v="Vacant"/>
  </r>
  <r>
    <n v="99999101668"/>
    <s v="McKenzie Tournquist"/>
  </r>
  <r>
    <m/>
    <s v="Vacant"/>
  </r>
  <r>
    <n v="99999102123"/>
    <s v="Jodie Marquez"/>
  </r>
  <r>
    <n v="9999922690"/>
    <s v="Tim Gurnsey"/>
  </r>
  <r>
    <n v="97847"/>
    <s v="Beenu Murali"/>
  </r>
  <r>
    <m/>
    <s v="Vacant"/>
  </r>
  <r>
    <n v="8904"/>
    <s v="Vedran Jukic"/>
  </r>
  <r>
    <n v="0"/>
    <s v="Kanti Hirani"/>
  </r>
  <r>
    <n v="99999102110"/>
    <s v="Eugene Yeo"/>
  </r>
  <r>
    <n v="99999101959"/>
    <s v="Brian Lai"/>
  </r>
  <r>
    <n v="99999100476"/>
    <s v="Kelly Russell"/>
  </r>
  <r>
    <m/>
    <s v="Vacant"/>
  </r>
  <r>
    <n v="99999101333"/>
    <s v="Benjamin Sheffield"/>
  </r>
  <r>
    <n v="99999170431"/>
    <s v="Mark Dickson"/>
  </r>
  <r>
    <n v="99999101533"/>
    <s v="Adrian Alcance"/>
  </r>
  <r>
    <n v="99999101548"/>
    <s v="Allana Arbuckle"/>
  </r>
  <r>
    <m/>
    <s v="Vacant"/>
  </r>
  <r>
    <n v="99999102111"/>
    <s v="Gayan Liyana Arachchige"/>
  </r>
  <r>
    <m/>
    <s v="Vacant"/>
  </r>
  <r>
    <m/>
    <s v="Vacant"/>
  </r>
  <r>
    <n v="99999100699"/>
    <s v="Helen Jones"/>
  </r>
  <r>
    <n v="104050"/>
    <s v="Violeta Trajkovski"/>
  </r>
  <r>
    <n v="99999101623"/>
    <s v="Michael Dasan"/>
  </r>
  <r>
    <m/>
    <s v="Vacant"/>
  </r>
  <r>
    <m/>
    <s v="Vacant"/>
  </r>
  <r>
    <m/>
    <s v="Vacant"/>
  </r>
  <r>
    <n v="0"/>
    <s v="Viren Khatri"/>
  </r>
  <r>
    <n v="85137"/>
    <s v="Mick Standen"/>
  </r>
  <r>
    <m/>
    <s v="Vacant"/>
  </r>
  <r>
    <n v="85321"/>
    <s v="Karthikeyan Kuppan"/>
  </r>
  <r>
    <n v="114003"/>
    <s v="Sayan Kar"/>
  </r>
  <r>
    <n v="99999101804"/>
    <s v="Kate Johnstone"/>
  </r>
  <r>
    <n v="110852"/>
    <s v="Madan Murthy"/>
  </r>
  <r>
    <m/>
    <s v="Vacant"/>
  </r>
  <r>
    <n v="0"/>
    <s v="Alex Prakhiy"/>
  </r>
  <r>
    <n v="0"/>
    <s v="Bhaskar Nandi"/>
  </r>
  <r>
    <m/>
    <s v="Vacant"/>
  </r>
  <r>
    <n v="110704"/>
    <s v="Irfan Zavahir"/>
  </r>
  <r>
    <m/>
    <s v="Vacant"/>
  </r>
  <r>
    <m/>
    <s v="Vacant"/>
  </r>
  <r>
    <n v="97784"/>
    <s v="Balaji Murugan"/>
  </r>
  <r>
    <m/>
    <s v="Vacant"/>
  </r>
  <r>
    <m/>
    <s v="Vacant"/>
  </r>
  <r>
    <n v="115831"/>
    <s v="Venkat Kedharanathan"/>
  </r>
  <r>
    <n v="98158"/>
    <s v="Vanessa Trujillo Munoz"/>
  </r>
  <r>
    <n v="114616"/>
    <s v="Marty O'Shea"/>
  </r>
  <r>
    <n v="110197"/>
    <s v="Anthony Dumbrell"/>
  </r>
  <r>
    <n v="107164"/>
    <s v="Santiago Hernandez Arevalo"/>
  </r>
  <r>
    <n v="95286"/>
    <s v="Navneet Singh"/>
  </r>
  <r>
    <m/>
    <s v="Vacant"/>
  </r>
  <r>
    <m/>
    <s v="Vacant"/>
  </r>
  <r>
    <n v="99999102079"/>
    <s v="Sam Turnball"/>
  </r>
  <r>
    <n v="99999101676"/>
    <s v="Ants Jackson"/>
  </r>
  <r>
    <n v="98015"/>
    <s v="Ethan Laffan"/>
  </r>
  <r>
    <n v="113463"/>
    <s v="Alisha Allport"/>
  </r>
  <r>
    <n v="99999101757"/>
    <s v="Tim Corin"/>
  </r>
  <r>
    <n v="116714"/>
    <s v="Maria Salman"/>
  </r>
  <r>
    <n v="0"/>
    <s v="Adam Anticaglia"/>
  </r>
  <r>
    <m/>
    <s v="Vacant"/>
  </r>
  <r>
    <n v="99999101543"/>
    <s v="Shona Paul"/>
  </r>
  <r>
    <m/>
    <s v="Vacant"/>
  </r>
  <r>
    <n v="98144"/>
    <s v="Angie Ng"/>
  </r>
  <r>
    <n v="99999101672"/>
    <s v="Kaye Javier"/>
  </r>
  <r>
    <n v="99999101500"/>
    <s v="Bharat Talreja"/>
  </r>
  <r>
    <m/>
    <s v="Vacant"/>
  </r>
  <r>
    <n v="99999101633"/>
    <s v="Kishore Ganesan"/>
  </r>
  <r>
    <n v="99999101656"/>
    <s v="Carianne Monast"/>
  </r>
  <r>
    <n v="97357"/>
    <s v="Daniel Arban"/>
  </r>
  <r>
    <n v="106200"/>
    <s v="Emile Violi"/>
  </r>
  <r>
    <n v="116957"/>
    <s v="Raj Ganesan"/>
  </r>
  <r>
    <m/>
    <s v="Shreema Das"/>
  </r>
  <r>
    <n v="0"/>
    <s v="Jordan Askwith"/>
  </r>
  <r>
    <n v="107781"/>
    <s v="Ramez Haider"/>
  </r>
  <r>
    <n v="0"/>
    <s v="Annabel Phu"/>
  </r>
  <r>
    <n v="108287"/>
    <s v="Binumon Mathai"/>
  </r>
  <r>
    <n v="0"/>
    <s v="Sheetal Karkera"/>
  </r>
  <r>
    <n v="115964"/>
    <s v="Toby Clark"/>
  </r>
  <r>
    <n v="99999101220"/>
    <s v="Byron Thornhill"/>
  </r>
  <r>
    <m/>
    <s v="Vacant"/>
  </r>
  <r>
    <m/>
    <s v="Vacant (B2B)"/>
  </r>
  <r>
    <n v="117173"/>
    <s v="Ashwini Gaikwad"/>
  </r>
  <r>
    <n v="0"/>
    <s v="Phillip Kewley"/>
  </r>
  <r>
    <n v="99999101454"/>
    <s v="Celia Voysey"/>
  </r>
  <r>
    <m/>
    <s v="Vacant"/>
  </r>
  <r>
    <n v="99999101891"/>
    <s v="Shinal Chamberlain"/>
  </r>
  <r>
    <n v="99999101370"/>
    <s v="Denise Esguerra"/>
  </r>
  <r>
    <n v="0"/>
    <s v="Waheed Malek"/>
  </r>
  <r>
    <m/>
    <s v="Vacant"/>
  </r>
  <r>
    <m/>
    <s v="Vacant"/>
  </r>
  <r>
    <n v="97200"/>
    <s v="Mitesh Shah"/>
  </r>
  <r>
    <n v="99999100279"/>
    <s v="Kris Hamilton"/>
  </r>
  <r>
    <n v="0"/>
    <s v="Aaron Lu"/>
  </r>
  <r>
    <n v="0"/>
    <s v="Safiq Iqbal"/>
  </r>
  <r>
    <m/>
    <s v="Vacant"/>
  </r>
  <r>
    <m/>
    <s v="Vacant (B2B)"/>
  </r>
  <r>
    <m/>
    <s v="Vacant"/>
  </r>
  <r>
    <n v="99999101612"/>
    <s v="Shane Abrahams"/>
  </r>
  <r>
    <n v="4781"/>
    <s v="Mark Wilson"/>
  </r>
  <r>
    <n v="115607"/>
    <s v="Zohan Sim"/>
  </r>
  <r>
    <m/>
    <s v="Vacant"/>
  </r>
  <r>
    <m/>
    <s v="Vacant"/>
  </r>
  <r>
    <n v="114395"/>
    <s v="Rishabh Bhatia"/>
  </r>
  <r>
    <m/>
    <s v="Vacant"/>
  </r>
  <r>
    <n v="99999101730"/>
    <s v="Scott Cullen"/>
  </r>
  <r>
    <n v="97634"/>
    <s v="Khalid Mahmud"/>
  </r>
  <r>
    <n v="107144"/>
    <s v="Jasper Na"/>
  </r>
  <r>
    <m/>
    <s v="Vacant"/>
  </r>
  <r>
    <m/>
    <s v="Vacant"/>
  </r>
  <r>
    <n v="99999101324"/>
    <s v="Angela Gilbert"/>
  </r>
  <r>
    <n v="109041"/>
    <s v="Darwin Morales"/>
  </r>
  <r>
    <n v="116387"/>
    <s v="Christian Lazano"/>
  </r>
  <r>
    <n v="116408"/>
    <s v="Abhilash Reddy"/>
  </r>
  <r>
    <n v="99999102164"/>
    <s v="anthonty gen"/>
  </r>
  <r>
    <n v="111777"/>
    <s v="Jeremy Xu"/>
  </r>
  <r>
    <m/>
    <s v="Sri Balan Raj"/>
  </r>
  <r>
    <m/>
    <s v="Vacant"/>
  </r>
  <r>
    <n v="94663"/>
    <s v="Penny Pennisi"/>
  </r>
  <r>
    <n v="108384"/>
    <s v="Saugata Acharya"/>
  </r>
  <r>
    <n v="99999100621"/>
    <s v="Kellie Gathergood"/>
  </r>
  <r>
    <m/>
    <s v="Vacant"/>
  </r>
  <r>
    <n v="0"/>
    <s v="Lily Fong"/>
  </r>
  <r>
    <m/>
    <s v="Vacant"/>
  </r>
  <r>
    <n v="0"/>
    <s v="Swapnil Pithwa"/>
  </r>
  <r>
    <m/>
    <s v="Vacant"/>
  </r>
  <r>
    <n v="0"/>
    <s v="Rob Jadrjevic"/>
  </r>
  <r>
    <n v="0"/>
    <s v="Andy Stewart"/>
  </r>
  <r>
    <n v="99999100847"/>
    <s v="Nimi Rose"/>
  </r>
  <r>
    <n v="114650"/>
    <s v="Jin Zhong"/>
  </r>
  <r>
    <n v="99999101540"/>
    <s v="James Nicolle"/>
  </r>
  <r>
    <m/>
    <s v="Vacant"/>
  </r>
  <r>
    <n v="99999101312"/>
    <s v="Megan Rodgers"/>
  </r>
  <r>
    <n v="99999102155"/>
    <s v="Yash Thakkar"/>
  </r>
  <r>
    <n v="0"/>
    <s v="Alan Peng"/>
  </r>
  <r>
    <n v="114411"/>
    <s v="Vacant"/>
  </r>
  <r>
    <n v="0"/>
    <s v="Anup Antony"/>
  </r>
  <r>
    <m/>
    <s v="Dasha Fothergill"/>
  </r>
  <r>
    <m/>
    <s v="Vacant"/>
  </r>
  <r>
    <n v="99999101601"/>
    <s v="Jordan Kettles"/>
  </r>
  <r>
    <m/>
    <s v="Vacant "/>
  </r>
  <r>
    <n v="96830"/>
    <s v="Lynda Niewidok"/>
  </r>
  <r>
    <n v="92681"/>
    <s v="Mark Pearson"/>
  </r>
  <r>
    <m/>
    <s v="Vacant"/>
  </r>
  <r>
    <n v="99999101697"/>
    <s v="Vanessa Castro"/>
  </r>
  <r>
    <n v="114683"/>
    <s v="Prashanth Chandran"/>
  </r>
  <r>
    <n v="109491"/>
    <s v="Pooja Kuperkar"/>
  </r>
  <r>
    <n v="98823"/>
    <s v="Brian Gates"/>
  </r>
  <r>
    <n v="101700"/>
    <s v="Diya Thomas"/>
  </r>
  <r>
    <n v="100825"/>
    <s v="James Byrne"/>
  </r>
  <r>
    <n v="97592"/>
    <s v="Kevin Sheerin"/>
  </r>
  <r>
    <n v="108809"/>
    <s v="Joe Nahma"/>
  </r>
  <r>
    <n v="101830"/>
    <s v="Vivienne Vasak"/>
  </r>
  <r>
    <n v="86962"/>
    <s v="Cameron Watman"/>
  </r>
  <r>
    <n v="116241"/>
    <s v="Raymond Cheung"/>
  </r>
  <r>
    <n v="102385"/>
    <s v="Chris Lyons"/>
  </r>
  <r>
    <n v="99707"/>
    <s v="Darshan Suvama"/>
  </r>
  <r>
    <n v="104966"/>
    <s v="Rahul Sahni"/>
  </r>
  <r>
    <m/>
    <s v="Vacant"/>
  </r>
  <r>
    <n v="113382"/>
    <s v="Jack Jenkins"/>
  </r>
  <r>
    <n v="104555"/>
    <s v="Ritika Salaria"/>
  </r>
  <r>
    <n v="114354"/>
    <s v="Kaaviya Salai Manimudian"/>
  </r>
  <r>
    <m/>
    <s v="Vacant (SYD)"/>
  </r>
  <r>
    <n v="108727"/>
    <s v="Jas Mann"/>
  </r>
  <r>
    <n v="108013"/>
    <s v="Vacant"/>
  </r>
  <r>
    <m/>
    <s v="Vacant"/>
  </r>
  <r>
    <n v="99999101684"/>
    <s v="Ashley Mueller"/>
  </r>
  <r>
    <m/>
    <s v="Vacant"/>
  </r>
  <r>
    <n v="6307"/>
    <s v="Darren Koller"/>
  </r>
  <r>
    <n v="99999101673"/>
    <s v="Lisa Ng"/>
  </r>
  <r>
    <n v="98371"/>
    <s v="Stafford Dowling"/>
  </r>
  <r>
    <n v="97425"/>
    <s v="Nischal Bhusal"/>
  </r>
  <r>
    <n v="99999101321"/>
    <s v="Sameer Pattanaik"/>
  </r>
  <r>
    <n v="98924"/>
    <s v="Dan Balsamo"/>
  </r>
  <r>
    <n v="87951"/>
    <s v="Iwan Wibisono"/>
  </r>
  <r>
    <n v="108728"/>
    <s v="Remya Pookat"/>
  </r>
  <r>
    <n v="113900"/>
    <s v="Mick Collins"/>
  </r>
  <r>
    <n v="99999100770"/>
    <s v="Spoilagi Bhutwala"/>
  </r>
  <r>
    <n v="99999101346"/>
    <s v="Shomiya Shayal"/>
  </r>
  <r>
    <m/>
    <s v="Vacant"/>
  </r>
  <r>
    <n v="90096"/>
    <s v="Mary-Grace Rivera"/>
  </r>
  <r>
    <n v="105647"/>
    <s v="Rajini Onteddu Reddy"/>
  </r>
  <r>
    <n v="106511"/>
    <s v="Catherine Gire"/>
  </r>
  <r>
    <n v="99999102157"/>
    <s v="Ethan Lamhert (FT)"/>
  </r>
  <r>
    <m/>
    <s v="Vacant  (AKL )"/>
  </r>
  <r>
    <n v="110204"/>
    <s v="Daniel Jolley"/>
  </r>
  <r>
    <m/>
    <s v="Vacant "/>
  </r>
  <r>
    <n v="84274"/>
    <s v="Chris Rojas"/>
  </r>
  <r>
    <n v="101504"/>
    <s v="Steven Atcheson"/>
  </r>
  <r>
    <n v="104805"/>
    <s v="Shruti Manchanda"/>
  </r>
  <r>
    <m/>
    <s v="Vacant"/>
  </r>
  <r>
    <n v="114383"/>
    <s v="Tony Keeler"/>
  </r>
  <r>
    <n v="0"/>
    <s v="Niall Greene"/>
  </r>
  <r>
    <n v="0"/>
    <s v="Winnie Fernandes"/>
  </r>
  <r>
    <n v="0"/>
    <s v="Areum Kim Lee"/>
  </r>
  <r>
    <n v="113935"/>
    <s v="Thomas Reid"/>
  </r>
  <r>
    <m/>
    <s v="Vacant"/>
  </r>
  <r>
    <m/>
    <s v="Vacant"/>
  </r>
  <r>
    <m/>
    <s v="Vacant"/>
  </r>
  <r>
    <m/>
    <s v="Vacant "/>
  </r>
  <r>
    <m/>
    <s v="Vacant "/>
  </r>
  <r>
    <n v="12992"/>
    <s v="Jeannie Chu"/>
  </r>
  <r>
    <n v="5607"/>
    <s v="Maria Somera"/>
  </r>
  <r>
    <n v="83658"/>
    <s v="Sam Chan"/>
  </r>
  <r>
    <n v="116540"/>
    <s v="Neil Reilly"/>
  </r>
  <r>
    <m/>
    <s v="Vacant"/>
  </r>
  <r>
    <n v="95835"/>
    <s v="Briony Scott"/>
  </r>
  <r>
    <n v="99999170371"/>
    <s v="Helen Ngu"/>
  </r>
  <r>
    <n v="101862"/>
    <s v="Vaughn Scott"/>
  </r>
  <r>
    <n v="82561"/>
    <s v="Jenny Chan"/>
  </r>
  <r>
    <m/>
    <s v="Vacant"/>
  </r>
  <r>
    <n v="99999102029"/>
    <s v="Matt Saunders"/>
  </r>
  <r>
    <n v="0"/>
    <s v="Malcolm Deare"/>
  </r>
  <r>
    <n v="113835"/>
    <s v="Ruth Chou"/>
  </r>
  <r>
    <m/>
    <s v="Vacant"/>
  </r>
  <r>
    <n v="99999102144"/>
    <s v="Shelley Crawford"/>
  </r>
  <r>
    <n v="102411"/>
    <s v="Vacant"/>
  </r>
  <r>
    <m/>
    <s v="Vacant"/>
  </r>
  <r>
    <n v="113362"/>
    <s v="Vacant"/>
  </r>
  <r>
    <m/>
    <s v="Vacant"/>
  </r>
  <r>
    <m/>
    <s v="Vacant"/>
  </r>
  <r>
    <m/>
    <s v="Vacant"/>
  </r>
  <r>
    <m/>
    <s v="Vacant"/>
  </r>
  <r>
    <m/>
    <s v="ring fenced"/>
  </r>
  <r>
    <m/>
    <s v="ring fenced"/>
  </r>
  <r>
    <m/>
    <s v="ring fenced"/>
  </r>
  <r>
    <m/>
    <s v="ring fenced"/>
  </r>
  <r>
    <m/>
    <s v="Sanjay Tikoo"/>
  </r>
  <r>
    <n v="99999102152"/>
    <s v="Vacant"/>
  </r>
  <r>
    <n v="113956"/>
    <s v="Deepali Mahajan"/>
  </r>
  <r>
    <m/>
    <s v="Vacant"/>
  </r>
  <r>
    <n v="114147"/>
    <s v="Sumathi Manikkampichai"/>
  </r>
  <r>
    <n v="99999101674"/>
    <s v="Roozbeh Shahbazirad"/>
  </r>
  <r>
    <m/>
    <s v="Vacant"/>
  </r>
  <r>
    <n v="80477"/>
    <s v="Vacant"/>
  </r>
  <r>
    <n v="94631"/>
    <s v="Rihan Schalkwyk"/>
  </r>
  <r>
    <m/>
    <s v="Vacant"/>
  </r>
  <r>
    <n v="99999101251"/>
    <s v="Tim Snedden"/>
  </r>
  <r>
    <n v="101166"/>
    <s v="Yu Chen"/>
  </r>
  <r>
    <m/>
    <s v="Vacant"/>
  </r>
  <r>
    <n v="107048"/>
    <s v="Om Singh"/>
  </r>
  <r>
    <m/>
    <s v="Vacant"/>
  </r>
  <r>
    <n v="99999101507"/>
    <s v="Vacant"/>
  </r>
  <r>
    <m/>
    <s v="Vacant"/>
  </r>
  <r>
    <n v="80469"/>
    <s v="James Holgate"/>
  </r>
  <r>
    <n v="113381"/>
    <s v="Joel Vijayakumar"/>
  </r>
  <r>
    <m/>
    <s v="Vacant"/>
  </r>
  <r>
    <m/>
    <s v="Vacant (contract)"/>
  </r>
  <r>
    <n v="106026"/>
    <s v="Vincent Lu"/>
  </r>
  <r>
    <m/>
    <s v="vacant  (Contract)"/>
  </r>
  <r>
    <n v="116032"/>
    <s v="Abdul Ghaffar"/>
  </r>
  <r>
    <n v="80549"/>
    <s v="Steve Murray"/>
  </r>
  <r>
    <n v="83092"/>
    <s v="Rakshit Kaul"/>
  </r>
  <r>
    <n v="98599"/>
    <s v="Raymond Bai"/>
  </r>
  <r>
    <n v="99522"/>
    <s v="Mitchell Clarke"/>
  </r>
  <r>
    <m/>
    <s v="Vacant"/>
  </r>
  <r>
    <n v="99999101535"/>
    <s v="Lynn Yiew"/>
  </r>
  <r>
    <n v="110146"/>
    <s v="Renosh Matthew Thomas"/>
  </r>
  <r>
    <n v="100330"/>
    <s v="Milan Patel"/>
  </r>
  <r>
    <m/>
    <s v="Vacant"/>
  </r>
  <r>
    <n v="114067"/>
    <s v="Jonathan Robinson"/>
  </r>
  <r>
    <m/>
    <s v="Vacant"/>
  </r>
  <r>
    <n v="107154"/>
    <s v="Prashant Tataskar"/>
  </r>
  <r>
    <m/>
    <s v="ring fenced"/>
  </r>
  <r>
    <m/>
    <s v="Vacant"/>
  </r>
  <r>
    <n v="12010"/>
    <s v="Sai Konka"/>
  </r>
  <r>
    <m/>
    <s v="Vacant"/>
  </r>
  <r>
    <m/>
    <s v="Vacant"/>
  </r>
  <r>
    <n v="109802"/>
    <s v="Roger Blazey"/>
  </r>
  <r>
    <m/>
    <s v="Vacant"/>
  </r>
  <r>
    <m/>
    <s v="Vacant"/>
  </r>
  <r>
    <m/>
    <s v="Vacant"/>
  </r>
  <r>
    <n v="102098"/>
    <s v="Bobby Mason"/>
  </r>
  <r>
    <m/>
    <s v="Vacant"/>
  </r>
  <r>
    <n v="0"/>
    <s v="Dinesh Chandrasekaran"/>
  </r>
  <r>
    <n v="113451"/>
    <s v="Prashanth Krishnankutty"/>
  </r>
  <r>
    <m/>
    <s v="ring fenced"/>
  </r>
  <r>
    <n v="96283"/>
    <s v="Ed Tacey"/>
  </r>
  <r>
    <m/>
    <s v="ring fenced"/>
  </r>
  <r>
    <m/>
    <s v="Vacant"/>
  </r>
  <r>
    <m/>
    <s v="Vacant"/>
  </r>
  <r>
    <n v="116312"/>
    <s v="Trung Truong"/>
  </r>
  <r>
    <n v="6511"/>
    <s v="Leo Machin"/>
  </r>
  <r>
    <n v="11661"/>
    <s v="Kevin Li"/>
  </r>
  <r>
    <n v="115836"/>
    <s v="JR Panganiban"/>
  </r>
  <r>
    <n v="14920"/>
    <s v="Poch Fernandez"/>
  </r>
  <r>
    <n v="14013"/>
    <s v="Jem Cruz"/>
  </r>
  <r>
    <n v="106547"/>
    <s v="Chin Fang Kwek"/>
  </r>
  <r>
    <m/>
    <s v="Vacant"/>
  </r>
  <r>
    <n v="109475"/>
    <s v="Jaya Ganasan"/>
  </r>
  <r>
    <m/>
    <s v="Vacant"/>
  </r>
  <r>
    <n v="106201"/>
    <s v="George Moun"/>
  </r>
  <r>
    <n v="99999101636"/>
    <s v="Rod Santillan"/>
  </r>
  <r>
    <n v="90813"/>
    <s v="Vacant  (Contract)"/>
  </r>
  <r>
    <n v="99691"/>
    <s v="Frank Liang"/>
  </r>
  <r>
    <n v="105799"/>
    <s v="Lindsay Baipas"/>
  </r>
  <r>
    <n v="99999101912"/>
    <s v="Alex Abelita"/>
  </r>
  <r>
    <n v="114366"/>
    <s v="Allyn Puente"/>
  </r>
  <r>
    <n v="109362"/>
    <s v="Scott Hasson"/>
  </r>
  <r>
    <n v="92699"/>
    <s v="Vacant"/>
  </r>
  <r>
    <n v="110040"/>
    <s v="Tyler Meggs"/>
  </r>
  <r>
    <n v="98087"/>
    <s v="Victor Olasanoye"/>
  </r>
  <r>
    <m/>
    <s v="Vacant "/>
  </r>
  <r>
    <n v="0"/>
    <s v="Chris Camacho"/>
  </r>
  <r>
    <n v="116090"/>
    <s v="Fabian Moreno Cortes"/>
  </r>
  <r>
    <n v="97776"/>
    <s v="Anvitha Kurra"/>
  </r>
  <r>
    <n v="81395"/>
    <s v="Angus Gibson"/>
  </r>
  <r>
    <n v="113202"/>
    <s v="Rohan Patel"/>
  </r>
  <r>
    <n v="101059"/>
    <s v="Sriramani Deyyala"/>
  </r>
  <r>
    <n v="101539"/>
    <s v="Vacant"/>
  </r>
  <r>
    <n v="6748"/>
    <s v="Elle Spencer"/>
  </r>
  <r>
    <m/>
    <s v="Vacant"/>
  </r>
  <r>
    <m/>
    <s v="Vacant"/>
  </r>
  <r>
    <m/>
    <s v="Vacant"/>
  </r>
  <r>
    <m/>
    <s v="Vacant"/>
  </r>
  <r>
    <m/>
    <s v="Vacant"/>
  </r>
  <r>
    <n v="106404"/>
    <s v="Carl Russo"/>
  </r>
  <r>
    <n v="97098"/>
    <s v="Amish Pandit"/>
  </r>
  <r>
    <n v="99999101304"/>
    <s v="Liesl Tye"/>
  </r>
  <r>
    <n v="99999101224"/>
    <s v="Nakul Bharade"/>
  </r>
  <r>
    <n v="14100"/>
    <s v="Belinda Ford"/>
  </r>
  <r>
    <m/>
    <s v="Vacant"/>
  </r>
  <r>
    <n v="116253"/>
    <s v="Siva Chimmani"/>
  </r>
  <r>
    <m/>
    <s v="Vacant"/>
  </r>
  <r>
    <n v="106791"/>
    <s v="Victor Beuk"/>
  </r>
  <r>
    <n v="105532"/>
    <s v="Debbie Gor"/>
  </r>
  <r>
    <m/>
    <s v="Vacant"/>
  </r>
  <r>
    <n v="107550"/>
    <s v="Gunjan Vasudeva"/>
  </r>
  <r>
    <m/>
    <s v="Vacant"/>
  </r>
  <r>
    <m/>
    <s v="Vacant"/>
  </r>
  <r>
    <n v="99999101545"/>
    <s v="Josh Campbell"/>
  </r>
  <r>
    <m/>
    <s v="Vacant"/>
  </r>
  <r>
    <m/>
    <s v="Vacant"/>
  </r>
  <r>
    <n v="96270"/>
    <s v="Zhan Liu"/>
  </r>
  <r>
    <n v="107463"/>
    <s v="Deepa Kaur"/>
  </r>
  <r>
    <n v="99999101325"/>
    <s v="Laura Roberts"/>
  </r>
  <r>
    <m/>
    <s v="Vacant (anaplan)"/>
  </r>
  <r>
    <n v="99999101752"/>
    <s v="Amanda Turnbull"/>
  </r>
  <r>
    <s v="Mike Gilbert"/>
    <s v="Byron Leung"/>
  </r>
  <r>
    <n v="99999101568"/>
    <s v="Anie Camerino"/>
  </r>
  <r>
    <s v="Craig Ambrose"/>
    <s v="Tom Moore"/>
  </r>
  <r>
    <n v="85491"/>
    <s v="Mick DaSilva"/>
  </r>
  <r>
    <n v="106555"/>
    <s v="Karla Orozco Loza"/>
  </r>
  <r>
    <n v="103651"/>
    <s v="Hari Maneti"/>
  </r>
  <r>
    <n v="13925"/>
    <s v="Allan Francia"/>
  </r>
  <r>
    <n v="99999101908"/>
    <s v="Oliver Shanks"/>
  </r>
  <r>
    <n v="99999100769"/>
    <s v="Gokila Mylsamy"/>
  </r>
  <r>
    <n v="114717"/>
    <s v="Fransiscus Setiawan"/>
  </r>
  <r>
    <n v="10572"/>
    <s v="Stevani Kho"/>
  </r>
  <r>
    <m/>
    <s v="Vacant"/>
  </r>
  <r>
    <n v="6851"/>
    <s v="Ann Aquino"/>
  </r>
  <r>
    <n v="0"/>
    <s v="Simrat Singh"/>
  </r>
  <r>
    <n v="102576"/>
    <s v="Glenn Earl"/>
  </r>
  <r>
    <m/>
    <s v="Vacant"/>
  </r>
  <r>
    <n v="115935"/>
    <s v="Rick Abainza"/>
  </r>
  <r>
    <m/>
    <s v="Vacant"/>
  </r>
  <r>
    <n v="110185"/>
    <s v="Soumya Choudhury"/>
  </r>
  <r>
    <n v="113039"/>
    <s v="Anusha Viswanatha"/>
  </r>
  <r>
    <n v="106907"/>
    <s v="Oz Shaaban"/>
  </r>
  <r>
    <m/>
    <s v="Nico Lender"/>
  </r>
  <r>
    <n v="115847"/>
    <s v="Jonathan Wong"/>
  </r>
  <r>
    <m/>
    <s v="Vacant "/>
  </r>
  <r>
    <n v="102187"/>
    <s v="Sijin Zhu"/>
  </r>
  <r>
    <n v="8367"/>
    <s v="Marcela Gonzalez"/>
  </r>
  <r>
    <m/>
    <s v="Vacant"/>
  </r>
  <r>
    <n v="99999101013"/>
    <s v="Chantal Lynch"/>
  </r>
  <r>
    <m/>
    <s v="Vacant "/>
  </r>
  <r>
    <n v="101157"/>
    <s v="Jessica Calla"/>
  </r>
  <r>
    <m/>
    <s v="Vacant"/>
  </r>
  <r>
    <m/>
    <s v="Zijie Zhang"/>
  </r>
  <r>
    <n v="115723"/>
    <s v="Kumar Siva"/>
  </r>
  <r>
    <m/>
    <s v="Vacant "/>
  </r>
  <r>
    <n v="110044"/>
    <s v="Kevin Nelson"/>
  </r>
  <r>
    <m/>
    <s v="Vacant"/>
  </r>
  <r>
    <n v="105531"/>
    <s v="Jodi Higgins"/>
  </r>
  <r>
    <n v="99999100072"/>
    <s v="Angela Ross"/>
  </r>
  <r>
    <n v="114723"/>
    <s v="Ming Shao"/>
  </r>
  <r>
    <n v="99999101505"/>
    <s v="Vacant"/>
  </r>
  <r>
    <n v="97973"/>
    <s v="Vacant"/>
  </r>
  <r>
    <n v="111319"/>
    <s v="Arun Prakash Jayaprakasam"/>
  </r>
  <r>
    <n v="105488"/>
    <s v="Louis Ballington"/>
  </r>
  <r>
    <n v="99999101143"/>
    <s v="Hayden Corney"/>
  </r>
  <r>
    <n v="104159"/>
    <s v="Vacant"/>
  </r>
  <r>
    <m/>
    <s v="Vacant"/>
  </r>
  <r>
    <n v="97884"/>
    <s v="Vacant"/>
  </r>
  <r>
    <n v="107588"/>
    <s v="Vacant"/>
  </r>
  <r>
    <n v="99999101895"/>
    <s v="Caitlin Naylor"/>
  </r>
  <r>
    <m/>
    <s v="Vacant"/>
  </r>
  <r>
    <n v="108033"/>
    <s v="Ayushi Agarwal"/>
  </r>
  <r>
    <m/>
    <s v="Vacant"/>
  </r>
  <r>
    <n v="106221"/>
    <s v="Vacant"/>
  </r>
  <r>
    <n v="99999101421"/>
    <s v="Lana Wagner"/>
  </r>
  <r>
    <n v="108075"/>
    <s v="Vacant"/>
  </r>
  <r>
    <m/>
    <s v="Vacant"/>
  </r>
  <r>
    <n v="105823"/>
    <s v="Hardik Trivedi"/>
  </r>
  <r>
    <n v="106829"/>
    <s v="C K Lau"/>
  </r>
  <r>
    <n v="99999101516"/>
    <s v="Fan Zhang"/>
  </r>
  <r>
    <m/>
    <s v="Vacant"/>
  </r>
  <r>
    <m/>
    <s v="Johnny Li"/>
  </r>
  <r>
    <n v="6591"/>
    <s v="Steven Yong"/>
  </r>
  <r>
    <n v="97625"/>
    <s v="Satish Chowdhary"/>
  </r>
  <r>
    <n v="106117"/>
    <s v="Muhammad Abubaker"/>
  </r>
  <r>
    <m/>
    <s v="Axel Soh"/>
  </r>
  <r>
    <n v="97800"/>
    <s v="John McCormack"/>
  </r>
  <r>
    <m/>
    <s v="Pierre Spee"/>
  </r>
  <r>
    <m/>
    <s v="John Badia"/>
  </r>
  <r>
    <m/>
    <s v="Vacant"/>
  </r>
  <r>
    <m/>
    <s v="Vacant"/>
  </r>
  <r>
    <m/>
    <s v="Vacant"/>
  </r>
  <r>
    <n v="99999101441"/>
    <s v="Luke Hamer"/>
  </r>
  <r>
    <n v="116057"/>
    <s v="Lucas Wang"/>
  </r>
  <r>
    <m/>
    <s v="Vacant"/>
  </r>
  <r>
    <n v="99999101958"/>
    <s v="Mike Lealamanu"/>
  </r>
  <r>
    <n v="99999102120"/>
    <s v="Sunny Arya"/>
  </r>
  <r>
    <n v="14148"/>
    <s v="Ee Lynn Yap"/>
  </r>
  <r>
    <n v="113067"/>
    <s v="Vikram Chhahira"/>
  </r>
  <r>
    <n v="0"/>
    <s v="Arun Tahlan"/>
  </r>
  <r>
    <n v="99999102153"/>
    <s v="Kris Thornley"/>
  </r>
  <r>
    <n v="99999101466"/>
    <s v="Shobhit Mittal"/>
  </r>
  <r>
    <n v="109092"/>
    <s v="Anjali Patra"/>
  </r>
  <r>
    <n v="110830"/>
    <s v="Jason Satoso"/>
  </r>
  <r>
    <n v="91635"/>
    <s v="Bala Thiruvadi"/>
  </r>
  <r>
    <m/>
    <s v="Vacant"/>
  </r>
  <r>
    <n v="99999101879"/>
    <s v="Lisa Rademakers"/>
  </r>
  <r>
    <n v="99999101273"/>
    <s v="Michael Weng"/>
  </r>
  <r>
    <n v="114367"/>
    <s v="Thandava Krishna Kakarala"/>
  </r>
  <r>
    <m/>
    <s v="Vacant"/>
  </r>
  <r>
    <n v="99999101058"/>
    <s v="Mike Seales"/>
  </r>
  <r>
    <n v="99999101879"/>
    <s v="Lisa Rademakers"/>
  </r>
  <r>
    <n v="99999101069"/>
    <s v="Vacant"/>
  </r>
  <r>
    <n v="109863"/>
    <s v="Shane Ker"/>
  </r>
  <r>
    <m/>
    <s v="Vacant"/>
  </r>
  <r>
    <n v="4818"/>
    <s v="Vaso Vukovic"/>
  </r>
  <r>
    <m/>
    <s v="Vacant"/>
  </r>
  <r>
    <m/>
    <s v="Vacant"/>
  </r>
  <r>
    <n v="99999100381"/>
    <s v="Nakul Bharade"/>
  </r>
  <r>
    <m/>
    <s v="Murray Mitchell"/>
  </r>
  <r>
    <m/>
    <s v="Vacant"/>
  </r>
  <r>
    <m/>
    <s v="Vacant"/>
  </r>
  <r>
    <m/>
    <s v="Vacant"/>
  </r>
  <r>
    <n v="114573"/>
    <s v="Vacant"/>
  </r>
  <r>
    <n v="99999170438"/>
    <s v="Leilanie Avilla"/>
  </r>
  <r>
    <m/>
    <s v="Ring fenced"/>
  </r>
  <r>
    <m/>
    <s v="Ring fenced"/>
  </r>
  <r>
    <n v="99999100336"/>
    <s v="Lydia Pritchard"/>
  </r>
  <r>
    <m/>
    <s v="Vacant"/>
  </r>
  <r>
    <n v="83003"/>
    <s v="Grace Hadiwijaya"/>
  </r>
  <r>
    <m/>
    <s v="Vacant"/>
  </r>
  <r>
    <n v="93476"/>
    <s v="Prerna Sharma"/>
  </r>
  <r>
    <m/>
    <s v="Vacant"/>
  </r>
  <r>
    <n v="108123"/>
    <s v="Maadhu Suresh"/>
  </r>
  <r>
    <n v="99999101403"/>
    <s v="Michael Pollock"/>
  </r>
  <r>
    <m/>
    <s v="Vacant"/>
  </r>
  <r>
    <n v="99876"/>
    <s v="Thai Pung"/>
  </r>
  <r>
    <m/>
    <s v="Vacant"/>
  </r>
  <r>
    <n v="0"/>
    <s v="Kurniaty Widjaya"/>
  </r>
  <r>
    <m/>
    <s v="Vacant"/>
  </r>
  <r>
    <m/>
    <s v="Vacant"/>
  </r>
  <r>
    <m/>
    <s v="Vacant"/>
  </r>
  <r>
    <m/>
    <s v="Vacant"/>
  </r>
  <r>
    <m/>
    <s v="Vacant"/>
  </r>
  <r>
    <m/>
    <s v="Vacant"/>
  </r>
  <r>
    <m/>
    <s v="Vacant"/>
  </r>
  <r>
    <n v="4251"/>
    <s v="Maudud Chaudhury"/>
  </r>
  <r>
    <m/>
    <s v="Vacant"/>
  </r>
  <r>
    <n v="11241"/>
    <s v="Julma Bhagwani"/>
  </r>
  <r>
    <m/>
    <s v="Vacant "/>
  </r>
  <r>
    <m/>
    <s v="John Forde"/>
  </r>
  <r>
    <m/>
    <s v="Vacant"/>
  </r>
  <r>
    <n v="99999101446"/>
    <s v="Rob Struthers"/>
  </r>
  <r>
    <n v="99999101229"/>
    <s v="Billie Connolly"/>
  </r>
  <r>
    <m/>
    <s v="Vacant"/>
  </r>
  <r>
    <n v="95018"/>
    <s v="Ken Thomson"/>
  </r>
  <r>
    <n v="106024"/>
    <s v="Nicholas McKay"/>
  </r>
  <r>
    <m/>
    <s v="Vacant"/>
  </r>
  <r>
    <n v="99999102124"/>
    <m/>
  </r>
  <r>
    <m/>
    <m/>
  </r>
  <r>
    <m/>
    <m/>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2.xml.rels><Relationships xmlns="http://schemas.openxmlformats.org/package/2006/relationships"><Relationship Type="http://schemas.openxmlformats.org/officeDocument/2006/relationships/pivotCacheDefinition" Target="/xl/pivotCache/pivotCacheDefinition2.xml" Id="rId1" /></Relationships>
</file>

<file path=xl/pivotTables/pivotTable1.xml><?xml version="1.0" encoding="utf-8"?>
<pivotTableDefinition xmlns:r="http://schemas.openxmlformats.org/officeDocument/2006/relationships" xmlns="http://schemas.openxmlformats.org/spreadsheetml/2006/main" name="PivotTable4" cacheId="3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O2:Q19" firstHeaderRow="1" firstDataRow="1" firstDataCol="0"/>
  <pivotFields count="13">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pivotTableStyleInfo name="PivotStyleLight16"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PivotTable1" cacheId="3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BV458:BX475" firstHeaderRow="1" firstDataRow="1" firstDataCol="0"/>
  <pivotFields count="2">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pivotTableStyleInfo name="PivotStyleLight16" showRowHeaders="1" showColHeaders="1" showRowStripes="0" showColStripes="0" showLastColumn="1"/>
</pivotTableDefinitio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5.xml.rels><Relationships xmlns="http://schemas.openxmlformats.org/package/2006/relationships"><Relationship Type="http://schemas.openxmlformats.org/officeDocument/2006/relationships/pivotTable" Target="/xl/pivotTables/pivotTable1.xml" Id="rId1" /><Relationship Type="http://schemas.openxmlformats.org/officeDocument/2006/relationships/pivotTable" Target="/xl/pivotTables/pivotTable2.xml" Id="rId2" /></Relationships>
</file>

<file path=xl/worksheets/sheet1.xml><?xml version="1.0" encoding="utf-8"?>
<worksheet xmlns="http://schemas.openxmlformats.org/spreadsheetml/2006/main">
  <sheetPr>
    <outlinePr summaryBelow="1" summaryRight="1"/>
    <pageSetUpPr/>
  </sheetPr>
  <dimension ref="A1:G76"/>
  <sheetViews>
    <sheetView showGridLines="0" workbookViewId="0">
      <selection activeCell="A1" sqref="A1"/>
    </sheetView>
  </sheetViews>
  <sheetFormatPr baseColWidth="8" defaultRowHeight="14.5" outlineLevelCol="0"/>
  <cols>
    <col width="3" customWidth="1" style="506" min="1" max="1"/>
    <col width="56" customWidth="1" style="506" min="2" max="2"/>
    <col width="15" customWidth="1" style="506" min="3" max="7"/>
  </cols>
  <sheetData>
    <row r="1"/>
    <row r="2" ht="24" customHeight="1" s="506">
      <c r="B2" s="463" t="inlineStr">
        <is>
          <t>TDD Operating Model - Executive Summary</t>
        </is>
      </c>
    </row>
    <row r="3"/>
    <row r="4">
      <c r="B4" s="443" t="inlineStr">
        <is>
          <t>Why this workbook exists</t>
        </is>
      </c>
      <c r="C4" s="444" t="n"/>
      <c r="D4" s="444" t="n"/>
      <c r="E4" s="444" t="n"/>
      <c r="F4" s="444" t="n"/>
      <c r="G4" s="444" t="n"/>
    </row>
    <row r="5">
      <c r="B5" s="429" t="inlineStr">
        <is>
          <t>Purpose: each GM designed a new operating model against set squad archetypes (type x size = people and cost). This workbook prices the archetypes and checks the actual design against them.</t>
        </is>
      </c>
      <c r="C5" s="434" t="n"/>
      <c r="D5" s="434" t="n"/>
      <c r="E5" s="434" t="n"/>
      <c r="F5" s="434" t="n"/>
      <c r="G5" s="434" t="n"/>
    </row>
    <row r="6">
      <c r="B6" s="429" t="inlineStr">
        <is>
          <t>The test: can each portfolio fund its archetype cost (TDD + business)? If yes, live within it. If not, start with the vacancies (4.x GM tabs), then archetype size (1.x dropdowns).</t>
        </is>
      </c>
      <c r="C6" s="434" t="n"/>
      <c r="D6" s="434" t="n"/>
      <c r="E6" s="434" t="n"/>
      <c r="F6" s="434" t="n"/>
      <c r="G6" s="434" t="n"/>
    </row>
    <row r="7">
      <c r="B7" s="429" t="inlineStr">
        <is>
          <t>Each portfolio tab (1.x) shows the squads, sizes, support %, budget draw-downs and what is left to fund.</t>
        </is>
      </c>
      <c r="C7" s="434" t="n"/>
      <c r="D7" s="434" t="n"/>
      <c r="E7" s="434" t="n"/>
      <c r="F7" s="434" t="n"/>
      <c r="G7" s="434" t="n"/>
    </row>
    <row r="8">
      <c r="B8" s="429" t="inlineStr">
        <is>
          <t>Next step: agree funding for what is left to fund, and decide which vacancies to hire or hold.</t>
        </is>
      </c>
      <c r="C8" s="434" t="n"/>
      <c r="D8" s="434" t="n"/>
      <c r="E8" s="434" t="n"/>
      <c r="F8" s="434" t="n"/>
      <c r="G8" s="434" t="n"/>
    </row>
    <row r="9"/>
    <row r="10">
      <c r="B10" s="443" t="inlineStr">
        <is>
          <t>How the model is built - key decisions</t>
        </is>
      </c>
      <c r="C10" s="444" t="n"/>
      <c r="D10" s="444" t="n"/>
      <c r="E10" s="444" t="n"/>
      <c r="F10" s="444" t="n"/>
      <c r="G10" s="444" t="n"/>
    </row>
    <row r="11">
      <c r="B11" s="429" t="inlineStr">
        <is>
          <t>Squads are priced from the archetype library on 0.3 Squad Archetypes (type x size). Offshore is priced at the offshore rate set on 0.3 Squad Archetypes.</t>
        </is>
      </c>
      <c r="C11" s="434" t="n"/>
      <c r="D11" s="434" t="n"/>
      <c r="E11" s="434" t="n"/>
      <c r="F11" s="434" t="n"/>
      <c r="G11" s="434" t="n"/>
    </row>
    <row r="12">
      <c r="B12" s="429" t="inlineStr">
        <is>
          <t>Each portfolio pays one overhead: Head of Tech, Business Partner and Domain Architect shares, and leadership - rates on 0.2 Data Config.</t>
        </is>
      </c>
      <c r="C12" s="434" t="n"/>
      <c r="D12" s="434" t="n"/>
      <c r="E12" s="434" t="n"/>
      <c r="F12" s="434" t="n"/>
      <c r="G12" s="434" t="n"/>
    </row>
    <row r="13">
      <c r="B13" s="429" t="inlineStr">
        <is>
          <t>Strategic programs (AmPOS, CTRM, EGI) are priced at their entered cost. EGI is funded from Significant Items, not overheads.</t>
        </is>
      </c>
      <c r="C13" s="434" t="n"/>
      <c r="D13" s="434" t="n"/>
      <c r="E13" s="434" t="n"/>
      <c r="F13" s="434" t="n"/>
      <c r="G13" s="434" t="n"/>
    </row>
    <row r="14">
      <c r="B14" s="429" t="inlineStr">
        <is>
          <t>TDD Cyber is priced from its actual roles on 2.3 Cyber Roles, not archetypes.</t>
        </is>
      </c>
      <c r="C14" s="434" t="n"/>
      <c r="D14" s="434" t="n"/>
      <c r="E14" s="434" t="n"/>
      <c r="F14" s="434" t="n"/>
      <c r="G14" s="434" t="n"/>
    </row>
    <row r="15">
      <c r="B15" s="429" t="inlineStr">
        <is>
          <t>Business Partner &amp; Domain Architect money sits inside the portfolio overheads, so it is taken out of the COE total - never counted twice.</t>
        </is>
      </c>
      <c r="C15" s="434" t="n"/>
      <c r="D15" s="434" t="n"/>
      <c r="E15" s="434" t="n"/>
      <c r="F15" s="434" t="n"/>
      <c r="G15" s="434" t="n"/>
    </row>
    <row r="16"/>
    <row r="17">
      <c r="B17" s="443" t="inlineStr">
        <is>
          <t>The money</t>
        </is>
      </c>
      <c r="C17" s="444" t="n"/>
      <c r="D17" s="444" t="n"/>
      <c r="E17" s="444" t="n"/>
      <c r="F17" s="444" t="n"/>
      <c r="G17" s="444" t="n"/>
    </row>
    <row r="18">
      <c r="B18" s="464" t="inlineStr">
        <is>
          <t>The TDD budget</t>
        </is>
      </c>
      <c r="C18" s="465" t="n"/>
    </row>
    <row r="19">
      <c r="B19" s="429" t="inlineStr">
        <is>
          <t>Total TDD people budget ($m)</t>
        </is>
      </c>
      <c r="C19" s="445">
        <f>'0.2 Data Config'!$E$27</f>
        <v>53.800000000000004</v>
      </c>
    </row>
    <row r="20">
      <c r="B20" s="429" t="inlineStr">
        <is>
          <t>Allocated to portfolios + COEs ($m)</t>
        </is>
      </c>
      <c r="C20" s="445">
        <f>'2.5 Group Summary'!$C$30</f>
        <v>43.5</v>
      </c>
    </row>
    <row r="21">
      <c r="B21" s="429" t="inlineStr">
        <is>
          <t>Not yet allocated ($m)</t>
        </is>
      </c>
      <c r="C21" s="445">
        <f>'0.2 Data Config'!$E$27-'2.5 Group Summary'!$C$30</f>
        <v>10.300000000000004</v>
      </c>
    </row>
    <row r="22">
      <c r="B22" s="464" t="inlineStr">
        <is>
          <t>What the archetype model costs</t>
        </is>
      </c>
      <c r="C22" s="465" t="n"/>
    </row>
    <row r="23">
      <c r="B23" s="429" t="inlineStr">
        <is>
          <t>TDD Cost - funded by TDD ($m)</t>
        </is>
      </c>
      <c r="C23" s="445">
        <f>'2.5 Group Summary'!$D$24</f>
        <v>62.417348477999994</v>
      </c>
    </row>
    <row r="24">
      <c r="B24" s="429" t="inlineStr">
        <is>
          <t>Funded outside TDD ($m)</t>
        </is>
      </c>
      <c r="C24" s="445">
        <f>'2.5 Group Summary'!$G$24</f>
        <v>30.671999999999997</v>
      </c>
    </row>
    <row r="25">
      <c r="B25" s="429" t="inlineStr">
        <is>
          <t>Less: BP &amp; Domain Architect already funded in portfolio overheads ($m)</t>
        </is>
      </c>
      <c r="C25" s="445">
        <f>'2.6 Total Cost'!$C$23</f>
        <v>-3.4320000000000004</v>
      </c>
    </row>
    <row r="26">
      <c r="B26" s="429" t="inlineStr">
        <is>
          <t>Total archetype model cost ($m)</t>
        </is>
      </c>
      <c r="C26" s="445">
        <f>'2.6 Total Cost'!$C$24</f>
        <v>89.65734847799999</v>
      </c>
    </row>
    <row r="27">
      <c r="B27" s="429" t="inlineStr">
        <is>
          <t>of which TDD pays - after the double-count ($m)</t>
        </is>
      </c>
      <c r="C27" s="445">
        <f>'2.5 Group Summary'!$D$24+'2.6 Total Cost'!$C$23</f>
        <v>58.98534847799999</v>
      </c>
    </row>
    <row r="28">
      <c r="B28" s="429" t="inlineStr">
        <is>
          <t>Left to fund - portfolios + COEs ($m)</t>
        </is>
      </c>
      <c r="C28" s="445">
        <f>'2.5 Group Summary'!$I$24</f>
        <v>21.113296842000004</v>
      </c>
    </row>
    <row r="29">
      <c r="B29" s="464" t="inlineStr">
        <is>
          <t>What the org actually costs today</t>
        </is>
      </c>
      <c r="C29" s="465" t="n"/>
    </row>
    <row r="30">
      <c r="B30" s="429" t="inlineStr">
        <is>
          <t>All roles today - filled + vacant ($m)</t>
        </is>
      </c>
      <c r="C30" s="445">
        <f>'2.6 Total Cost'!$I$24</f>
        <v>118.1987064031</v>
      </c>
    </row>
    <row r="31">
      <c r="B31" s="429" t="inlineStr">
        <is>
          <t>of which filled ($m)</t>
        </is>
      </c>
      <c r="C31" s="445">
        <f>'2.6 Total Cost'!$E$24</f>
        <v>84.8326459781</v>
      </c>
    </row>
    <row r="32">
      <c r="B32" s="429" t="inlineStr">
        <is>
          <t>of which vacant ($m)</t>
        </is>
      </c>
      <c r="C32" s="445">
        <f>'2.6 Total Cost'!$G$24</f>
        <v>33.366060425</v>
      </c>
    </row>
    <row r="33">
      <c r="B33" s="429" t="inlineStr">
        <is>
          <t>Difference vs archetype model ($m)</t>
        </is>
      </c>
      <c r="C33" s="445">
        <f>'2.6 Total Cost'!$K$24</f>
        <v>28.541358</v>
      </c>
    </row>
    <row r="34"/>
    <row r="35">
      <c r="B35" s="443" t="inlineStr">
        <is>
          <t>The people - archetypes vs the org</t>
        </is>
      </c>
      <c r="C35" s="444" t="n"/>
      <c r="D35" s="444" t="n"/>
      <c r="E35" s="444" t="n"/>
      <c r="F35" s="444" t="n"/>
      <c r="G35" s="444" t="n"/>
    </row>
    <row r="36">
      <c r="B36" s="429" t="inlineStr">
        <is>
          <t>Roles the archetypes allow - squads at their set sizes</t>
        </is>
      </c>
      <c r="C36" s="459">
        <f>'2.7 Squad Detail'!$G$4</f>
        <v>328.5</v>
      </c>
    </row>
    <row r="37">
      <c r="B37" s="429" t="inlineStr">
        <is>
          <t>Roles actually raised in those squads - filled + vacant</t>
        </is>
      </c>
      <c r="C37" s="459">
        <f>'2.7 Squad Detail'!$G$95+'2.7 Squad Detail'!$K$95</f>
        <v>328.0</v>
      </c>
    </row>
    <row r="38">
      <c r="B38" s="429" t="inlineStr">
        <is>
          <t>Roles raised beyond the archetypes</t>
        </is>
      </c>
      <c r="C38" s="459">
        <f>'2.7 Squad Detail'!$H$4</f>
        <v>-0.5</v>
      </c>
    </row>
    <row r="39">
      <c r="B39" s="429" t="inlineStr">
        <is>
          <t>Roles in squads priced outside archetypes (AmPOS, EGI, cyber)</t>
        </is>
      </c>
      <c r="C39" s="459">
        <f>'2.7 Squad Detail'!$J$95-'2.7 Squad Detail'!$G$95-'2.7 Squad Detail'!$K$95</f>
        <v>94.0</v>
      </c>
    </row>
    <row r="40">
      <c r="B40" s="429" t="inlineStr">
        <is>
          <t>All org roles (squads + leadership + COEs + unmapped)</t>
        </is>
      </c>
      <c r="C40" s="459">
        <f>'2.7 Squad Detail'!$C$4</f>
        <v>536.0</v>
      </c>
    </row>
    <row r="41">
      <c r="B41" s="429" t="inlineStr">
        <is>
          <t>Filled - people in roles today</t>
        </is>
      </c>
      <c r="C41" s="459">
        <f>'2.7 Squad Detail'!$D$4</f>
        <v>370.0</v>
      </c>
    </row>
    <row r="42">
      <c r="B42" s="429" t="inlineStr">
        <is>
          <t>Vacant - raised, not yet hired</t>
        </is>
      </c>
      <c r="C42" s="459">
        <f>'2.7 Squad Detail'!$E$4</f>
        <v>166.0</v>
      </c>
    </row>
    <row r="43">
      <c r="B43" s="429" t="inlineStr">
        <is>
          <t>of which squad roles - the GM hire or hold lever</t>
        </is>
      </c>
      <c r="C43" s="459">
        <f>COUNTIFS(Squads!$Q:$Q,"Squad",Squads!$R:$R,"Vacant")+COUNTIFS(Squads!$Q:$Q,"Strategic Program",Squads!$R:$R,"Vacant")</f>
        <v>124.0</v>
      </c>
    </row>
    <row r="44">
      <c r="B44" s="429" t="inlineStr">
        <is>
          <t>of which leadership, COE and unmapped roles</t>
        </is>
      </c>
      <c r="C44" s="459">
        <f>'2.7 Squad Detail'!$E$4-COUNTIFS(Squads!$Q:$Q,"Squad",Squads!$R:$R,"Vacant")-COUNTIFS(Squads!$Q:$Q,"Strategic Program",Squads!$R:$R,"Vacant")</f>
        <v>42.0</v>
      </c>
    </row>
    <row r="45">
      <c r="B45" s="429" t="inlineStr">
        <is>
          <t>Vacancy rate</t>
        </is>
      </c>
      <c r="C45" s="460">
        <f>'2.7 Squad Detail'!$F$4</f>
        <v>0.30970149253731344</v>
      </c>
    </row>
    <row r="46">
      <c r="B46" s="429" t="inlineStr">
        <is>
          <t>Vacant = open roles in the raw data. Sheet2 status updates (Paused, ring-fenced) show on 2.1 to 2.3 and 5.0.</t>
        </is>
      </c>
    </row>
    <row r="47"/>
    <row r="48">
      <c r="B48" s="443" t="inlineStr">
        <is>
          <t>What it means</t>
        </is>
      </c>
      <c r="C48" s="444" t="n"/>
      <c r="D48" s="444" t="n"/>
      <c r="E48" s="444" t="n"/>
      <c r="F48" s="444" t="n"/>
      <c r="G48" s="444" t="n"/>
    </row>
    <row r="49">
      <c r="B49" s="429" t="inlineStr">
        <is>
          <t>Today's filled roles cost ($m)</t>
        </is>
      </c>
      <c r="C49" s="445">
        <f>'2.6 Total Cost'!$E$24</f>
        <v>84.8326459781</v>
      </c>
    </row>
    <row r="50">
      <c r="B50" s="429" t="inlineStr">
        <is>
          <t>Filled roles over/(under) the archetype cost ($m)</t>
        </is>
      </c>
      <c r="C50" s="445">
        <f>ROUND('2.6 Total Cost'!$E$24-'2.6 Total Cost'!$C$24,6)</f>
        <v>-4.824702</v>
      </c>
    </row>
    <row r="51">
      <c r="B51" s="429" t="inlineStr">
        <is>
          <t>Hiring every vacancy would add ($m)</t>
        </is>
      </c>
      <c r="C51" s="445">
        <f>'2.6 Total Cost'!$G$24</f>
        <v>33.366060425</v>
      </c>
    </row>
    <row r="52">
      <c r="B52" s="429" t="inlineStr">
        <is>
          <t>of which squad roles - the 4.x GM lever ($m)</t>
        </is>
      </c>
      <c r="C52" s="445">
        <f>'4.1 Ampol Retail'!$C$16+'4.2 Customer'!$C$14+'4.3 Enterprise Data'!$C$11+'4.4 TDD Group Functions'!$C$12+'4.5 P&amp;C'!$C$10+'4.6 Finance'!$C$10+'4.7 Infrastructure'!$C$11+'4.8 Energy Solutions &amp; B2B'!$C$10+'4.9 Commercial Fuels'!$C$11+'4.10 Z Retail'!$C$10+'4.11 TDD Cyber'!$C$8</f>
        <v>24.65139427852946</v>
      </c>
    </row>
    <row r="53">
      <c r="B53" s="429" t="inlineStr">
        <is>
          <t>Vacant roles are priced at standard title rates - indicative until an offer is made.</t>
        </is>
      </c>
      <c r="C53" s="434" t="n"/>
      <c r="D53" s="434" t="n"/>
      <c r="E53" s="434" t="n"/>
      <c r="F53" s="434" t="n"/>
      <c r="G53" s="434" t="n"/>
    </row>
    <row r="54">
      <c r="B54" s="429" t="inlineStr">
        <is>
          <t>Taking the design OVER the archetypes by ($m)</t>
        </is>
      </c>
      <c r="C54" s="445">
        <f>'2.6 Total Cost'!$K$24</f>
        <v>28.541358</v>
      </c>
    </row>
    <row r="55">
      <c r="B55" s="429" t="inlineStr">
        <is>
          <t>The main lever is the vacancies: they are raised but not hired, so holding them impacts nobody. Make the call role by role on the 4.x GM tab.</t>
        </is>
      </c>
      <c r="C55" s="434" t="n"/>
      <c r="D55" s="434" t="n"/>
      <c r="E55" s="434" t="n"/>
      <c r="F55" s="434" t="n"/>
      <c r="G55" s="434" t="n"/>
    </row>
    <row r="56">
      <c r="B56" s="429" t="inlineStr">
        <is>
          <t>Resizing the archetypes themselves (squad size, support %, onshore or offshore) is done with the dropdowns on the 1.x tabs - cost, variance and left to fund update live.</t>
        </is>
      </c>
      <c r="C56" s="434" t="n"/>
      <c r="D56" s="434" t="n"/>
      <c r="E56" s="434" t="n"/>
      <c r="F56" s="434" t="n"/>
      <c r="G56" s="434" t="n"/>
    </row>
    <row r="57">
      <c r="B57" s="429" t="inlineStr">
        <is>
          <t>Roles not mapped to any squad or COE ($m)</t>
        </is>
      </c>
      <c r="C57" s="445">
        <f>'2.6 Total Cost'!$I$22</f>
        <v>9.162708308000001</v>
      </c>
    </row>
    <row r="58">
      <c r="B58" s="429" t="inlineStr">
        <is>
          <t>TDD Cyber - needs more than its budget, see 1.11 ($m)</t>
        </is>
      </c>
      <c r="C58" s="445">
        <f>'2.3 Cyber Roles'!$C$15</f>
        <v>8.330489044</v>
      </c>
    </row>
    <row r="59">
      <c r="B59" s="429" t="inlineStr">
        <is>
          <t>COEs - left to fund after budgets, see 2.4 ($m)</t>
        </is>
      </c>
      <c r="C59" s="445">
        <f>'2.4 COE Summary'!$F$13</f>
        <v>2.121296842</v>
      </c>
    </row>
    <row r="60"/>
    <row r="61">
      <c r="B61" s="443" t="inlineStr">
        <is>
          <t>Portfolio drill-down</t>
        </is>
      </c>
      <c r="C61" s="444" t="n"/>
      <c r="D61" s="444" t="n"/>
      <c r="E61" s="444" t="n"/>
      <c r="F61" s="444" t="n"/>
      <c r="G61" s="444" t="n"/>
    </row>
    <row r="62">
      <c r="B62" s="429" t="inlineStr">
        <is>
          <t>Yellow cell = dropdown input - pick a portfolio</t>
        </is>
      </c>
    </row>
    <row r="63">
      <c r="B63" s="429" t="inlineStr">
        <is>
          <t>Portfolio</t>
        </is>
      </c>
      <c r="C63" s="461" t="inlineStr">
        <is>
          <t>Ampol Retail</t>
        </is>
      </c>
    </row>
    <row r="64">
      <c r="B64" s="429" t="inlineStr">
        <is>
          <t>TDD Lights On budget ($m)</t>
        </is>
      </c>
      <c r="C64" s="445">
        <f>INDEX('2.5 Group Summary'!$C$6:$C$16,MATCH($C$63,'2.5 Group Summary'!$B$6:$B$16,0))</f>
        <v>2.5</v>
      </c>
    </row>
    <row r="65">
      <c r="B65" s="429" t="inlineStr">
        <is>
          <t>TDD Cost ($m)</t>
        </is>
      </c>
      <c r="C65" s="445">
        <f>INDEX('2.5 Group Summary'!$D$6:$D$16,MATCH($C$63,'2.5 Group Summary'!$B$6:$B$16,0))</f>
        <v>5.6265</v>
      </c>
    </row>
    <row r="66">
      <c r="B66" s="429" t="inlineStr">
        <is>
          <t>TDD Variance - to fund ($m)</t>
        </is>
      </c>
      <c r="C66" s="445">
        <f>MAX(0,-INDEX('2.5 Group Summary'!$E$6:$E$16,MATCH($C$63,'2.5 Group Summary'!$B$6:$B$16,0)))</f>
        <v>3.1265</v>
      </c>
    </row>
    <row r="67">
      <c r="B67" s="429" t="inlineStr">
        <is>
          <t>Funded outside TDD ($m)</t>
        </is>
      </c>
      <c r="C67" s="445">
        <f>INDEX('2.5 Group Summary'!$G$6:$G$16,MATCH($C$63,'2.5 Group Summary'!$B$6:$B$16,0))</f>
        <v>4.728</v>
      </c>
    </row>
    <row r="68">
      <c r="B68" s="429" t="inlineStr">
        <is>
          <t>Allocated outside TDD ($m)</t>
        </is>
      </c>
      <c r="C68" s="445">
        <f>INDEX('2.5 Group Summary'!$H$6:$H$16,MATCH($C$63,'2.5 Group Summary'!$B$6:$B$16,0))</f>
        <v>0.0</v>
      </c>
    </row>
    <row r="69">
      <c r="B69" s="429" t="inlineStr">
        <is>
          <t>Left to fund ($m)</t>
        </is>
      </c>
      <c r="C69" s="445">
        <f>INDEX('2.5 Group Summary'!$I$6:$I$16,MATCH($C$63,'2.5 Group Summary'!$B$6:$B$16,0))</f>
        <v>4.728</v>
      </c>
    </row>
    <row r="70">
      <c r="B70" s="429" t="inlineStr">
        <is>
          <t>Total cost ($m)</t>
        </is>
      </c>
      <c r="C70" s="445" t="str">
        <f>INDEX('2.5 Group Summary'!$K$6:$J$16,MATCH($C$63,'2.5 Group Summary'!$B$6:$B$16,0))</f>
        <v>#REF!</v>
      </c>
    </row>
    <row r="71">
      <c r="B71" s="429" t="inlineStr">
        <is>
          <t>Archetype squad roles allowed</t>
        </is>
      </c>
      <c r="C71" s="637">
        <f>INDEX(Lists!$K$2:$K$12,MATCH($C$63,Lists!$J$2:$J$12,0))</f>
        <v>60.5</v>
      </c>
    </row>
    <row r="72">
      <c r="B72" s="429" t="inlineStr">
        <is>
          <t>Org roles (excl leadership)</t>
        </is>
      </c>
      <c r="C72" s="459">
        <f>COUNTIFS(Squads!$N:$N,$C$63)-COUNTIFS(Squads!$N:$N,$C$63,Squads!$Q:$Q,"Leadership")</f>
        <v>75.0</v>
      </c>
    </row>
    <row r="73">
      <c r="B73" s="429" t="inlineStr">
        <is>
          <t>Filled</t>
        </is>
      </c>
      <c r="C73" s="459">
        <f>COUNTIFS(Squads!$N:$N,$C$63,Squads!$R:$R,"Filled")-COUNTIFS(Squads!$N:$N,$C$63,Squads!$Q:$Q,"Leadership",Squads!$R:$R,"Filled")</f>
        <v>47.0</v>
      </c>
    </row>
    <row r="74">
      <c r="B74" s="429" t="inlineStr">
        <is>
          <t>Vacant</t>
        </is>
      </c>
      <c r="C74" s="459">
        <f>COUNTIFS(Squads!$N:$N,$C$63,Squads!$R:$R,"Vacant")-COUNTIFS(Squads!$N:$N,$C$63,Squads!$Q:$Q,"Leadership",Squads!$R:$R,"Vacant")</f>
        <v>28.0</v>
      </c>
    </row>
    <row r="75">
      <c r="B75" s="429" t="inlineStr">
        <is>
          <t>Leadership roles</t>
        </is>
      </c>
      <c r="C75" s="459">
        <f>COUNTIFS(Squads!$N:$N,$C$63,Squads!$Q:$Q,"Leadership")</f>
        <v>5.0</v>
      </c>
    </row>
    <row r="76">
      <c r="B76" s="429" t="inlineStr">
        <is>
          <t>Org roles include roles outside the archetype model; squad-only counts are on 2.7 Squad Detail.</t>
        </is>
      </c>
    </row>
  </sheetData>
  <conditionalFormatting sqref="C66">
    <cfRule type="cellIs" priority="1" operator="greaterThan" dxfId="1">
      <formula>0</formula>
    </cfRule>
    <cfRule type="cellIs" priority="2" operator="lessThanOrEqual" dxfId="0">
      <formula>0</formula>
    </cfRule>
  </conditionalFormatting>
  <dataValidations count="1">
    <dataValidation sqref="C63" showDropDown="0" showInputMessage="0" showErrorMessage="1" allowBlank="1" errorTitle="Invalid entry" error="Pick a value from the list" type="list">
      <formula1>"Ampol Retail,Customer,Enterprise Data,TDD Group Functions,P&amp;C,Finance,Infrastructure,Energy Solutions &amp; B2B,Commercial Fuels,Z Retail,TDD Cyber"</formula1>
    </dataValidation>
  </dataValidations>
  <pageMargins left="0.75" right="0.75" top="1" bottom="1" header="0.5" footer="0.5"/>
</worksheet>
</file>

<file path=xl/worksheets/sheet2.xml><?xml version="1.0" encoding="utf-8"?>
<worksheet xmlns="http://schemas.openxmlformats.org/spreadsheetml/2006/main">
  <sheetPr>
    <tabColor rgb="00808080"/>
    <outlinePr summaryBelow="1" summaryRight="1"/>
    <pageSetUpPr/>
  </sheetPr>
  <dimension ref="B2:B2"/>
  <sheetViews>
    <sheetView showGridLines="0" workbookViewId="0">
      <selection activeCell="A1" sqref="A1"/>
    </sheetView>
  </sheetViews>
  <sheetFormatPr baseColWidth="8" defaultRowHeight="15"/>
  <cols>
    <col width="2" customWidth="1" style="506" min="1" max="1"/>
    <col width="60" customWidth="1" style="506" min="2" max="2"/>
  </cols>
  <sheetData>
    <row r="2">
      <c r="B2" s="742" t="inlineStr">
        <is>
          <t>INPUTS  &gt;&gt;&gt;</t>
        </is>
      </c>
    </row>
  </sheetData>
  <pageMargins left="0.75" right="0.75" top="1" bottom="1" header="0.5" footer="0.5"/>
</worksheet>
</file>

<file path=xl/worksheets/sheet3.xml><?xml version="1.0" encoding="utf-8"?>
<worksheet xmlns="http://schemas.openxmlformats.org/spreadsheetml/2006/main">
  <sheetPr>
    <tabColor rgb="00808080"/>
    <outlinePr summaryBelow="1" summaryRight="1"/>
    <pageSetUpPr/>
  </sheetPr>
  <dimension ref="A1:F26"/>
  <sheetViews>
    <sheetView showGridLines="0" workbookViewId="0">
      <selection activeCell="A1" sqref="A1"/>
    </sheetView>
  </sheetViews>
  <sheetFormatPr baseColWidth="8" defaultRowHeight="15"/>
  <cols>
    <col width="3" customWidth="1" style="506" min="1" max="1"/>
    <col width="118" customWidth="1" style="506" min="2" max="2"/>
  </cols>
  <sheetData>
    <row r="1"/>
    <row r="2">
      <c r="A2" s="665" t="n"/>
      <c r="B2" s="743" t="inlineStr">
        <is>
          <t>How this workbook flows</t>
        </is>
      </c>
      <c r="C2" s="665" t="n"/>
      <c r="D2" s="665" t="n"/>
      <c r="E2" s="665" t="n"/>
      <c r="F2" s="665" t="n"/>
    </row>
    <row r="3">
      <c r="A3" s="665" t="n"/>
      <c r="B3" s="665" t="n"/>
      <c r="C3" s="665" t="n"/>
      <c r="D3" s="665" t="n"/>
      <c r="E3" s="665" t="n"/>
      <c r="F3" s="665" t="n"/>
    </row>
    <row r="4">
      <c r="A4" s="665" t="n"/>
      <c r="B4" s="666" t="inlineStr">
        <is>
          <t>The flow - two streams that meet in the middle</t>
        </is>
      </c>
      <c r="C4" s="665" t="n"/>
      <c r="D4" s="665" t="n"/>
      <c r="E4" s="665" t="n"/>
      <c r="F4" s="665" t="n"/>
    </row>
    <row r="5" ht="45" customHeight="1" s="506">
      <c r="A5" s="665" t="n"/>
      <c r="B5" s="744" t="inlineStr">
        <is>
          <t>STREAM 1, THE DESIGN: 0.1 Budget Table (the money Finance gave) feeds 0.2 Data Config (how it is allocated per portfolio, AU and NZ, plus overhead rates and the four $2m COE allocations). 0.3 Squad Archetypes prices the contract (type x size). Each GM's design sits on 1.1 to 1.11, priced from 0.3 and funded per 0.2.</t>
        </is>
      </c>
      <c r="C5" s="665" t="n"/>
      <c r="D5" s="665" t="n"/>
      <c r="E5" s="665" t="n"/>
      <c r="F5" s="665" t="n"/>
    </row>
    <row r="6" ht="30" customHeight="1" s="506">
      <c r="A6" s="665" t="n"/>
      <c r="B6" s="744" t="inlineStr">
        <is>
          <t>STREAM 2, THE ORG: the Squads tab holds every role actually raised (536, filled and vacant) and its model mapping. Sheet2 holds the updated rosters for BP&amp;T, SA&amp;D, Cyber and EGI. Added data holds what each person actually costs.</t>
        </is>
      </c>
      <c r="C6" s="665" t="n"/>
      <c r="D6" s="665" t="n"/>
      <c r="E6" s="665" t="n"/>
      <c r="F6" s="665" t="n"/>
    </row>
    <row r="7" ht="45" customHeight="1" s="506">
      <c r="A7" s="665" t="n"/>
      <c r="B7" s="744" t="inlineStr">
        <is>
          <t>THE ROLL-UP: the COE rosters (2.1 BP&amp;T, 2.2 SA&amp;D, 2.3 Cyber Roles) and their funding roll into 2.4 COE Summary. 2.5 Group Summary answers: can the budgets fund the design (with AU and NZ variance). 2.6 Total Cost is the test: the design vs what the org actually costs. 2.7 Squad Detail is the same test squad by squad.</t>
        </is>
      </c>
      <c r="C7" s="665" t="n"/>
      <c r="D7" s="665" t="n"/>
      <c r="E7" s="665" t="n"/>
      <c r="F7" s="665" t="n"/>
    </row>
    <row r="8" ht="30" customHeight="1" s="506">
      <c r="A8" s="665" t="n"/>
      <c r="B8" s="744" t="inlineStr">
        <is>
          <t>THE DECISIONS: tabs 4.1 to 4.14 - every role in the organisation appears on exactly one of them. GMs mark Hire or Hold on every vacancy. The Exec Summary tells the result. 5.0 Data QA is the evidence behind every number.</t>
        </is>
      </c>
      <c r="C8" s="665" t="n"/>
      <c r="D8" s="665" t="n"/>
      <c r="E8" s="665" t="n"/>
      <c r="F8" s="665" t="n"/>
    </row>
    <row r="9" ht="15" customHeight="1" s="506">
      <c r="A9" s="665" t="n"/>
      <c r="B9" s="666" t="inlineStr">
        <is>
          <t>What you can edit (yellow cells are inputs)</t>
        </is>
      </c>
      <c r="C9" s="665" t="n"/>
      <c r="D9" s="665" t="n"/>
      <c r="E9" s="665" t="n"/>
      <c r="F9" s="665" t="n"/>
    </row>
    <row r="10" ht="45" customHeight="1" s="506">
      <c r="A10" s="665" t="n"/>
      <c r="B10" s="744" t="inlineStr">
        <is>
          <t>0.2 Data Config: budgets, rates, allocations. | 0.3 Squad Archetypes: prices and the offshore rate. | 1.x: squad type, size, On/Off, support %, Fund (AU or NZ). | 4.x: the Hire or Hold Call cells. | Squads / Sheet2 / Added data: your source data.</t>
        </is>
      </c>
      <c r="C10" s="665" t="n"/>
      <c r="D10" s="665" t="n"/>
      <c r="E10" s="665" t="n"/>
      <c r="F10" s="665" t="n"/>
    </row>
    <row r="11" ht="15" customHeight="1" s="506">
      <c r="A11" s="665" t="n"/>
      <c r="B11" s="666" t="inlineStr">
        <is>
          <t>If you change X, Y updates</t>
        </is>
      </c>
      <c r="C11" s="665" t="n"/>
      <c r="D11" s="665" t="n"/>
      <c r="E11" s="665" t="n"/>
      <c r="F11" s="665" t="n"/>
    </row>
    <row r="12" ht="15" customHeight="1" s="506">
      <c r="A12" s="665" t="n"/>
      <c r="B12" s="744" t="inlineStr">
        <is>
          <t>A squad's type, size, On/Off, support % or Fund toggle on 1.x updates 2.5, 2.6, 2.7 and the Exec Summary.</t>
        </is>
      </c>
      <c r="C12" s="665" t="n"/>
      <c r="D12" s="665" t="n"/>
      <c r="E12" s="665" t="n"/>
      <c r="F12" s="665" t="n"/>
    </row>
    <row r="13" ht="15" customHeight="1" s="506">
      <c r="A13" s="665" t="n"/>
      <c r="B13" s="744" t="inlineStr">
        <is>
          <t>A status or mapping in the Squads tab updates every role count: 2.6, 2.7 and the 4.x tabs.</t>
        </is>
      </c>
      <c r="C13" s="665" t="n"/>
      <c r="D13" s="665" t="n"/>
      <c r="E13" s="665" t="n"/>
      <c r="F13" s="665" t="n"/>
    </row>
    <row r="14" ht="30" customHeight="1" s="506">
      <c r="A14" s="665" t="n"/>
      <c r="B14" s="744" t="inlineStr">
        <is>
          <t>A person or cost in Sheet2 updates 2.1, 2.2, 2.3, the EGI roster, 2.4, the COE lines of 2.5 and 2.6, and tabs 4.12 to 4.14.</t>
        </is>
      </c>
      <c r="C14" s="665" t="n"/>
      <c r="D14" s="665" t="n"/>
      <c r="E14" s="665" t="n"/>
      <c r="F14" s="665" t="n"/>
    </row>
    <row r="15" ht="30" customHeight="1" s="506">
      <c r="A15" s="665" t="n"/>
      <c r="B15" s="744" t="inlineStr">
        <is>
          <t>A budget on 0.2 updates the budget and variance columns of 2.5, the draw-downs on 2.1 / 2.2 / 2.4, and left to fund everywhere.</t>
        </is>
      </c>
      <c r="C15" s="665" t="n"/>
      <c r="D15" s="665" t="n"/>
      <c r="E15" s="665" t="n"/>
      <c r="F15" s="665" t="n"/>
    </row>
    <row r="16" ht="30" customHeight="1" s="506">
      <c r="A16" s="665" t="n"/>
      <c r="B16" s="744" t="inlineStr">
        <is>
          <t>A Hire or Hold call on 4.x updates that tab's cost of roles marked Hire. Totals move only when a role is actually hired in the raw data.</t>
        </is>
      </c>
      <c r="C16" s="665" t="n"/>
      <c r="D16" s="665" t="n"/>
      <c r="E16" s="665" t="n"/>
      <c r="F16" s="665" t="n"/>
    </row>
    <row r="17" ht="30" customHeight="1" s="506">
      <c r="A17" s="665" t="n"/>
      <c r="B17" s="666" t="inlineStr">
        <is>
          <t>What is safe to change in the source data - and what is not</t>
        </is>
      </c>
      <c r="C17" s="665" t="n"/>
      <c r="D17" s="665" t="n"/>
      <c r="E17" s="665" t="n"/>
      <c r="F17" s="665" t="n"/>
    </row>
    <row r="18" ht="15" customHeight="1" s="506">
      <c r="A18" s="665" t="n"/>
      <c r="B18" s="744" t="inlineStr">
        <is>
          <t>SAFE: any number (cost, base, rate), any status, any person's details. All model cells are live references.</t>
        </is>
      </c>
      <c r="C18" s="665" t="n"/>
      <c r="D18" s="665" t="n"/>
      <c r="E18" s="665" t="n"/>
      <c r="F18" s="665" t="n"/>
    </row>
    <row r="19" ht="30" customHeight="1" s="506">
      <c r="A19" s="665" t="n"/>
      <c r="B19" s="744" t="inlineStr">
        <is>
          <t>CAUTION: renaming a person in Squads without renaming them in Added data breaks that person's cost lookup (it falls back to the title average); 5.0 shows the drift.</t>
        </is>
      </c>
      <c r="C19" s="665" t="n"/>
      <c r="D19" s="665" t="n"/>
      <c r="E19" s="665" t="n"/>
      <c r="F19" s="665" t="n"/>
    </row>
    <row r="20" ht="45" customHeight="1" s="506">
      <c r="A20" s="665" t="n"/>
      <c r="B20" s="744" t="inlineStr">
        <is>
          <t>NOT SAFE ALONE: renaming a squad or portfolio (counts match the name as text), deleting rows (references break loudly and 5.0 stops footing - change the status instead), or adding rows at the bottom (rosters need a refresh). Ask for a refresh after structural edits.</t>
        </is>
      </c>
      <c r="C20" s="665" t="n"/>
      <c r="D20" s="665" t="n"/>
      <c r="E20" s="665" t="n"/>
      <c r="F20" s="665" t="n"/>
    </row>
    <row r="21">
      <c r="A21" s="665" t="n"/>
      <c r="B21" s="666" t="inlineStr">
        <is>
          <t>How to trust it</t>
        </is>
      </c>
      <c r="C21" s="665" t="n"/>
      <c r="D21" s="665" t="n"/>
      <c r="E21" s="665" t="n"/>
      <c r="F21" s="665" t="n"/>
    </row>
    <row r="22" ht="45" customHeight="1" s="506">
      <c r="A22" s="665" t="n"/>
      <c r="B22" s="744" t="inlineStr">
        <is>
          <t>Every row labelled Check must read 0. All reconciliations, the Sheet2 update log, the mapping change log and the raw data audit live on 5.0 Data QA. Every role has exactly one 4.x home - if one were missed, the checks would not foot.</t>
        </is>
      </c>
      <c r="C22" s="665" t="n"/>
      <c r="D22" s="665" t="n"/>
      <c r="E22" s="665" t="n"/>
      <c r="F22" s="665" t="n"/>
    </row>
    <row r="23">
      <c r="A23" s="665" t="n"/>
      <c r="B23" s="665" t="n"/>
      <c r="C23" s="665" t="n"/>
      <c r="D23" s="665" t="n"/>
      <c r="E23" s="665" t="n"/>
      <c r="F23" s="665" t="n"/>
    </row>
    <row r="24">
      <c r="A24" s="665" t="n"/>
      <c r="B24" s="678" t="n"/>
      <c r="C24" s="665" t="n"/>
      <c r="D24" s="665" t="n"/>
      <c r="E24" s="665" t="n"/>
      <c r="F24" s="665" t="n"/>
    </row>
    <row r="25">
      <c r="A25" s="665" t="n"/>
      <c r="B25" s="665" t="n"/>
      <c r="C25" s="665" t="n"/>
      <c r="D25" s="665" t="n"/>
      <c r="E25" s="665" t="n"/>
      <c r="F25" s="665" t="n"/>
    </row>
    <row r="26">
      <c r="A26" s="665" t="n"/>
      <c r="B26" s="665" t="n"/>
      <c r="C26" s="665" t="n"/>
      <c r="D26" s="665" t="n"/>
      <c r="E26" s="665" t="n"/>
      <c r="F26" s="665" t="n"/>
    </row>
  </sheetData>
  <pageMargins left="0.75" right="0.75" top="1" bottom="1" header="0.5" footer="0.5"/>
</worksheet>
</file>

<file path=xl/worksheets/sheet4.xml><?xml version="1.0" encoding="utf-8"?>
<worksheet xmlns="http://schemas.openxmlformats.org/spreadsheetml/2006/main">
  <sheetPr>
    <tabColor rgb="00808080"/>
    <outlinePr summaryBelow="1" summaryRight="1"/>
    <pageSetUpPr/>
  </sheetPr>
  <dimension ref="A1:Y35"/>
  <sheetViews>
    <sheetView showGridLines="0" zoomScale="90" zoomScaleNormal="90" workbookViewId="0">
      <selection activeCell="P6" sqref="P6"/>
    </sheetView>
  </sheetViews>
  <sheetFormatPr baseColWidth="8" defaultColWidth="9.1796875" defaultRowHeight="13" outlineLevelCol="0"/>
  <cols>
    <col width="9.1796875" customWidth="1" style="102" min="1" max="1"/>
    <col width="17.7265625" customWidth="1" style="102" min="2" max="2"/>
    <col width="15.7265625" customWidth="1" style="102" min="3" max="3"/>
    <col width="12.453125" customWidth="1" style="102" min="4" max="4"/>
    <col width="11.1796875" customWidth="1" style="102" min="5" max="5"/>
    <col width="14.7265625" customWidth="1" style="102" min="6" max="6"/>
    <col width="9.1796875" customWidth="1" style="102" min="7" max="7"/>
    <col width="12.7265625" customWidth="1" style="102" min="8" max="8"/>
    <col width="9.1796875" customWidth="1" style="102" min="9" max="13"/>
    <col width="11" customWidth="1" style="102" min="14" max="14"/>
    <col width="9.1796875" customWidth="1" style="102" min="15" max="16"/>
    <col width="9.1796875" customWidth="1" style="102" min="17" max="16384"/>
  </cols>
  <sheetData>
    <row r="1"/>
    <row r="2" ht="13.5" customHeight="1" s="506"/>
    <row r="3" ht="29.25" customHeight="1" s="506">
      <c r="B3" s="103" t="inlineStr">
        <is>
          <t>BUSINESS</t>
        </is>
      </c>
      <c r="C3" s="535" t="inlineStr">
        <is>
          <t>EGM Sponsor</t>
        </is>
      </c>
      <c r="D3" s="535" t="inlineStr">
        <is>
          <t>GM Sponsor</t>
        </is>
      </c>
      <c r="E3" s="535" t="inlineStr">
        <is>
          <t>Domain Architect</t>
        </is>
      </c>
      <c r="F3" s="535" t="inlineStr">
        <is>
          <t>HO Technology</t>
        </is>
      </c>
      <c r="G3" s="533" t="inlineStr">
        <is>
          <t>Lights-on</t>
        </is>
      </c>
      <c r="H3" s="538" t="n"/>
      <c r="I3" s="538" t="n"/>
      <c r="J3" s="538" t="n"/>
      <c r="K3" s="538" t="n"/>
      <c r="L3" s="539" t="n"/>
      <c r="M3" s="533" t="inlineStr">
        <is>
          <t>Depreciation</t>
        </is>
      </c>
      <c r="N3" s="533" t="inlineStr">
        <is>
          <t>Initiatives</t>
        </is>
      </c>
      <c r="O3" s="533" t="inlineStr">
        <is>
          <t>Sig Items</t>
        </is>
      </c>
      <c r="P3" s="533" t="inlineStr">
        <is>
          <t>Capex</t>
        </is>
      </c>
      <c r="Q3" s="104" t="inlineStr">
        <is>
          <t>Total Budget</t>
        </is>
      </c>
      <c r="R3" s="105" t="n"/>
      <c r="S3" s="554" t="inlineStr">
        <is>
          <t>Existing</t>
        </is>
      </c>
      <c r="T3" s="533" t="inlineStr">
        <is>
          <t>Aligned Delivery</t>
        </is>
      </c>
      <c r="U3" s="533" t="inlineStr">
        <is>
          <t>Aligned COE's</t>
        </is>
      </c>
      <c r="V3" s="104" t="inlineStr">
        <is>
          <t>Total Budget</t>
        </is>
      </c>
    </row>
    <row r="4" ht="29.25" customHeight="1" s="506">
      <c r="B4" s="106" t="inlineStr">
        <is>
          <t>SEGMENT</t>
        </is>
      </c>
      <c r="C4" s="534" t="n"/>
      <c r="D4" s="534" t="n"/>
      <c r="E4" s="534" t="n"/>
      <c r="F4" s="534" t="n"/>
      <c r="G4" s="107" t="inlineStr">
        <is>
          <t>People</t>
        </is>
      </c>
      <c r="H4" s="107" t="inlineStr">
        <is>
          <t>HW</t>
        </is>
      </c>
      <c r="I4" s="107" t="inlineStr">
        <is>
          <t>SW</t>
        </is>
      </c>
      <c r="J4" s="107" t="inlineStr">
        <is>
          <t>Network</t>
        </is>
      </c>
      <c r="K4" s="107" t="inlineStr">
        <is>
          <t>Vendor</t>
        </is>
      </c>
      <c r="L4" s="107" t="inlineStr">
        <is>
          <t>Sub-Total</t>
        </is>
      </c>
      <c r="M4" s="534" t="n"/>
      <c r="N4" s="534" t="n"/>
      <c r="O4" s="534" t="n"/>
      <c r="P4" s="534" t="n"/>
      <c r="Q4" s="108" t="inlineStr">
        <is>
          <t>FY2026</t>
        </is>
      </c>
      <c r="R4" s="109" t="n"/>
      <c r="S4" s="537" t="n"/>
      <c r="T4" s="534" t="n"/>
      <c r="U4" s="534" t="n"/>
      <c r="V4" s="108" t="inlineStr">
        <is>
          <t>FY2026</t>
        </is>
      </c>
    </row>
    <row r="5" ht="22.5" customHeight="1" s="506">
      <c r="B5" s="110" t="inlineStr">
        <is>
          <t>TDD Corporate (1)</t>
        </is>
      </c>
      <c r="C5" s="111" t="inlineStr">
        <is>
          <t>Brad Blyth</t>
        </is>
      </c>
      <c r="D5" s="112" t="n"/>
      <c r="E5" s="112" t="n"/>
      <c r="F5" s="112" t="n"/>
      <c r="G5" s="113" t="n">
        <v>35.2</v>
      </c>
      <c r="H5" s="113" t="n">
        <v>2.9</v>
      </c>
      <c r="I5" s="113" t="n">
        <v>25.6</v>
      </c>
      <c r="J5" s="113" t="n">
        <v>2.1</v>
      </c>
      <c r="K5" s="113" t="n">
        <v>13.1</v>
      </c>
      <c r="L5" s="114">
        <f>SUM(G5:K5)</f>
        <v>78.89999999999999</v>
      </c>
      <c r="M5" s="114" t="n">
        <v>5.8</v>
      </c>
      <c r="N5" s="114" t="n">
        <v>3</v>
      </c>
      <c r="O5" s="114" t="n">
        <v>20.2</v>
      </c>
      <c r="P5" s="114" t="n">
        <v>4.9</v>
      </c>
      <c r="Q5" s="115">
        <f>SUM(L5:P5)</f>
        <v>112.8</v>
      </c>
      <c r="R5" s="109" t="n"/>
      <c r="S5" s="116" t="n"/>
      <c r="T5" s="117" t="n"/>
      <c r="U5" s="118">
        <f>SUM(W25:W29)</f>
        <v>91.60000000000001</v>
      </c>
      <c r="V5" s="115">
        <f>SUM(S5:U5)</f>
        <v>91.60000000000001</v>
      </c>
    </row>
    <row r="6" ht="29.25" customHeight="1" s="506">
      <c r="B6" s="110" t="inlineStr">
        <is>
          <t>Z-Energy (2)</t>
        </is>
      </c>
      <c r="C6" s="111" t="inlineStr">
        <is>
          <t>Lindis Jones</t>
        </is>
      </c>
      <c r="D6" s="111" t="inlineStr">
        <is>
          <t>Vance Anderson</t>
        </is>
      </c>
      <c r="E6" s="112" t="n"/>
      <c r="F6" s="112" t="n"/>
      <c r="G6" s="113" t="n">
        <v>17.6</v>
      </c>
      <c r="H6" s="113" t="n">
        <v>19.8</v>
      </c>
      <c r="I6" s="113" t="n">
        <v>11.6</v>
      </c>
      <c r="J6" s="113" t="n">
        <v>0.6</v>
      </c>
      <c r="K6" s="113" t="n">
        <v>2.6</v>
      </c>
      <c r="L6" s="114">
        <f>SUM(G6:K6)</f>
        <v>52.20000000000001</v>
      </c>
      <c r="M6" s="114" t="n">
        <v>11.3</v>
      </c>
      <c r="N6" s="114" t="n">
        <v>1.4</v>
      </c>
      <c r="O6" s="114" t="inlineStr">
        <is>
          <t>-</t>
        </is>
      </c>
      <c r="P6" s="114" t="n">
        <v>11.7</v>
      </c>
      <c r="Q6" s="115">
        <f>SUM(L6:P6)</f>
        <v>76.60000000000002</v>
      </c>
      <c r="R6" s="109" t="n"/>
      <c r="S6" s="119">
        <f>Q6</f>
        <v>76.60000000000002</v>
      </c>
      <c r="T6" s="117" t="n"/>
      <c r="U6" s="117" t="n"/>
      <c r="V6" s="115">
        <f>SUM(S6:U6)</f>
        <v>76.60000000000002</v>
      </c>
    </row>
    <row r="7" ht="29.25" customHeight="1" s="506">
      <c r="B7" s="110" t="inlineStr">
        <is>
          <t>EnergySolutions</t>
        </is>
      </c>
      <c r="C7" s="111" t="inlineStr">
        <is>
          <t>Brent Merrick</t>
        </is>
      </c>
      <c r="D7" s="111" t="inlineStr">
        <is>
          <t>Roanne Steele</t>
        </is>
      </c>
      <c r="E7" s="112" t="n"/>
      <c r="F7" s="112" t="n"/>
      <c r="G7" s="113" t="n">
        <v>1</v>
      </c>
      <c r="H7" s="113" t="n">
        <v>1.5</v>
      </c>
      <c r="I7" s="113" t="n">
        <v>1.4</v>
      </c>
      <c r="J7" s="117" t="n"/>
      <c r="K7" s="117" t="n"/>
      <c r="L7" s="114">
        <f>SUM(G7:K7)</f>
        <v>3.9</v>
      </c>
      <c r="M7" s="120" t="n"/>
      <c r="N7" s="114" t="n">
        <v>1</v>
      </c>
      <c r="O7" s="120" t="n"/>
      <c r="P7" s="114" t="n">
        <v>2.3</v>
      </c>
      <c r="Q7" s="115">
        <f>SUM(L7:P7)</f>
        <v>7.2</v>
      </c>
      <c r="R7" s="109" t="n"/>
      <c r="S7" s="119">
        <f>Q7</f>
        <v>7.2</v>
      </c>
      <c r="T7" s="117" t="n"/>
      <c r="U7" s="117" t="n"/>
      <c r="V7" s="115">
        <f>SUM(S7:U7)</f>
        <v>7.2</v>
      </c>
      <c r="Y7" s="102">
        <f>SUM(L9,N9,O9,P9)</f>
        <v>33.8</v>
      </c>
    </row>
    <row r="8" ht="29.25" customHeight="1" s="506">
      <c r="B8" s="110" t="inlineStr">
        <is>
          <t>Commercial Fuels</t>
        </is>
      </c>
      <c r="C8" s="111" t="inlineStr">
        <is>
          <t>Brent Merrick</t>
        </is>
      </c>
      <c r="D8" s="111" t="inlineStr">
        <is>
          <t>Roanne Steele</t>
        </is>
      </c>
      <c r="E8" s="112" t="n"/>
      <c r="F8" s="112" t="n"/>
      <c r="G8" s="117" t="n"/>
      <c r="H8" s="113" t="n">
        <v>2.5</v>
      </c>
      <c r="I8" s="113" t="n">
        <v>9.4</v>
      </c>
      <c r="J8" s="113" t="n">
        <v>1.5</v>
      </c>
      <c r="K8" s="117" t="n"/>
      <c r="L8" s="114">
        <f>SUM(G8:K8)</f>
        <v>13.4</v>
      </c>
      <c r="M8" s="120" t="n"/>
      <c r="N8" s="114" t="n">
        <v>6.1</v>
      </c>
      <c r="O8" s="114" t="n">
        <v>14.2</v>
      </c>
      <c r="P8" s="114" t="n">
        <v>6.8</v>
      </c>
      <c r="Q8" s="115">
        <f>SUM(L8:P8)</f>
        <v>40.5</v>
      </c>
      <c r="R8" s="109" t="n"/>
      <c r="S8" s="119">
        <f>Q8</f>
        <v>40.5</v>
      </c>
      <c r="T8" s="121">
        <f>S19</f>
        <v>1.2</v>
      </c>
      <c r="U8" s="117" t="n"/>
      <c r="V8" s="115">
        <f>SUM(S8:U8)</f>
        <v>41.7</v>
      </c>
    </row>
    <row r="9" ht="29.25" customHeight="1" s="506">
      <c r="B9" s="110" t="inlineStr">
        <is>
          <t>Retail</t>
        </is>
      </c>
      <c r="C9" s="111" t="inlineStr">
        <is>
          <t>Kate Thomson</t>
        </is>
      </c>
      <c r="D9" s="111" t="inlineStr">
        <is>
          <t>Roanne Steele</t>
        </is>
      </c>
      <c r="E9" s="112" t="n"/>
      <c r="F9" s="112" t="n"/>
      <c r="G9" s="117" t="n"/>
      <c r="H9" s="113" t="n">
        <v>5.3</v>
      </c>
      <c r="I9" s="113" t="n">
        <v>6.4</v>
      </c>
      <c r="J9" s="113" t="n">
        <v>2.2</v>
      </c>
      <c r="K9" s="117" t="n"/>
      <c r="L9" s="114">
        <f>SUM(G9:K9)</f>
        <v>13.899999999999999</v>
      </c>
      <c r="M9" s="120" t="n"/>
      <c r="N9" s="114" t="n">
        <v>1.3</v>
      </c>
      <c r="O9" s="114" t="n">
        <v>6.8</v>
      </c>
      <c r="P9" s="114" t="n">
        <v>11.8</v>
      </c>
      <c r="Q9" s="115">
        <f>SUM(L9:P9)</f>
        <v>33.8</v>
      </c>
      <c r="R9" s="109" t="n"/>
      <c r="S9" s="119">
        <f>Q9</f>
        <v>33.8</v>
      </c>
      <c r="T9" s="121">
        <f>S20</f>
        <v>5.2</v>
      </c>
      <c r="U9" s="117" t="n"/>
      <c r="V9" s="115">
        <f>SUM(S9:U9)</f>
        <v>39.0</v>
      </c>
    </row>
    <row r="10" ht="29.25" customHeight="1" s="506">
      <c r="B10" s="110" t="inlineStr">
        <is>
          <t>Infrastructure</t>
        </is>
      </c>
      <c r="C10" s="111" t="inlineStr">
        <is>
          <t>Michelle Bardy</t>
        </is>
      </c>
      <c r="D10" s="111" t="inlineStr">
        <is>
          <t>Roanne Steele</t>
        </is>
      </c>
      <c r="E10" s="112" t="n"/>
      <c r="F10" s="112" t="n"/>
      <c r="G10" s="117" t="n"/>
      <c r="H10" s="113" t="n">
        <v>1.9</v>
      </c>
      <c r="I10" s="113" t="n">
        <v>2</v>
      </c>
      <c r="J10" s="117" t="n"/>
      <c r="K10" s="117" t="n"/>
      <c r="L10" s="114">
        <f>SUM(G10:K10)</f>
        <v>3.9</v>
      </c>
      <c r="M10" s="120" t="n"/>
      <c r="N10" s="114" t="n">
        <v>0.4</v>
      </c>
      <c r="O10" s="120" t="n"/>
      <c r="P10" s="114" t="n">
        <v>5</v>
      </c>
      <c r="Q10" s="115">
        <f>SUM(L10:P10)</f>
        <v>9.3</v>
      </c>
      <c r="R10" s="109" t="n"/>
      <c r="S10" s="119">
        <f>Q10</f>
        <v>9.3</v>
      </c>
      <c r="T10" s="121">
        <f>S21</f>
        <v>2.2</v>
      </c>
      <c r="U10" s="117" t="n"/>
      <c r="V10" s="115">
        <f>SUM(S10:U10)</f>
        <v>11.5</v>
      </c>
    </row>
    <row r="11" ht="29.25" customHeight="1" s="506">
      <c r="B11" s="110" t="inlineStr">
        <is>
          <t>Corporate Finance</t>
        </is>
      </c>
      <c r="C11" s="111" t="inlineStr">
        <is>
          <t>Greg Barnes</t>
        </is>
      </c>
      <c r="D11" s="111" t="inlineStr">
        <is>
          <t>Emily Mogic</t>
        </is>
      </c>
      <c r="E11" s="112" t="n"/>
      <c r="F11" s="112" t="n"/>
      <c r="G11" s="117" t="n"/>
      <c r="H11" s="113" t="n">
        <v>0.5</v>
      </c>
      <c r="I11" s="113" t="n">
        <v>2.1</v>
      </c>
      <c r="J11" s="117" t="n"/>
      <c r="K11" s="117" t="n"/>
      <c r="L11" s="114">
        <f>SUM(G11:K11)</f>
        <v>2.6</v>
      </c>
      <c r="M11" s="120" t="n"/>
      <c r="N11" s="114" t="n">
        <v>0.9</v>
      </c>
      <c r="O11" s="120" t="n"/>
      <c r="P11" s="120" t="n"/>
      <c r="Q11" s="115">
        <f>SUM(L11:P11)</f>
        <v>3.5</v>
      </c>
      <c r="R11" s="109" t="n"/>
      <c r="S11" s="119">
        <f>Q11</f>
        <v>3.5</v>
      </c>
      <c r="T11" s="121">
        <f>S22</f>
        <v>9.0</v>
      </c>
      <c r="U11" s="117" t="n"/>
      <c r="V11" s="115">
        <f>SUM(S11:U11)</f>
        <v>12.5</v>
      </c>
    </row>
    <row r="12" ht="22.5" customHeight="1" s="506">
      <c r="B12" s="110" t="inlineStr">
        <is>
          <t>P&amp;C</t>
        </is>
      </c>
      <c r="C12" s="111" t="inlineStr">
        <is>
          <t>Meaghan Davis</t>
        </is>
      </c>
      <c r="D12" s="111" t="inlineStr">
        <is>
          <t>Emily Mogic</t>
        </is>
      </c>
      <c r="E12" s="112" t="n"/>
      <c r="F12" s="112" t="n"/>
      <c r="G12" s="117" t="n"/>
      <c r="H12" s="113" t="n">
        <v>0.3</v>
      </c>
      <c r="I12" s="113" t="n">
        <v>1.8</v>
      </c>
      <c r="J12" s="117" t="n"/>
      <c r="K12" s="117" t="n"/>
      <c r="L12" s="114">
        <f>SUM(G12:K12)</f>
        <v>2.1</v>
      </c>
      <c r="M12" s="120" t="n"/>
      <c r="N12" s="114" t="n">
        <v>2</v>
      </c>
      <c r="O12" s="114" t="n">
        <v>1.4</v>
      </c>
      <c r="P12" s="114" t="n">
        <v>0.3</v>
      </c>
      <c r="Q12" s="115">
        <f>SUM(L12:P12)</f>
        <v>5.8</v>
      </c>
      <c r="R12" s="109" t="n"/>
      <c r="S12" s="119">
        <f>Q12</f>
        <v>5.8</v>
      </c>
      <c r="T12" s="121">
        <f>S23</f>
        <v>0.0</v>
      </c>
      <c r="U12" s="117" t="n"/>
      <c r="V12" s="115">
        <f>SUM(S12:U12)</f>
        <v>5.8</v>
      </c>
    </row>
    <row r="13" ht="29.25" customHeight="1" s="506">
      <c r="B13" s="110" t="inlineStr">
        <is>
          <t>Customer</t>
        </is>
      </c>
      <c r="C13" s="122" t="inlineStr">
        <is>
          <t>Kate Thomson</t>
        </is>
      </c>
      <c r="D13" s="122" t="inlineStr">
        <is>
          <t>Vance Anderson</t>
        </is>
      </c>
      <c r="E13" s="123" t="n"/>
      <c r="F13" s="123" t="n"/>
      <c r="G13" s="124" t="n"/>
      <c r="H13" s="125" t="n">
        <v>0.1</v>
      </c>
      <c r="I13" s="125" t="n">
        <v>1.6</v>
      </c>
      <c r="J13" s="124" t="n"/>
      <c r="K13" s="124" t="n"/>
      <c r="L13" s="126">
        <f>SUM(G13:K13)</f>
        <v>1.7000000000000002</v>
      </c>
      <c r="M13" s="127" t="n"/>
      <c r="N13" s="127" t="n"/>
      <c r="O13" s="126" t="n">
        <v>5</v>
      </c>
      <c r="P13" s="126" t="n">
        <v>5</v>
      </c>
      <c r="Q13" s="128">
        <f>SUM(L13:P13)</f>
        <v>11.7</v>
      </c>
      <c r="R13" s="129" t="n"/>
      <c r="S13" s="130">
        <f>Q13</f>
        <v>11.7</v>
      </c>
      <c r="T13" s="131">
        <f>S24</f>
        <v>3.6999999999999997</v>
      </c>
      <c r="U13" s="124" t="n"/>
      <c r="V13" s="128">
        <f>SUM(S13:U13)</f>
        <v>15.399999999999999</v>
      </c>
    </row>
    <row r="14" ht="22.5" customHeight="1" s="506">
      <c r="B14" s="132" t="inlineStr">
        <is>
          <t>Total Technology</t>
        </is>
      </c>
      <c r="C14" s="133" t="n"/>
      <c r="D14" s="133" t="n"/>
      <c r="E14" s="133" t="n"/>
      <c r="F14" s="133" t="n"/>
      <c r="G14" s="134">
        <f>SUM(G5:G13)</f>
        <v>53.800000000000004</v>
      </c>
      <c r="H14" s="134">
        <f>SUM(H5:H13)</f>
        <v>34.8</v>
      </c>
      <c r="I14" s="134">
        <f>SUM(I5:I13)</f>
        <v>61.9</v>
      </c>
      <c r="J14" s="134">
        <f>SUM(J5:J13)</f>
        <v>6.4</v>
      </c>
      <c r="K14" s="134">
        <f>SUM(K5:K13)</f>
        <v>15.7</v>
      </c>
      <c r="L14" s="135">
        <f>SUM(L5:L13)</f>
        <v>172.6</v>
      </c>
      <c r="M14" s="135">
        <f>SUM(M5:M13)</f>
        <v>17.1</v>
      </c>
      <c r="N14" s="135">
        <f>SUM(N5:N13)</f>
        <v>16.1</v>
      </c>
      <c r="O14" s="135">
        <f>SUM(O5:O13)</f>
        <v>47.599999999999994</v>
      </c>
      <c r="P14" s="135">
        <f>SUM(P5:P13)</f>
        <v>47.800000000000004</v>
      </c>
      <c r="Q14" s="136">
        <f>SUM(Q5:Q13)</f>
        <v>301.2</v>
      </c>
      <c r="R14" s="137" t="n"/>
      <c r="S14" s="138">
        <f>SUM(S6:S13)</f>
        <v>188.40000000000003</v>
      </c>
      <c r="T14" s="139">
        <f>SUM(T8:T13)</f>
        <v>21.3</v>
      </c>
      <c r="U14" s="139">
        <f>U5</f>
        <v>91.60000000000001</v>
      </c>
      <c r="V14" s="136">
        <f>SUM(V5:V13)</f>
        <v>301.3</v>
      </c>
    </row>
    <row r="15"/>
    <row r="16" ht="13.5" customHeight="1" s="506"/>
    <row r="17" ht="26.25" customHeight="1" s="506">
      <c r="B17" s="531" t="inlineStr">
        <is>
          <t>BUSINESS SEGMENT</t>
        </is>
      </c>
      <c r="C17" s="546" t="n"/>
      <c r="D17" s="547" t="n"/>
      <c r="E17" s="531" t="inlineStr">
        <is>
          <t>EGM Sponsor</t>
        </is>
      </c>
      <c r="F17" s="531" t="inlineStr">
        <is>
          <t>GM Sponsor</t>
        </is>
      </c>
      <c r="G17" s="531" t="inlineStr">
        <is>
          <t>Domain Architect</t>
        </is>
      </c>
      <c r="H17" s="531" t="inlineStr">
        <is>
          <t>HO Technology</t>
        </is>
      </c>
      <c r="I17" s="540" t="inlineStr">
        <is>
          <t>Lights-on</t>
        </is>
      </c>
      <c r="J17" s="541" t="n"/>
      <c r="K17" s="541" t="n"/>
      <c r="L17" s="541" t="n"/>
      <c r="M17" s="541" t="n"/>
      <c r="N17" s="542" t="n"/>
      <c r="O17" s="540" t="inlineStr">
        <is>
          <t>Depreciation</t>
        </is>
      </c>
      <c r="P17" s="540" t="inlineStr">
        <is>
          <t>Initiatives</t>
        </is>
      </c>
      <c r="Q17" s="540" t="inlineStr">
        <is>
          <t>Sig Items</t>
        </is>
      </c>
      <c r="R17" s="540" t="inlineStr">
        <is>
          <t>Capex</t>
        </is>
      </c>
      <c r="S17" s="140" t="inlineStr">
        <is>
          <t>Total Budget</t>
        </is>
      </c>
      <c r="T17" s="141" t="n"/>
      <c r="U17" s="536" t="inlineStr">
        <is>
          <t>Existing</t>
        </is>
      </c>
      <c r="V17" s="553" t="inlineStr">
        <is>
          <t>Aligned  Delivery</t>
        </is>
      </c>
      <c r="W17" s="142" t="inlineStr">
        <is>
          <t>Aligned</t>
        </is>
      </c>
      <c r="X17" s="143" t="inlineStr">
        <is>
          <t>Total Budget</t>
        </is>
      </c>
    </row>
    <row r="18" ht="13.5" customHeight="1" s="506">
      <c r="B18" s="548" t="n"/>
      <c r="C18" s="549" t="n"/>
      <c r="D18" s="550" t="n"/>
      <c r="E18" s="532" t="n"/>
      <c r="F18" s="532" t="n"/>
      <c r="G18" s="532" t="n"/>
      <c r="H18" s="532" t="n"/>
      <c r="I18" s="144" t="inlineStr">
        <is>
          <t>People</t>
        </is>
      </c>
      <c r="J18" s="144" t="inlineStr">
        <is>
          <t>HW</t>
        </is>
      </c>
      <c r="K18" s="144" t="inlineStr">
        <is>
          <t>SW</t>
        </is>
      </c>
      <c r="L18" s="144" t="inlineStr">
        <is>
          <t>Network</t>
        </is>
      </c>
      <c r="M18" s="144" t="inlineStr">
        <is>
          <t>Vendor</t>
        </is>
      </c>
      <c r="N18" s="144" t="inlineStr">
        <is>
          <t>Sub-Total</t>
        </is>
      </c>
      <c r="O18" s="532" t="n"/>
      <c r="P18" s="532" t="n"/>
      <c r="Q18" s="532" t="n"/>
      <c r="R18" s="532" t="n"/>
      <c r="S18" s="145" t="inlineStr">
        <is>
          <t>FY2026</t>
        </is>
      </c>
      <c r="T18" s="146" t="n"/>
      <c r="U18" s="537" t="n"/>
      <c r="V18" s="534" t="n"/>
      <c r="W18" s="147" t="inlineStr">
        <is>
          <t>COE's</t>
        </is>
      </c>
      <c r="X18" s="148" t="inlineStr">
        <is>
          <t>FY2026</t>
        </is>
      </c>
    </row>
    <row r="19" ht="26.25" customHeight="1" s="506">
      <c r="B19" s="555" t="n"/>
      <c r="C19" s="547" t="n"/>
      <c r="D19" s="149" t="inlineStr">
        <is>
          <t>Commercial Fuels</t>
        </is>
      </c>
      <c r="E19" s="150" t="n"/>
      <c r="F19" s="150" t="n"/>
      <c r="G19" s="150" t="n"/>
      <c r="H19" s="150" t="n"/>
      <c r="I19" s="151" t="n">
        <v>1.2</v>
      </c>
      <c r="J19" s="151" t="n">
        <v>0</v>
      </c>
      <c r="K19" s="151" t="n">
        <v>0</v>
      </c>
      <c r="L19" s="151" t="inlineStr">
        <is>
          <t>-</t>
        </is>
      </c>
      <c r="M19" s="151" t="inlineStr">
        <is>
          <t>-</t>
        </is>
      </c>
      <c r="N19" s="151">
        <f>SUM(I19:M19)</f>
        <v>1.2</v>
      </c>
      <c r="O19" s="151" t="inlineStr">
        <is>
          <t>-</t>
        </is>
      </c>
      <c r="P19" s="152" t="n"/>
      <c r="Q19" s="152" t="n"/>
      <c r="R19" s="153" t="n"/>
      <c r="S19" s="154">
        <f>SUM(N19:R19)</f>
        <v>1.2</v>
      </c>
      <c r="T19" s="146" t="n"/>
      <c r="U19" s="155" t="n"/>
      <c r="V19" s="156" t="n"/>
      <c r="W19" s="156" t="n"/>
      <c r="X19" s="157" t="inlineStr">
        <is>
          <t>-</t>
        </is>
      </c>
    </row>
    <row r="20" ht="13.5" customHeight="1" s="506">
      <c r="B20" s="556" t="n"/>
      <c r="C20" s="557" t="n"/>
      <c r="D20" s="158" t="inlineStr">
        <is>
          <t>Retail</t>
        </is>
      </c>
      <c r="E20" s="159" t="n"/>
      <c r="F20" s="159" t="n"/>
      <c r="G20" s="159" t="n"/>
      <c r="H20" s="159" t="n"/>
      <c r="I20" s="160" t="n">
        <v>3.4</v>
      </c>
      <c r="J20" s="160" t="n">
        <v>0.2</v>
      </c>
      <c r="K20" s="160" t="n">
        <v>0.9</v>
      </c>
      <c r="L20" s="160" t="inlineStr">
        <is>
          <t>-</t>
        </is>
      </c>
      <c r="M20" s="160" t="n">
        <v>0.7</v>
      </c>
      <c r="N20" s="160">
        <f>SUM(I20:M20)</f>
        <v>5.2</v>
      </c>
      <c r="O20" s="160" t="inlineStr">
        <is>
          <t>-</t>
        </is>
      </c>
      <c r="P20" s="156" t="n"/>
      <c r="Q20" s="156" t="n"/>
      <c r="R20" s="161" t="n"/>
      <c r="S20" s="162">
        <f>SUM(N20:R20)</f>
        <v>5.2</v>
      </c>
      <c r="T20" s="146" t="n"/>
      <c r="U20" s="155" t="n"/>
      <c r="V20" s="156" t="n"/>
      <c r="W20" s="156" t="n"/>
      <c r="X20" s="157" t="inlineStr">
        <is>
          <t>-</t>
        </is>
      </c>
    </row>
    <row r="21" ht="30" customHeight="1" s="506">
      <c r="B21" s="556" t="n"/>
      <c r="C21" s="557" t="n"/>
      <c r="D21" s="158" t="inlineStr">
        <is>
          <t>Infrastructure</t>
        </is>
      </c>
      <c r="E21" s="159" t="n"/>
      <c r="F21" s="159" t="n"/>
      <c r="G21" s="159" t="n"/>
      <c r="H21" s="159" t="n"/>
      <c r="I21" s="160" t="n">
        <v>2</v>
      </c>
      <c r="J21" s="160" t="inlineStr">
        <is>
          <t>-</t>
        </is>
      </c>
      <c r="K21" s="160" t="n">
        <v>0.2</v>
      </c>
      <c r="L21" s="160" t="inlineStr">
        <is>
          <t>-</t>
        </is>
      </c>
      <c r="M21" s="160" t="inlineStr">
        <is>
          <t>-</t>
        </is>
      </c>
      <c r="N21" s="160">
        <f>SUM(I21:M21)</f>
        <v>2.2</v>
      </c>
      <c r="O21" s="160" t="inlineStr">
        <is>
          <t>-</t>
        </is>
      </c>
      <c r="P21" s="156" t="n"/>
      <c r="Q21" s="156" t="n"/>
      <c r="R21" s="161" t="n"/>
      <c r="S21" s="162">
        <f>SUM(N21:R21)</f>
        <v>2.2</v>
      </c>
      <c r="T21" s="146" t="n"/>
      <c r="U21" s="155" t="n"/>
      <c r="V21" s="156" t="n"/>
      <c r="W21" s="156" t="n"/>
      <c r="X21" s="157" t="inlineStr">
        <is>
          <t>-</t>
        </is>
      </c>
    </row>
    <row r="22" ht="26.25" customHeight="1" s="506">
      <c r="B22" s="556" t="n"/>
      <c r="C22" s="557" t="n"/>
      <c r="D22" s="158" t="inlineStr">
        <is>
          <t>Corporate Finance</t>
        </is>
      </c>
      <c r="E22" s="159" t="n"/>
      <c r="F22" s="159" t="n"/>
      <c r="G22" s="159" t="n"/>
      <c r="H22" s="159" t="n"/>
      <c r="I22" s="160" t="n">
        <v>1.3</v>
      </c>
      <c r="J22" s="160" t="inlineStr">
        <is>
          <t>-</t>
        </is>
      </c>
      <c r="K22" s="160" t="n">
        <v>4.2</v>
      </c>
      <c r="L22" s="160" t="inlineStr">
        <is>
          <t>-</t>
        </is>
      </c>
      <c r="M22" s="160" t="n">
        <v>3.5</v>
      </c>
      <c r="N22" s="160">
        <f>SUM(I22:M22)</f>
        <v>9.0</v>
      </c>
      <c r="O22" s="160" t="inlineStr">
        <is>
          <t>-</t>
        </is>
      </c>
      <c r="P22" s="156" t="n"/>
      <c r="Q22" s="156" t="n"/>
      <c r="R22" s="161" t="n"/>
      <c r="S22" s="162">
        <f>SUM(N22:R22)</f>
        <v>9.0</v>
      </c>
      <c r="T22" s="146" t="n"/>
      <c r="U22" s="155" t="n"/>
      <c r="V22" s="156" t="n"/>
      <c r="W22" s="156" t="n"/>
      <c r="X22" s="157" t="inlineStr">
        <is>
          <t>-</t>
        </is>
      </c>
    </row>
    <row r="23" ht="13.5" customHeight="1" s="506">
      <c r="B23" s="556" t="n"/>
      <c r="C23" s="557" t="n"/>
      <c r="D23" s="158" t="inlineStr">
        <is>
          <t>P&amp;C</t>
        </is>
      </c>
      <c r="E23" s="159" t="n"/>
      <c r="F23" s="159" t="n"/>
      <c r="G23" s="159" t="n"/>
      <c r="H23" s="159" t="n"/>
      <c r="I23" s="160" t="n">
        <v>0</v>
      </c>
      <c r="J23" s="160" t="inlineStr">
        <is>
          <t>-</t>
        </is>
      </c>
      <c r="K23" s="160" t="inlineStr">
        <is>
          <t>-</t>
        </is>
      </c>
      <c r="L23" s="160" t="inlineStr">
        <is>
          <t>-</t>
        </is>
      </c>
      <c r="M23" s="160" t="inlineStr">
        <is>
          <t>-</t>
        </is>
      </c>
      <c r="N23" s="160">
        <f>SUM(I23:M23)</f>
        <v>0.0</v>
      </c>
      <c r="O23" s="160" t="inlineStr">
        <is>
          <t>-</t>
        </is>
      </c>
      <c r="P23" s="156" t="n"/>
      <c r="Q23" s="156" t="n"/>
      <c r="R23" s="161" t="n"/>
      <c r="S23" s="162">
        <f>SUM(N23:R23)</f>
        <v>0.0</v>
      </c>
      <c r="T23" s="146" t="n"/>
      <c r="U23" s="155" t="n"/>
      <c r="V23" s="156" t="n"/>
      <c r="W23" s="156" t="n"/>
      <c r="X23" s="157" t="inlineStr">
        <is>
          <t>-</t>
        </is>
      </c>
    </row>
    <row r="24" ht="13.5" customHeight="1" s="506">
      <c r="B24" s="556" t="n"/>
      <c r="C24" s="557" t="n"/>
      <c r="D24" s="158" t="inlineStr">
        <is>
          <t>Customer</t>
        </is>
      </c>
      <c r="E24" s="159" t="n"/>
      <c r="F24" s="159" t="n"/>
      <c r="G24" s="159" t="n"/>
      <c r="H24" s="159" t="n"/>
      <c r="I24" s="160" t="n">
        <v>1.2</v>
      </c>
      <c r="J24" s="160" t="inlineStr">
        <is>
          <t>-</t>
        </is>
      </c>
      <c r="K24" s="160" t="n">
        <v>0.6</v>
      </c>
      <c r="L24" s="160" t="n">
        <v>0</v>
      </c>
      <c r="M24" s="160" t="n">
        <v>1</v>
      </c>
      <c r="N24" s="160">
        <f>SUM(I24:M24)</f>
        <v>2.8</v>
      </c>
      <c r="O24" s="160" t="n">
        <v>0.9</v>
      </c>
      <c r="P24" s="156" t="n"/>
      <c r="Q24" s="156" t="n"/>
      <c r="R24" s="161" t="n"/>
      <c r="S24" s="162">
        <f>SUM(N24:R24)</f>
        <v>3.6999999999999997</v>
      </c>
      <c r="T24" s="146" t="n"/>
      <c r="U24" s="155" t="n"/>
      <c r="V24" s="156" t="n"/>
      <c r="W24" s="156" t="n"/>
      <c r="X24" s="157" t="inlineStr">
        <is>
          <t>-</t>
        </is>
      </c>
    </row>
    <row r="25" ht="13.5" customHeight="1" s="506">
      <c r="B25" s="556" t="n"/>
      <c r="C25" s="557" t="n"/>
      <c r="D25" s="163" t="inlineStr">
        <is>
          <t>TDD</t>
        </is>
      </c>
      <c r="E25" s="164" t="n"/>
      <c r="F25" s="165" t="inlineStr">
        <is>
          <t>Emily Mogic</t>
        </is>
      </c>
      <c r="G25" s="164" t="n"/>
      <c r="H25" s="164" t="n"/>
      <c r="I25" s="160" t="n">
        <v>4.5</v>
      </c>
      <c r="J25" s="160" t="n">
        <v>2.5</v>
      </c>
      <c r="K25" s="160" t="n">
        <v>14.5</v>
      </c>
      <c r="L25" s="160" t="n">
        <v>0</v>
      </c>
      <c r="M25" s="160" t="n">
        <v>0.8</v>
      </c>
      <c r="N25" s="160">
        <f>SUM(I25:M25)</f>
        <v>22.3</v>
      </c>
      <c r="O25" s="160" t="n">
        <v>4.9</v>
      </c>
      <c r="P25" s="156" t="n"/>
      <c r="Q25" s="156" t="n"/>
      <c r="R25" s="161" t="n"/>
      <c r="S25" s="166">
        <f>SUM(N25:R25)</f>
        <v>27.200000000000003</v>
      </c>
      <c r="T25" s="146" t="n"/>
      <c r="U25" s="155" t="n"/>
      <c r="V25" s="156" t="n"/>
      <c r="W25" s="167">
        <f>S25</f>
        <v>27.200000000000003</v>
      </c>
      <c r="X25" s="157">
        <f>W25</f>
        <v>27.200000000000003</v>
      </c>
    </row>
    <row r="26" ht="13.5" customHeight="1" s="506">
      <c r="B26" s="556" t="n"/>
      <c r="C26" s="557" t="n"/>
      <c r="D26" s="163" t="inlineStr">
        <is>
          <t>TDDEGM</t>
        </is>
      </c>
      <c r="E26" s="164" t="n"/>
      <c r="F26" s="165" t="inlineStr">
        <is>
          <t>Brad Blyth</t>
        </is>
      </c>
      <c r="G26" s="164" t="n"/>
      <c r="H26" s="164" t="n"/>
      <c r="I26" s="160" t="n">
        <v>6.5</v>
      </c>
      <c r="J26" s="160" t="inlineStr">
        <is>
          <t>-</t>
        </is>
      </c>
      <c r="K26" s="160" t="inlineStr">
        <is>
          <t>-</t>
        </is>
      </c>
      <c r="L26" s="160" t="inlineStr">
        <is>
          <t>-</t>
        </is>
      </c>
      <c r="M26" s="160" t="n">
        <v>3.6</v>
      </c>
      <c r="N26" s="160">
        <f>SUM(I26:M26)</f>
        <v>10.1</v>
      </c>
      <c r="O26" s="160" t="inlineStr">
        <is>
          <t>-</t>
        </is>
      </c>
      <c r="P26" s="160" t="n">
        <v>3</v>
      </c>
      <c r="Q26" s="160" t="n">
        <v>20.2</v>
      </c>
      <c r="R26" s="168" t="n">
        <v>4.9</v>
      </c>
      <c r="S26" s="166">
        <f>SUM(N26:R26)</f>
        <v>38.199999999999996</v>
      </c>
      <c r="T26" s="146" t="n"/>
      <c r="U26" s="155" t="n"/>
      <c r="V26" s="156" t="n"/>
      <c r="W26" s="167">
        <f>S26</f>
        <v>38.199999999999996</v>
      </c>
      <c r="X26" s="157">
        <f>W26</f>
        <v>38.199999999999996</v>
      </c>
    </row>
    <row r="27" ht="39" customHeight="1" s="506">
      <c r="B27" s="556" t="n"/>
      <c r="C27" s="557" t="n"/>
      <c r="D27" s="163" t="inlineStr">
        <is>
          <t>Strategy, Architecture and Data</t>
        </is>
      </c>
      <c r="E27" s="164" t="n"/>
      <c r="F27" s="165" t="inlineStr">
        <is>
          <t>Matt Ashley</t>
        </is>
      </c>
      <c r="G27" s="164" t="n"/>
      <c r="H27" s="164" t="n"/>
      <c r="I27" s="160" t="n">
        <v>5.3</v>
      </c>
      <c r="J27" s="160" t="inlineStr">
        <is>
          <t>-</t>
        </is>
      </c>
      <c r="K27" s="160" t="n">
        <v>1</v>
      </c>
      <c r="L27" s="160" t="inlineStr">
        <is>
          <t>-</t>
        </is>
      </c>
      <c r="M27" s="160" t="n">
        <v>0.6</v>
      </c>
      <c r="N27" s="160">
        <f>SUM(I27:M27)</f>
        <v>6.8999999999999995</v>
      </c>
      <c r="O27" s="160" t="inlineStr">
        <is>
          <t>-</t>
        </is>
      </c>
      <c r="P27" s="156" t="n"/>
      <c r="Q27" s="156" t="n"/>
      <c r="R27" s="161" t="n"/>
      <c r="S27" s="166">
        <f>SUM(N27:R27)</f>
        <v>6.8999999999999995</v>
      </c>
      <c r="T27" s="146" t="n"/>
      <c r="U27" s="155" t="n"/>
      <c r="V27" s="156" t="n"/>
      <c r="W27" s="167">
        <f>S27</f>
        <v>6.8999999999999995</v>
      </c>
      <c r="X27" s="157">
        <f>W27</f>
        <v>6.8999999999999995</v>
      </c>
    </row>
    <row r="28" ht="39" customHeight="1" s="506">
      <c r="B28" s="556" t="n"/>
      <c r="C28" s="557" t="n"/>
      <c r="D28" s="163" t="inlineStr">
        <is>
          <t>Cyber Risk and Operations</t>
        </is>
      </c>
      <c r="E28" s="164" t="n"/>
      <c r="F28" s="165" t="inlineStr">
        <is>
          <t>Frances Bouzo</t>
        </is>
      </c>
      <c r="G28" s="164" t="n"/>
      <c r="H28" s="164" t="n"/>
      <c r="I28" s="160" t="n">
        <v>7.6</v>
      </c>
      <c r="J28" s="160" t="n">
        <v>0.2</v>
      </c>
      <c r="K28" s="160" t="n">
        <v>4.3</v>
      </c>
      <c r="L28" s="160" t="n">
        <v>2</v>
      </c>
      <c r="M28" s="160" t="n">
        <v>2.9</v>
      </c>
      <c r="N28" s="160">
        <f>SUM(I28:M28)</f>
        <v>17.0</v>
      </c>
      <c r="O28" s="160" t="inlineStr">
        <is>
          <t>-</t>
        </is>
      </c>
      <c r="P28" s="156" t="n"/>
      <c r="Q28" s="156" t="n"/>
      <c r="R28" s="161" t="n"/>
      <c r="S28" s="166">
        <f>SUM(N28:R28)</f>
        <v>17.0</v>
      </c>
      <c r="T28" s="146" t="n"/>
      <c r="U28" s="155" t="n"/>
      <c r="V28" s="156" t="n"/>
      <c r="W28" s="167">
        <f>S28</f>
        <v>17.0</v>
      </c>
      <c r="X28" s="157">
        <f>W28</f>
        <v>17.0</v>
      </c>
    </row>
    <row r="29" ht="52.5" customHeight="1" s="506">
      <c r="B29" s="548" t="n"/>
      <c r="C29" s="550" t="n"/>
      <c r="D29" s="169" t="inlineStr">
        <is>
          <t>Business Partnering and Governance</t>
        </is>
      </c>
      <c r="E29" s="170" t="n"/>
      <c r="F29" s="171" t="inlineStr">
        <is>
          <t>Michael Schofield</t>
        </is>
      </c>
      <c r="G29" s="170" t="n"/>
      <c r="H29" s="170" t="n"/>
      <c r="I29" s="172" t="n">
        <v>2.3</v>
      </c>
      <c r="J29" s="172" t="inlineStr">
        <is>
          <t>-</t>
        </is>
      </c>
      <c r="K29" s="172" t="inlineStr">
        <is>
          <t>-</t>
        </is>
      </c>
      <c r="L29" s="172" t="inlineStr">
        <is>
          <t>-</t>
        </is>
      </c>
      <c r="M29" s="172" t="inlineStr">
        <is>
          <t>-</t>
        </is>
      </c>
      <c r="N29" s="172">
        <f>SUM(I29:M29)</f>
        <v>2.3</v>
      </c>
      <c r="O29" s="172" t="inlineStr">
        <is>
          <t>-</t>
        </is>
      </c>
      <c r="P29" s="173" t="n"/>
      <c r="Q29" s="173" t="n"/>
      <c r="R29" s="174" t="n"/>
      <c r="S29" s="175">
        <f>SUM(N29:R29)</f>
        <v>2.3</v>
      </c>
      <c r="T29" s="176" t="n"/>
      <c r="U29" s="177" t="n"/>
      <c r="V29" s="173" t="n"/>
      <c r="W29" s="178">
        <f>S29</f>
        <v>2.3</v>
      </c>
      <c r="X29" s="179">
        <f>W29</f>
        <v>2.3</v>
      </c>
    </row>
    <row r="30" ht="13.5" customHeight="1" s="506">
      <c r="B30" s="543" t="inlineStr">
        <is>
          <t>TDD Corporate (1)</t>
        </is>
      </c>
      <c r="C30" s="541" t="n"/>
      <c r="D30" s="544" t="n"/>
      <c r="E30" s="180" t="inlineStr">
        <is>
          <t>Brad Blyth</t>
        </is>
      </c>
      <c r="F30" s="181" t="n"/>
      <c r="G30" s="181" t="n"/>
      <c r="H30" s="181" t="n"/>
      <c r="I30" s="182">
        <f>G5</f>
        <v>35.2</v>
      </c>
      <c r="J30" s="182">
        <f>H5</f>
        <v>2.9</v>
      </c>
      <c r="K30" s="182">
        <f>I5</f>
        <v>25.6</v>
      </c>
      <c r="L30" s="182">
        <f>J5</f>
        <v>2.1</v>
      </c>
      <c r="M30" s="182">
        <f>K5</f>
        <v>13.1</v>
      </c>
      <c r="N30" s="182">
        <f>L5</f>
        <v>78.89999999999999</v>
      </c>
      <c r="O30" s="182">
        <f>M5</f>
        <v>5.8</v>
      </c>
      <c r="P30" s="182">
        <f>N5</f>
        <v>3.0</v>
      </c>
      <c r="Q30" s="182">
        <f>O5</f>
        <v>20.2</v>
      </c>
      <c r="R30" s="183">
        <f>P5</f>
        <v>4.9</v>
      </c>
      <c r="S30" s="144">
        <f>Q5</f>
        <v>112.8</v>
      </c>
      <c r="T30" s="184" t="n"/>
      <c r="U30" s="185" t="n"/>
      <c r="V30" s="186" t="n"/>
      <c r="W30" s="182">
        <f>U5</f>
        <v>91.60000000000001</v>
      </c>
      <c r="X30" s="183">
        <f>W30</f>
        <v>91.60000000000001</v>
      </c>
    </row>
    <row r="31" ht="13.5" customHeight="1" s="506">
      <c r="B31" s="187" t="n"/>
      <c r="C31" s="545" t="inlineStr">
        <is>
          <t>Z-Energy (Direct TDD)</t>
        </is>
      </c>
      <c r="D31" s="539" t="n"/>
      <c r="E31" s="188" t="n"/>
      <c r="F31" s="188" t="n"/>
      <c r="G31" s="188" t="n"/>
      <c r="H31" s="188" t="n"/>
      <c r="I31" s="151" t="n">
        <v>17.6</v>
      </c>
      <c r="J31" s="151" t="n">
        <v>12.1</v>
      </c>
      <c r="K31" s="151" t="n">
        <v>6.3</v>
      </c>
      <c r="L31" s="151" t="n">
        <v>0.6</v>
      </c>
      <c r="M31" s="151" t="n">
        <v>2.6</v>
      </c>
      <c r="N31" s="151" t="n">
        <v>39.3</v>
      </c>
      <c r="O31" s="151" t="n">
        <v>11.3</v>
      </c>
      <c r="P31" s="151" t="n">
        <v>1.4</v>
      </c>
      <c r="Q31" s="152" t="n"/>
      <c r="R31" s="189" t="n">
        <v>11.7</v>
      </c>
      <c r="S31" s="190" t="n">
        <v>63.7</v>
      </c>
      <c r="T31" s="191" t="n"/>
      <c r="U31" s="192" t="n"/>
      <c r="V31" s="152" t="n"/>
      <c r="W31" s="152" t="n"/>
      <c r="X31" s="193" t="inlineStr">
        <is>
          <t>-</t>
        </is>
      </c>
    </row>
    <row r="32" ht="13.5" customHeight="1" s="506">
      <c r="B32" s="194" t="n"/>
      <c r="C32" s="551" t="inlineStr">
        <is>
          <t>Z-Energy (Other IT Spend for Supplies, Customer)</t>
        </is>
      </c>
      <c r="D32" s="552" t="n"/>
      <c r="E32" s="195" t="n"/>
      <c r="F32" s="195" t="n"/>
      <c r="G32" s="195" t="n"/>
      <c r="H32" s="195" t="n"/>
      <c r="I32" s="173" t="n"/>
      <c r="J32" s="172" t="n">
        <v>7.6</v>
      </c>
      <c r="K32" s="172" t="n">
        <v>5.3</v>
      </c>
      <c r="L32" s="173" t="n"/>
      <c r="M32" s="173" t="n"/>
      <c r="N32" s="172" t="n">
        <v>13</v>
      </c>
      <c r="O32" s="173" t="n"/>
      <c r="P32" s="173" t="n"/>
      <c r="Q32" s="173" t="n"/>
      <c r="R32" s="174" t="n"/>
      <c r="S32" s="196" t="n">
        <v>13</v>
      </c>
      <c r="T32" s="176" t="n"/>
      <c r="U32" s="177" t="n"/>
      <c r="V32" s="173" t="n"/>
      <c r="W32" s="173" t="n"/>
      <c r="X32" s="179" t="inlineStr">
        <is>
          <t>-</t>
        </is>
      </c>
    </row>
    <row r="33" ht="13.5" customHeight="1" s="506">
      <c r="B33" s="543" t="inlineStr">
        <is>
          <t>Z-Energy (2)</t>
        </is>
      </c>
      <c r="C33" s="541" t="n"/>
      <c r="D33" s="544" t="n"/>
      <c r="E33" s="180" t="inlineStr">
        <is>
          <t>Lindis Jones</t>
        </is>
      </c>
      <c r="F33" s="180" t="inlineStr">
        <is>
          <t>Vance Anderson</t>
        </is>
      </c>
      <c r="G33" s="181" t="n"/>
      <c r="H33" s="181" t="n"/>
      <c r="I33" s="182">
        <f>G6</f>
        <v>17.6</v>
      </c>
      <c r="J33" s="182">
        <f>H6</f>
        <v>19.8</v>
      </c>
      <c r="K33" s="182">
        <f>I6</f>
        <v>11.6</v>
      </c>
      <c r="L33" s="182">
        <f>J6</f>
        <v>0.6</v>
      </c>
      <c r="M33" s="182">
        <f>K6</f>
        <v>2.6</v>
      </c>
      <c r="N33" s="182">
        <f>L6</f>
        <v>52.20000000000001</v>
      </c>
      <c r="O33" s="182">
        <f>M6</f>
        <v>11.3</v>
      </c>
      <c r="P33" s="182">
        <f>N6</f>
        <v>1.4</v>
      </c>
      <c r="Q33" s="182" t="str">
        <f>O6</f>
        <v>-</v>
      </c>
      <c r="R33" s="183">
        <f>P6</f>
        <v>11.7</v>
      </c>
      <c r="S33" s="144">
        <f>Q6</f>
        <v>76.60000000000002</v>
      </c>
      <c r="T33" s="184" t="n"/>
      <c r="U33" s="197">
        <f>S6</f>
        <v>76.60000000000002</v>
      </c>
      <c r="V33" s="186" t="n"/>
      <c r="W33" s="186" t="n"/>
      <c r="X33" s="183">
        <f>U33</f>
        <v>76.60000000000002</v>
      </c>
    </row>
    <row r="34"/>
    <row r="35">
      <c r="B35" s="198" t="n"/>
    </row>
  </sheetData>
  <mergeCells count="29">
    <mergeCell ref="E17:E18"/>
    <mergeCell ref="G17:G18"/>
    <mergeCell ref="N3:N4"/>
    <mergeCell ref="F3:F4"/>
    <mergeCell ref="U17:U18"/>
    <mergeCell ref="G3:L3"/>
    <mergeCell ref="H17:H18"/>
    <mergeCell ref="F17:F18"/>
    <mergeCell ref="P17:P18"/>
    <mergeCell ref="R17:R18"/>
    <mergeCell ref="M3:M4"/>
    <mergeCell ref="I17:N17"/>
    <mergeCell ref="D3:D4"/>
    <mergeCell ref="U3:U4"/>
    <mergeCell ref="B30:D30"/>
    <mergeCell ref="C31:D31"/>
    <mergeCell ref="B17:D18"/>
    <mergeCell ref="B33:D33"/>
    <mergeCell ref="O17:O18"/>
    <mergeCell ref="P3:P4"/>
    <mergeCell ref="Q17:Q18"/>
    <mergeCell ref="T3:T4"/>
    <mergeCell ref="C32:D32"/>
    <mergeCell ref="C3:C4"/>
    <mergeCell ref="O3:O4"/>
    <mergeCell ref="E3:E4"/>
    <mergeCell ref="V17:V18"/>
    <mergeCell ref="S3:S4"/>
    <mergeCell ref="B19:C29"/>
  </mergeCells>
  <pageMargins left="0.7" right="0.7" top="0.75" bottom="0.75" header="0.511811023622047" footer="0.511811023622047"/>
  <pageSetup orientation="portrait" paperSize="9" horizontalDpi="300" verticalDpi="300"/>
</worksheet>
</file>

<file path=xl/worksheets/sheet5.xml><?xml version="1.0" encoding="utf-8"?>
<worksheet xmlns="http://schemas.openxmlformats.org/spreadsheetml/2006/main">
  <sheetPr>
    <tabColor rgb="00808080"/>
    <outlinePr summaryBelow="1" summaryRight="1"/>
    <pageSetUpPr/>
  </sheetPr>
  <dimension ref="A1:L28"/>
  <sheetViews>
    <sheetView showGridLines="0" zoomScale="110" zoomScaleNormal="110" workbookViewId="0">
      <selection activeCell="E6" sqref="E6"/>
    </sheetView>
  </sheetViews>
  <sheetFormatPr baseColWidth="8" defaultColWidth="8.54296875" defaultRowHeight="14.5" outlineLevelCol="0"/>
  <cols>
    <col width="24.7265625" customWidth="1" style="506" min="2" max="2"/>
    <col width="8" customWidth="1" style="506" min="3" max="7"/>
    <col width="32" customWidth="1" style="506" min="9" max="9"/>
    <col width="11" customWidth="1" style="506" min="10" max="10"/>
    <col width="10.453125" customWidth="1" style="506" min="11" max="11"/>
    <col width="16" customWidth="1" style="506" min="12" max="12"/>
  </cols>
  <sheetData>
    <row r="1"/>
    <row r="2" ht="18" customHeight="1" s="506">
      <c r="B2" s="2" t="inlineStr">
        <is>
          <t>Data Config</t>
        </is>
      </c>
    </row>
    <row r="3"/>
    <row r="4">
      <c r="B4" s="515" t="inlineStr">
        <is>
          <t>TDD Budget Allocation ($m)</t>
        </is>
      </c>
      <c r="I4" s="508" t="inlineStr">
        <is>
          <t>Portfolio Overhead (roles, $m)</t>
        </is>
      </c>
      <c r="J4" s="509" t="n"/>
      <c r="K4" s="509" t="n"/>
      <c r="L4" s="510" t="n"/>
    </row>
    <row r="5">
      <c r="B5" s="3" t="inlineStr">
        <is>
          <t>Portfolio</t>
        </is>
      </c>
      <c r="C5" s="3" t="inlineStr">
        <is>
          <t>AU</t>
        </is>
      </c>
      <c r="D5" s="3" t="inlineStr">
        <is>
          <t>NZ</t>
        </is>
      </c>
      <c r="E5" s="3" t="inlineStr">
        <is>
          <t>Total</t>
        </is>
      </c>
      <c r="F5" s="4" t="inlineStr">
        <is>
          <t>Spend</t>
        </is>
      </c>
      <c r="G5" s="4" t="inlineStr">
        <is>
          <t>Variance</t>
        </is>
      </c>
      <c r="I5" s="5" t="inlineStr">
        <is>
          <t>Role</t>
        </is>
      </c>
      <c r="J5" s="5" t="inlineStr">
        <is>
          <t>Cost ($m)</t>
        </is>
      </c>
      <c r="K5" s="5" t="inlineStr">
        <is>
          <t>Allocation %</t>
        </is>
      </c>
      <c r="L5" s="5" t="inlineStr">
        <is>
          <t>Portfolio cost ($m)</t>
        </is>
      </c>
    </row>
    <row r="6">
      <c r="B6" s="6" t="inlineStr">
        <is>
          <t>COE - Strategy Architecture</t>
        </is>
      </c>
      <c r="C6" s="7" t="n">
        <v>1.5</v>
      </c>
      <c r="D6" s="7" t="n">
        <v>0.5</v>
      </c>
      <c r="E6" s="7">
        <f>C6+D6</f>
        <v>2.0</v>
      </c>
      <c r="F6" s="7">
        <f>'2.4 COE Summary'!$D$8</f>
        <v>4.320560996</v>
      </c>
      <c r="G6" s="7">
        <f>SUM(E6-F6)</f>
        <v>-2.320560996</v>
      </c>
      <c r="I6" s="8" t="inlineStr">
        <is>
          <t>Head of Tech</t>
        </is>
      </c>
      <c r="J6" s="9" t="n">
        <v>0.275</v>
      </c>
      <c r="K6" s="10" t="n">
        <v>0.5</v>
      </c>
      <c r="L6" s="9">
        <f>J6*K6</f>
        <v>0.1375</v>
      </c>
    </row>
    <row r="7">
      <c r="B7" s="11" t="inlineStr">
        <is>
          <t>COE - Cyber, Risk &amp; Service Ops (rolled into 1.11 TDD Cyber)</t>
        </is>
      </c>
      <c r="C7" s="12" t="n">
        <v>0</v>
      </c>
      <c r="D7" s="12" t="n">
        <v>0</v>
      </c>
      <c r="E7" s="12">
        <f>C7+D7</f>
        <v>0.0</v>
      </c>
      <c r="F7" s="7">
        <f>'2.4 COE Summary'!$D$9</f>
        <v>0.0</v>
      </c>
      <c r="G7" s="7">
        <f>SUM(E7-F7)</f>
        <v>0.0</v>
      </c>
      <c r="I7" s="8" t="inlineStr">
        <is>
          <t>Business Partner</t>
        </is>
      </c>
      <c r="J7" s="9" t="n">
        <v>0.43</v>
      </c>
      <c r="K7" s="10" t="n">
        <v>0.4</v>
      </c>
      <c r="L7" s="9">
        <f>J7*K7</f>
        <v>0.17200000000000001</v>
      </c>
    </row>
    <row r="8">
      <c r="B8" s="6" t="inlineStr">
        <is>
          <t>COE - Transformation</t>
        </is>
      </c>
      <c r="C8" s="7" t="n">
        <v>1.5</v>
      </c>
      <c r="D8" s="7" t="n">
        <v>0.5</v>
      </c>
      <c r="E8" s="7">
        <f>C8+D8</f>
        <v>2.0</v>
      </c>
      <c r="F8" s="7">
        <f>'2.4 COE Summary'!$D$10</f>
        <v>3.10799923</v>
      </c>
      <c r="G8" s="7">
        <f>SUM(E8-F8)</f>
        <v>-1.10799923</v>
      </c>
      <c r="I8" s="8" t="inlineStr">
        <is>
          <t>Domain Architect</t>
        </is>
      </c>
      <c r="J8" s="9" t="n">
        <v>0.28</v>
      </c>
      <c r="K8" s="10" t="n">
        <v>0.5</v>
      </c>
      <c r="L8" s="9">
        <f>J8*K8</f>
        <v>0.14</v>
      </c>
    </row>
    <row r="9">
      <c r="B9" s="11" t="inlineStr">
        <is>
          <t>COE - Business Partnering</t>
        </is>
      </c>
      <c r="C9" s="12" t="n">
        <v>1.5</v>
      </c>
      <c r="D9" s="12" t="n">
        <v>0.5</v>
      </c>
      <c r="E9" s="12">
        <f>C9+D9</f>
        <v>2.0</v>
      </c>
      <c r="F9" s="7">
        <f>'2.4 COE Summary'!$D$11</f>
        <v>3.2925625919999995</v>
      </c>
      <c r="G9" s="7">
        <f>SUM(E9-F9)</f>
        <v>-1.2925625919999995</v>
      </c>
      <c r="I9" s="8" t="inlineStr">
        <is>
          <t>Leadership Overhead</t>
        </is>
      </c>
      <c r="J9" s="9" t="n">
        <v>1</v>
      </c>
      <c r="K9" s="10" t="n">
        <v>0.3</v>
      </c>
      <c r="L9" s="9">
        <f>J9*K9</f>
        <v>0.3</v>
      </c>
    </row>
    <row r="10">
      <c r="B10" s="6" t="inlineStr">
        <is>
          <t>COE - Data</t>
        </is>
      </c>
      <c r="C10" s="7" t="n">
        <v>1.5</v>
      </c>
      <c r="D10" s="7" t="n">
        <v>0.5</v>
      </c>
      <c r="E10" s="7">
        <f>C10+D10</f>
        <v>2.0</v>
      </c>
      <c r="F10" s="7">
        <f>'2.4 COE Summary'!$D$12</f>
        <v>2.232736616</v>
      </c>
      <c r="G10" s="7">
        <f>SUM(E10-F10)</f>
        <v>-0.23273661599999995</v>
      </c>
      <c r="I10" s="13" t="inlineStr">
        <is>
          <t>Portfolio overhead subtotal</t>
        </is>
      </c>
      <c r="L10" s="14">
        <f>SUM(L6:L9)</f>
        <v>0.7495</v>
      </c>
    </row>
    <row r="11">
      <c r="B11" s="11" t="inlineStr">
        <is>
          <t>Ampol Retail</t>
        </is>
      </c>
      <c r="C11" s="12" t="n">
        <v>2.5</v>
      </c>
      <c r="D11" s="12" t="n">
        <v>0</v>
      </c>
      <c r="E11" s="12">
        <f>C11+D11</f>
        <v>2.5</v>
      </c>
      <c r="F11" s="7">
        <f>'1.1 Ampol Retail'!$C$9</f>
        <v>5.6265</v>
      </c>
      <c r="G11" s="7">
        <f>SUM(E11-F11)</f>
        <v>-3.1265</v>
      </c>
    </row>
    <row r="12">
      <c r="B12" s="6" t="inlineStr">
        <is>
          <t>Z Retail</t>
        </is>
      </c>
      <c r="C12" s="7" t="n">
        <v>0</v>
      </c>
      <c r="D12" s="7" t="n">
        <v>2.5</v>
      </c>
      <c r="E12" s="7">
        <f>C12+D12</f>
        <v>2.5</v>
      </c>
      <c r="F12" s="7">
        <f>'1.10 Z Retail'!$C$9</f>
        <v>5.399500000000001</v>
      </c>
      <c r="G12" s="7">
        <f>SUM(E12-F12)</f>
        <v>-2.8995000000000006</v>
      </c>
      <c r="I12" s="508" t="inlineStr">
        <is>
          <t>Platform Overhead (roles, $m)</t>
        </is>
      </c>
      <c r="J12" s="509" t="n"/>
      <c r="K12" s="509" t="n"/>
      <c r="L12" s="510" t="n"/>
    </row>
    <row r="13">
      <c r="B13" s="11" t="inlineStr">
        <is>
          <t>Ampol Customer</t>
        </is>
      </c>
      <c r="C13" s="12" t="n">
        <v>2.5</v>
      </c>
      <c r="D13" s="12" t="n">
        <v>0</v>
      </c>
      <c r="E13" s="12">
        <f>C13+D13</f>
        <v>2.5</v>
      </c>
      <c r="F13" s="7">
        <f>'1.2 Customer'!$C$9</f>
        <v>9.0245</v>
      </c>
      <c r="G13" s="7">
        <f>SUM(E13:E14)-F13</f>
        <v>-2.5244999999999997</v>
      </c>
      <c r="I13" s="5" t="inlineStr">
        <is>
          <t>Role</t>
        </is>
      </c>
      <c r="J13" s="5" t="inlineStr">
        <is>
          <t>Cost ($m)</t>
        </is>
      </c>
      <c r="K13" s="5" t="inlineStr">
        <is>
          <t>Alloc %</t>
        </is>
      </c>
      <c r="L13" s="5" t="inlineStr">
        <is>
          <t>Platform cost ($m)</t>
        </is>
      </c>
    </row>
    <row r="14">
      <c r="B14" s="6" t="inlineStr">
        <is>
          <t>Z Customer</t>
        </is>
      </c>
      <c r="C14" s="7" t="n">
        <v>0</v>
      </c>
      <c r="D14" s="7" t="n">
        <v>4</v>
      </c>
      <c r="E14" s="7">
        <f>C14+D14</f>
        <v>4.0</v>
      </c>
      <c r="F14" s="7" t="n"/>
      <c r="G14" s="7" t="n"/>
      <c r="I14" s="8" t="inlineStr">
        <is>
          <t>Delivery Manager</t>
        </is>
      </c>
      <c r="J14" s="9" t="n">
        <v>0.28</v>
      </c>
      <c r="K14" s="10" t="n">
        <v>0.3</v>
      </c>
      <c r="L14" s="9">
        <f>J14*K14</f>
        <v>0.084</v>
      </c>
    </row>
    <row r="15">
      <c r="B15" s="11" t="inlineStr">
        <is>
          <t>Commercial Fuels</t>
        </is>
      </c>
      <c r="C15" s="12" t="n">
        <v>2.5</v>
      </c>
      <c r="D15" s="12" t="n">
        <v>0</v>
      </c>
      <c r="E15" s="12">
        <f>C15+D15</f>
        <v>2.5</v>
      </c>
      <c r="F15" s="7">
        <f>'1.9 Commercial Fuels'!C9</f>
        <v>2.0845</v>
      </c>
      <c r="G15" s="7">
        <f>SUM(E15-F15)</f>
        <v>0.4155000000000002</v>
      </c>
      <c r="I15" s="8" t="inlineStr">
        <is>
          <t>Tech Manager</t>
        </is>
      </c>
      <c r="J15" s="9" t="n">
        <v>0.27</v>
      </c>
      <c r="K15" s="10" t="n">
        <v>0.3</v>
      </c>
      <c r="L15" s="9">
        <f>J15*K15</f>
        <v>0.081</v>
      </c>
    </row>
    <row r="16">
      <c r="B16" s="6" t="inlineStr">
        <is>
          <t>Energy Solutions &amp; B2B</t>
        </is>
      </c>
      <c r="C16" s="7" t="n">
        <v>2.5</v>
      </c>
      <c r="D16" s="7" t="n">
        <v>0</v>
      </c>
      <c r="E16" s="7">
        <f>C16+D16</f>
        <v>2.5</v>
      </c>
      <c r="F16" s="7">
        <f>'1.8 Energy Solutions &amp; B2B'!$C$9</f>
        <v>2.5095</v>
      </c>
      <c r="G16" s="7">
        <f>SUM(E16-F16)</f>
        <v>-0.009500000000000064</v>
      </c>
      <c r="I16" s="13" t="inlineStr">
        <is>
          <t>Platform overhead subtotal (per platform)</t>
        </is>
      </c>
      <c r="L16" s="14">
        <f>SUM(L14:L15)</f>
        <v>0.165</v>
      </c>
    </row>
    <row r="17">
      <c r="B17" s="11" t="inlineStr">
        <is>
          <t>Infrastructure</t>
        </is>
      </c>
      <c r="C17" s="12" t="n">
        <v>2.5</v>
      </c>
      <c r="D17" s="12" t="n">
        <v>0</v>
      </c>
      <c r="E17" s="12">
        <f>C17+D17</f>
        <v>2.5</v>
      </c>
      <c r="F17" s="7">
        <f>'1.7 Infrastructure'!$C$10</f>
        <v>2.5245</v>
      </c>
      <c r="G17" s="7">
        <f>SUM(E17-F17)</f>
        <v>-0.02450000000000019</v>
      </c>
    </row>
    <row r="18">
      <c r="B18" s="6" t="inlineStr">
        <is>
          <t>P&amp;C</t>
        </is>
      </c>
      <c r="C18" s="7" t="n">
        <v>1</v>
      </c>
      <c r="D18" s="7" t="n">
        <v>1</v>
      </c>
      <c r="E18" s="7">
        <f>C18+D18</f>
        <v>2.0</v>
      </c>
      <c r="F18" s="7">
        <f>'1.5 P&amp;C'!$C$9</f>
        <v>1.2745000000000002</v>
      </c>
      <c r="G18" s="7">
        <f>SUM(E18-F18)</f>
        <v>0.7254999999999998</v>
      </c>
    </row>
    <row r="19">
      <c r="B19" s="11" t="inlineStr">
        <is>
          <t>Finance</t>
        </is>
      </c>
      <c r="C19" s="12" t="n">
        <v>1</v>
      </c>
      <c r="D19" s="12" t="n">
        <v>1</v>
      </c>
      <c r="E19" s="12">
        <f>C19+D19</f>
        <v>2.0</v>
      </c>
      <c r="F19" s="7">
        <f>'1.6 Finance'!$C$9</f>
        <v>1.4145</v>
      </c>
      <c r="G19" s="7">
        <f>SUM(E19-F19)</f>
        <v>0.5854999999999999</v>
      </c>
    </row>
    <row r="20">
      <c r="B20" s="6" t="inlineStr">
        <is>
          <t>Legal</t>
        </is>
      </c>
      <c r="C20" s="7" t="n">
        <v>0</v>
      </c>
      <c r="D20" s="7" t="n">
        <v>0</v>
      </c>
      <c r="E20" s="7">
        <f>C20+D20</f>
        <v>0.0</v>
      </c>
      <c r="F20" s="7" t="n"/>
      <c r="G20" s="7" t="n"/>
    </row>
    <row r="21">
      <c r="B21" s="11" t="inlineStr">
        <is>
          <t>TDD</t>
        </is>
      </c>
      <c r="C21" s="12" t="n">
        <v>4.5</v>
      </c>
      <c r="D21" s="12" t="n">
        <v>1</v>
      </c>
      <c r="E21" s="12">
        <f>C21+D21</f>
        <v>5.5</v>
      </c>
      <c r="F21" s="7">
        <f>'1.4 TDD Group Functions'!$C$9</f>
        <v>3.6644999999999994</v>
      </c>
      <c r="G21" s="7">
        <f>SUM(E21-F21)</f>
        <v>1.8355000000000006</v>
      </c>
    </row>
    <row r="22">
      <c r="B22" s="6" t="inlineStr">
        <is>
          <t>TDD Data</t>
        </is>
      </c>
      <c r="C22" s="7" t="n">
        <v>2.5</v>
      </c>
      <c r="D22" s="7" t="n">
        <v>1</v>
      </c>
      <c r="E22" s="7">
        <f>C22+D22</f>
        <v>3.5</v>
      </c>
      <c r="F22" s="7">
        <f>'1.3 Enterprise Data'!$C$9</f>
        <v>4.1105</v>
      </c>
      <c r="G22" s="7">
        <f>SUM(E22-F22)</f>
        <v>-0.6105</v>
      </c>
    </row>
    <row r="23">
      <c r="B23" s="15" t="inlineStr">
        <is>
          <t>TDD Cyber</t>
        </is>
      </c>
      <c r="C23" s="303" t="n">
        <v>2.5</v>
      </c>
      <c r="D23" s="303" t="n">
        <v>1</v>
      </c>
      <c r="E23" s="12">
        <f>C23+D23</f>
        <v>3.5</v>
      </c>
      <c r="F23" s="7">
        <f>'1.11 TDD Cyber'!$C$9</f>
        <v>11.830489044</v>
      </c>
      <c r="G23" s="7">
        <f>SUM(E23-F23)</f>
        <v>-8.330489044</v>
      </c>
    </row>
    <row r="24">
      <c r="B24" s="6" t="inlineStr">
        <is>
          <t>EG</t>
        </is>
      </c>
      <c r="C24" s="7" t="n">
        <v>0</v>
      </c>
      <c r="D24" s="7" t="n">
        <v>0</v>
      </c>
      <c r="E24" s="7">
        <f>C24+D24</f>
        <v>0.0</v>
      </c>
      <c r="F24" s="7" t="n"/>
      <c r="G24" s="7" t="n"/>
    </row>
    <row r="25">
      <c r="B25" s="11" t="inlineStr">
        <is>
          <t>EGI</t>
        </is>
      </c>
      <c r="C25" s="12" t="n">
        <v>0</v>
      </c>
      <c r="D25" s="12" t="n">
        <v>0</v>
      </c>
      <c r="E25" s="12">
        <f>C25+D25</f>
        <v>0.0</v>
      </c>
      <c r="F25" s="7" t="n"/>
      <c r="G25" s="7" t="n"/>
    </row>
    <row r="26">
      <c r="B26" s="16" t="inlineStr">
        <is>
          <t>Total</t>
        </is>
      </c>
      <c r="C26" s="17">
        <f>SUM(C6:C25)</f>
        <v>30.0</v>
      </c>
      <c r="D26" s="17">
        <f>SUM(D6:D25)</f>
        <v>13.5</v>
      </c>
      <c r="E26" s="17">
        <f>SUM(E6:E25)</f>
        <v>43.5</v>
      </c>
      <c r="F26" s="7">
        <f>SUM(F6:F25)</f>
        <v>62.417348478</v>
      </c>
      <c r="G26" s="7">
        <f>SUM(G6:G25)</f>
        <v>-18.917348478</v>
      </c>
    </row>
    <row r="27">
      <c r="B27" t="inlineStr">
        <is>
          <t>Budget</t>
        </is>
      </c>
      <c r="C27" s="467">
        <f>'0.1 Budget Table (Fin)'!G5 +1</f>
        <v>36.2</v>
      </c>
      <c r="D27" s="467">
        <f>'0.1 Budget Table (Fin)'!G6</f>
        <v>17.6</v>
      </c>
      <c r="E27" s="467">
        <f>'0.1 Budget Table (Fin)'!G14</f>
        <v>53.800000000000004</v>
      </c>
    </row>
    <row r="28">
      <c r="B28" t="inlineStr">
        <is>
          <t>Variance</t>
        </is>
      </c>
      <c r="C28" s="467">
        <f>C27-C26</f>
        <v>6.200000000000003</v>
      </c>
      <c r="D28" s="467">
        <f>D27-D26</f>
        <v>4.100000000000001</v>
      </c>
      <c r="E28" s="467">
        <f>E27-E26</f>
        <v>10.300000000000004</v>
      </c>
      <c r="F28" s="18" t="n"/>
      <c r="G28" s="18" t="n"/>
    </row>
  </sheetData>
  <mergeCells count="3">
    <mergeCell ref="B4:G4"/>
    <mergeCell ref="I12:L12"/>
    <mergeCell ref="I4:L4"/>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tabColor rgb="00808080"/>
    <outlinePr summaryBelow="1" summaryRight="1"/>
    <pageSetUpPr/>
  </sheetPr>
  <dimension ref="A1:K27"/>
  <sheetViews>
    <sheetView showGridLines="0" topLeftCell="B1" zoomScale="120" zoomScaleNormal="120" workbookViewId="0">
      <selection activeCell="H5" sqref="H5"/>
    </sheetView>
  </sheetViews>
  <sheetFormatPr baseColWidth="8" defaultColWidth="8.54296875" defaultRowHeight="14.5" outlineLevelCol="0"/>
  <cols>
    <col hidden="1" width="13" customWidth="1" style="506" min="1" max="1"/>
    <col width="13" customWidth="1" style="506" min="2" max="2"/>
    <col width="28.26953125" customWidth="1" style="506" min="3" max="3"/>
    <col width="6" customWidth="1" style="506" min="4" max="4"/>
    <col width="30" customWidth="1" style="506" min="5" max="5"/>
    <col width="10" customWidth="1" style="506" min="6" max="6"/>
    <col width="16.26953125" customWidth="1" style="506" min="7" max="7"/>
    <col width="16.453125" customWidth="1" style="506" min="8" max="8"/>
    <col width="45" customWidth="1" style="506" min="9" max="9"/>
  </cols>
  <sheetData>
    <row r="1"/>
    <row r="2" ht="18" customHeight="1" s="506">
      <c r="C2" s="468" t="inlineStr">
        <is>
          <t>Squad Cost Lookup</t>
        </is>
      </c>
    </row>
    <row r="3"/>
    <row r="4">
      <c r="A4" s="469" t="inlineStr">
        <is>
          <t>Key</t>
        </is>
      </c>
      <c r="C4" s="469" t="inlineStr">
        <is>
          <t>Squad Type</t>
        </is>
      </c>
      <c r="D4" s="469" t="inlineStr">
        <is>
          <t>Size</t>
        </is>
      </c>
      <c r="E4" s="469" t="inlineStr">
        <is>
          <t>Archetype</t>
        </is>
      </c>
      <c r="F4" s="469" t="inlineStr">
        <is>
          <t># of roles</t>
        </is>
      </c>
      <c r="G4" s="469" t="inlineStr">
        <is>
          <t>Onshore Cost ($m)</t>
        </is>
      </c>
      <c r="H4" s="469" t="inlineStr">
        <is>
          <t>Offshore Cost ($m)</t>
        </is>
      </c>
      <c r="I4" s="469" t="inlineStr">
        <is>
          <t>Use When</t>
        </is>
      </c>
      <c r="K4" s="438" t="inlineStr">
        <is>
          <t>Offshore rate</t>
        </is>
      </c>
    </row>
    <row r="5">
      <c r="A5" s="470" t="inlineStr">
        <is>
          <t>Engineering|S</t>
        </is>
      </c>
      <c r="C5" s="470" t="inlineStr">
        <is>
          <t>Engineering</t>
        </is>
      </c>
      <c r="D5" s="470" t="inlineStr">
        <is>
          <t>S</t>
        </is>
      </c>
      <c r="E5" s="470" t="inlineStr">
        <is>
          <t>Lean build squad</t>
        </is>
      </c>
      <c r="F5" s="638" t="n">
        <v>4.5</v>
      </c>
      <c r="G5" s="436" t="n">
        <v>0.8</v>
      </c>
      <c r="H5" s="436">
        <f>G5*$K$5</f>
        <v>0.32000000000000006</v>
      </c>
      <c r="I5" s="470" t="inlineStr">
        <is>
          <t>Simple platforms, incremental changes</t>
        </is>
      </c>
      <c r="K5" s="472" t="n">
        <v>0.4</v>
      </c>
    </row>
    <row r="6">
      <c r="A6" s="470" t="inlineStr">
        <is>
          <t>Engineering|M</t>
        </is>
      </c>
      <c r="C6" s="473" t="inlineStr">
        <is>
          <t>Engineering</t>
        </is>
      </c>
      <c r="D6" s="473" t="inlineStr">
        <is>
          <t>M</t>
        </is>
      </c>
      <c r="E6" s="473" t="inlineStr">
        <is>
          <t>Standard Engineering Squad</t>
        </is>
      </c>
      <c r="F6" s="639" t="n">
        <v>9</v>
      </c>
      <c r="G6" s="475" t="n">
        <v>2</v>
      </c>
      <c r="H6" s="475">
        <f>G6*$K$5</f>
        <v>0.8</v>
      </c>
      <c r="I6" s="473" t="inlineStr">
        <is>
          <t>Medium complexity platforms</t>
        </is>
      </c>
    </row>
    <row r="7">
      <c r="A7" s="470" t="inlineStr">
        <is>
          <t>Engineering|L</t>
        </is>
      </c>
      <c r="C7" s="470" t="inlineStr">
        <is>
          <t>Engineering</t>
        </is>
      </c>
      <c r="D7" s="470" t="inlineStr">
        <is>
          <t>L</t>
        </is>
      </c>
      <c r="E7" s="470" t="inlineStr">
        <is>
          <t>High-scale squad</t>
        </is>
      </c>
      <c r="F7" s="638" t="n">
        <v>12</v>
      </c>
      <c r="G7" s="436" t="n">
        <v>2.7</v>
      </c>
      <c r="H7" s="436">
        <f>G7*$K$5</f>
        <v>1.08</v>
      </c>
      <c r="I7" s="470" t="inlineStr">
        <is>
          <t>Scalable platforms, high volume output</t>
        </is>
      </c>
    </row>
    <row r="8">
      <c r="A8" s="470" t="inlineStr">
        <is>
          <t>Configuration / Integration|XS</t>
        </is>
      </c>
      <c r="C8" s="476" t="inlineStr">
        <is>
          <t>Configuration / Integration</t>
        </is>
      </c>
      <c r="D8" s="476" t="inlineStr">
        <is>
          <t>XS</t>
        </is>
      </c>
      <c r="E8" s="476" t="inlineStr">
        <is>
          <t>MS Squad</t>
        </is>
      </c>
      <c r="F8" s="640" t="n">
        <v>1</v>
      </c>
      <c r="G8" s="478" t="n">
        <v>3.2</v>
      </c>
      <c r="H8" s="475">
        <f>G8*$K$5</f>
        <v>1.2800000000000002</v>
      </c>
      <c r="I8" s="473" t="inlineStr">
        <is>
          <t>Work managed by a vendor</t>
        </is>
      </c>
    </row>
    <row r="9">
      <c r="A9" s="470" t="inlineStr">
        <is>
          <t>Configuration / Integration|S</t>
        </is>
      </c>
      <c r="C9" s="470" t="inlineStr">
        <is>
          <t>Configuration / Integration</t>
        </is>
      </c>
      <c r="D9" s="470" t="inlineStr">
        <is>
          <t>S</t>
        </is>
      </c>
      <c r="E9" s="470" t="inlineStr">
        <is>
          <t>Simple Configuration Squad</t>
        </is>
      </c>
      <c r="F9" s="638" t="n">
        <v>6</v>
      </c>
      <c r="G9" s="436" t="n">
        <v>0.4</v>
      </c>
      <c r="H9" s="436">
        <f>G9*$K$5</f>
        <v>0.16000000000000003</v>
      </c>
      <c r="I9" s="470" t="inlineStr">
        <is>
          <t>Simple configuration, limited integration</t>
        </is>
      </c>
    </row>
    <row r="10">
      <c r="A10" s="470" t="inlineStr">
        <is>
          <t>Configuration / Integration|M</t>
        </is>
      </c>
      <c r="C10" s="473" t="inlineStr">
        <is>
          <t>Configuration / Integration</t>
        </is>
      </c>
      <c r="D10" s="473" t="inlineStr">
        <is>
          <t>M</t>
        </is>
      </c>
      <c r="E10" s="473" t="inlineStr">
        <is>
          <t>Standard Configuration Squad</t>
        </is>
      </c>
      <c r="F10" s="639" t="n">
        <v>9</v>
      </c>
      <c r="G10" s="475" t="n">
        <v>1.4</v>
      </c>
      <c r="H10" s="475">
        <f>G10*$K$5</f>
        <v>0.5599999999999999</v>
      </c>
      <c r="I10" s="473" t="inlineStr">
        <is>
          <t>Standard configuration, medium complexity</t>
        </is>
      </c>
    </row>
    <row r="11">
      <c r="A11" s="470" t="inlineStr">
        <is>
          <t>Configuration / Integration|L</t>
        </is>
      </c>
      <c r="C11" s="470" t="inlineStr">
        <is>
          <t>Configuration / Integration</t>
        </is>
      </c>
      <c r="D11" s="470" t="inlineStr">
        <is>
          <t>L</t>
        </is>
      </c>
      <c r="E11" s="470" t="inlineStr">
        <is>
          <t>Complex Integration Squad</t>
        </is>
      </c>
      <c r="F11" s="638" t="n">
        <v>14</v>
      </c>
      <c r="G11" s="436" t="n">
        <v>2.1</v>
      </c>
      <c r="H11" s="436">
        <f>G11*$K$5</f>
        <v>0.8400000000000001</v>
      </c>
      <c r="I11" s="470" t="inlineStr">
        <is>
          <t>Complex config or custom build, high integration</t>
        </is>
      </c>
    </row>
    <row r="12">
      <c r="A12" s="470" t="inlineStr">
        <is>
          <t>Product|S</t>
        </is>
      </c>
      <c r="C12" s="473" t="inlineStr">
        <is>
          <t>Product</t>
        </is>
      </c>
      <c r="D12" s="473" t="inlineStr">
        <is>
          <t>S</t>
        </is>
      </c>
      <c r="E12" s="473" t="inlineStr">
        <is>
          <t>Lean Product Squad</t>
        </is>
      </c>
      <c r="F12" s="639" t="n">
        <v>5.5</v>
      </c>
      <c r="G12" s="475" t="n">
        <v>1.3</v>
      </c>
      <c r="H12" s="475">
        <f>G12*$K$5</f>
        <v>0.52</v>
      </c>
      <c r="I12" s="473" t="inlineStr">
        <is>
          <t>Early stage product testing or low complexity</t>
        </is>
      </c>
    </row>
    <row r="13">
      <c r="A13" s="470" t="inlineStr">
        <is>
          <t>Product|M</t>
        </is>
      </c>
      <c r="C13" s="470" t="inlineStr">
        <is>
          <t>Product</t>
        </is>
      </c>
      <c r="D13" s="470" t="inlineStr">
        <is>
          <t>M</t>
        </is>
      </c>
      <c r="E13" s="470" t="inlineStr">
        <is>
          <t>Balanced Product Squad</t>
        </is>
      </c>
      <c r="F13" s="638" t="n">
        <v>8.5</v>
      </c>
      <c r="G13" s="436" t="n">
        <v>1.9</v>
      </c>
      <c r="H13" s="436">
        <f>G13*$K$5</f>
        <v>0.76</v>
      </c>
      <c r="I13" s="470" t="inlineStr">
        <is>
          <t>Ongoing product development, moderate complexity</t>
        </is>
      </c>
    </row>
    <row r="14">
      <c r="A14" s="470" t="inlineStr">
        <is>
          <t>Product|L</t>
        </is>
      </c>
      <c r="C14" s="473" t="inlineStr">
        <is>
          <t>Product</t>
        </is>
      </c>
      <c r="D14" s="473" t="inlineStr">
        <is>
          <t>L</t>
        </is>
      </c>
      <c r="E14" s="473" t="inlineStr">
        <is>
          <t>Scaled Product Squad</t>
        </is>
      </c>
      <c r="F14" s="639" t="n">
        <v>12</v>
      </c>
      <c r="G14" s="475" t="n">
        <v>2.8</v>
      </c>
      <c r="H14" s="475">
        <f>G14*$K$5</f>
        <v>1.1199999999999999</v>
      </c>
      <c r="I14" s="473" t="inlineStr">
        <is>
          <t>Mature product</t>
        </is>
      </c>
    </row>
    <row r="15">
      <c r="A15" s="470" t="inlineStr">
        <is>
          <t>Operations|S</t>
        </is>
      </c>
      <c r="C15" s="470" t="inlineStr">
        <is>
          <t>Operations</t>
        </is>
      </c>
      <c r="D15" s="470" t="inlineStr">
        <is>
          <t>S</t>
        </is>
      </c>
      <c r="E15" s="470" t="inlineStr">
        <is>
          <t>Lean operations squad</t>
        </is>
      </c>
      <c r="F15" s="638" t="n">
        <v>4</v>
      </c>
      <c r="G15" s="436" t="n">
        <v>0.8</v>
      </c>
      <c r="H15" s="436">
        <f>G15*$K$5</f>
        <v>0.32000000000000006</v>
      </c>
      <c r="I15" s="470" t="inlineStr">
        <is>
          <t>Low change, stable platforms</t>
        </is>
      </c>
    </row>
    <row r="16">
      <c r="A16" s="470" t="inlineStr">
        <is>
          <t>Operations|M</t>
        </is>
      </c>
      <c r="C16" s="473" t="inlineStr">
        <is>
          <t>Operations</t>
        </is>
      </c>
      <c r="D16" s="473" t="inlineStr">
        <is>
          <t>M</t>
        </is>
      </c>
      <c r="E16" s="473" t="inlineStr">
        <is>
          <t>Balanced operations squad</t>
        </is>
      </c>
      <c r="F16" s="639" t="n">
        <v>6</v>
      </c>
      <c r="G16" s="475" t="n">
        <v>1.4</v>
      </c>
      <c r="H16" s="475">
        <f>G16*$K$5</f>
        <v>0.5599999999999999</v>
      </c>
      <c r="I16" s="473" t="inlineStr">
        <is>
          <t>Moderate support plus improvements</t>
        </is>
      </c>
    </row>
    <row r="17">
      <c r="A17" s="470" t="inlineStr">
        <is>
          <t>Operations|L</t>
        </is>
      </c>
      <c r="C17" s="470" t="inlineStr">
        <is>
          <t>Operations</t>
        </is>
      </c>
      <c r="D17" s="470" t="inlineStr">
        <is>
          <t>L</t>
        </is>
      </c>
      <c r="E17" s="470" t="inlineStr">
        <is>
          <t>High demand operations squad</t>
        </is>
      </c>
      <c r="F17" s="638" t="n">
        <v>10</v>
      </c>
      <c r="G17" s="436" t="n">
        <v>2.3</v>
      </c>
      <c r="H17" s="436">
        <f>G17*$K$5</f>
        <v>0.9199999999999999</v>
      </c>
      <c r="I17" s="470" t="inlineStr">
        <is>
          <t>High ticket volume, critical systems</t>
        </is>
      </c>
    </row>
    <row r="18">
      <c r="A18" s="470" t="inlineStr">
        <is>
          <t>Enterprise Data and Insights|S</t>
        </is>
      </c>
      <c r="C18" s="473" t="inlineStr">
        <is>
          <t>Enterprise Data and Insights</t>
        </is>
      </c>
      <c r="D18" s="473" t="inlineStr">
        <is>
          <t>S</t>
        </is>
      </c>
      <c r="E18" s="473" t="inlineStr">
        <is>
          <t>Lean Data squad</t>
        </is>
      </c>
      <c r="F18" s="639" t="n">
        <v>4</v>
      </c>
      <c r="G18" s="475" t="n">
        <v>0.9</v>
      </c>
      <c r="H18" s="475">
        <f>G18*$K$5</f>
        <v>0.36000000000000004</v>
      </c>
      <c r="I18" s="473" t="inlineStr">
        <is>
          <t>Basic reporting, low complexity</t>
        </is>
      </c>
    </row>
    <row r="19">
      <c r="A19" s="470" t="inlineStr">
        <is>
          <t>Enterprise Data and Insights|M</t>
        </is>
      </c>
      <c r="C19" s="470" t="inlineStr">
        <is>
          <t>Enterprise Data and Insights</t>
        </is>
      </c>
      <c r="D19" s="470" t="inlineStr">
        <is>
          <t>M</t>
        </is>
      </c>
      <c r="E19" s="470" t="inlineStr">
        <is>
          <t>Standard Data squad</t>
        </is>
      </c>
      <c r="F19" s="638" t="n">
        <v>7.5</v>
      </c>
      <c r="G19" s="436" t="n">
        <v>1.7</v>
      </c>
      <c r="H19" s="436">
        <f>G19*$K$5</f>
        <v>0.68</v>
      </c>
      <c r="I19" s="470" t="inlineStr">
        <is>
          <t>Ongoing analytics, dashboarding</t>
        </is>
      </c>
    </row>
    <row r="20">
      <c r="A20" s="470" t="inlineStr">
        <is>
          <t>Enterprise Data and Insights|L</t>
        </is>
      </c>
      <c r="C20" s="473" t="inlineStr">
        <is>
          <t>Enterprise Data and Insights</t>
        </is>
      </c>
      <c r="D20" s="473" t="inlineStr">
        <is>
          <t>L</t>
        </is>
      </c>
      <c r="E20" s="473" t="inlineStr">
        <is>
          <t>Advanced Data / AI squad</t>
        </is>
      </c>
      <c r="F20" s="639" t="n">
        <v>9</v>
      </c>
      <c r="G20" s="475" t="n">
        <v>2</v>
      </c>
      <c r="H20" s="475">
        <f>G20*$K$5</f>
        <v>0.8</v>
      </c>
      <c r="I20" s="473" t="inlineStr">
        <is>
          <t>Advanced analytics, predictive modelling, AI</t>
        </is>
      </c>
    </row>
    <row r="21">
      <c r="A21" s="470" t="inlineStr">
        <is>
          <t>Build and Run|S</t>
        </is>
      </c>
      <c r="C21" s="470" t="inlineStr">
        <is>
          <t>Build and Run</t>
        </is>
      </c>
      <c r="D21" s="470" t="inlineStr">
        <is>
          <t>S</t>
        </is>
      </c>
      <c r="E21" s="470" t="inlineStr">
        <is>
          <t>Lean build and run squad</t>
        </is>
      </c>
      <c r="F21" s="638" t="n">
        <v>4</v>
      </c>
      <c r="G21" s="436" t="n">
        <v>0.9</v>
      </c>
      <c r="H21" s="436">
        <f>G21*$K$5</f>
        <v>0.36000000000000004</v>
      </c>
      <c r="I21" s="470" t="inlineStr">
        <is>
          <t>Simple platforms, low traffic, stable</t>
        </is>
      </c>
    </row>
    <row r="22">
      <c r="A22" s="470" t="inlineStr">
        <is>
          <t>Build and Run|M</t>
        </is>
      </c>
      <c r="C22" s="473" t="inlineStr">
        <is>
          <t>Build and Run</t>
        </is>
      </c>
      <c r="D22" s="473" t="inlineStr">
        <is>
          <t>M</t>
        </is>
      </c>
      <c r="E22" s="473" t="inlineStr">
        <is>
          <t>Standard build and run squad</t>
        </is>
      </c>
      <c r="F22" s="639" t="n">
        <v>9</v>
      </c>
      <c r="G22" s="475" t="n">
        <v>2</v>
      </c>
      <c r="H22" s="475">
        <f>G22*$K$5</f>
        <v>0.8</v>
      </c>
      <c r="I22" s="473" t="inlineStr">
        <is>
          <t>Core platforms, moderate complexity</t>
        </is>
      </c>
    </row>
    <row r="23">
      <c r="A23" s="470" t="inlineStr">
        <is>
          <t>Build and Run|L</t>
        </is>
      </c>
      <c r="C23" s="470" t="inlineStr">
        <is>
          <t>Build and Run</t>
        </is>
      </c>
      <c r="D23" s="470" t="inlineStr">
        <is>
          <t>L</t>
        </is>
      </c>
      <c r="E23" s="470" t="inlineStr">
        <is>
          <t>Scaled build and run squad</t>
        </is>
      </c>
      <c r="F23" s="638" t="n">
        <v>13</v>
      </c>
      <c r="G23" s="436" t="n">
        <v>2.8</v>
      </c>
      <c r="H23" s="436">
        <f>G23*$K$5</f>
        <v>1.1199999999999999</v>
      </c>
      <c r="I23" s="470" t="inlineStr">
        <is>
          <t>High traffic or business critical, 24/7</t>
        </is>
      </c>
    </row>
    <row r="24">
      <c r="C24" s="479" t="inlineStr">
        <is>
          <t>Exceptions (will need to incl. rules)</t>
        </is>
      </c>
      <c r="E24" s="446" t="inlineStr">
        <is>
          <t>TBC</t>
        </is>
      </c>
      <c r="I24" s="446" t="inlineStr">
        <is>
          <t>TBC</t>
        </is>
      </c>
    </row>
    <row r="25"/>
    <row r="26"/>
    <row r="27">
      <c r="C27" s="102" t="inlineStr">
        <is>
          <t xml:space="preserve">Exception for ES EVCI - 6 FTE vs 4.5 FTE </t>
        </is>
      </c>
    </row>
  </sheetData>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tabColor rgb="00808080"/>
    <outlinePr summaryBelow="1" summaryRight="1"/>
    <pageSetUpPr/>
  </sheetPr>
  <dimension ref="A1:AS52"/>
  <sheetViews>
    <sheetView showGridLines="0" zoomScale="90" zoomScaleNormal="90" workbookViewId="0">
      <pane xSplit="2" ySplit="4" topLeftCell="C5" activePane="bottomRight" state="frozen"/>
      <selection pane="topRight" activeCell="C1" sqref="C1"/>
      <selection pane="bottomLeft" activeCell="A5" sqref="A5"/>
      <selection pane="bottomRight" activeCell="AU9" sqref="AU9"/>
    </sheetView>
  </sheetViews>
  <sheetFormatPr baseColWidth="8" defaultColWidth="9.1796875" defaultRowHeight="15.5" outlineLevelCol="2"/>
  <cols>
    <col hidden="1" width="30.1796875" customWidth="1" style="23" min="1" max="1"/>
    <col width="28.26953125" customWidth="1" style="24" min="2" max="2"/>
    <col width="21" customWidth="1" style="24" min="3" max="3"/>
    <col width="7.81640625" customWidth="1" style="23" min="4" max="6"/>
    <col hidden="1" outlineLevel="1" width="8.26953125" customWidth="1" style="23" min="7" max="7"/>
    <col collapsed="1" width="6.26953125" customWidth="1" style="23" min="8" max="8"/>
    <col hidden="1" width="7.81640625" customWidth="1" style="23" min="9" max="11"/>
    <col hidden="1" outlineLevel="1" width="8.26953125" customWidth="1" style="23" min="12" max="12"/>
    <col hidden="1" width="6.26953125" customWidth="1" style="23" min="13" max="13"/>
    <col outlineLevel="1" width="7.81640625" customWidth="1" style="23" min="14" max="16"/>
    <col hidden="1" outlineLevel="2" width="8.26953125" customWidth="1" style="23" min="17" max="17"/>
    <col outlineLevel="1" collapsed="1" width="6.26953125" customWidth="1" style="23" min="18" max="18"/>
    <col outlineLevel="1" width="7.81640625" customWidth="1" style="23" min="19" max="21"/>
    <col hidden="1" outlineLevel="2" width="8.26953125" customWidth="1" style="23" min="22" max="22"/>
    <col outlineLevel="1" collapsed="1" width="6.26953125" customWidth="1" style="23" min="23" max="23"/>
    <col width="7.81640625" customWidth="1" style="23" min="24" max="26"/>
    <col hidden="1" outlineLevel="1" width="8.26953125" customWidth="1" style="23" min="27" max="27"/>
    <col collapsed="1" width="6.26953125" customWidth="1" style="23" min="28" max="28"/>
    <col width="7.81640625" customWidth="1" style="23" min="29" max="31"/>
    <col hidden="1" outlineLevel="1" width="8.26953125" customWidth="1" style="23" min="32" max="32"/>
    <col collapsed="1" width="6.26953125" customWidth="1" style="23" min="33" max="33"/>
    <col width="7.81640625" customWidth="1" style="23" min="34" max="36"/>
    <col hidden="1" outlineLevel="1" width="8.26953125" customWidth="1" style="23" min="37" max="37"/>
    <col collapsed="1" width="6.26953125" customWidth="1" style="23" min="38" max="38"/>
    <col width="0.7265625" customWidth="1" style="23" min="39" max="39"/>
    <col width="7.81640625" customWidth="1" style="23" min="40" max="42"/>
    <col outlineLevel="1" width="9.1796875" customWidth="1" style="23" min="43" max="43"/>
    <col width="6.26953125" customWidth="1" style="23" min="44" max="44"/>
    <col width="9.1796875" customWidth="1" style="23" min="45" max="46"/>
    <col width="9.1796875" customWidth="1" style="23" min="47" max="16384"/>
  </cols>
  <sheetData>
    <row r="1"/>
    <row r="2"/>
    <row r="3" ht="39" customHeight="1" s="506">
      <c r="B3" s="523" t="inlineStr">
        <is>
          <t>BUSINESS SEGMENTS</t>
        </is>
      </c>
      <c r="C3" s="523" t="inlineStr">
        <is>
          <t>TDD GM</t>
        </is>
      </c>
      <c r="D3" s="530" t="inlineStr">
        <is>
          <t>TOTAL 
YTD (Jun-2026)</t>
        </is>
      </c>
      <c r="E3" s="517" t="n"/>
      <c r="F3" s="517" t="n"/>
      <c r="G3" s="517" t="n"/>
      <c r="H3" s="526" t="n"/>
      <c r="I3" s="527" t="inlineStr">
        <is>
          <t>OPEX: LIGHTS ON + INITIATIVES
(YTD)</t>
        </is>
      </c>
      <c r="J3" s="517" t="n"/>
      <c r="K3" s="517" t="n"/>
      <c r="L3" s="517" t="n"/>
      <c r="M3" s="526" t="n"/>
      <c r="N3" s="527" t="inlineStr">
        <is>
          <t>OPEX: LIGHTS ON
(YTD)</t>
        </is>
      </c>
      <c r="O3" s="517" t="n"/>
      <c r="P3" s="517" t="n"/>
      <c r="Q3" s="517" t="n"/>
      <c r="R3" s="526" t="n"/>
      <c r="S3" s="527" t="inlineStr">
        <is>
          <t>OPEX: INITIATIVES
(YTD)</t>
        </is>
      </c>
      <c r="T3" s="517" t="n"/>
      <c r="U3" s="517" t="n"/>
      <c r="V3" s="517" t="n"/>
      <c r="W3" s="526" t="n"/>
      <c r="X3" s="522" t="inlineStr">
        <is>
          <t>OPEX: DEPRECIATION
(YTD)</t>
        </is>
      </c>
      <c r="Y3" s="517" t="n"/>
      <c r="Z3" s="517" t="n"/>
      <c r="AA3" s="517" t="n"/>
      <c r="AB3" s="518" t="n"/>
      <c r="AC3" s="528" t="inlineStr">
        <is>
          <t>SIGNIFICANT ITEMS
(YTD)</t>
        </is>
      </c>
      <c r="AD3" s="517" t="n"/>
      <c r="AE3" s="517" t="n"/>
      <c r="AF3" s="517" t="n"/>
      <c r="AG3" s="517" t="n"/>
      <c r="AH3" s="522" t="inlineStr">
        <is>
          <t>CAPEX
(YTD)</t>
        </is>
      </c>
      <c r="AI3" s="517" t="n"/>
      <c r="AJ3" s="517" t="n"/>
      <c r="AK3" s="517" t="n"/>
      <c r="AL3" s="518" t="n"/>
      <c r="AN3" s="519" t="inlineStr">
        <is>
          <t>FY2026</t>
        </is>
      </c>
      <c r="AO3" s="517" t="n"/>
      <c r="AP3" s="517" t="n"/>
      <c r="AQ3" s="517" t="n"/>
      <c r="AR3" s="518" t="n"/>
    </row>
    <row r="4" ht="13.5" customHeight="1" s="506">
      <c r="B4" s="524" t="n"/>
      <c r="C4" s="524" t="n"/>
      <c r="D4" s="25" t="inlineStr">
        <is>
          <t>A</t>
        </is>
      </c>
      <c r="E4" s="26" t="inlineStr">
        <is>
          <t>B</t>
        </is>
      </c>
      <c r="F4" s="26" t="inlineStr">
        <is>
          <t>V</t>
        </is>
      </c>
      <c r="G4" s="26" t="inlineStr">
        <is>
          <t>V %</t>
        </is>
      </c>
      <c r="H4" s="26" t="inlineStr">
        <is>
          <t>Trend</t>
        </is>
      </c>
      <c r="I4" s="27" t="inlineStr">
        <is>
          <t>A</t>
        </is>
      </c>
      <c r="J4" s="27" t="inlineStr">
        <is>
          <t>B</t>
        </is>
      </c>
      <c r="K4" s="27" t="inlineStr">
        <is>
          <t>V</t>
        </is>
      </c>
      <c r="L4" s="27" t="inlineStr">
        <is>
          <t>V %</t>
        </is>
      </c>
      <c r="M4" s="27" t="inlineStr">
        <is>
          <t>Trend</t>
        </is>
      </c>
      <c r="N4" s="27" t="inlineStr">
        <is>
          <t>A</t>
        </is>
      </c>
      <c r="O4" s="27" t="inlineStr">
        <is>
          <t>B</t>
        </is>
      </c>
      <c r="P4" s="27" t="inlineStr">
        <is>
          <t>V</t>
        </is>
      </c>
      <c r="Q4" s="27" t="n"/>
      <c r="R4" s="27" t="inlineStr">
        <is>
          <t>Trend</t>
        </is>
      </c>
      <c r="S4" s="27" t="inlineStr">
        <is>
          <t>A</t>
        </is>
      </c>
      <c r="T4" s="27" t="inlineStr">
        <is>
          <t>B</t>
        </is>
      </c>
      <c r="U4" s="27" t="inlineStr">
        <is>
          <t>V</t>
        </is>
      </c>
      <c r="V4" s="27" t="inlineStr">
        <is>
          <t>V %</t>
        </is>
      </c>
      <c r="W4" s="27" t="inlineStr">
        <is>
          <t>Trend</t>
        </is>
      </c>
      <c r="X4" s="27" t="inlineStr">
        <is>
          <t>A</t>
        </is>
      </c>
      <c r="Y4" s="27" t="inlineStr">
        <is>
          <t>B</t>
        </is>
      </c>
      <c r="Z4" s="27" t="inlineStr">
        <is>
          <t>V</t>
        </is>
      </c>
      <c r="AA4" s="27" t="inlineStr">
        <is>
          <t>V %</t>
        </is>
      </c>
      <c r="AB4" s="28" t="inlineStr">
        <is>
          <t>Trend</t>
        </is>
      </c>
      <c r="AC4" s="27" t="inlineStr">
        <is>
          <t>A</t>
        </is>
      </c>
      <c r="AD4" s="27" t="inlineStr">
        <is>
          <t>B</t>
        </is>
      </c>
      <c r="AE4" s="27" t="inlineStr">
        <is>
          <t>V</t>
        </is>
      </c>
      <c r="AF4" s="27" t="inlineStr">
        <is>
          <t>V %</t>
        </is>
      </c>
      <c r="AG4" s="29" t="inlineStr">
        <is>
          <t>Trend</t>
        </is>
      </c>
      <c r="AH4" s="27" t="inlineStr">
        <is>
          <t>A</t>
        </is>
      </c>
      <c r="AI4" s="27" t="inlineStr">
        <is>
          <t>B</t>
        </is>
      </c>
      <c r="AJ4" s="27" t="inlineStr">
        <is>
          <t>V</t>
        </is>
      </c>
      <c r="AK4" s="27" t="inlineStr">
        <is>
          <t>V %</t>
        </is>
      </c>
      <c r="AL4" s="28" t="inlineStr">
        <is>
          <t>Trend</t>
        </is>
      </c>
      <c r="AN4" s="25" t="inlineStr">
        <is>
          <t>F</t>
        </is>
      </c>
      <c r="AO4" s="26" t="inlineStr">
        <is>
          <t>B</t>
        </is>
      </c>
      <c r="AP4" s="26" t="inlineStr">
        <is>
          <t>V</t>
        </is>
      </c>
      <c r="AQ4" s="26" t="n"/>
      <c r="AR4" s="30" t="inlineStr">
        <is>
          <t>Trend</t>
        </is>
      </c>
    </row>
    <row r="5" ht="21" customFormat="1" customHeight="1" s="31">
      <c r="A5" s="31" t="inlineStr">
        <is>
          <t>TDD (Corporate)1</t>
        </is>
      </c>
      <c r="B5" s="32" t="inlineStr">
        <is>
          <t>TDD (Corporate)1</t>
        </is>
      </c>
      <c r="C5" s="33" t="inlineStr">
        <is>
          <t>Brad Blyth
Greg Cassis</t>
        </is>
      </c>
      <c r="D5" s="641">
        <f>I5+AC5+AH5+X5</f>
        <v>53.57500618</v>
      </c>
      <c r="E5" s="642">
        <f>J5+AD5+AI5+Y5</f>
        <v>56.158125129999995</v>
      </c>
      <c r="F5" s="642">
        <f>E5-D5</f>
        <v>2.5831189499999923</v>
      </c>
      <c r="G5" s="643">
        <f>IFERROR(F5/E5,"-")</f>
        <v>0.04599724339123414</v>
      </c>
      <c r="H5" s="37" t="inlineStr">
        <is>
          <t>G</t>
        </is>
      </c>
      <c r="I5" s="642" t="n">
        <v>41.77379708</v>
      </c>
      <c r="J5" s="642" t="n">
        <v>41.9336938</v>
      </c>
      <c r="K5" s="642">
        <f>J5-I5</f>
        <v>0.159896719999999</v>
      </c>
      <c r="L5" s="643">
        <f>IFERROR(K5/J5,"-")</f>
        <v>0.0038130845511157663</v>
      </c>
      <c r="M5" s="38" t="inlineStr">
        <is>
          <t>G</t>
        </is>
      </c>
      <c r="N5" s="642">
        <f>I5-S5</f>
        <v>40.97295585</v>
      </c>
      <c r="O5" s="642">
        <f>J5-T5</f>
        <v>40.4336938</v>
      </c>
      <c r="P5" s="642">
        <f>O5-N5</f>
        <v>-0.5392620499999978</v>
      </c>
      <c r="Q5" s="643">
        <f>IFERROR(P5/O5,"-")</f>
        <v>-0.013336947464344646</v>
      </c>
      <c r="R5" s="39" t="inlineStr">
        <is>
          <t>A</t>
        </is>
      </c>
      <c r="S5" s="642" t="n">
        <v>0.80084123</v>
      </c>
      <c r="T5" s="642" t="n">
        <v>1.5</v>
      </c>
      <c r="U5" s="642">
        <f>T5-S5</f>
        <v>0.69915877</v>
      </c>
      <c r="V5" s="643">
        <f>IFERROR(U5/T5,"-")</f>
        <v>0.4661058466666667</v>
      </c>
      <c r="W5" s="37" t="inlineStr">
        <is>
          <t>G</t>
        </is>
      </c>
      <c r="X5" s="642" t="n">
        <v>2.78522111</v>
      </c>
      <c r="Y5" s="642" t="n">
        <v>2.9338979</v>
      </c>
      <c r="Z5" s="642">
        <f>Y5-X5</f>
        <v>0.14867678999999967</v>
      </c>
      <c r="AA5" s="643">
        <f>IFERROR(Z5/Y5,"-")</f>
        <v>0.0506755160089244</v>
      </c>
      <c r="AB5" s="37" t="inlineStr">
        <is>
          <t>G</t>
        </is>
      </c>
      <c r="AC5" s="642" t="n">
        <v>8.8400082</v>
      </c>
      <c r="AD5" s="642" t="n">
        <v>9.2622</v>
      </c>
      <c r="AE5" s="642">
        <f>AD5-AC5</f>
        <v>0.42219180000000023</v>
      </c>
      <c r="AF5" s="643">
        <f>IFERROR(AE5/AD5,"-")</f>
        <v>0.04558223748137594</v>
      </c>
      <c r="AG5" s="37" t="inlineStr">
        <is>
          <t>G</t>
        </is>
      </c>
      <c r="AH5" s="642" t="n">
        <v>0.17597979</v>
      </c>
      <c r="AI5" s="642" t="n">
        <v>2.02833343</v>
      </c>
      <c r="AJ5" s="642">
        <f>AI5-AH5</f>
        <v>1.85235364</v>
      </c>
      <c r="AK5" s="643">
        <f>IFERROR(AJ5/AI5,"-")</f>
        <v>0.9132392202400372</v>
      </c>
      <c r="AL5" s="40" t="inlineStr">
        <is>
          <t>G</t>
        </is>
      </c>
      <c r="AN5" s="644">
        <f>I21+AC21+AH21+X21</f>
        <v>117.95714038000001</v>
      </c>
      <c r="AO5" s="645">
        <f>J21+AD21+AI21+Y21</f>
        <v>112.75951309</v>
      </c>
      <c r="AP5" s="645">
        <f>AO5-AN5</f>
        <v>-5.197627290000014</v>
      </c>
      <c r="AQ5" s="643">
        <f>IFERROR(AP5/AO5,"-")</f>
        <v>-0.04609480076285433</v>
      </c>
      <c r="AR5" s="43" t="inlineStr">
        <is>
          <t>A</t>
        </is>
      </c>
    </row>
    <row r="6" ht="21" customFormat="1" customHeight="1" s="31">
      <c r="A6" s="31" t="inlineStr">
        <is>
          <t>Z-Energy</t>
        </is>
      </c>
      <c r="B6" s="44" t="inlineStr">
        <is>
          <t>Z- Energy</t>
        </is>
      </c>
      <c r="C6" s="45" t="inlineStr">
        <is>
          <t>Vance Anderson
Harley Giles</t>
        </is>
      </c>
      <c r="D6" s="644">
        <f>I6+AC6+AH6+X6</f>
        <v>35.2578582524</v>
      </c>
      <c r="E6" s="645">
        <f>J6+AD6+AI6+Y6</f>
        <v>38.25415984714868</v>
      </c>
      <c r="F6" s="645">
        <f>E6-D6</f>
        <v>2.9963015947486795</v>
      </c>
      <c r="G6" s="646">
        <f>IFERROR(F6/E6,"-")</f>
        <v>0.07832616391840619</v>
      </c>
      <c r="H6" s="38" t="inlineStr">
        <is>
          <t>G</t>
        </is>
      </c>
      <c r="I6" s="645" t="n">
        <v>26.4555130724</v>
      </c>
      <c r="J6" s="645" t="n">
        <v>26.8009903019695</v>
      </c>
      <c r="K6" s="645">
        <f>J6-I6</f>
        <v>0.3454772295695001</v>
      </c>
      <c r="L6" s="646">
        <f>IFERROR(K6/J6,"-")</f>
        <v>0.012890465078975547</v>
      </c>
      <c r="M6" s="38" t="inlineStr">
        <is>
          <t>G</t>
        </is>
      </c>
      <c r="N6" s="642">
        <f>I6-S6</f>
        <v>26.4555130724</v>
      </c>
      <c r="O6" s="642">
        <f>J6-T6</f>
        <v>26.077870301969497</v>
      </c>
      <c r="P6" s="645">
        <f>O6-N6</f>
        <v>-0.37764277043050143</v>
      </c>
      <c r="Q6" s="646">
        <f>IFERROR(P6/O6,"-")</f>
        <v>-0.01448135012781241</v>
      </c>
      <c r="R6" s="39" t="inlineStr">
        <is>
          <t>A</t>
        </is>
      </c>
      <c r="S6" s="642" t="n">
        <v>0</v>
      </c>
      <c r="T6" s="642" t="n">
        <v>0.72312</v>
      </c>
      <c r="U6" s="645">
        <f>T6-S6</f>
        <v>0.72312</v>
      </c>
      <c r="V6" s="646">
        <f>IFERROR(U6/T6,"-")</f>
        <v>1.0</v>
      </c>
      <c r="W6" s="38" t="inlineStr">
        <is>
          <t>G</t>
        </is>
      </c>
      <c r="X6" s="645" t="n">
        <v>4.835755244</v>
      </c>
      <c r="Y6" s="645" t="n">
        <v>5.14368626517918</v>
      </c>
      <c r="Z6" s="645">
        <f>Y6-X6</f>
        <v>0.30793102117918014</v>
      </c>
      <c r="AA6" s="646">
        <f>IFERROR(Z6/Y6,"-")</f>
        <v>0.05986582487811461</v>
      </c>
      <c r="AB6" s="38" t="inlineStr">
        <is>
          <t>G</t>
        </is>
      </c>
      <c r="AC6" s="645" t="n">
        <v>0</v>
      </c>
      <c r="AD6" s="645" t="n">
        <v>0</v>
      </c>
      <c r="AE6" s="645">
        <f>AD6-AC6</f>
        <v>0.0</v>
      </c>
      <c r="AF6" s="646" t="str">
        <f>IFERROR(AE6/AD6,"-")</f>
        <v>-</v>
      </c>
      <c r="AG6" s="47" t="n"/>
      <c r="AH6" s="642" t="n">
        <v>3.966589936</v>
      </c>
      <c r="AI6" s="642" t="n">
        <v>6.30948328</v>
      </c>
      <c r="AJ6" s="645">
        <f>AI6-AH6</f>
        <v>2.342893344</v>
      </c>
      <c r="AK6" s="646">
        <f>IFERROR(AJ6/AI6,"-")</f>
        <v>0.37132887750516397</v>
      </c>
      <c r="AL6" s="48" t="inlineStr">
        <is>
          <t>G</t>
        </is>
      </c>
      <c r="AN6" s="644">
        <f>I22+AC22+AH22+X22</f>
        <v>73.1083914772</v>
      </c>
      <c r="AO6" s="645">
        <f>J22+AD22+AI22+Y22</f>
        <v>76.70351404837331</v>
      </c>
      <c r="AP6" s="645">
        <f>AO6-AN6</f>
        <v>3.595122571173306</v>
      </c>
      <c r="AQ6" s="646">
        <f>IFERROR(AP6/AO6,"-")</f>
        <v>0.04687037635467432</v>
      </c>
      <c r="AR6" s="48" t="inlineStr">
        <is>
          <t>G</t>
        </is>
      </c>
    </row>
    <row r="7" ht="24" customFormat="1" customHeight="1" s="31">
      <c r="A7" s="31" t="inlineStr">
        <is>
          <t>Commercial Fuels</t>
        </is>
      </c>
      <c r="B7" s="44" t="inlineStr">
        <is>
          <t>Commercial Fuels</t>
        </is>
      </c>
      <c r="C7" s="45" t="inlineStr">
        <is>
          <t>Roanne Steele</t>
        </is>
      </c>
      <c r="D7" s="644">
        <f>I7+AC7+AH7+X7</f>
        <v>12.40156227969697</v>
      </c>
      <c r="E7" s="645">
        <f>J7+AD7+AI7+Y7</f>
        <v>18.77737756909091</v>
      </c>
      <c r="F7" s="645">
        <f>E7-D7</f>
        <v>6.375815289393939</v>
      </c>
      <c r="G7" s="646">
        <f>IFERROR(F7/E7,"-")</f>
        <v>0.3395476959407287</v>
      </c>
      <c r="H7" s="38" t="inlineStr">
        <is>
          <t>G</t>
        </is>
      </c>
      <c r="I7" s="645" t="n">
        <v>7.1072414</v>
      </c>
      <c r="J7" s="645" t="n">
        <v>8.284722285454549</v>
      </c>
      <c r="K7" s="645">
        <f>J7-I7</f>
        <v>1.1774808854545489</v>
      </c>
      <c r="L7" s="646">
        <f>IFERROR(K7/J7,"-")</f>
        <v>0.14212677804805202</v>
      </c>
      <c r="M7" s="38" t="inlineStr">
        <is>
          <t>G</t>
        </is>
      </c>
      <c r="N7" s="642">
        <f>I7-S7</f>
        <v>5.01868455307692</v>
      </c>
      <c r="O7" s="642">
        <f>J7-T7</f>
        <v>5.353861823916089</v>
      </c>
      <c r="P7" s="645">
        <f>O7-N7</f>
        <v>0.3351772708391696</v>
      </c>
      <c r="Q7" s="646">
        <f>IFERROR(P7/O7,"-")</f>
        <v>0.06260476677636849</v>
      </c>
      <c r="R7" s="38" t="inlineStr">
        <is>
          <t>G</t>
        </is>
      </c>
      <c r="S7" s="642" t="n">
        <v>2.08855684692308</v>
      </c>
      <c r="T7" s="642" t="n">
        <v>2.93086046153846</v>
      </c>
      <c r="U7" s="645">
        <f>T7-S7</f>
        <v>0.8423036146153797</v>
      </c>
      <c r="V7" s="646">
        <f>IFERROR(U7/T7,"-")</f>
        <v>0.287391237375129</v>
      </c>
      <c r="W7" s="38" t="inlineStr">
        <is>
          <t>G</t>
        </is>
      </c>
      <c r="X7" s="645" t="n"/>
      <c r="Y7" s="645" t="n"/>
      <c r="Z7" s="645">
        <f>Y7-X7</f>
        <v>0.0</v>
      </c>
      <c r="AA7" s="646" t="str">
        <f>IFERROR(Z7/Y7,"-")</f>
        <v>-</v>
      </c>
      <c r="AB7" s="47" t="n"/>
      <c r="AC7" s="645" t="n">
        <v>4.72854146969697</v>
      </c>
      <c r="AD7" s="645" t="n">
        <v>7.109604</v>
      </c>
      <c r="AE7" s="645">
        <f>AD7-AC7</f>
        <v>2.38106253030303</v>
      </c>
      <c r="AF7" s="646">
        <f>IFERROR(AE7/AD7,"-")</f>
        <v>0.3349078978664677</v>
      </c>
      <c r="AG7" s="38" t="inlineStr">
        <is>
          <t>G</t>
        </is>
      </c>
      <c r="AH7" s="642" t="n">
        <v>0.56577941</v>
      </c>
      <c r="AI7" s="642" t="n">
        <v>3.38305128363636</v>
      </c>
      <c r="AJ7" s="645">
        <f>AI7-AH7</f>
        <v>2.8172718736363604</v>
      </c>
      <c r="AK7" s="646">
        <f>IFERROR(AJ7/AI7,"-")</f>
        <v>0.8327606168027529</v>
      </c>
      <c r="AL7" s="48" t="inlineStr">
        <is>
          <t>G</t>
        </is>
      </c>
      <c r="AN7" s="644">
        <f>I23+AC23+AH23+X23</f>
        <v>32.76899756317017</v>
      </c>
      <c r="AO7" s="645">
        <f>J23+AD23+AI23+Y23</f>
        <v>40.534223043939406</v>
      </c>
      <c r="AP7" s="645">
        <f>AO7-AN7</f>
        <v>7.765225480769239</v>
      </c>
      <c r="AQ7" s="646">
        <f>IFERROR(AP7/AO7,"-")</f>
        <v>0.191572081506328</v>
      </c>
      <c r="AR7" s="48" t="inlineStr">
        <is>
          <t>G</t>
        </is>
      </c>
    </row>
    <row r="8" ht="24" customFormat="1" customHeight="1" s="31">
      <c r="A8" s="31" t="inlineStr">
        <is>
          <t>Retail</t>
        </is>
      </c>
      <c r="B8" s="44" t="inlineStr">
        <is>
          <t>Retail</t>
        </is>
      </c>
      <c r="C8" s="45" t="inlineStr">
        <is>
          <t>Vance Anderson</t>
        </is>
      </c>
      <c r="D8" s="644">
        <f>I8+AC8+AH8+X8</f>
        <v>14.290548620000003</v>
      </c>
      <c r="E8" s="645">
        <f>J8+AD8+AI8+Y8</f>
        <v>18.065295140000003</v>
      </c>
      <c r="F8" s="645">
        <f>E8-D8</f>
        <v>3.7747465200000008</v>
      </c>
      <c r="G8" s="646">
        <f>IFERROR(F8/E8,"-")</f>
        <v>0.20895017162725413</v>
      </c>
      <c r="H8" s="38" t="inlineStr">
        <is>
          <t>G</t>
        </is>
      </c>
      <c r="I8" s="645" t="n">
        <v>6.854453</v>
      </c>
      <c r="J8" s="645" t="n">
        <v>7.08529514</v>
      </c>
      <c r="K8" s="645">
        <f>J8-I8</f>
        <v>0.23084214000000003</v>
      </c>
      <c r="L8" s="646">
        <f>IFERROR(K8/J8,"-")</f>
        <v>0.03258045507473384</v>
      </c>
      <c r="M8" s="38" t="inlineStr">
        <is>
          <t>G</t>
        </is>
      </c>
      <c r="N8" s="642">
        <f>I8-S8</f>
        <v>6.45960741</v>
      </c>
      <c r="O8" s="642">
        <f>J8-T8</f>
        <v>6.43029514</v>
      </c>
      <c r="P8" s="645">
        <f>O8-N8</f>
        <v>-0.02931227000000014</v>
      </c>
      <c r="Q8" s="646">
        <f>IFERROR(P8/O8,"-")</f>
        <v>-0.004558464170277593</v>
      </c>
      <c r="R8" s="38" t="inlineStr">
        <is>
          <t>G</t>
        </is>
      </c>
      <c r="S8" s="642" t="n">
        <v>0.39484559</v>
      </c>
      <c r="T8" s="642" t="n">
        <v>0.655</v>
      </c>
      <c r="U8" s="645">
        <f>T8-S8</f>
        <v>0.26015441</v>
      </c>
      <c r="V8" s="646">
        <f>IFERROR(U8/T8,"-")</f>
        <v>0.39718230534351145</v>
      </c>
      <c r="W8" s="38" t="inlineStr">
        <is>
          <t>G</t>
        </is>
      </c>
      <c r="X8" s="645" t="n"/>
      <c r="Y8" s="645" t="n"/>
      <c r="Z8" s="645">
        <f>Y8-X8</f>
        <v>0.0</v>
      </c>
      <c r="AA8" s="646" t="str">
        <f>IFERROR(Z8/Y8,"-")</f>
        <v>-</v>
      </c>
      <c r="AB8" s="47" t="n"/>
      <c r="AC8" s="645" t="n">
        <v>3.35460589</v>
      </c>
      <c r="AD8" s="645" t="n">
        <v>5.08</v>
      </c>
      <c r="AE8" s="645">
        <f>AD8-AC8</f>
        <v>1.7253941099999999</v>
      </c>
      <c r="AF8" s="646">
        <f>IFERROR(AE8/AD8,"-")</f>
        <v>0.33964450984251965</v>
      </c>
      <c r="AG8" s="38" t="inlineStr">
        <is>
          <t>G</t>
        </is>
      </c>
      <c r="AH8" s="642" t="n">
        <v>4.08148973</v>
      </c>
      <c r="AI8" s="642" t="n">
        <v>5.9</v>
      </c>
      <c r="AJ8" s="645">
        <f>AI8-AH8</f>
        <v>1.81851027</v>
      </c>
      <c r="AK8" s="646">
        <f>IFERROR(AJ8/AI8,"-")</f>
        <v>0.30822207966101695</v>
      </c>
      <c r="AL8" s="48" t="inlineStr">
        <is>
          <t>G</t>
        </is>
      </c>
      <c r="AN8" s="644">
        <f>I24+AC24+AH24+X24</f>
        <v>35.260355770000004</v>
      </c>
      <c r="AO8" s="645">
        <f>J24+AD24+AI24+Y24</f>
        <v>33.88085459</v>
      </c>
      <c r="AP8" s="645">
        <f>AO8-AN8</f>
        <v>-1.3795011800000054</v>
      </c>
      <c r="AQ8" s="646">
        <f>IFERROR(AP8/AO8,"-")</f>
        <v>-0.04071624510932992</v>
      </c>
      <c r="AR8" s="49" t="inlineStr">
        <is>
          <t>R</t>
        </is>
      </c>
    </row>
    <row r="9" ht="24" customFormat="1" customHeight="1" s="31">
      <c r="A9" s="31" t="inlineStr">
        <is>
          <t>Energy Solutions</t>
        </is>
      </c>
      <c r="B9" s="44" t="inlineStr">
        <is>
          <t>Energy Solutions</t>
        </is>
      </c>
      <c r="C9" s="45" t="inlineStr">
        <is>
          <t>Roanne Steele</t>
        </is>
      </c>
      <c r="D9" s="644">
        <f>I9+AC9+AH9+X9</f>
        <v>4.138503998274</v>
      </c>
      <c r="E9" s="645">
        <f>J9+AD9+AI9+Y9</f>
        <v>3.80667954</v>
      </c>
      <c r="F9" s="645">
        <f>E9-D9</f>
        <v>-0.3318244582740002</v>
      </c>
      <c r="G9" s="646">
        <f>IFERROR(F9/E9,"-")</f>
        <v>-0.0871690024829356</v>
      </c>
      <c r="H9" s="50" t="inlineStr">
        <is>
          <t>R</t>
        </is>
      </c>
      <c r="I9" s="645" t="n">
        <v>2.87890034</v>
      </c>
      <c r="J9" s="645" t="n">
        <v>2.51601915</v>
      </c>
      <c r="K9" s="645">
        <f>J9-I9</f>
        <v>-0.36288118999999996</v>
      </c>
      <c r="L9" s="646">
        <f>IFERROR(K9/J9,"-")</f>
        <v>-0.14422831002697256</v>
      </c>
      <c r="M9" s="51" t="inlineStr">
        <is>
          <t>R</t>
        </is>
      </c>
      <c r="N9" s="642">
        <f>I9-S9</f>
        <v>2.54529162</v>
      </c>
      <c r="O9" s="642">
        <f>J9-T9</f>
        <v>2.03101915</v>
      </c>
      <c r="P9" s="645">
        <f>O9-N9</f>
        <v>-0.5142724699999999</v>
      </c>
      <c r="Q9" s="646">
        <f>IFERROR(P9/O9,"-")</f>
        <v>-0.2532090699390992</v>
      </c>
      <c r="R9" s="50" t="inlineStr">
        <is>
          <t>R</t>
        </is>
      </c>
      <c r="S9" s="642" t="n">
        <v>0.33360872</v>
      </c>
      <c r="T9" s="642" t="n">
        <v>0.485</v>
      </c>
      <c r="U9" s="645">
        <f>T9-S9</f>
        <v>0.15139127999999996</v>
      </c>
      <c r="V9" s="646">
        <f>IFERROR(U9/T9,"-")</f>
        <v>0.3121469690721649</v>
      </c>
      <c r="W9" s="38" t="inlineStr">
        <is>
          <t>G</t>
        </is>
      </c>
      <c r="X9" s="645" t="n"/>
      <c r="Y9" s="645" t="n"/>
      <c r="Z9" s="645">
        <f>Y9-X9</f>
        <v>0.0</v>
      </c>
      <c r="AA9" s="646" t="str">
        <f>IFERROR(Z9/Y9,"-")</f>
        <v>-</v>
      </c>
      <c r="AB9" s="47" t="n"/>
      <c r="AC9" s="645" t="n"/>
      <c r="AD9" s="645" t="n"/>
      <c r="AE9" s="645">
        <f>AD9-AC9</f>
        <v>0.0</v>
      </c>
      <c r="AF9" s="646" t="str">
        <f>IFERROR(AE9/AD9,"-")</f>
        <v>-</v>
      </c>
      <c r="AG9" s="47" t="n"/>
      <c r="AH9" s="642" t="n">
        <v>1.259603658274</v>
      </c>
      <c r="AI9" s="642" t="n">
        <v>1.29066039</v>
      </c>
      <c r="AJ9" s="645">
        <f>AI9-AH9</f>
        <v>0.031056731725999986</v>
      </c>
      <c r="AK9" s="646">
        <f>IFERROR(AJ9/AI9,"-")</f>
        <v>0.024062667427176554</v>
      </c>
      <c r="AL9" s="48" t="inlineStr">
        <is>
          <t>G</t>
        </is>
      </c>
      <c r="AN9" s="644">
        <f>I25+AC25+AH25+X25</f>
        <v>7.830666008273999</v>
      </c>
      <c r="AO9" s="645">
        <f>J25+AD25+AI25+Y25</f>
        <v>8.00952437</v>
      </c>
      <c r="AP9" s="645">
        <f>AO9-AN9</f>
        <v>0.17885836172600023</v>
      </c>
      <c r="AQ9" s="646">
        <f>IFERROR(AP9/AO9,"-")</f>
        <v>0.022330709473326722</v>
      </c>
      <c r="AR9" s="49" t="inlineStr">
        <is>
          <t>R</t>
        </is>
      </c>
    </row>
    <row r="10" ht="24" customFormat="1" customHeight="1" s="31">
      <c r="A10" s="31" t="inlineStr">
        <is>
          <t>Infrastructure</t>
        </is>
      </c>
      <c r="B10" s="44" t="inlineStr">
        <is>
          <t>Infrastructure</t>
        </is>
      </c>
      <c r="C10" s="45" t="inlineStr">
        <is>
          <t>Roanne Steele</t>
        </is>
      </c>
      <c r="D10" s="644">
        <f>I10+AC10+AH10+X10</f>
        <v>2.69057661</v>
      </c>
      <c r="E10" s="645">
        <f>J10+AD10+AI10+Y10</f>
        <v>4.27708298</v>
      </c>
      <c r="F10" s="645">
        <f>E10-D10</f>
        <v>1.5865063700000004</v>
      </c>
      <c r="G10" s="646">
        <f>IFERROR(F10/E10,"-")</f>
        <v>0.37093186581103</v>
      </c>
      <c r="H10" s="38" t="inlineStr">
        <is>
          <t>G</t>
        </is>
      </c>
      <c r="I10" s="645" t="n">
        <v>1.75620822</v>
      </c>
      <c r="J10" s="645" t="n">
        <v>1.831374</v>
      </c>
      <c r="K10" s="645">
        <f>J10-I10</f>
        <v>0.07516578000000007</v>
      </c>
      <c r="L10" s="646">
        <f>IFERROR(K10/J10,"-")</f>
        <v>0.04104338054378847</v>
      </c>
      <c r="M10" s="38" t="inlineStr">
        <is>
          <t>G</t>
        </is>
      </c>
      <c r="N10" s="642">
        <f>I10-S10</f>
        <v>1.44044992</v>
      </c>
      <c r="O10" s="642">
        <f>J10-T10</f>
        <v>1.4496930000000001</v>
      </c>
      <c r="P10" s="645">
        <f>O10-N10</f>
        <v>0.00924308000000007</v>
      </c>
      <c r="Q10" s="646">
        <f>IFERROR(P10/O10,"-")</f>
        <v>0.006375887860395318</v>
      </c>
      <c r="R10" s="38" t="inlineStr">
        <is>
          <t>G</t>
        </is>
      </c>
      <c r="S10" s="642" t="n">
        <v>0.3157583</v>
      </c>
      <c r="T10" s="642" t="n">
        <v>0.381681</v>
      </c>
      <c r="U10" s="645">
        <f>T10-S10</f>
        <v>0.0659227</v>
      </c>
      <c r="V10" s="646">
        <f>IFERROR(U10/T10,"-")</f>
        <v>0.17271674513533553</v>
      </c>
      <c r="W10" s="38" t="inlineStr">
        <is>
          <t>G</t>
        </is>
      </c>
      <c r="X10" s="645" t="n"/>
      <c r="Y10" s="645" t="n"/>
      <c r="Z10" s="645">
        <f>Y10-X10</f>
        <v>0.0</v>
      </c>
      <c r="AA10" s="646" t="str">
        <f>IFERROR(Z10/Y10,"-")</f>
        <v>-</v>
      </c>
      <c r="AB10" s="47" t="n"/>
      <c r="AC10" s="645" t="n"/>
      <c r="AD10" s="645" t="n"/>
      <c r="AE10" s="645">
        <f>AD10-AC10</f>
        <v>0.0</v>
      </c>
      <c r="AF10" s="646" t="str">
        <f>IFERROR(AE10/AD10,"-")</f>
        <v>-</v>
      </c>
      <c r="AG10" s="47" t="n"/>
      <c r="AH10" s="642" t="n">
        <v>0.93436839</v>
      </c>
      <c r="AI10" s="642" t="n">
        <v>2.44570898</v>
      </c>
      <c r="AJ10" s="645">
        <f>AI10-AH10</f>
        <v>1.51134059</v>
      </c>
      <c r="AK10" s="646">
        <f>IFERROR(AJ10/AI10,"-")</f>
        <v>0.6179560210798262</v>
      </c>
      <c r="AL10" s="48" t="inlineStr">
        <is>
          <t>G</t>
        </is>
      </c>
      <c r="AN10" s="644">
        <f>I26+AC26+AH26+X26</f>
        <v>8.41854714</v>
      </c>
      <c r="AO10" s="645">
        <f>J26+AD26+AI26+Y26</f>
        <v>9.24937596</v>
      </c>
      <c r="AP10" s="645">
        <f>AO10-AN10</f>
        <v>0.8308288200000007</v>
      </c>
      <c r="AQ10" s="646">
        <f>IFERROR(AP10/AO10,"-")</f>
        <v>0.08982539185270622</v>
      </c>
      <c r="AR10" s="48" t="inlineStr">
        <is>
          <t>G</t>
        </is>
      </c>
    </row>
    <row r="11" ht="24" customFormat="1" customHeight="1" s="31">
      <c r="A11" s="31" t="inlineStr">
        <is>
          <t>Finance &amp; Other Corp</t>
        </is>
      </c>
      <c r="B11" s="44" t="inlineStr">
        <is>
          <t>Finance &amp; Other Corp</t>
        </is>
      </c>
      <c r="C11" s="45" t="inlineStr">
        <is>
          <t>Emily Mogic</t>
        </is>
      </c>
      <c r="D11" s="644">
        <f>I11+AC11+AH11+X11</f>
        <v>2.84685292</v>
      </c>
      <c r="E11" s="645">
        <f>J11+AD11+AI11+Y11</f>
        <v>2.12235381</v>
      </c>
      <c r="F11" s="645">
        <f>E11-D11</f>
        <v>-0.72449911</v>
      </c>
      <c r="G11" s="646">
        <f>IFERROR(F11/E11,"-")</f>
        <v>-0.3413658488920846</v>
      </c>
      <c r="H11" s="50" t="inlineStr">
        <is>
          <t>R</t>
        </is>
      </c>
      <c r="I11" s="645" t="n">
        <v>2.84685292</v>
      </c>
      <c r="J11" s="645" t="n">
        <v>2.12235381</v>
      </c>
      <c r="K11" s="645">
        <f>J11-I11</f>
        <v>-0.72449911</v>
      </c>
      <c r="L11" s="646">
        <f>IFERROR(K11/J11,"-")</f>
        <v>-0.3413658488920846</v>
      </c>
      <c r="M11" s="50" t="inlineStr">
        <is>
          <t>R</t>
        </is>
      </c>
      <c r="N11" s="642">
        <f>I11-S11</f>
        <v>2.07860065</v>
      </c>
      <c r="O11" s="642">
        <f>J11-T11</f>
        <v>1.654610505</v>
      </c>
      <c r="P11" s="645">
        <f>O11-N11</f>
        <v>-0.4239901449999999</v>
      </c>
      <c r="Q11" s="646">
        <f>IFERROR(P11/O11,"-")</f>
        <v>-0.2562477052567727</v>
      </c>
      <c r="R11" s="50" t="inlineStr">
        <is>
          <t>R</t>
        </is>
      </c>
      <c r="S11" s="642" t="n">
        <v>0.76825227</v>
      </c>
      <c r="T11" s="642" t="n">
        <v>0.467743305</v>
      </c>
      <c r="U11" s="645">
        <f>T11-S11</f>
        <v>-0.30050896499999996</v>
      </c>
      <c r="V11" s="646">
        <f>IFERROR(U11/T11,"-")</f>
        <v>-0.6424655613189375</v>
      </c>
      <c r="W11" s="50" t="inlineStr">
        <is>
          <t>R</t>
        </is>
      </c>
      <c r="X11" s="645" t="n"/>
      <c r="Y11" s="645" t="n"/>
      <c r="Z11" s="645">
        <f>Y11-X11</f>
        <v>0.0</v>
      </c>
      <c r="AA11" s="646" t="str">
        <f>IFERROR(Z11/Y11,"-")</f>
        <v>-</v>
      </c>
      <c r="AB11" s="47" t="n"/>
      <c r="AC11" s="645" t="n"/>
      <c r="AD11" s="645" t="n"/>
      <c r="AE11" s="645">
        <f>AD11-AC11</f>
        <v>0.0</v>
      </c>
      <c r="AF11" s="646" t="str">
        <f>IFERROR(AE11/AD11,"-")</f>
        <v>-</v>
      </c>
      <c r="AG11" s="47" t="n"/>
      <c r="AH11" s="642" t="n">
        <v>0</v>
      </c>
      <c r="AI11" s="642" t="n">
        <v>0</v>
      </c>
      <c r="AJ11" s="645">
        <f>AI11-AH11</f>
        <v>0.0</v>
      </c>
      <c r="AK11" s="646" t="str">
        <f>IFERROR(AJ11/AI11,"-")</f>
        <v>-</v>
      </c>
      <c r="AL11" s="52" t="n"/>
      <c r="AN11" s="644">
        <f>I27+AC27+AH27+X27</f>
        <v>5.27211191</v>
      </c>
      <c r="AO11" s="645">
        <f>J27+AD27+AI27+Y27</f>
        <v>3.88077368</v>
      </c>
      <c r="AP11" s="645">
        <f>AO11-AN11</f>
        <v>-1.3913382299999997</v>
      </c>
      <c r="AQ11" s="646">
        <f>IFERROR(AP11/AO11,"-")</f>
        <v>-0.3585208375253668</v>
      </c>
      <c r="AR11" s="48" t="inlineStr">
        <is>
          <t>G</t>
        </is>
      </c>
    </row>
    <row r="12" ht="24" customFormat="1" customHeight="1" s="31">
      <c r="A12" s="31" t="inlineStr">
        <is>
          <t>People &amp; Culture</t>
        </is>
      </c>
      <c r="B12" s="44" t="inlineStr">
        <is>
          <t>P&amp;C</t>
        </is>
      </c>
      <c r="C12" s="45" t="inlineStr">
        <is>
          <t>Emily Mogic</t>
        </is>
      </c>
      <c r="D12" s="644">
        <f>I12+AC12+AH12+X12</f>
        <v>1.9651397</v>
      </c>
      <c r="E12" s="645">
        <f>J12+AD12+AI12+Y12</f>
        <v>2.46050804</v>
      </c>
      <c r="F12" s="645">
        <f>E12-D12</f>
        <v>0.4953683400000002</v>
      </c>
      <c r="G12" s="646">
        <f>IFERROR(F12/E12,"-")</f>
        <v>0.20132766564745716</v>
      </c>
      <c r="H12" s="38" t="inlineStr">
        <is>
          <t>G</t>
        </is>
      </c>
      <c r="I12" s="645" t="n">
        <v>1.61781844</v>
      </c>
      <c r="J12" s="645" t="n">
        <v>1.86060804</v>
      </c>
      <c r="K12" s="645">
        <f>J12-I12</f>
        <v>0.24278960000000005</v>
      </c>
      <c r="L12" s="646">
        <f>IFERROR(K12/J12,"-")</f>
        <v>0.13048938560966342</v>
      </c>
      <c r="M12" s="38" t="inlineStr">
        <is>
          <t>G</t>
        </is>
      </c>
      <c r="N12" s="642">
        <f>I12-S12</f>
        <v>0.70035539</v>
      </c>
      <c r="O12" s="642">
        <f>J12-T12</f>
        <v>0.87310804</v>
      </c>
      <c r="P12" s="645">
        <f>O12-N12</f>
        <v>0.17275264999999995</v>
      </c>
      <c r="Q12" s="646">
        <f>IFERROR(P12/O12,"-")</f>
        <v>0.19785941955133063</v>
      </c>
      <c r="R12" s="38" t="inlineStr">
        <is>
          <t>G</t>
        </is>
      </c>
      <c r="S12" s="642" t="n">
        <v>0.9174630499999999</v>
      </c>
      <c r="T12" s="642" t="n">
        <v>0.9875</v>
      </c>
      <c r="U12" s="645">
        <f>T12-S12</f>
        <v>0.0700369500000001</v>
      </c>
      <c r="V12" s="646">
        <f>IFERROR(U12/T12,"-")</f>
        <v>0.07092349367088617</v>
      </c>
      <c r="W12" s="38" t="inlineStr">
        <is>
          <t>G</t>
        </is>
      </c>
      <c r="X12" s="645" t="n"/>
      <c r="Y12" s="645" t="n"/>
      <c r="Z12" s="645">
        <f>Y12-X12</f>
        <v>0.0</v>
      </c>
      <c r="AA12" s="646" t="str">
        <f>IFERROR(Z12/Y12,"-")</f>
        <v>-</v>
      </c>
      <c r="AB12" s="47" t="n"/>
      <c r="AC12" s="645" t="n">
        <v>0.34732126</v>
      </c>
      <c r="AD12" s="645" t="n">
        <v>0.4624</v>
      </c>
      <c r="AE12" s="645">
        <f>AD12-AC12</f>
        <v>0.11507873999999996</v>
      </c>
      <c r="AF12" s="646">
        <f>IFERROR(AE12/AD12,"-")</f>
        <v>0.24887270761245667</v>
      </c>
      <c r="AG12" s="38" t="inlineStr">
        <is>
          <t>G</t>
        </is>
      </c>
      <c r="AH12" s="642" t="n">
        <v>0</v>
      </c>
      <c r="AI12" s="642" t="n">
        <v>0.1375</v>
      </c>
      <c r="AJ12" s="645">
        <f>AI12-AH12</f>
        <v>0.1375</v>
      </c>
      <c r="AK12" s="646">
        <f>IFERROR(AJ12/AI12,"-")</f>
        <v>1.0</v>
      </c>
      <c r="AL12" s="48" t="inlineStr">
        <is>
          <t>G</t>
        </is>
      </c>
      <c r="AN12" s="644">
        <f>I28+AC28+AH28+X28</f>
        <v>5.4932256</v>
      </c>
      <c r="AO12" s="645">
        <f>J28+AD28+AI28+Y28</f>
        <v>5.81303803</v>
      </c>
      <c r="AP12" s="645">
        <f>AO12-AN12</f>
        <v>0.3198124300000007</v>
      </c>
      <c r="AQ12" s="646">
        <f>IFERROR(AP12/AO12,"-")</f>
        <v>0.055016400778647695</v>
      </c>
      <c r="AR12" s="48" t="inlineStr">
        <is>
          <t>G</t>
        </is>
      </c>
    </row>
    <row r="13" ht="24" customFormat="1" customHeight="1" s="31">
      <c r="A13" s="31" t="inlineStr">
        <is>
          <t>Customer</t>
        </is>
      </c>
      <c r="B13" s="53" t="inlineStr">
        <is>
          <t>Customer</t>
        </is>
      </c>
      <c r="C13" s="54" t="inlineStr">
        <is>
          <t>Harley Giles</t>
        </is>
      </c>
      <c r="D13" s="647">
        <f>I13+AC13+AH13+X13</f>
        <v>2.41052833</v>
      </c>
      <c r="E13" s="648">
        <f>J13+AD13+AI13+Y13</f>
        <v>5.40474571</v>
      </c>
      <c r="F13" s="648">
        <f>E13-D13</f>
        <v>2.9942173800000003</v>
      </c>
      <c r="G13" s="649">
        <f>IFERROR(F13/E13,"-")</f>
        <v>0.5539978272169257</v>
      </c>
      <c r="H13" s="58" t="inlineStr">
        <is>
          <t>G</t>
        </is>
      </c>
      <c r="I13" s="648" t="n">
        <v>0.98861064</v>
      </c>
      <c r="J13" s="648" t="n">
        <v>0.82141236</v>
      </c>
      <c r="K13" s="648">
        <f>J13-I13</f>
        <v>-0.16719828000000003</v>
      </c>
      <c r="L13" s="649">
        <f>IFERROR(K13/J13,"-")</f>
        <v>-0.20354974936096656</v>
      </c>
      <c r="M13" s="51" t="inlineStr">
        <is>
          <t>R</t>
        </is>
      </c>
      <c r="N13" s="650">
        <f>I13-S13</f>
        <v>0.98861064</v>
      </c>
      <c r="O13" s="650">
        <f>J13-T13</f>
        <v>0.82141236</v>
      </c>
      <c r="P13" s="648">
        <f>O13-N13</f>
        <v>-0.16719828000000003</v>
      </c>
      <c r="Q13" s="649">
        <f>IFERROR(P13/O13,"-")</f>
        <v>-0.20354974936096656</v>
      </c>
      <c r="R13" s="51" t="inlineStr">
        <is>
          <t>R</t>
        </is>
      </c>
      <c r="S13" s="650" t="n">
        <v>0</v>
      </c>
      <c r="T13" s="650" t="n">
        <v>0</v>
      </c>
      <c r="U13" s="648">
        <f>T13-S13</f>
        <v>0.0</v>
      </c>
      <c r="V13" s="649" t="str">
        <f>IFERROR(U13/T13,"-")</f>
        <v>-</v>
      </c>
      <c r="W13" s="60" t="n"/>
      <c r="X13" s="648" t="n"/>
      <c r="Y13" s="648" t="n"/>
      <c r="Z13" s="648">
        <f>Y13-X13</f>
        <v>0.0</v>
      </c>
      <c r="AA13" s="649" t="str">
        <f>IFERROR(Z13/Y13,"-")</f>
        <v>-</v>
      </c>
      <c r="AB13" s="60" t="n"/>
      <c r="AC13" s="648" t="n">
        <v>0</v>
      </c>
      <c r="AD13" s="648" t="n">
        <v>2.50000002</v>
      </c>
      <c r="AE13" s="648">
        <f>AD13-AC13</f>
        <v>2.50000002</v>
      </c>
      <c r="AF13" s="649">
        <f>IFERROR(AE13/AD13,"-")</f>
        <v>1.0</v>
      </c>
      <c r="AG13" s="58" t="inlineStr">
        <is>
          <t>G</t>
        </is>
      </c>
      <c r="AH13" s="650" t="n">
        <v>1.42191769</v>
      </c>
      <c r="AI13" s="650" t="n">
        <v>2.08333333</v>
      </c>
      <c r="AJ13" s="648">
        <f>AI13-AH13</f>
        <v>0.66141564</v>
      </c>
      <c r="AK13" s="649">
        <f>IFERROR(AJ13/AI13,"-")</f>
        <v>0.31747950770796723</v>
      </c>
      <c r="AL13" s="61" t="inlineStr">
        <is>
          <t>G</t>
        </is>
      </c>
      <c r="AN13" s="647">
        <f>I29+AC29+AH29+X29</f>
        <v>10.98378269</v>
      </c>
      <c r="AO13" s="648">
        <f>J29+AD29+AI29+Y29</f>
        <v>11.69153287</v>
      </c>
      <c r="AP13" s="648">
        <f>AO13-AN13</f>
        <v>0.7077501799999997</v>
      </c>
      <c r="AQ13" s="649">
        <f>IFERROR(AP13/AO13,"-")</f>
        <v>0.060535276928148404</v>
      </c>
      <c r="AR13" s="61" t="inlineStr">
        <is>
          <t>G</t>
        </is>
      </c>
    </row>
    <row r="14" ht="26.25" customFormat="1" customHeight="1" s="62">
      <c r="B14" s="63" t="inlineStr">
        <is>
          <t>Total Technology</t>
        </is>
      </c>
      <c r="C14" s="63" t="n"/>
      <c r="D14" s="651">
        <f>SUM(D5:D13)</f>
        <v>129.57657689037097</v>
      </c>
      <c r="E14" s="652">
        <f>SUM(E5:E13)</f>
        <v>149.32632776623956</v>
      </c>
      <c r="F14" s="652">
        <f>SUM(F5:F13)</f>
        <v>19.749750875868614</v>
      </c>
      <c r="G14" s="653">
        <f>F14/E14</f>
        <v>0.13225900061498558</v>
      </c>
      <c r="H14" s="67" t="inlineStr">
        <is>
          <t>G</t>
        </is>
      </c>
      <c r="I14" s="654">
        <f>SUM(I5:I13)</f>
        <v>92.27939511240001</v>
      </c>
      <c r="J14" s="652">
        <f>SUM(J5:J13)</f>
        <v>93.25646888742403</v>
      </c>
      <c r="K14" s="652">
        <f>SUM(K5:K13)</f>
        <v>0.9770737750240481</v>
      </c>
      <c r="L14" s="653">
        <f>K14/J14</f>
        <v>0.010477276125515085</v>
      </c>
      <c r="M14" s="67" t="inlineStr">
        <is>
          <t>G</t>
        </is>
      </c>
      <c r="N14" s="654">
        <f>SUM(N5:N13)</f>
        <v>86.66006910547694</v>
      </c>
      <c r="O14" s="652">
        <f>SUM(O5:O13)</f>
        <v>85.12556412088558</v>
      </c>
      <c r="P14" s="652">
        <f>SUM(P5:P13)</f>
        <v>-1.5345049845913294</v>
      </c>
      <c r="Q14" s="653">
        <f>P14/O14</f>
        <v>-0.018026370813968424</v>
      </c>
      <c r="R14" s="69" t="inlineStr">
        <is>
          <t>A</t>
        </is>
      </c>
      <c r="S14" s="654">
        <f>SUM(S5:S13)</f>
        <v>5.61932600692308</v>
      </c>
      <c r="T14" s="652">
        <f>SUM(T5:T13)</f>
        <v>8.13090476653846</v>
      </c>
      <c r="U14" s="652">
        <f>SUM(U5:U13)</f>
        <v>2.5115787596153796</v>
      </c>
      <c r="V14" s="653">
        <f>U14/T14</f>
        <v>0.30889290081854254</v>
      </c>
      <c r="W14" s="67" t="inlineStr">
        <is>
          <t>G</t>
        </is>
      </c>
      <c r="X14" s="654">
        <f>SUM(X5:X13)</f>
        <v>7.620976354</v>
      </c>
      <c r="Y14" s="652">
        <f>SUM(Y5:Y13)</f>
        <v>8.077584165179179</v>
      </c>
      <c r="Z14" s="652">
        <f>SUM(Z5:Z13)</f>
        <v>0.4566078111791798</v>
      </c>
      <c r="AA14" s="653">
        <f>Z14/Y14</f>
        <v>0.05652776892719028</v>
      </c>
      <c r="AB14" s="67" t="inlineStr">
        <is>
          <t>G</t>
        </is>
      </c>
      <c r="AC14" s="654">
        <f>SUM(AC5:AC13)</f>
        <v>17.270476819696974</v>
      </c>
      <c r="AD14" s="652">
        <f>SUM(AD5:AD13)</f>
        <v>24.41420402</v>
      </c>
      <c r="AE14" s="652">
        <f>SUM(AE5:AE13)</f>
        <v>7.143727200303029</v>
      </c>
      <c r="AF14" s="653">
        <f>AE14/AD14</f>
        <v>0.29260536999080217</v>
      </c>
      <c r="AG14" s="67" t="inlineStr">
        <is>
          <t>G</t>
        </is>
      </c>
      <c r="AH14" s="654">
        <f>SUM(AH5:AH13)</f>
        <v>12.405728604274</v>
      </c>
      <c r="AI14" s="652">
        <f>SUM(AI5:AI13)</f>
        <v>23.57807069363636</v>
      </c>
      <c r="AJ14" s="652">
        <f>SUM(AJ5:AJ13)</f>
        <v>11.172342089362362</v>
      </c>
      <c r="AK14" s="653">
        <f>AJ14/AI14</f>
        <v>0.47384462598874716</v>
      </c>
      <c r="AL14" s="70" t="inlineStr">
        <is>
          <t>G</t>
        </is>
      </c>
      <c r="AN14" s="651">
        <f>SUM(AN5:AN13)</f>
        <v>297.0932185386442</v>
      </c>
      <c r="AO14" s="652">
        <f>SUM(AO5:AO13)</f>
        <v>302.5223496823127</v>
      </c>
      <c r="AP14" s="652">
        <f>SUM(AP5:AP13)</f>
        <v>5.429131143668527</v>
      </c>
      <c r="AQ14" s="655">
        <f>AP14/AO14</f>
        <v>0.017946215046160428</v>
      </c>
      <c r="AR14" s="70" t="inlineStr">
        <is>
          <t>G</t>
        </is>
      </c>
    </row>
    <row r="15" ht="24" customHeight="1" s="506">
      <c r="F15" s="656">
        <f>F14/E14</f>
        <v>0.13225900061498558</v>
      </c>
      <c r="I15" s="656">
        <f>I14/$D14</f>
        <v>0.7121610813231587</v>
      </c>
      <c r="J15" s="73" t="inlineStr">
        <is>
          <t>`</t>
        </is>
      </c>
      <c r="K15" s="656">
        <f>K14/J14</f>
        <v>0.010477276125515085</v>
      </c>
      <c r="L15" s="73" t="n"/>
      <c r="M15" s="73" t="n"/>
      <c r="N15" s="656">
        <f>N14/$D14</f>
        <v>0.6687942465002467</v>
      </c>
      <c r="O15" s="73" t="n"/>
      <c r="P15" s="656">
        <f>P14/O14</f>
        <v>-0.018026370813968424</v>
      </c>
      <c r="Q15" s="73" t="n"/>
      <c r="R15" s="73" t="n"/>
      <c r="S15" s="656">
        <f>S14/$D14</f>
        <v>0.043366834822912044</v>
      </c>
      <c r="T15" s="73" t="n"/>
      <c r="U15" s="656">
        <f>U14/T14</f>
        <v>0.30889290081854254</v>
      </c>
      <c r="V15" s="73" t="n"/>
      <c r="W15" s="73" t="n"/>
      <c r="X15" s="656">
        <f>X14/$D14</f>
        <v>0.058814459656916014</v>
      </c>
      <c r="Z15" s="656">
        <f>Z14/Y14</f>
        <v>0.05652776892719028</v>
      </c>
      <c r="AC15" s="656">
        <f>AC14/$D14</f>
        <v>0.13328394092636636</v>
      </c>
      <c r="AD15" s="73" t="n"/>
      <c r="AE15" s="656">
        <f>AE14/AD14</f>
        <v>0.29260536999080217</v>
      </c>
      <c r="AF15" s="73" t="n"/>
      <c r="AG15" s="73" t="n"/>
      <c r="AH15" s="656">
        <f>AH14/$D14</f>
        <v>0.09574051809355899</v>
      </c>
      <c r="AI15" s="73" t="n"/>
      <c r="AJ15" s="656">
        <f>AJ14/AI14</f>
        <v>0.47384462598874716</v>
      </c>
      <c r="AK15" s="73" t="n"/>
      <c r="AL15" s="73" t="n"/>
    </row>
    <row r="16" ht="30.75" customHeight="1" s="506">
      <c r="B16" s="23" t="n"/>
      <c r="C16" s="23" t="n"/>
    </row>
    <row r="17"/>
    <row r="18"/>
    <row r="19" ht="35.25" customHeight="1" s="506">
      <c r="B19" s="523" t="inlineStr">
        <is>
          <t>BUSINESS SEGMENTS</t>
        </is>
      </c>
      <c r="C19" s="523" t="inlineStr">
        <is>
          <t>TDD GM</t>
        </is>
      </c>
      <c r="D19" s="525" t="inlineStr">
        <is>
          <t>FY2026 - TOTAL</t>
        </is>
      </c>
      <c r="E19" s="517" t="n"/>
      <c r="F19" s="517" t="n"/>
      <c r="G19" s="517" t="n"/>
      <c r="H19" s="526" t="n"/>
      <c r="I19" s="527" t="inlineStr">
        <is>
          <t>OPEX: LIGHTS ON + INITIATIVES</t>
        </is>
      </c>
      <c r="J19" s="517" t="n"/>
      <c r="K19" s="517" t="n"/>
      <c r="L19" s="517" t="n"/>
      <c r="M19" s="526" t="n"/>
      <c r="N19" s="527" t="inlineStr">
        <is>
          <t>OPEX:LIGHTS ON</t>
        </is>
      </c>
      <c r="O19" s="517" t="n"/>
      <c r="P19" s="517" t="n"/>
      <c r="Q19" s="517" t="n"/>
      <c r="R19" s="526" t="n"/>
      <c r="S19" s="527" t="inlineStr">
        <is>
          <t>OPEX: INITIATIVES</t>
        </is>
      </c>
      <c r="T19" s="517" t="n"/>
      <c r="U19" s="517" t="n"/>
      <c r="V19" s="517" t="n"/>
      <c r="W19" s="526" t="n"/>
      <c r="X19" s="527" t="inlineStr">
        <is>
          <t>OPEX: DEPRECIATION</t>
        </is>
      </c>
      <c r="Y19" s="517" t="n"/>
      <c r="Z19" s="517" t="n"/>
      <c r="AA19" s="517" t="n"/>
      <c r="AB19" s="526" t="n"/>
      <c r="AC19" s="527" t="inlineStr">
        <is>
          <t>OPEX: SIGNIFICANT ITEMS</t>
        </is>
      </c>
      <c r="AD19" s="517" t="n"/>
      <c r="AE19" s="517" t="n"/>
      <c r="AF19" s="517" t="n"/>
      <c r="AG19" s="526" t="n"/>
      <c r="AH19" s="522" t="inlineStr">
        <is>
          <t>CAPEX</t>
        </is>
      </c>
      <c r="AI19" s="517" t="n"/>
      <c r="AJ19" s="517" t="n"/>
      <c r="AK19" s="517" t="n"/>
      <c r="AL19" s="518" t="n"/>
    </row>
    <row r="20" ht="12.75" customHeight="1" s="506">
      <c r="B20" s="524" t="n"/>
      <c r="C20" s="524" t="n"/>
      <c r="D20" s="74" t="inlineStr">
        <is>
          <t>F</t>
        </is>
      </c>
      <c r="E20" s="74" t="inlineStr">
        <is>
          <t>B</t>
        </is>
      </c>
      <c r="F20" s="74" t="inlineStr">
        <is>
          <t>V</t>
        </is>
      </c>
      <c r="G20" s="26" t="inlineStr">
        <is>
          <t>V %</t>
        </is>
      </c>
      <c r="H20" s="74" t="inlineStr">
        <is>
          <t>Trend</t>
        </is>
      </c>
      <c r="I20" s="75" t="inlineStr">
        <is>
          <t>F</t>
        </is>
      </c>
      <c r="J20" s="27" t="inlineStr">
        <is>
          <t>B</t>
        </is>
      </c>
      <c r="K20" s="27" t="inlineStr">
        <is>
          <t>V</t>
        </is>
      </c>
      <c r="L20" s="27" t="inlineStr">
        <is>
          <t>V %</t>
        </is>
      </c>
      <c r="M20" s="27" t="inlineStr">
        <is>
          <t>Trend</t>
        </is>
      </c>
      <c r="N20" s="75" t="inlineStr">
        <is>
          <t>F</t>
        </is>
      </c>
      <c r="O20" s="27" t="inlineStr">
        <is>
          <t>B</t>
        </is>
      </c>
      <c r="P20" s="27" t="inlineStr">
        <is>
          <t>V</t>
        </is>
      </c>
      <c r="Q20" s="27" t="inlineStr">
        <is>
          <t>V %</t>
        </is>
      </c>
      <c r="R20" s="27" t="inlineStr">
        <is>
          <t>Trend</t>
        </is>
      </c>
      <c r="S20" s="75" t="inlineStr">
        <is>
          <t>F</t>
        </is>
      </c>
      <c r="T20" s="27" t="inlineStr">
        <is>
          <t>B</t>
        </is>
      </c>
      <c r="U20" s="27" t="inlineStr">
        <is>
          <t>V</t>
        </is>
      </c>
      <c r="V20" s="27" t="inlineStr">
        <is>
          <t>V %</t>
        </is>
      </c>
      <c r="W20" s="27" t="inlineStr">
        <is>
          <t>Trend</t>
        </is>
      </c>
      <c r="X20" s="75" t="inlineStr">
        <is>
          <t>F</t>
        </is>
      </c>
      <c r="Y20" s="27" t="inlineStr">
        <is>
          <t>B</t>
        </is>
      </c>
      <c r="Z20" s="27" t="inlineStr">
        <is>
          <t>V</t>
        </is>
      </c>
      <c r="AA20" s="27" t="inlineStr">
        <is>
          <t>V %</t>
        </is>
      </c>
      <c r="AB20" s="27" t="inlineStr">
        <is>
          <t>Trend</t>
        </is>
      </c>
      <c r="AC20" s="75" t="inlineStr">
        <is>
          <t>F</t>
        </is>
      </c>
      <c r="AD20" s="27" t="inlineStr">
        <is>
          <t>B</t>
        </is>
      </c>
      <c r="AE20" s="27" t="inlineStr">
        <is>
          <t>V</t>
        </is>
      </c>
      <c r="AF20" s="27" t="inlineStr">
        <is>
          <t>V %</t>
        </is>
      </c>
      <c r="AG20" s="27" t="inlineStr">
        <is>
          <t>Trend</t>
        </is>
      </c>
      <c r="AH20" s="75" t="inlineStr">
        <is>
          <t>F</t>
        </is>
      </c>
      <c r="AI20" s="27" t="inlineStr">
        <is>
          <t>B</t>
        </is>
      </c>
      <c r="AJ20" s="27" t="inlineStr">
        <is>
          <t>V</t>
        </is>
      </c>
      <c r="AK20" s="27" t="inlineStr">
        <is>
          <t>V %</t>
        </is>
      </c>
      <c r="AL20" s="28" t="inlineStr">
        <is>
          <t>Trend</t>
        </is>
      </c>
    </row>
    <row r="21" ht="21" customFormat="1" customHeight="1" s="31">
      <c r="A21" s="31" t="inlineStr">
        <is>
          <t>TDD (Corporate)1</t>
        </is>
      </c>
      <c r="B21" s="76" t="inlineStr">
        <is>
          <t>TDD (Corporate)1</t>
        </is>
      </c>
      <c r="C21" s="33" t="inlineStr">
        <is>
          <t>Brad Blyth
Greg Cassis</t>
        </is>
      </c>
      <c r="D21" s="642">
        <f>I21+AC21+AH21+X21</f>
        <v>117.95714038000001</v>
      </c>
      <c r="E21" s="642">
        <f>J21+AD21+AI21+Y21</f>
        <v>112.75951309</v>
      </c>
      <c r="F21" s="642">
        <f>E21-D21</f>
        <v>-5.197627290000014</v>
      </c>
      <c r="G21" s="643">
        <f>IFERROR(F21/E21,"-")</f>
        <v>-0.04609480076285433</v>
      </c>
      <c r="H21" s="50" t="inlineStr">
        <is>
          <t>R</t>
        </is>
      </c>
      <c r="I21" s="642" t="n">
        <v>82.08787687</v>
      </c>
      <c r="J21" s="642" t="n">
        <v>81.89486321</v>
      </c>
      <c r="K21" s="642">
        <f>J21-I21</f>
        <v>-0.19301366000000542</v>
      </c>
      <c r="L21" s="643">
        <f>IFERROR(K21/J21,"-")</f>
        <v>-0.002356846967374102</v>
      </c>
      <c r="M21" s="37" t="inlineStr">
        <is>
          <t>G</t>
        </is>
      </c>
      <c r="N21" s="642">
        <f>I21-S21</f>
        <v>79.31043564000001</v>
      </c>
      <c r="O21" s="642">
        <f>J21-T21</f>
        <v>78.89486321</v>
      </c>
      <c r="P21" s="642">
        <f>O21-N21</f>
        <v>-0.41557243000001165</v>
      </c>
      <c r="Q21" s="643">
        <f>IFERROR(P21/O21,"-")</f>
        <v>-0.005267420629070024</v>
      </c>
      <c r="R21" s="39" t="inlineStr">
        <is>
          <t>A</t>
        </is>
      </c>
      <c r="S21" s="642" t="n">
        <v>2.77744123</v>
      </c>
      <c r="T21" s="642" t="n">
        <v>3</v>
      </c>
      <c r="U21" s="642">
        <f>T21-S21</f>
        <v>0.22255877000000002</v>
      </c>
      <c r="V21" s="643">
        <f>IFERROR(U21/T21,"-")</f>
        <v>0.07418625666666667</v>
      </c>
      <c r="W21" s="37" t="inlineStr">
        <is>
          <t>G</t>
        </is>
      </c>
      <c r="X21" s="642" t="n">
        <v>5.68651106</v>
      </c>
      <c r="Y21" s="642" t="n">
        <v>5.80004988</v>
      </c>
      <c r="Z21" s="642">
        <f>Y21-X21</f>
        <v>0.11353882000000048</v>
      </c>
      <c r="AA21" s="643">
        <f>IFERROR(Z21/Y21,"-")</f>
        <v>0.019575490271473404</v>
      </c>
      <c r="AB21" s="37" t="inlineStr">
        <is>
          <t>G</t>
        </is>
      </c>
      <c r="AC21" s="642" t="n">
        <v>25.39577262</v>
      </c>
      <c r="AD21" s="642" t="n">
        <v>20.1966</v>
      </c>
      <c r="AE21" s="642">
        <f>AD21-AC21</f>
        <v>-5.199172619999999</v>
      </c>
      <c r="AF21" s="643">
        <f>IFERROR(AE21/AD21,"-")</f>
        <v>-0.25742811265262466</v>
      </c>
      <c r="AG21" s="50" t="inlineStr">
        <is>
          <t>R</t>
        </is>
      </c>
      <c r="AH21" s="642" t="n">
        <v>4.78697983</v>
      </c>
      <c r="AI21" s="642" t="n">
        <v>4.868</v>
      </c>
      <c r="AJ21" s="642">
        <f>AI21-AH21</f>
        <v>0.08102017000000039</v>
      </c>
      <c r="AK21" s="643">
        <f>IFERROR(AJ21/AI21,"-")</f>
        <v>0.016643420295809445</v>
      </c>
      <c r="AL21" s="40" t="inlineStr">
        <is>
          <t>G</t>
        </is>
      </c>
      <c r="AM21" s="657">
        <f>I21+X21</f>
        <v>87.77438793</v>
      </c>
      <c r="AN21" s="31" t="inlineStr">
        <is>
          <t>input retail SI number manually</t>
        </is>
      </c>
      <c r="AO21" s="657" t="n"/>
      <c r="AP21" s="657" t="n"/>
      <c r="AQ21" s="657" t="n"/>
      <c r="AR21" s="657" t="n"/>
      <c r="AS21" s="657" t="n"/>
    </row>
    <row r="22" ht="21" customFormat="1" customHeight="1" s="31">
      <c r="A22" s="31" t="inlineStr">
        <is>
          <t>Z-Energy</t>
        </is>
      </c>
      <c r="B22" s="78" t="inlineStr">
        <is>
          <t>Z- Energy</t>
        </is>
      </c>
      <c r="C22" s="45" t="inlineStr">
        <is>
          <t>Vance Anderson
Harley Giles</t>
        </is>
      </c>
      <c r="D22" s="645">
        <f>I22+AC22+AH22+X22</f>
        <v>73.1083914772</v>
      </c>
      <c r="E22" s="645">
        <f>J22+AD22+AI22+Y22</f>
        <v>76.70351404837331</v>
      </c>
      <c r="F22" s="645">
        <f>E22-D22</f>
        <v>3.595122571173306</v>
      </c>
      <c r="G22" s="646">
        <f>IFERROR(F22/E22,"-")</f>
        <v>0.04687037635467432</v>
      </c>
      <c r="H22" s="38" t="inlineStr">
        <is>
          <t>G</t>
        </is>
      </c>
      <c r="I22" s="645" t="n">
        <v>53.465433886</v>
      </c>
      <c r="J22" s="645" t="n">
        <v>53.6714996190862</v>
      </c>
      <c r="K22" s="645">
        <f>J22-I22</f>
        <v>0.20606573308619858</v>
      </c>
      <c r="L22" s="646">
        <f>IFERROR(K22/J22,"-")</f>
        <v>0.003839388400709401</v>
      </c>
      <c r="M22" s="38" t="inlineStr">
        <is>
          <t>G</t>
        </is>
      </c>
      <c r="N22" s="642">
        <f>I22-S22</f>
        <v>53.465433886</v>
      </c>
      <c r="O22" s="642">
        <f>J22-T22</f>
        <v>52.225259619086195</v>
      </c>
      <c r="P22" s="645">
        <f>O22-N22</f>
        <v>-1.2401742669138045</v>
      </c>
      <c r="Q22" s="646">
        <f>IFERROR(P22/O22,"-")</f>
        <v>-0.023746636703373545</v>
      </c>
      <c r="R22" s="39" t="inlineStr">
        <is>
          <t>A</t>
        </is>
      </c>
      <c r="S22" s="645" t="n">
        <v>0</v>
      </c>
      <c r="T22" s="645" t="n">
        <v>1.44624</v>
      </c>
      <c r="U22" s="645">
        <f>T22-S22</f>
        <v>1.44624</v>
      </c>
      <c r="V22" s="646">
        <f>IFERROR(U22/T22,"-")</f>
        <v>1.0</v>
      </c>
      <c r="W22" s="38" t="inlineStr">
        <is>
          <t>G</t>
        </is>
      </c>
      <c r="X22" s="645" t="n">
        <v>10.1614981916</v>
      </c>
      <c r="Y22" s="645" t="n">
        <v>11.3065205892871</v>
      </c>
      <c r="Z22" s="642">
        <f>Y22-X22</f>
        <v>1.1450223976871001</v>
      </c>
      <c r="AA22" s="646">
        <f>IFERROR(Z22/Y22,"-")</f>
        <v>0.10127097798521731</v>
      </c>
      <c r="AB22" s="38" t="inlineStr">
        <is>
          <t>G</t>
        </is>
      </c>
      <c r="AC22" s="645" t="n">
        <v>0</v>
      </c>
      <c r="AD22" s="645" t="n">
        <v>0</v>
      </c>
      <c r="AE22" s="645">
        <f>AD22-AC22</f>
        <v>0.0</v>
      </c>
      <c r="AF22" s="646" t="str">
        <f>IFERROR(AE22/AD22,"-")</f>
        <v>-</v>
      </c>
      <c r="AG22" s="47" t="n"/>
      <c r="AH22" s="645" t="n">
        <v>9.4814593996</v>
      </c>
      <c r="AI22" s="645" t="n">
        <v>11.72549384</v>
      </c>
      <c r="AJ22" s="645">
        <f>AI22-AH22</f>
        <v>2.2440344404</v>
      </c>
      <c r="AK22" s="646">
        <f>IFERROR(AJ22/AI22,"-")</f>
        <v>0.19138080417088854</v>
      </c>
      <c r="AL22" s="48" t="inlineStr">
        <is>
          <t>G</t>
        </is>
      </c>
      <c r="AM22" s="657">
        <f>I22+X22</f>
        <v>63.6269320776</v>
      </c>
      <c r="AN22" s="657" t="n"/>
      <c r="AO22" s="657" t="n"/>
      <c r="AP22" s="657" t="n"/>
      <c r="AQ22" s="657" t="n"/>
      <c r="AR22" s="657" t="n"/>
      <c r="AS22" s="657" t="n"/>
    </row>
    <row r="23" ht="24" customFormat="1" customHeight="1" s="31">
      <c r="A23" s="31" t="inlineStr">
        <is>
          <t>Commercial Fuels</t>
        </is>
      </c>
      <c r="B23" s="78" t="inlineStr">
        <is>
          <t>Commercial Fuels</t>
        </is>
      </c>
      <c r="C23" s="45" t="inlineStr">
        <is>
          <t>Roanne Steele</t>
        </is>
      </c>
      <c r="D23" s="645">
        <f>I23+AC23+AH23+X23</f>
        <v>32.76899756317017</v>
      </c>
      <c r="E23" s="645">
        <f>J23+AD23+AI23+Y23</f>
        <v>40.534223043939406</v>
      </c>
      <c r="F23" s="645">
        <f>E23-D23</f>
        <v>7.765225480769239</v>
      </c>
      <c r="G23" s="646">
        <f>IFERROR(F23/E23,"-")</f>
        <v>0.191572081506328</v>
      </c>
      <c r="H23" s="38" t="inlineStr">
        <is>
          <t>G</t>
        </is>
      </c>
      <c r="I23" s="645" t="n">
        <v>18.0758203839394</v>
      </c>
      <c r="J23" s="645" t="n">
        <v>19.5173022039394</v>
      </c>
      <c r="K23" s="645">
        <f>J23-I23</f>
        <v>1.44148182</v>
      </c>
      <c r="L23" s="646">
        <f>IFERROR(K23/J23,"-")</f>
        <v>0.0738566121965898</v>
      </c>
      <c r="M23" s="38" t="inlineStr">
        <is>
          <t>G</t>
        </is>
      </c>
      <c r="N23" s="642">
        <f>I23-S23</f>
        <v>12.122014240313021</v>
      </c>
      <c r="O23" s="642">
        <f>J23-T23</f>
        <v>13.655581280862481</v>
      </c>
      <c r="P23" s="645">
        <f>O23-N23</f>
        <v>1.5335670405494604</v>
      </c>
      <c r="Q23" s="646">
        <f>IFERROR(P23/O23,"-")</f>
        <v>0.11230331459406032</v>
      </c>
      <c r="R23" s="38" t="inlineStr">
        <is>
          <t>G</t>
        </is>
      </c>
      <c r="S23" s="645" t="n">
        <v>5.95380614362638</v>
      </c>
      <c r="T23" s="645" t="n">
        <v>5.86172092307692</v>
      </c>
      <c r="U23" s="645">
        <f>T23-S23</f>
        <v>-0.09208522054946044</v>
      </c>
      <c r="V23" s="646">
        <f>IFERROR(U23/T23,"-")</f>
        <v>-0.015709587979006564</v>
      </c>
      <c r="W23" s="39" t="inlineStr">
        <is>
          <t>A</t>
        </is>
      </c>
      <c r="X23" s="645" t="n"/>
      <c r="Y23" s="645" t="n"/>
      <c r="Z23" s="645">
        <f>Y23-X23</f>
        <v>0.0</v>
      </c>
      <c r="AA23" s="646" t="str">
        <f>IFERROR(Z23/Y23,"-")</f>
        <v>-</v>
      </c>
      <c r="AB23" s="47" t="n"/>
      <c r="AC23" s="645" t="n">
        <v>8.927315999999999</v>
      </c>
      <c r="AD23" s="645" t="n">
        <v>14.219208</v>
      </c>
      <c r="AE23" s="645">
        <f>AD23-AC23</f>
        <v>5.291892000000001</v>
      </c>
      <c r="AF23" s="646">
        <f>IFERROR(AE23/AD23,"-")</f>
        <v>0.37216503197646456</v>
      </c>
      <c r="AG23" s="38" t="inlineStr">
        <is>
          <t>G</t>
        </is>
      </c>
      <c r="AH23" s="645" t="n">
        <v>5.76586117923077</v>
      </c>
      <c r="AI23" s="645" t="n">
        <v>6.79771284</v>
      </c>
      <c r="AJ23" s="645">
        <f>AI23-AH23</f>
        <v>1.03185166076923</v>
      </c>
      <c r="AK23" s="646">
        <f>IFERROR(AJ23/AI23,"-")</f>
        <v>0.1517939467371249</v>
      </c>
      <c r="AL23" s="48" t="inlineStr">
        <is>
          <t>G</t>
        </is>
      </c>
    </row>
    <row r="24" ht="24" customFormat="1" customHeight="1" s="31">
      <c r="A24" s="31" t="inlineStr">
        <is>
          <t>Retail</t>
        </is>
      </c>
      <c r="B24" s="78" t="inlineStr">
        <is>
          <t>Retail</t>
        </is>
      </c>
      <c r="C24" s="45" t="inlineStr">
        <is>
          <t>Vance Anderson</t>
        </is>
      </c>
      <c r="D24" s="645">
        <f>I24+AC24+AH24+X24</f>
        <v>35.260355770000004</v>
      </c>
      <c r="E24" s="645">
        <f>J24+AD24+AI24+Y24</f>
        <v>33.88085459</v>
      </c>
      <c r="F24" s="645">
        <f>E24-D24</f>
        <v>-1.3795011800000054</v>
      </c>
      <c r="G24" s="646">
        <f>IFERROR(F24/E24,"-")</f>
        <v>-0.04071624510932992</v>
      </c>
      <c r="H24" s="39" t="inlineStr">
        <is>
          <t>A</t>
        </is>
      </c>
      <c r="I24" s="645" t="n">
        <v>15.23072269</v>
      </c>
      <c r="J24" s="645" t="n">
        <v>15.23585459</v>
      </c>
      <c r="K24" s="645">
        <f>J24-I24</f>
        <v>0.0051319000000003</v>
      </c>
      <c r="L24" s="646">
        <f>IFERROR(K24/J24,"-")</f>
        <v>0.0003368304659043284</v>
      </c>
      <c r="M24" s="38" t="inlineStr">
        <is>
          <t>G</t>
        </is>
      </c>
      <c r="N24" s="642">
        <f>I24-S24</f>
        <v>14.4810851</v>
      </c>
      <c r="O24" s="642">
        <f>J24-T24</f>
        <v>13.92585459</v>
      </c>
      <c r="P24" s="645">
        <f>O24-N24</f>
        <v>-0.5552305099999995</v>
      </c>
      <c r="Q24" s="646">
        <f>IFERROR(P24/O24,"-")</f>
        <v>-0.03987048022163783</v>
      </c>
      <c r="R24" s="39" t="inlineStr">
        <is>
          <t>A</t>
        </is>
      </c>
      <c r="S24" s="645" t="n">
        <v>0.74963759</v>
      </c>
      <c r="T24" s="645" t="n">
        <v>1.31</v>
      </c>
      <c r="U24" s="645">
        <f>T24-S24</f>
        <v>0.5603624100000001</v>
      </c>
      <c r="V24" s="646">
        <f>IFERROR(U24/T24,"-")</f>
        <v>0.4277575648854962</v>
      </c>
      <c r="W24" s="38" t="inlineStr">
        <is>
          <t>G</t>
        </is>
      </c>
      <c r="X24" s="645" t="n"/>
      <c r="Y24" s="645" t="n"/>
      <c r="Z24" s="645">
        <f>Y24-X24</f>
        <v>0.0</v>
      </c>
      <c r="AA24" s="646" t="str">
        <f>IFERROR(Z24/Y24,"-")</f>
        <v>-</v>
      </c>
      <c r="AB24" s="47" t="n"/>
      <c r="AC24" s="645" t="n">
        <v>8.640000000000001</v>
      </c>
      <c r="AD24" s="645" t="n">
        <v>6.845</v>
      </c>
      <c r="AE24" s="645">
        <f>AD24-AC24</f>
        <v>-1.7950000000000008</v>
      </c>
      <c r="AF24" s="646">
        <f>IFERROR(AE24/AD24,"-")</f>
        <v>-0.26223520818115426</v>
      </c>
      <c r="AG24" s="50" t="inlineStr">
        <is>
          <t>R</t>
        </is>
      </c>
      <c r="AH24" s="645" t="n">
        <v>11.38963308</v>
      </c>
      <c r="AI24" s="645" t="n">
        <v>11.8</v>
      </c>
      <c r="AJ24" s="645">
        <f>AI24-AH24</f>
        <v>0.4103669200000013</v>
      </c>
      <c r="AK24" s="646">
        <f>IFERROR(AJ24/AI24,"-")</f>
        <v>0.034776857627118754</v>
      </c>
      <c r="AL24" s="48" t="inlineStr">
        <is>
          <t>G</t>
        </is>
      </c>
    </row>
    <row r="25" ht="24" customFormat="1" customHeight="1" s="31">
      <c r="A25" s="31" t="inlineStr">
        <is>
          <t>Energy Solutions</t>
        </is>
      </c>
      <c r="B25" s="78" t="inlineStr">
        <is>
          <t>Energy Solutions</t>
        </is>
      </c>
      <c r="C25" s="45" t="inlineStr">
        <is>
          <t>Roanne Steele</t>
        </is>
      </c>
      <c r="D25" s="645">
        <f>I25+AC25+AH25+X25</f>
        <v>7.830666008273999</v>
      </c>
      <c r="E25" s="645">
        <f>J25+AD25+AI25+Y25</f>
        <v>8.00952437</v>
      </c>
      <c r="F25" s="645">
        <f>E25-D25</f>
        <v>0.17885836172600023</v>
      </c>
      <c r="G25" s="646">
        <f>IFERROR(F25/E25,"-")</f>
        <v>0.022330709473326722</v>
      </c>
      <c r="H25" s="38" t="inlineStr">
        <is>
          <t>G</t>
        </is>
      </c>
      <c r="I25" s="645" t="n">
        <v>5.04409835</v>
      </c>
      <c r="J25" s="645" t="n">
        <v>5.01193945</v>
      </c>
      <c r="K25" s="645">
        <f>J25-I25</f>
        <v>-0.03215889999999977</v>
      </c>
      <c r="L25" s="646">
        <f>IFERROR(K25/J25,"-")</f>
        <v>-0.006416458203620111</v>
      </c>
      <c r="M25" s="39" t="inlineStr">
        <is>
          <t>A</t>
        </is>
      </c>
      <c r="N25" s="642">
        <f>I25-S25</f>
        <v>4.536215629999999</v>
      </c>
      <c r="O25" s="642">
        <f>J25-T25</f>
        <v>4.04193945</v>
      </c>
      <c r="P25" s="645">
        <f>O25-N25</f>
        <v>-0.49427617999999907</v>
      </c>
      <c r="Q25" s="646">
        <f>IFERROR(P25/O25,"-")</f>
        <v>-0.12228688383741104</v>
      </c>
      <c r="R25" s="50" t="inlineStr">
        <is>
          <t>R</t>
        </is>
      </c>
      <c r="S25" s="645" t="n">
        <v>0.50788272</v>
      </c>
      <c r="T25" s="645" t="n">
        <v>0.97</v>
      </c>
      <c r="U25" s="645">
        <f>T25-S25</f>
        <v>0.46211727999999996</v>
      </c>
      <c r="V25" s="646">
        <f>IFERROR(U25/T25,"-")</f>
        <v>0.47640956701030923</v>
      </c>
      <c r="W25" s="38" t="inlineStr">
        <is>
          <t>G</t>
        </is>
      </c>
      <c r="X25" s="645" t="n"/>
      <c r="Y25" s="645" t="n"/>
      <c r="Z25" s="645">
        <f>Y25-X25</f>
        <v>0.0</v>
      </c>
      <c r="AA25" s="646" t="str">
        <f>IFERROR(Z25/Y25,"-")</f>
        <v>-</v>
      </c>
      <c r="AB25" s="47" t="n"/>
      <c r="AC25" s="645" t="n"/>
      <c r="AD25" s="645" t="n"/>
      <c r="AE25" s="645">
        <f>AD25-AC25</f>
        <v>0.0</v>
      </c>
      <c r="AF25" s="646" t="str">
        <f>IFERROR(AE25/AD25,"-")</f>
        <v>-</v>
      </c>
      <c r="AG25" s="47" t="n"/>
      <c r="AH25" s="645" t="n">
        <v>2.786567658274</v>
      </c>
      <c r="AI25" s="645" t="n">
        <v>2.99758492</v>
      </c>
      <c r="AJ25" s="645">
        <f>AI25-AH25</f>
        <v>0.211017261726</v>
      </c>
      <c r="AK25" s="646">
        <f>IFERROR(AJ25/AI25,"-")</f>
        <v>0.07039575770417206</v>
      </c>
      <c r="AL25" s="48" t="inlineStr">
        <is>
          <t>G</t>
        </is>
      </c>
    </row>
    <row r="26" ht="24" customFormat="1" customHeight="1" s="31">
      <c r="A26" s="31" t="inlineStr">
        <is>
          <t>Infrastructure</t>
        </is>
      </c>
      <c r="B26" s="78" t="inlineStr">
        <is>
          <t>Infrastructure</t>
        </is>
      </c>
      <c r="C26" s="45" t="inlineStr">
        <is>
          <t>Roanne Steele</t>
        </is>
      </c>
      <c r="D26" s="645">
        <f>I26+AC26+AH26+X26</f>
        <v>8.41854714</v>
      </c>
      <c r="E26" s="645">
        <f>J26+AD26+AI26+Y26</f>
        <v>9.24937596</v>
      </c>
      <c r="F26" s="645">
        <f>E26-D26</f>
        <v>0.8308288200000007</v>
      </c>
      <c r="G26" s="646">
        <f>IFERROR(F26/E26,"-")</f>
        <v>0.08982539185270622</v>
      </c>
      <c r="H26" s="38" t="inlineStr">
        <is>
          <t>G</t>
        </is>
      </c>
      <c r="I26" s="645" t="n">
        <v>4.27497864</v>
      </c>
      <c r="J26" s="645" t="n">
        <v>4.357958</v>
      </c>
      <c r="K26" s="645">
        <f>J26-I26</f>
        <v>0.08297936000000039</v>
      </c>
      <c r="L26" s="646">
        <f>IFERROR(K26/J26,"-")</f>
        <v>0.01904088107319997</v>
      </c>
      <c r="M26" s="38" t="inlineStr">
        <is>
          <t>G</t>
        </is>
      </c>
      <c r="N26" s="642">
        <f>I26-S26</f>
        <v>3.30102534</v>
      </c>
      <c r="O26" s="642">
        <f>J26-T26</f>
        <v>3.594596</v>
      </c>
      <c r="P26" s="645">
        <f>O26-N26</f>
        <v>0.2935706600000003</v>
      </c>
      <c r="Q26" s="646">
        <f>IFERROR(P26/O26,"-")</f>
        <v>0.08167000130195447</v>
      </c>
      <c r="R26" s="38" t="inlineStr">
        <is>
          <t>G</t>
        </is>
      </c>
      <c r="S26" s="645" t="n">
        <v>0.9739533</v>
      </c>
      <c r="T26" s="645" t="n">
        <v>0.763362</v>
      </c>
      <c r="U26" s="645">
        <f>T26-S26</f>
        <v>-0.21059130000000004</v>
      </c>
      <c r="V26" s="646">
        <f>IFERROR(U26/T26,"-")</f>
        <v>-0.27587343881408827</v>
      </c>
      <c r="W26" s="50" t="inlineStr">
        <is>
          <t>R</t>
        </is>
      </c>
      <c r="X26" s="645" t="n"/>
      <c r="Y26" s="645" t="n"/>
      <c r="Z26" s="645">
        <f>Y26-X26</f>
        <v>0.0</v>
      </c>
      <c r="AA26" s="646" t="str">
        <f>IFERROR(Z26/Y26,"-")</f>
        <v>-</v>
      </c>
      <c r="AB26" s="47" t="n"/>
      <c r="AC26" s="645" t="n"/>
      <c r="AD26" s="645" t="n"/>
      <c r="AE26" s="645">
        <f>AD26-AC26</f>
        <v>0.0</v>
      </c>
      <c r="AF26" s="646" t="str">
        <f>IFERROR(AE26/AD26,"-")</f>
        <v>-</v>
      </c>
      <c r="AG26" s="47" t="n"/>
      <c r="AH26" s="645" t="n">
        <v>4.1435685</v>
      </c>
      <c r="AI26" s="645" t="n">
        <v>4.89141796</v>
      </c>
      <c r="AJ26" s="645">
        <f>AI26-AH26</f>
        <v>0.7478494600000003</v>
      </c>
      <c r="AK26" s="646">
        <f>IFERROR(AJ26/AI26,"-")</f>
        <v>0.15289011614129175</v>
      </c>
      <c r="AL26" s="48" t="inlineStr">
        <is>
          <t>G</t>
        </is>
      </c>
    </row>
    <row r="27" ht="24" customFormat="1" customHeight="1" s="31">
      <c r="A27" s="31" t="inlineStr">
        <is>
          <t>Finance &amp; Other Corp</t>
        </is>
      </c>
      <c r="B27" s="78" t="inlineStr">
        <is>
          <t>Finance &amp; Other Corp</t>
        </is>
      </c>
      <c r="C27" s="45" t="inlineStr">
        <is>
          <t>Emily Mogic</t>
        </is>
      </c>
      <c r="D27" s="645">
        <f>I27+AC27+AH27+X27</f>
        <v>5.27211191</v>
      </c>
      <c r="E27" s="645">
        <f>J27+AD27+AI27+Y27</f>
        <v>3.88077368</v>
      </c>
      <c r="F27" s="645">
        <f>E27-D27</f>
        <v>-1.3913382299999997</v>
      </c>
      <c r="G27" s="646">
        <f>IFERROR(F27/E27,"-")</f>
        <v>-0.3585208375253668</v>
      </c>
      <c r="H27" s="50" t="inlineStr">
        <is>
          <t>R</t>
        </is>
      </c>
      <c r="I27" s="645" t="n">
        <v>5.27211191</v>
      </c>
      <c r="J27" s="645" t="n">
        <v>3.88077368</v>
      </c>
      <c r="K27" s="645">
        <f>J27-I27</f>
        <v>-1.3913382299999997</v>
      </c>
      <c r="L27" s="646">
        <f>IFERROR(K27/J27,"-")</f>
        <v>-0.3585208375253668</v>
      </c>
      <c r="M27" s="50" t="inlineStr">
        <is>
          <t>R</t>
        </is>
      </c>
      <c r="N27" s="642">
        <f>I27-S27</f>
        <v>4.358895639999999</v>
      </c>
      <c r="O27" s="642">
        <f>J27-T27</f>
        <v>2.94528707</v>
      </c>
      <c r="P27" s="645">
        <f>O27-N27</f>
        <v>-1.4136085699999992</v>
      </c>
      <c r="Q27" s="646">
        <f>IFERROR(P27/O27,"-")</f>
        <v>-0.4799561252954535</v>
      </c>
      <c r="R27" s="50" t="inlineStr">
        <is>
          <t>R</t>
        </is>
      </c>
      <c r="S27" s="645" t="n">
        <v>0.9132162700000001</v>
      </c>
      <c r="T27" s="645" t="n">
        <v>0.93548661</v>
      </c>
      <c r="U27" s="645">
        <f>T27-S27</f>
        <v>0.022270339999999944</v>
      </c>
      <c r="V27" s="646">
        <f>IFERROR(U27/T27,"-")</f>
        <v>0.0238061558144589</v>
      </c>
      <c r="W27" s="38" t="inlineStr">
        <is>
          <t>G</t>
        </is>
      </c>
      <c r="X27" s="645" t="n"/>
      <c r="Y27" s="645" t="n"/>
      <c r="Z27" s="645">
        <f>Y27-X27</f>
        <v>0.0</v>
      </c>
      <c r="AA27" s="646" t="str">
        <f>IFERROR(Z27/Y27,"-")</f>
        <v>-</v>
      </c>
      <c r="AB27" s="47" t="n"/>
      <c r="AC27" s="645" t="n"/>
      <c r="AD27" s="645" t="n"/>
      <c r="AE27" s="645">
        <f>AD27-AC27</f>
        <v>0.0</v>
      </c>
      <c r="AF27" s="646" t="str">
        <f>IFERROR(AE27/AD27,"-")</f>
        <v>-</v>
      </c>
      <c r="AG27" s="47" t="n"/>
      <c r="AH27" s="645" t="n">
        <v>0</v>
      </c>
      <c r="AI27" s="645" t="n">
        <v>0</v>
      </c>
      <c r="AJ27" s="645">
        <f>AI27-AH27</f>
        <v>0.0</v>
      </c>
      <c r="AK27" s="646" t="str">
        <f>IFERROR(AJ27/AI27,"-")</f>
        <v>-</v>
      </c>
      <c r="AL27" s="48" t="inlineStr">
        <is>
          <t>G</t>
        </is>
      </c>
    </row>
    <row r="28" ht="24" customFormat="1" customHeight="1" s="31">
      <c r="A28" s="31" t="inlineStr">
        <is>
          <t>People &amp; Culture</t>
        </is>
      </c>
      <c r="B28" s="78" t="inlineStr">
        <is>
          <t>P&amp;C</t>
        </is>
      </c>
      <c r="C28" s="45" t="inlineStr">
        <is>
          <t>Emily Mogic</t>
        </is>
      </c>
      <c r="D28" s="645">
        <f>I28+AC28+AH28+X28</f>
        <v>5.4932256</v>
      </c>
      <c r="E28" s="645">
        <f>J28+AD28+AI28+Y28</f>
        <v>5.81303803</v>
      </c>
      <c r="F28" s="645">
        <f>E28-D28</f>
        <v>0.3198124300000007</v>
      </c>
      <c r="G28" s="646">
        <f>IFERROR(F28/E28,"-")</f>
        <v>0.055016400778647695</v>
      </c>
      <c r="H28" s="38" t="inlineStr">
        <is>
          <t>G</t>
        </is>
      </c>
      <c r="I28" s="645" t="n">
        <v>3.85168615</v>
      </c>
      <c r="J28" s="645" t="n">
        <v>4.12303803</v>
      </c>
      <c r="K28" s="645">
        <f>J28-I28</f>
        <v>0.2713518800000001</v>
      </c>
      <c r="L28" s="646">
        <f>IFERROR(K28/J28,"-")</f>
        <v>0.06581357679109259</v>
      </c>
      <c r="M28" s="38" t="inlineStr">
        <is>
          <t>G</t>
        </is>
      </c>
      <c r="N28" s="642">
        <f>I28-S28</f>
        <v>1.91213530398386</v>
      </c>
      <c r="O28" s="642">
        <f>J28-T28</f>
        <v>2.14803803</v>
      </c>
      <c r="P28" s="645">
        <f>O28-N28</f>
        <v>0.23590272601613993</v>
      </c>
      <c r="Q28" s="646">
        <f>IFERROR(P28/O28,"-")</f>
        <v>0.10982241595421843</v>
      </c>
      <c r="R28" s="38" t="inlineStr">
        <is>
          <t>G</t>
        </is>
      </c>
      <c r="S28" s="645" t="n">
        <v>1.93955084601614</v>
      </c>
      <c r="T28" s="645" t="n">
        <v>1.975</v>
      </c>
      <c r="U28" s="645">
        <f>T28-S28</f>
        <v>0.03544915398386017</v>
      </c>
      <c r="V28" s="646">
        <f>IFERROR(U28/T28,"-")</f>
        <v>0.01794893872600515</v>
      </c>
      <c r="W28" s="38" t="inlineStr">
        <is>
          <t>G</t>
        </is>
      </c>
      <c r="X28" s="645" t="n"/>
      <c r="Y28" s="645" t="n"/>
      <c r="Z28" s="645">
        <f>Y28-X28</f>
        <v>0.0</v>
      </c>
      <c r="AA28" s="646" t="str">
        <f>IFERROR(Z28/Y28,"-")</f>
        <v>-</v>
      </c>
      <c r="AB28" s="47" t="n"/>
      <c r="AC28" s="645" t="n">
        <v>1.31153945</v>
      </c>
      <c r="AD28" s="645" t="n">
        <v>1.36</v>
      </c>
      <c r="AE28" s="645">
        <f>AD28-AC28</f>
        <v>0.04846055000000016</v>
      </c>
      <c r="AF28" s="646">
        <f>IFERROR(AE28/AD28,"-")</f>
        <v>0.03563275735294129</v>
      </c>
      <c r="AG28" s="38" t="inlineStr">
        <is>
          <t>G</t>
        </is>
      </c>
      <c r="AH28" s="645" t="n">
        <v>0.33</v>
      </c>
      <c r="AI28" s="645" t="n">
        <v>0.33</v>
      </c>
      <c r="AJ28" s="645">
        <f>AI28-AH28</f>
        <v>0.0</v>
      </c>
      <c r="AK28" s="646">
        <f>IFERROR(AJ28/AI28,"-")</f>
        <v>0.0</v>
      </c>
      <c r="AL28" s="48" t="inlineStr">
        <is>
          <t>G</t>
        </is>
      </c>
    </row>
    <row r="29" ht="24" customFormat="1" customHeight="1" s="31">
      <c r="A29" s="31" t="inlineStr">
        <is>
          <t>Customer</t>
        </is>
      </c>
      <c r="B29" s="79" t="inlineStr">
        <is>
          <t>Customer</t>
        </is>
      </c>
      <c r="C29" s="54" t="inlineStr">
        <is>
          <t>Harley Giles</t>
        </is>
      </c>
      <c r="D29" s="648">
        <f>I29+AC29+AH29+X29</f>
        <v>10.98378269</v>
      </c>
      <c r="E29" s="648">
        <f>J29+AD29+AI29+Y29</f>
        <v>11.69153287</v>
      </c>
      <c r="F29" s="648">
        <f>E29-D29</f>
        <v>0.7077501799999997</v>
      </c>
      <c r="G29" s="649">
        <f>IFERROR(F29/E29,"-")</f>
        <v>0.060535276928148404</v>
      </c>
      <c r="H29" s="58" t="inlineStr">
        <is>
          <t>G</t>
        </is>
      </c>
      <c r="I29" s="648" t="n">
        <v>2.74505002</v>
      </c>
      <c r="J29" s="648" t="n">
        <v>1.69153283</v>
      </c>
      <c r="K29" s="648">
        <f>J29-I29</f>
        <v>-1.0535171899999998</v>
      </c>
      <c r="L29" s="649">
        <f>IFERROR(K29/J29,"-")</f>
        <v>-0.6228180566853081</v>
      </c>
      <c r="M29" s="80" t="inlineStr">
        <is>
          <t>R</t>
        </is>
      </c>
      <c r="N29" s="650">
        <f>I29-S29</f>
        <v>2.74505002</v>
      </c>
      <c r="O29" s="650">
        <f>J29-T29</f>
        <v>1.69153283</v>
      </c>
      <c r="P29" s="648">
        <f>O29-N29</f>
        <v>-1.0535171899999998</v>
      </c>
      <c r="Q29" s="649">
        <f>IFERROR(P29/O29,"-")</f>
        <v>-0.6228180566853081</v>
      </c>
      <c r="R29" s="80" t="inlineStr">
        <is>
          <t>R</t>
        </is>
      </c>
      <c r="S29" s="648" t="n">
        <v>0</v>
      </c>
      <c r="T29" s="648" t="n">
        <v>0</v>
      </c>
      <c r="U29" s="648">
        <f>T29-S29</f>
        <v>0.0</v>
      </c>
      <c r="V29" s="649" t="str">
        <f>IFERROR(U29/T29,"-")</f>
        <v>-</v>
      </c>
      <c r="W29" s="60" t="n"/>
      <c r="X29" s="648" t="n"/>
      <c r="Y29" s="648" t="n"/>
      <c r="Z29" s="648">
        <f>Y29-X29</f>
        <v>0.0</v>
      </c>
      <c r="AA29" s="649" t="str">
        <f>IFERROR(Z29/Y29,"-")</f>
        <v>-</v>
      </c>
      <c r="AB29" s="60" t="n"/>
      <c r="AC29" s="648" t="n">
        <v>3.83238698</v>
      </c>
      <c r="AD29" s="648" t="n">
        <v>5.00000004</v>
      </c>
      <c r="AE29" s="648">
        <f>AD29-AC29</f>
        <v>1.1676130599999999</v>
      </c>
      <c r="AF29" s="649">
        <f>IFERROR(AE29/AD29,"-")</f>
        <v>0.2335226101318191</v>
      </c>
      <c r="AG29" s="81" t="inlineStr">
        <is>
          <t>G</t>
        </is>
      </c>
      <c r="AH29" s="648" t="n">
        <v>4.40634569</v>
      </c>
      <c r="AI29" s="648" t="n">
        <v>5</v>
      </c>
      <c r="AJ29" s="648">
        <f>AI29-AH29</f>
        <v>0.5936543099999998</v>
      </c>
      <c r="AK29" s="649">
        <f>IFERROR(AJ29/AI29,"-")</f>
        <v>0.11873086199999996</v>
      </c>
      <c r="AL29" s="61" t="inlineStr">
        <is>
          <t>G</t>
        </is>
      </c>
    </row>
    <row r="30" ht="26.25" customFormat="1" customHeight="1" s="62">
      <c r="B30" s="63" t="inlineStr">
        <is>
          <t>Total Technology</t>
        </is>
      </c>
      <c r="C30" s="63" t="n"/>
      <c r="D30" s="654">
        <f>SUM(D21:D29)</f>
        <v>297.0932185386442</v>
      </c>
      <c r="E30" s="652">
        <f>SUM(E21:E29)</f>
        <v>302.5223496823127</v>
      </c>
      <c r="F30" s="652">
        <f>SUM(F21:F29)</f>
        <v>5.429131143668527</v>
      </c>
      <c r="G30" s="655">
        <f>F30/E30</f>
        <v>0.017946215046160428</v>
      </c>
      <c r="H30" s="67" t="inlineStr">
        <is>
          <t>G</t>
        </is>
      </c>
      <c r="I30" s="654">
        <f>SUM(I21:I29)</f>
        <v>190.0477788999394</v>
      </c>
      <c r="J30" s="652">
        <f>SUM(J21:J29)</f>
        <v>189.3847616130256</v>
      </c>
      <c r="K30" s="652">
        <f>SUM(K21:K29)</f>
        <v>-0.6630172869138053</v>
      </c>
      <c r="L30" s="653">
        <f>K30/J30</f>
        <v>-0.0035009009239537676</v>
      </c>
      <c r="M30" s="69" t="inlineStr">
        <is>
          <t>A</t>
        </is>
      </c>
      <c r="N30" s="654">
        <f>SUM(N21:N29)</f>
        <v>176.23229080029688</v>
      </c>
      <c r="O30" s="652">
        <f>SUM(O21:O29)</f>
        <v>173.1229520799487</v>
      </c>
      <c r="P30" s="652">
        <f>SUM(P21:P29)</f>
        <v>-3.1093387203482132</v>
      </c>
      <c r="Q30" s="653">
        <f>P30/O30</f>
        <v>-0.01796029170593343</v>
      </c>
      <c r="R30" s="69" t="inlineStr">
        <is>
          <t>A</t>
        </is>
      </c>
      <c r="S30" s="654">
        <f>SUM(S21:S29)</f>
        <v>13.81548809964252</v>
      </c>
      <c r="T30" s="652">
        <f>SUM(T21:T29)</f>
        <v>16.26180953307692</v>
      </c>
      <c r="U30" s="652">
        <f>SUM(U21:U29)</f>
        <v>2.4463214334343997</v>
      </c>
      <c r="V30" s="653">
        <f>U30/T30</f>
        <v>0.15043353130280623</v>
      </c>
      <c r="W30" s="67" t="inlineStr">
        <is>
          <t>G</t>
        </is>
      </c>
      <c r="X30" s="654">
        <f>SUM(X21:X29)</f>
        <v>15.8480092516</v>
      </c>
      <c r="Y30" s="652">
        <f>SUM(Y21:Y29)</f>
        <v>17.1065704692871</v>
      </c>
      <c r="Z30" s="652">
        <f>SUM(Z21:Z29)</f>
        <v>1.2585612176871006</v>
      </c>
      <c r="AA30" s="653">
        <f>Z30/Y30</f>
        <v>0.07357180212987191</v>
      </c>
      <c r="AB30" s="67" t="inlineStr">
        <is>
          <t>G</t>
        </is>
      </c>
      <c r="AC30" s="654">
        <f>SUM(AC21:AC29)</f>
        <v>48.10701505</v>
      </c>
      <c r="AD30" s="652">
        <f>SUM(AD21:AD29)</f>
        <v>47.62080804</v>
      </c>
      <c r="AE30" s="652">
        <f>SUM(AE21:AE29)</f>
        <v>-0.4862070099999989</v>
      </c>
      <c r="AF30" s="653">
        <f>AE30/AD30</f>
        <v>-0.010209969759261542</v>
      </c>
      <c r="AG30" s="69" t="inlineStr">
        <is>
          <t>A</t>
        </is>
      </c>
      <c r="AH30" s="654">
        <f>SUM(AH21:AH29)</f>
        <v>43.09041533710477</v>
      </c>
      <c r="AI30" s="652">
        <f>SUM(AI21:AI29)</f>
        <v>48.41020956</v>
      </c>
      <c r="AJ30" s="652">
        <f>SUM(AJ21:AJ29)</f>
        <v>5.319794222895232</v>
      </c>
      <c r="AK30" s="653">
        <f>AJ30/AI30</f>
        <v>0.10988992345306493</v>
      </c>
      <c r="AL30" s="70" t="inlineStr">
        <is>
          <t>G</t>
        </is>
      </c>
    </row>
    <row r="31" ht="15.75" customHeight="1" s="506">
      <c r="I31" s="656">
        <f>I30/$D30</f>
        <v>0.6396907335507528</v>
      </c>
      <c r="J31" s="73" t="n"/>
      <c r="K31" s="73" t="n"/>
      <c r="L31" s="73" t="n"/>
      <c r="M31" s="73" t="n"/>
      <c r="N31" s="656">
        <f>N30/$D30</f>
        <v>0.5931885341144991</v>
      </c>
      <c r="O31" s="73" t="n"/>
      <c r="P31" s="73" t="n"/>
      <c r="Q31" s="73" t="n"/>
      <c r="R31" s="73" t="n"/>
      <c r="S31" s="656">
        <f>S30/$D30</f>
        <v>0.046502199436253645</v>
      </c>
      <c r="T31" s="73" t="n"/>
      <c r="U31" s="73" t="n"/>
      <c r="V31" s="73" t="n"/>
      <c r="W31" s="73" t="n"/>
      <c r="X31" s="656">
        <f>X30/$D30</f>
        <v>0.05334355772088612</v>
      </c>
      <c r="AC31" s="656">
        <f>AC30/$D30</f>
        <v>0.1619256585075587</v>
      </c>
      <c r="AD31" s="73" t="n"/>
      <c r="AE31" s="73" t="n"/>
      <c r="AF31" s="73" t="n"/>
      <c r="AG31" s="73" t="n"/>
      <c r="AH31" s="656">
        <f>AH30/$D30</f>
        <v>0.14504005022080238</v>
      </c>
      <c r="AI31" s="73" t="n"/>
      <c r="AJ31" s="73" t="n"/>
      <c r="AK31" s="73" t="n"/>
      <c r="AL31" s="73" t="n"/>
    </row>
    <row r="32">
      <c r="AO32" s="658">
        <f>E30-297</f>
        <v>5.522349682312722</v>
      </c>
    </row>
    <row r="33"/>
    <row r="34"/>
    <row r="35" ht="38.25" customHeight="1" s="506">
      <c r="B35" s="83" t="n"/>
      <c r="C35" s="83" t="n"/>
      <c r="D35" s="516" t="str">
        <f>D3</f>
        <v>TOTAL 
YTD (Jun-2026)</v>
      </c>
      <c r="E35" s="517" t="n"/>
      <c r="F35" s="517" t="n"/>
      <c r="G35" s="517" t="n"/>
      <c r="H35" s="518" t="n"/>
      <c r="I35" s="529" t="inlineStr">
        <is>
          <t>TOTAL TECHNOLOGY
Full Year 2026</t>
        </is>
      </c>
      <c r="J35" s="517" t="n"/>
      <c r="K35" s="517" t="n"/>
      <c r="L35" s="517" t="n"/>
      <c r="M35" s="518" t="n"/>
    </row>
    <row r="36" ht="13.5" customHeight="1" s="506">
      <c r="B36" s="84" t="inlineStr">
        <is>
          <t>Spend Type</t>
        </is>
      </c>
      <c r="C36" s="85" t="n"/>
      <c r="D36" s="659" t="inlineStr">
        <is>
          <t>A</t>
        </is>
      </c>
      <c r="E36" s="660" t="inlineStr">
        <is>
          <t>B</t>
        </is>
      </c>
      <c r="F36" s="660" t="inlineStr">
        <is>
          <t>V</t>
        </is>
      </c>
      <c r="G36" s="26" t="inlineStr">
        <is>
          <t>V %</t>
        </is>
      </c>
      <c r="H36" s="30" t="inlineStr">
        <is>
          <t>Trend</t>
        </is>
      </c>
      <c r="I36" s="659" t="inlineStr">
        <is>
          <t>F</t>
        </is>
      </c>
      <c r="J36" s="660" t="inlineStr">
        <is>
          <t>B</t>
        </is>
      </c>
      <c r="K36" s="660" t="inlineStr">
        <is>
          <t>V</t>
        </is>
      </c>
      <c r="L36" s="26" t="inlineStr">
        <is>
          <t>V %</t>
        </is>
      </c>
      <c r="M36" s="30" t="inlineStr">
        <is>
          <t>Trend</t>
        </is>
      </c>
    </row>
    <row r="37" ht="19.5" customHeight="1" s="506">
      <c r="B37" s="88" t="inlineStr">
        <is>
          <t>Lights on</t>
        </is>
      </c>
      <c r="C37" s="88" t="n"/>
      <c r="D37" s="644">
        <f>N14</f>
        <v>86.66006910547694</v>
      </c>
      <c r="E37" s="644">
        <f>O14</f>
        <v>85.12556412088558</v>
      </c>
      <c r="F37" s="645">
        <f>E37-D37</f>
        <v>-1.5345049845913508</v>
      </c>
      <c r="G37" s="646">
        <f>IFERROR(F37/E37,"-")</f>
        <v>-0.018026370813968674</v>
      </c>
      <c r="H37" s="89" t="inlineStr">
        <is>
          <t>A</t>
        </is>
      </c>
      <c r="I37" s="644">
        <f>N30</f>
        <v>176.23229080029688</v>
      </c>
      <c r="J37" s="644">
        <f>O30</f>
        <v>173.1229520799487</v>
      </c>
      <c r="K37" s="645">
        <f>J37-I37</f>
        <v>-3.109338720348177</v>
      </c>
      <c r="L37" s="646">
        <f>IFERROR(K37/J37,"-")</f>
        <v>-0.017960291705933218</v>
      </c>
      <c r="M37" s="89" t="inlineStr">
        <is>
          <t>A</t>
        </is>
      </c>
    </row>
    <row r="38" ht="19.5" customHeight="1" s="506">
      <c r="B38" s="90" t="inlineStr">
        <is>
          <t>Depreciation</t>
        </is>
      </c>
      <c r="C38" s="90" t="n"/>
      <c r="D38" s="647">
        <f>X14</f>
        <v>7.620976354</v>
      </c>
      <c r="E38" s="648">
        <f>Y14</f>
        <v>8.077584165179179</v>
      </c>
      <c r="F38" s="648">
        <f>E38-D38</f>
        <v>0.4566078111791789</v>
      </c>
      <c r="G38" s="649">
        <f>IFERROR(F38/E38,"-")</f>
        <v>0.05652776892719017</v>
      </c>
      <c r="H38" s="61" t="inlineStr">
        <is>
          <t>G</t>
        </is>
      </c>
      <c r="I38" s="647">
        <f>X30</f>
        <v>15.8480092516</v>
      </c>
      <c r="J38" s="648">
        <f>Y30</f>
        <v>17.1065704692871</v>
      </c>
      <c r="K38" s="648">
        <f>J38-I38</f>
        <v>1.2585612176870988</v>
      </c>
      <c r="L38" s="649">
        <f>IFERROR(K38/J38,"-")</f>
        <v>0.07357180212987181</v>
      </c>
      <c r="M38" s="61" t="inlineStr">
        <is>
          <t>G</t>
        </is>
      </c>
    </row>
    <row r="39" ht="19.5" customHeight="1" s="506">
      <c r="B39" s="91" t="inlineStr">
        <is>
          <t>Lights on + Depreciation</t>
        </is>
      </c>
      <c r="C39" s="91" t="n"/>
      <c r="D39" s="661">
        <f>SUM(D37:D38)</f>
        <v>94.28104545947693</v>
      </c>
      <c r="E39" s="662">
        <f>SUM(E37:E38)</f>
        <v>93.20314828606476</v>
      </c>
      <c r="F39" s="662">
        <f>SUM(F37:F38)</f>
        <v>-1.0778971734121718</v>
      </c>
      <c r="G39" s="663">
        <f>IFERROR(F39/E39,"-")</f>
        <v>-0.01156502965011251</v>
      </c>
      <c r="H39" s="95" t="inlineStr">
        <is>
          <t>A</t>
        </is>
      </c>
      <c r="I39" s="661">
        <f>SUM(I37:I38)</f>
        <v>192.08030005189687</v>
      </c>
      <c r="J39" s="662">
        <f>SUM(J37:J38)</f>
        <v>190.2295225492358</v>
      </c>
      <c r="K39" s="662">
        <f>SUM(K37:K38)</f>
        <v>-1.850777502661078</v>
      </c>
      <c r="L39" s="663">
        <f>IFERROR(K39/J39,"-")</f>
        <v>-0.009729181243053659</v>
      </c>
      <c r="M39" s="95" t="inlineStr">
        <is>
          <t>A</t>
        </is>
      </c>
    </row>
    <row r="40" ht="19.5" customHeight="1" s="506">
      <c r="B40" s="88" t="inlineStr">
        <is>
          <t>Opex Initiatives</t>
        </is>
      </c>
      <c r="C40" s="88" t="n"/>
      <c r="D40" s="641">
        <f>S14</f>
        <v>5.61932600692308</v>
      </c>
      <c r="E40" s="642">
        <f>T14</f>
        <v>8.13090476653846</v>
      </c>
      <c r="F40" s="642">
        <f>E40-D40</f>
        <v>2.5115787596153805</v>
      </c>
      <c r="G40" s="643">
        <f>IFERROR(F40/E40,"-")</f>
        <v>0.30889290081854265</v>
      </c>
      <c r="H40" s="40" t="inlineStr">
        <is>
          <t>G</t>
        </is>
      </c>
      <c r="I40" s="641">
        <f>S30</f>
        <v>13.81548809964252</v>
      </c>
      <c r="J40" s="642">
        <f>T30</f>
        <v>16.26180953307692</v>
      </c>
      <c r="K40" s="642">
        <f>J40-I40</f>
        <v>2.4463214334344006</v>
      </c>
      <c r="L40" s="643">
        <f>IFERROR(K40/J40,"-")</f>
        <v>0.1504335313028063</v>
      </c>
      <c r="M40" s="40" t="inlineStr">
        <is>
          <t>G</t>
        </is>
      </c>
    </row>
    <row r="41" ht="19.5" customHeight="1" s="506">
      <c r="B41" s="96" t="inlineStr">
        <is>
          <t>Capex</t>
        </is>
      </c>
      <c r="C41" s="88" t="n"/>
      <c r="D41" s="644">
        <f>AH14</f>
        <v>12.405728604274</v>
      </c>
      <c r="E41" s="645">
        <f>AI14</f>
        <v>23.57807069363636</v>
      </c>
      <c r="F41" s="645">
        <f>E41-D41</f>
        <v>11.17234208936236</v>
      </c>
      <c r="G41" s="646">
        <f>IFERROR(F41/E41,"-")</f>
        <v>0.4738446259887471</v>
      </c>
      <c r="H41" s="48" t="inlineStr">
        <is>
          <t>G</t>
        </is>
      </c>
      <c r="I41" s="644">
        <f>AH30</f>
        <v>43.09041533710477</v>
      </c>
      <c r="J41" s="645">
        <f>AI30</f>
        <v>48.41020956</v>
      </c>
      <c r="K41" s="645">
        <f>J41-I41</f>
        <v>5.319794222895226</v>
      </c>
      <c r="L41" s="646">
        <f>IFERROR(K41/J41,"-")</f>
        <v>0.10988992345306481</v>
      </c>
      <c r="M41" s="48" t="inlineStr">
        <is>
          <t>G</t>
        </is>
      </c>
    </row>
    <row r="42" ht="19.5" customHeight="1" s="506">
      <c r="B42" s="97" t="inlineStr">
        <is>
          <t>Significant Items</t>
        </is>
      </c>
      <c r="C42" s="90" t="n"/>
      <c r="D42" s="647">
        <f>AC14</f>
        <v>17.270476819696974</v>
      </c>
      <c r="E42" s="648">
        <f>AD14</f>
        <v>24.41420402</v>
      </c>
      <c r="F42" s="648">
        <f>E42-D42</f>
        <v>7.143727200303026</v>
      </c>
      <c r="G42" s="649">
        <f>IFERROR(F42/E42,"-")</f>
        <v>0.292605369990802</v>
      </c>
      <c r="H42" s="61" t="inlineStr">
        <is>
          <t>G</t>
        </is>
      </c>
      <c r="I42" s="647">
        <f>AC30</f>
        <v>48.10701505</v>
      </c>
      <c r="J42" s="648">
        <f>AD30</f>
        <v>47.62080804</v>
      </c>
      <c r="K42" s="648">
        <f>J42-I42</f>
        <v>-0.4862070100000011</v>
      </c>
      <c r="L42" s="649">
        <f>IFERROR(K42/J42,"-")</f>
        <v>-0.010209969759261589</v>
      </c>
      <c r="M42" s="43" t="inlineStr">
        <is>
          <t>A</t>
        </is>
      </c>
    </row>
    <row r="43" ht="19.5" customHeight="1" s="506">
      <c r="B43" s="91" t="inlineStr">
        <is>
          <t>Projects</t>
        </is>
      </c>
      <c r="C43" s="91" t="n"/>
      <c r="D43" s="661">
        <f>SUM(D40:D42)</f>
        <v>35.29553143089405</v>
      </c>
      <c r="E43" s="662">
        <f>SUM(E40:E42)</f>
        <v>56.12317948017482</v>
      </c>
      <c r="F43" s="662">
        <f>SUM(F40:F42)</f>
        <v>20.827648049280768</v>
      </c>
      <c r="G43" s="663">
        <f>IFERROR(F43/E43,"-")</f>
        <v>0.3711059894002978</v>
      </c>
      <c r="H43" s="98" t="inlineStr">
        <is>
          <t>G</t>
        </is>
      </c>
      <c r="I43" s="661">
        <f>SUM(I40:I42)</f>
        <v>105.0129184867473</v>
      </c>
      <c r="J43" s="662">
        <f>SUM(J40:J42)</f>
        <v>112.29282713307693</v>
      </c>
      <c r="K43" s="662">
        <f>SUM(K40:K42)</f>
        <v>7.279908646329625</v>
      </c>
      <c r="L43" s="663">
        <f>IFERROR(K43/J43,"-")</f>
        <v>0.06482968531642978</v>
      </c>
      <c r="M43" s="98" t="inlineStr">
        <is>
          <t>G</t>
        </is>
      </c>
    </row>
    <row r="44" ht="19.5" customHeight="1" s="506">
      <c r="B44" s="99" t="inlineStr">
        <is>
          <t>Total Technology</t>
        </is>
      </c>
      <c r="C44" s="99" t="n"/>
      <c r="D44" s="661">
        <f>SUM(D43,D39)</f>
        <v>129.57657689037097</v>
      </c>
      <c r="E44" s="662">
        <f>SUM(E43,E39)</f>
        <v>149.3263277662396</v>
      </c>
      <c r="F44" s="662">
        <f>SUM(F43,F39)</f>
        <v>19.749750875868596</v>
      </c>
      <c r="G44" s="663">
        <f>IFERROR(F44/E44,"-")</f>
        <v>0.1322590006149854</v>
      </c>
      <c r="H44" s="98" t="inlineStr">
        <is>
          <t>G</t>
        </is>
      </c>
      <c r="I44" s="661">
        <f>SUM(I43,I39)</f>
        <v>297.0932185386442</v>
      </c>
      <c r="J44" s="662">
        <f>SUM(J43,J39)</f>
        <v>302.5223496823127</v>
      </c>
      <c r="K44" s="662">
        <f>SUM(K43,K39)</f>
        <v>5.429131143668547</v>
      </c>
      <c r="L44" s="663">
        <f>IFERROR(K44/J44,"-")</f>
        <v>0.017946215046160494</v>
      </c>
      <c r="M44" s="98" t="inlineStr">
        <is>
          <t>G</t>
        </is>
      </c>
    </row>
    <row r="45"/>
    <row r="46"/>
    <row r="47" ht="38.25" customHeight="1" s="506">
      <c r="B47" s="520" t="inlineStr">
        <is>
          <t>SPEND CATEGORY</t>
        </is>
      </c>
      <c r="C47" s="100" t="n"/>
      <c r="D47" s="516" t="str">
        <f>D3</f>
        <v>TOTAL 
YTD (Jun-2026)</v>
      </c>
      <c r="E47" s="517" t="n"/>
      <c r="F47" s="517" t="n"/>
      <c r="G47" s="517" t="n"/>
      <c r="H47" s="518" t="n"/>
      <c r="I47" s="529" t="inlineStr">
        <is>
          <t>TOTAL TECHNOLOGY
YTD (May-2026)</t>
        </is>
      </c>
      <c r="J47" s="517" t="n"/>
      <c r="K47" s="517" t="n"/>
      <c r="L47" s="517" t="n"/>
      <c r="M47" s="518" t="n"/>
    </row>
    <row r="48" ht="22.5" customHeight="1" s="506">
      <c r="B48" s="521" t="n"/>
      <c r="C48" s="101" t="n"/>
      <c r="D48" s="659" t="inlineStr">
        <is>
          <t>A</t>
        </is>
      </c>
      <c r="E48" s="660" t="inlineStr">
        <is>
          <t>B</t>
        </is>
      </c>
      <c r="F48" s="660" t="inlineStr">
        <is>
          <t>V</t>
        </is>
      </c>
      <c r="G48" s="26" t="inlineStr">
        <is>
          <t>V %</t>
        </is>
      </c>
      <c r="H48" s="30" t="inlineStr">
        <is>
          <t>Trend</t>
        </is>
      </c>
      <c r="I48" s="659" t="inlineStr">
        <is>
          <t>A</t>
        </is>
      </c>
      <c r="J48" s="660" t="inlineStr">
        <is>
          <t>B</t>
        </is>
      </c>
      <c r="K48" s="660" t="inlineStr">
        <is>
          <t>V</t>
        </is>
      </c>
      <c r="L48" s="26" t="inlineStr">
        <is>
          <t>V %</t>
        </is>
      </c>
      <c r="M48" s="30" t="inlineStr">
        <is>
          <t>Trend</t>
        </is>
      </c>
    </row>
    <row r="49" ht="19.5" customHeight="1" s="506">
      <c r="B49" s="88" t="inlineStr">
        <is>
          <t>Opex</t>
        </is>
      </c>
      <c r="C49" s="88" t="n"/>
      <c r="D49" s="644">
        <f>I14+X14</f>
        <v>99.9003714664</v>
      </c>
      <c r="E49" s="644">
        <f>J14+Y14</f>
        <v>101.33405305260321</v>
      </c>
      <c r="F49" s="645">
        <f>E49-D49</f>
        <v>1.4336815862032068</v>
      </c>
      <c r="G49" s="646">
        <f>IFERROR(F49/E49,"-")</f>
        <v>0.014148073061470982</v>
      </c>
      <c r="H49" s="48" t="inlineStr">
        <is>
          <t>G</t>
        </is>
      </c>
      <c r="I49" s="644">
        <f>I30+X30</f>
        <v>205.8957881515394</v>
      </c>
      <c r="J49" s="644">
        <f>J30+Y30</f>
        <v>206.4913320823127</v>
      </c>
      <c r="K49" s="645">
        <f>J49-I49</f>
        <v>0.5955439307733172</v>
      </c>
      <c r="L49" s="646">
        <f>IFERROR(K49/J49,"-")</f>
        <v>0.0028841110412127047</v>
      </c>
      <c r="M49" s="48" t="inlineStr">
        <is>
          <t>G</t>
        </is>
      </c>
    </row>
    <row r="50" ht="19.5" customHeight="1" s="506">
      <c r="B50" s="90" t="inlineStr">
        <is>
          <t>Significant Items</t>
        </is>
      </c>
      <c r="C50" s="90" t="n"/>
      <c r="D50" s="644">
        <f>AC14</f>
        <v>17.270476819696974</v>
      </c>
      <c r="E50" s="644">
        <f>AD14</f>
        <v>24.41420402</v>
      </c>
      <c r="F50" s="645">
        <f>E50-D50</f>
        <v>7.143727200303026</v>
      </c>
      <c r="G50" s="646">
        <f>IFERROR(F50/E50,"-")</f>
        <v>0.292605369990802</v>
      </c>
      <c r="H50" s="48" t="inlineStr">
        <is>
          <t>G</t>
        </is>
      </c>
      <c r="I50" s="644">
        <f>AC30</f>
        <v>48.10701505</v>
      </c>
      <c r="J50" s="644">
        <f>AD30</f>
        <v>47.62080804</v>
      </c>
      <c r="K50" s="645">
        <f>J50-I50</f>
        <v>-0.4862070100000011</v>
      </c>
      <c r="L50" s="646">
        <f>IFERROR(K50/J50,"-")</f>
        <v>-0.010209969759261589</v>
      </c>
      <c r="M50" s="89" t="inlineStr">
        <is>
          <t>A</t>
        </is>
      </c>
    </row>
    <row r="51" ht="19.5" customHeight="1" s="506">
      <c r="B51" s="90" t="inlineStr">
        <is>
          <t>Capex</t>
        </is>
      </c>
      <c r="C51" s="90" t="n"/>
      <c r="D51" s="644">
        <f>AH14</f>
        <v>12.405728604274</v>
      </c>
      <c r="E51" s="644">
        <f>AI14</f>
        <v>23.57807069363636</v>
      </c>
      <c r="F51" s="645">
        <f>E51-D51</f>
        <v>11.17234208936236</v>
      </c>
      <c r="G51" s="646">
        <f>IFERROR(F51/E51,"-")</f>
        <v>0.4738446259887471</v>
      </c>
      <c r="H51" s="48" t="inlineStr">
        <is>
          <t>G</t>
        </is>
      </c>
      <c r="I51" s="644">
        <f>AH30</f>
        <v>43.09041533710477</v>
      </c>
      <c r="J51" s="644">
        <f>AI30</f>
        <v>48.41020956</v>
      </c>
      <c r="K51" s="645">
        <f>J51-I51</f>
        <v>5.319794222895226</v>
      </c>
      <c r="L51" s="646">
        <f>IFERROR(K51/J51,"-")</f>
        <v>0.10988992345306481</v>
      </c>
      <c r="M51" s="48" t="inlineStr">
        <is>
          <t>G</t>
        </is>
      </c>
    </row>
    <row r="52" ht="19.5" customHeight="1" s="506">
      <c r="B52" s="99" t="inlineStr">
        <is>
          <t>Total Technology</t>
        </is>
      </c>
      <c r="C52" s="99" t="n"/>
      <c r="D52" s="661">
        <f>SUM(D49:D51)</f>
        <v>129.57657689037097</v>
      </c>
      <c r="E52" s="661">
        <f>SUM(E49:E51)</f>
        <v>149.32632776623956</v>
      </c>
      <c r="F52" s="661">
        <f>SUM(F49:F51)</f>
        <v>19.749750875868592</v>
      </c>
      <c r="G52" s="663">
        <f>IFERROR(F52/E52,"-")</f>
        <v>0.1322590006149854</v>
      </c>
      <c r="H52" s="98" t="inlineStr">
        <is>
          <t>G</t>
        </is>
      </c>
      <c r="I52" s="661">
        <f>SUM(I49:I51)</f>
        <v>297.0932185386442</v>
      </c>
      <c r="J52" s="661">
        <f>SUM(J49:J51)</f>
        <v>302.5223496823127</v>
      </c>
      <c r="K52" s="661">
        <f>SUM(K49:K51)</f>
        <v>5.429131143668542</v>
      </c>
      <c r="L52" s="663">
        <f>IFERROR(K52/J52,"-")</f>
        <v>0.017946215046160476</v>
      </c>
      <c r="M52" s="98" t="inlineStr">
        <is>
          <t>G</t>
        </is>
      </c>
    </row>
  </sheetData>
  <mergeCells count="24">
    <mergeCell ref="D35:H35"/>
    <mergeCell ref="AN3:AR3"/>
    <mergeCell ref="B47:B48"/>
    <mergeCell ref="AH3:AL3"/>
    <mergeCell ref="B3:B4"/>
    <mergeCell ref="D19:H19"/>
    <mergeCell ref="S3:W3"/>
    <mergeCell ref="AC3:AG3"/>
    <mergeCell ref="N3:R3"/>
    <mergeCell ref="I47:M47"/>
    <mergeCell ref="AH19:AL19"/>
    <mergeCell ref="X19:AB19"/>
    <mergeCell ref="B19:B20"/>
    <mergeCell ref="X3:AB3"/>
    <mergeCell ref="I3:M3"/>
    <mergeCell ref="D47:H47"/>
    <mergeCell ref="AC19:AG19"/>
    <mergeCell ref="S19:W19"/>
    <mergeCell ref="N19:R19"/>
    <mergeCell ref="D3:H3"/>
    <mergeCell ref="C19:C20"/>
    <mergeCell ref="I35:M35"/>
    <mergeCell ref="C3:C4"/>
    <mergeCell ref="I19:M19"/>
  </mergeCells>
  <pageMargins left="0.7" right="0.7" top="0.75" bottom="0.75" header="0.511811023622047" footer="0.511811023622047"/>
  <pageSetup orientation="portrait" paperSize="9" horizontalDpi="300" verticalDpi="300"/>
</worksheet>
</file>

<file path=xl/worksheets/sheet8.xml><?xml version="1.0" encoding="utf-8"?>
<worksheet xmlns="http://schemas.openxmlformats.org/spreadsheetml/2006/main">
  <sheetPr>
    <tabColor rgb="001F4E79"/>
    <outlinePr summaryBelow="1" summaryRight="1"/>
    <pageSetUpPr/>
  </sheetPr>
  <dimension ref="B2:B2"/>
  <sheetViews>
    <sheetView showGridLines="0" workbookViewId="0">
      <selection activeCell="A1" sqref="A1"/>
    </sheetView>
  </sheetViews>
  <sheetFormatPr baseColWidth="8" defaultRowHeight="15"/>
  <cols>
    <col width="2" customWidth="1" style="506" min="1" max="1"/>
    <col width="60" customWidth="1" style="506" min="2" max="2"/>
  </cols>
  <sheetData>
    <row r="2">
      <c r="B2" s="745" t="inlineStr">
        <is>
          <t>DESIGNS  &gt;&gt;&gt;</t>
        </is>
      </c>
    </row>
  </sheetData>
  <pageMargins left="0.75" right="0.75" top="1" bottom="1" header="0.5" footer="0.5"/>
</worksheet>
</file>

<file path=xl/worksheets/sheet9.xml><?xml version="1.0" encoding="utf-8"?>
<worksheet xmlns="http://schemas.openxmlformats.org/spreadsheetml/2006/main">
  <sheetPr>
    <tabColor rgb="001F4E79"/>
    <outlinePr summaryBelow="1" summaryRight="1"/>
    <pageSetUpPr/>
  </sheetPr>
  <dimension ref="A1:L69"/>
  <sheetViews>
    <sheetView showGridLines="0" zoomScale="70" zoomScaleNormal="70" workbookViewId="0">
      <selection activeCell="L57" sqref="L57"/>
    </sheetView>
  </sheetViews>
  <sheetFormatPr baseColWidth="8" defaultColWidth="8.54296875" defaultRowHeight="14.5" outlineLevelCol="0"/>
  <cols>
    <col width="28" customWidth="1" style="506" min="2" max="2"/>
    <col width="26" customWidth="1" style="506" min="3" max="3"/>
    <col width="9.54296875" customWidth="1" style="506" min="4" max="4"/>
    <col width="17.81640625" customWidth="1" style="506" min="5" max="5"/>
    <col width="11" customWidth="1" style="506" min="6" max="6"/>
    <col width="27.1796875" customWidth="1" style="506" min="7" max="7"/>
    <col width="14" customWidth="1" style="506" min="8" max="8"/>
    <col width="50.1796875" customWidth="1" style="506" min="9" max="9"/>
    <col width="24.81640625" customWidth="1" style="506" min="10" max="10"/>
  </cols>
  <sheetData>
    <row r="1"/>
    <row r="2" ht="21" customHeight="1" s="506">
      <c r="B2" s="199" t="inlineStr">
        <is>
          <t>Ampol Retail</t>
        </is>
      </c>
    </row>
    <row r="3">
      <c r="B3" s="102" t="n"/>
      <c r="C3" s="102" t="n"/>
      <c r="D3" s="102" t="n"/>
      <c r="E3" s="102" t="n"/>
      <c r="F3" s="102" t="n"/>
      <c r="G3" s="102" t="n"/>
      <c r="H3" s="102" t="n"/>
      <c r="I3" s="102" t="n"/>
      <c r="J3" s="102" t="n"/>
    </row>
    <row r="4">
      <c r="B4" s="508" t="inlineStr">
        <is>
          <t>Portfolio Summary</t>
        </is>
      </c>
      <c r="C4" s="509" t="n"/>
      <c r="D4" s="509" t="n"/>
      <c r="E4" s="510" t="n"/>
      <c r="F4" s="102" t="n"/>
      <c r="G4" s="200" t="inlineStr">
        <is>
          <t>Budget vs TDD Cost</t>
        </is>
      </c>
      <c r="H4" s="200" t="n"/>
      <c r="I4" s="102" t="n"/>
      <c r="J4" s="102" t="n"/>
    </row>
    <row r="5">
      <c r="B5" s="5" t="inlineStr">
        <is>
          <t>Cost</t>
        </is>
      </c>
      <c r="C5" s="480" t="inlineStr">
        <is>
          <t>TDD ($m)</t>
        </is>
      </c>
      <c r="D5" s="480" t="inlineStr">
        <is>
          <t>Other ($m)</t>
        </is>
      </c>
      <c r="E5" s="480" t="inlineStr">
        <is>
          <t>Total Retail Cost ($m)</t>
        </is>
      </c>
      <c r="F5" s="102" t="n"/>
      <c r="G5" s="201" t="inlineStr">
        <is>
          <t>TDD Lights On Budget (people - 0.2 Data Config)</t>
        </is>
      </c>
      <c r="H5" s="202">
        <f>'0.2 Data Config'!$E$11</f>
        <v>2.5</v>
      </c>
      <c r="I5" s="102" t="n"/>
      <c r="J5" s="102" t="n"/>
    </row>
    <row r="6">
      <c r="B6" s="8" t="inlineStr">
        <is>
          <t>Portfolio Overhead (see 0.2 Data Config)</t>
        </is>
      </c>
      <c r="C6" s="202">
        <f>'0.2 Data Config'!$L$10</f>
        <v>0.7495</v>
      </c>
      <c r="D6" s="201" t="n"/>
      <c r="E6" s="9">
        <f>C6</f>
        <v>0.7495</v>
      </c>
      <c r="F6" s="102" t="n"/>
      <c r="G6" s="201" t="inlineStr">
        <is>
          <t>Overheads &amp; Support (this model)</t>
        </is>
      </c>
      <c r="H6" s="9">
        <f>C9</f>
        <v>5.6265</v>
      </c>
      <c r="I6" s="102" t="n"/>
      <c r="J6" s="102" t="n"/>
    </row>
    <row r="7">
      <c r="B7" s="8" t="inlineStr">
        <is>
          <t>Platform Overheads</t>
        </is>
      </c>
      <c r="C7" s="9">
        <f>SUM(H27,H34,H47,H53,H59)</f>
        <v>0.8250000000000001</v>
      </c>
      <c r="D7" s="201" t="n"/>
      <c r="E7" s="9">
        <f>C7</f>
        <v>0.8250000000000001</v>
      </c>
      <c r="F7" s="102" t="n"/>
      <c r="G7" s="203" t="inlineStr">
        <is>
          <t>Variance (budget less cost)</t>
        </is>
      </c>
      <c r="H7" s="204">
        <f>H5-H6</f>
        <v>-3.1265</v>
      </c>
      <c r="I7" s="102" t="n"/>
      <c r="J7" s="102" t="n"/>
    </row>
    <row r="8">
      <c r="B8" s="8" t="inlineStr">
        <is>
          <t>Squad Support Costs</t>
        </is>
      </c>
      <c r="C8" s="9">
        <f>SUM(H23,H24,H25,H26,H32,H33,H46,H52,H58,H64)</f>
        <v>4.052</v>
      </c>
      <c r="D8" s="9">
        <f>SUM(I23,I24,I25,I26,I32,I33,I46,I52,I58,I64)</f>
        <v>4.728</v>
      </c>
      <c r="E8" s="9">
        <f>C8+D8</f>
        <v>8.78</v>
      </c>
      <c r="F8" s="102" t="n"/>
      <c r="G8" s="102" t="n"/>
      <c r="H8" s="102" t="n"/>
      <c r="I8" s="102" t="n"/>
      <c r="J8" s="102" t="n"/>
    </row>
    <row r="9">
      <c r="B9" s="203" t="inlineStr">
        <is>
          <t>Total Cost</t>
        </is>
      </c>
      <c r="C9" s="204">
        <f>SUM(C6:C8)</f>
        <v>5.6265</v>
      </c>
      <c r="D9" s="204">
        <f>SUM(D6:D8)</f>
        <v>4.728</v>
      </c>
      <c r="E9" s="204">
        <f>C9+D9</f>
        <v>10.3545</v>
      </c>
      <c r="F9" s="102" t="n"/>
      <c r="G9" s="102" t="n"/>
      <c r="H9" s="102" t="n"/>
      <c r="I9" s="102" t="n"/>
      <c r="J9" s="102" t="n"/>
    </row>
    <row r="10">
      <c r="B10" s="102" t="n"/>
      <c r="C10" s="102" t="n"/>
      <c r="D10" s="102" t="n"/>
      <c r="E10" s="102" t="n"/>
      <c r="F10" s="102" t="n"/>
      <c r="G10" s="558" t="inlineStr">
        <is>
          <t xml:space="preserve">Other funding </t>
        </is>
      </c>
      <c r="H10" s="509" t="n"/>
      <c r="I10" s="509" t="n"/>
      <c r="J10" s="510" t="n"/>
    </row>
    <row r="11">
      <c r="B11" s="559" t="inlineStr">
        <is>
          <t xml:space="preserve">Total Retail budget </t>
        </is>
      </c>
      <c r="C11" s="512" t="n"/>
      <c r="D11" s="513" t="n"/>
      <c r="E11" s="206">
        <f>SUM(H12:H16)</f>
        <v>33.8</v>
      </c>
      <c r="F11" s="102" t="n"/>
      <c r="G11" s="480" t="inlineStr">
        <is>
          <t>Budget line</t>
        </is>
      </c>
      <c r="H11" s="480" t="inlineStr">
        <is>
          <t>Budget ($m)</t>
        </is>
      </c>
      <c r="I11" s="480" t="inlineStr">
        <is>
          <t>Amount that can be allocated to people</t>
        </is>
      </c>
      <c r="J11" s="480" t="inlineStr">
        <is>
          <t>Remaining for non-people ($m)</t>
        </is>
      </c>
    </row>
    <row r="12">
      <c r="B12" s="559" t="inlineStr">
        <is>
          <t xml:space="preserve">Reconciled to Finance </t>
        </is>
      </c>
      <c r="C12" s="512" t="n"/>
      <c r="D12" s="513" t="n"/>
      <c r="E12" s="206">
        <f>'0.1 Budget Table (Fin)'!Q9</f>
        <v>33.8</v>
      </c>
      <c r="F12" s="102" t="n"/>
      <c r="G12" s="8" t="inlineStr">
        <is>
          <t>Retail Lights On</t>
        </is>
      </c>
      <c r="H12" s="202">
        <f>'0.1 Budget Table (Fin)'!L9</f>
        <v>13.899999999999999</v>
      </c>
      <c r="I12" s="481">
        <f>'0.1 Budget Table (Fin)'!G9</f>
        <v>0.0</v>
      </c>
      <c r="J12" s="9">
        <f>IFERROR(H12-I12,0)</f>
        <v>13.899999999999999</v>
      </c>
    </row>
    <row r="13">
      <c r="B13" s="102" t="n"/>
      <c r="C13" s="102" t="n"/>
      <c r="D13" s="102" t="n"/>
      <c r="E13" s="102" t="n"/>
      <c r="F13" s="102" t="n"/>
      <c r="G13" s="8" t="inlineStr">
        <is>
          <t>OpEx Initiatives</t>
        </is>
      </c>
      <c r="H13" s="202">
        <f>'0.1 Budget Table (Fin)'!N9</f>
        <v>1.3</v>
      </c>
      <c r="I13" s="208" t="n">
        <v>0</v>
      </c>
      <c r="J13" s="9">
        <f>IFERROR(H13-I13,0)</f>
        <v>1.3</v>
      </c>
    </row>
    <row r="14">
      <c r="B14" s="427" t="inlineStr">
        <is>
          <t>Total to fund</t>
        </is>
      </c>
      <c r="C14" s="428" t="n"/>
      <c r="D14" s="102" t="n"/>
      <c r="E14" s="102" t="n"/>
      <c r="F14" s="102" t="n"/>
      <c r="G14" s="8" t="inlineStr">
        <is>
          <t>Retail CapEx</t>
        </is>
      </c>
      <c r="H14" s="202">
        <f>'0.1 Budget Table (Fin)'!P9</f>
        <v>11.8</v>
      </c>
      <c r="I14" s="208" t="n"/>
      <c r="J14" s="9">
        <f>IFERROR(H14-I14,0)</f>
        <v>11.8</v>
      </c>
    </row>
    <row r="15">
      <c r="B15" s="429" t="inlineStr">
        <is>
          <t>TDD Variance</t>
        </is>
      </c>
      <c r="C15" s="430">
        <f>MAX(0,-H7)</f>
        <v>3.1265</v>
      </c>
      <c r="D15" s="102" t="n"/>
      <c r="E15" s="102" t="n"/>
      <c r="F15" s="102" t="n"/>
      <c r="G15" s="8" t="inlineStr">
        <is>
          <t>Significant Items</t>
        </is>
      </c>
      <c r="H15" s="202">
        <f>'0.1 Budget Table (Fin)'!O9</f>
        <v>6.8</v>
      </c>
      <c r="I15" s="208">
        <f>I46</f>
        <v>0.0</v>
      </c>
      <c r="J15" s="9">
        <f>IFERROR(H15-I15,0)</f>
        <v>6.8</v>
      </c>
    </row>
    <row r="16">
      <c r="B16" s="429" t="inlineStr">
        <is>
          <t>Other Variance</t>
        </is>
      </c>
      <c r="C16" s="430">
        <f>MAX(0,I19)</f>
        <v>4.728</v>
      </c>
      <c r="D16" s="102" t="n"/>
      <c r="E16" s="102" t="n"/>
      <c r="F16" s="102" t="n"/>
      <c r="G16" s="8" t="inlineStr">
        <is>
          <t>Significant Items EGI</t>
        </is>
      </c>
      <c r="H16" s="202" t="n"/>
      <c r="I16" s="208">
        <f>I64</f>
        <v>0.0</v>
      </c>
      <c r="J16" s="9" t="n"/>
    </row>
    <row r="17">
      <c r="B17" s="431" t="inlineStr">
        <is>
          <t>Total</t>
        </is>
      </c>
      <c r="C17" s="432">
        <f>C15+C16</f>
        <v>7.8545</v>
      </c>
      <c r="D17" s="102" t="n"/>
      <c r="E17" s="102" t="n"/>
      <c r="F17" s="102" t="n"/>
      <c r="G17" s="8" t="inlineStr">
        <is>
          <t>Total applied</t>
        </is>
      </c>
      <c r="H17" s="202" t="n"/>
      <c r="I17" s="208">
        <f>SUM(I12:I16)</f>
        <v>0.0</v>
      </c>
      <c r="J17" s="9" t="n"/>
    </row>
    <row r="18">
      <c r="B18" s="102" t="n"/>
      <c r="C18" s="102" t="n"/>
      <c r="D18" s="102" t="n"/>
      <c r="E18" s="102" t="n"/>
      <c r="F18" s="102" t="n"/>
      <c r="G18" s="8" t="inlineStr">
        <is>
          <t>Other cost (this model)</t>
        </is>
      </c>
      <c r="H18" s="202" t="n"/>
      <c r="I18" s="208">
        <f>D9</f>
        <v>4.728</v>
      </c>
      <c r="J18" s="9" t="n"/>
    </row>
    <row r="19">
      <c r="B19" s="209" t="n"/>
      <c r="C19" s="210" t="n"/>
      <c r="D19" s="102" t="n"/>
      <c r="E19" s="102" t="n"/>
      <c r="F19" s="102" t="n"/>
      <c r="G19" s="8" t="inlineStr">
        <is>
          <t>Left to fund</t>
        </is>
      </c>
      <c r="H19" s="202" t="n"/>
      <c r="I19" s="208">
        <f>I18-I17</f>
        <v>4.728</v>
      </c>
      <c r="J19" s="9" t="n"/>
    </row>
    <row r="20">
      <c r="B20" s="102" t="n"/>
      <c r="C20" s="102" t="n"/>
      <c r="D20" s="102" t="n"/>
      <c r="E20" s="102" t="n"/>
      <c r="F20" s="102" t="n"/>
      <c r="G20" s="102" t="n"/>
      <c r="H20" s="102" t="n"/>
      <c r="I20" s="102" t="n"/>
      <c r="J20" s="102" t="n"/>
    </row>
    <row r="21">
      <c r="B21" s="558" t="inlineStr">
        <is>
          <t>Platform: Store Operations</t>
        </is>
      </c>
      <c r="C21" s="509" t="n"/>
      <c r="D21" s="509" t="n"/>
      <c r="E21" s="509" t="n"/>
      <c r="F21" s="509" t="n"/>
      <c r="G21" s="509" t="n"/>
      <c r="H21" s="509" t="n"/>
      <c r="I21" s="510" t="n"/>
      <c r="J21" s="102" t="n"/>
    </row>
    <row r="22">
      <c r="B22" s="5" t="inlineStr">
        <is>
          <t>Squad</t>
        </is>
      </c>
      <c r="C22" s="480" t="inlineStr">
        <is>
          <t>Squad Type</t>
        </is>
      </c>
      <c r="D22" s="480" t="inlineStr">
        <is>
          <t>Size</t>
        </is>
      </c>
      <c r="E22" s="480" t="inlineStr">
        <is>
          <t>On/Off</t>
        </is>
      </c>
      <c r="F22" s="480" t="inlineStr">
        <is>
          <t>Support %</t>
        </is>
      </c>
      <c r="G22" s="480" t="inlineStr">
        <is>
          <t>Total Squad Cost ($m)</t>
        </is>
      </c>
      <c r="H22" s="480" t="inlineStr">
        <is>
          <t>TDD Cost ($m)</t>
        </is>
      </c>
      <c r="I22" s="480" t="inlineStr">
        <is>
          <t>Funded outside TDD ($m)</t>
        </is>
      </c>
      <c r="J22" s="102" t="n"/>
      <c r="K22" s="696" t="inlineStr">
        <is>
          <t>Fund</t>
        </is>
      </c>
    </row>
    <row r="23">
      <c r="B23" s="8" t="inlineStr">
        <is>
          <t>POS</t>
        </is>
      </c>
      <c r="C23" s="213" t="inlineStr">
        <is>
          <t>Configuration / Integration</t>
        </is>
      </c>
      <c r="D23" s="213" t="inlineStr">
        <is>
          <t>M</t>
        </is>
      </c>
      <c r="E23" s="213" t="inlineStr">
        <is>
          <t>Onshore</t>
        </is>
      </c>
      <c r="F23" s="214" t="n">
        <v>0.7</v>
      </c>
      <c r="G23" s="202">
        <f>IFERROR(IF($E23="Onshore",INDEX('0.3 Squad Archetypes'!$G$5:$G$23,MATCH($C23&amp;"|"&amp;$D23,'0.3 Squad Archetypes'!$A$5:$A$23,0)),INDEX('0.3 Squad Archetypes'!$H$5:$H$23,MATCH($C23&amp;"|"&amp;$D23,'0.3 Squad Archetypes'!$A$5:$A$23,0))),"check size")</f>
        <v>1.4</v>
      </c>
      <c r="H23" s="9">
        <f>IFERROR($G23*$F23,"")</f>
        <v>0.9799999999999999</v>
      </c>
      <c r="I23" s="9">
        <f>IFERROR($G23*(1-$F23),"")</f>
        <v>0.42000000000000004</v>
      </c>
      <c r="J23" s="102" t="n"/>
      <c r="K23" s="693" t="inlineStr">
        <is>
          <t>AU</t>
        </is>
      </c>
    </row>
    <row r="24">
      <c r="B24" s="8" t="inlineStr">
        <is>
          <t>Payments</t>
        </is>
      </c>
      <c r="C24" s="213" t="inlineStr">
        <is>
          <t>Configuration / Integration</t>
        </is>
      </c>
      <c r="D24" s="213" t="inlineStr">
        <is>
          <t>S</t>
        </is>
      </c>
      <c r="E24" s="213" t="inlineStr">
        <is>
          <t>Onshore</t>
        </is>
      </c>
      <c r="F24" s="214" t="n">
        <v>0.2</v>
      </c>
      <c r="G24" s="202">
        <f>IFERROR(IF($E24="Onshore",INDEX('0.3 Squad Archetypes'!$G$5:$G$23,MATCH($C24&amp;"|"&amp;$D24,'0.3 Squad Archetypes'!$A$5:$A$23,0)),INDEX('0.3 Squad Archetypes'!$H$5:$H$23,MATCH($C24&amp;"|"&amp;$D24,'0.3 Squad Archetypes'!$A$5:$A$23,0))),"check size")</f>
        <v>0.4</v>
      </c>
      <c r="H24" s="9">
        <f>IFERROR($G24*$F24,"")</f>
        <v>0.08000000000000002</v>
      </c>
      <c r="I24" s="9">
        <f>IFERROR($G24*(1-$F24),"")</f>
        <v>0.32000000000000006</v>
      </c>
      <c r="J24" s="102" t="n"/>
      <c r="K24" s="693" t="inlineStr">
        <is>
          <t>AU</t>
        </is>
      </c>
    </row>
    <row r="25">
      <c r="B25" s="8" t="inlineStr">
        <is>
          <t>Store Operations</t>
        </is>
      </c>
      <c r="C25" s="213" t="inlineStr">
        <is>
          <t>Operations</t>
        </is>
      </c>
      <c r="D25" s="213" t="inlineStr">
        <is>
          <t>M</t>
        </is>
      </c>
      <c r="E25" s="213" t="inlineStr">
        <is>
          <t>Onshore</t>
        </is>
      </c>
      <c r="F25" s="214" t="n">
        <v>1</v>
      </c>
      <c r="G25" s="202">
        <f>IFERROR(IF($E25="Onshore",INDEX('0.3 Squad Archetypes'!$G$5:$G$23,MATCH($C25&amp;"|"&amp;$D25,'0.3 Squad Archetypes'!$A$5:$A$23,0)),INDEX('0.3 Squad Archetypes'!$H$5:$H$23,MATCH($C25&amp;"|"&amp;$D25,'0.3 Squad Archetypes'!$A$5:$A$23,0))),"check size")</f>
        <v>1.4</v>
      </c>
      <c r="H25" s="9">
        <f>IFERROR($G25*$F25,"")</f>
        <v>1.4</v>
      </c>
      <c r="I25" s="9">
        <f>IFERROR($G25*(1-$F25),"")</f>
        <v>0.0</v>
      </c>
      <c r="J25" s="102" t="n"/>
      <c r="K25" s="693" t="inlineStr">
        <is>
          <t>AU</t>
        </is>
      </c>
    </row>
    <row r="26">
      <c r="B26" s="8" t="inlineStr">
        <is>
          <t>Deployment</t>
        </is>
      </c>
      <c r="C26" s="213" t="inlineStr">
        <is>
          <t>Configuration / Integration</t>
        </is>
      </c>
      <c r="D26" s="213" t="inlineStr">
        <is>
          <t>M</t>
        </is>
      </c>
      <c r="E26" s="213" t="inlineStr">
        <is>
          <t>Onshore</t>
        </is>
      </c>
      <c r="F26" s="214" t="n">
        <v>0.2</v>
      </c>
      <c r="G26" s="202">
        <f>IFERROR(IF($E26="Onshore",INDEX('0.3 Squad Archetypes'!$G$5:$G$23,MATCH($C26&amp;"|"&amp;$D26,'0.3 Squad Archetypes'!$A$5:$A$23,0)),INDEX('0.3 Squad Archetypes'!$H$5:$H$23,MATCH($C26&amp;"|"&amp;$D26,'0.3 Squad Archetypes'!$A$5:$A$23,0))),"check size")</f>
        <v>1.4</v>
      </c>
      <c r="H26" s="9">
        <f>IFERROR($G26*$F26,"")</f>
        <v>0.27999999999999997</v>
      </c>
      <c r="I26" s="9">
        <f>IFERROR($G26*(1-$F26),"")</f>
        <v>1.1199999999999999</v>
      </c>
      <c r="J26" s="102" t="n"/>
      <c r="K26" s="693" t="inlineStr">
        <is>
          <t>AU</t>
        </is>
      </c>
    </row>
    <row r="27">
      <c r="B27" s="470" t="inlineStr">
        <is>
          <t>Platform Overhead</t>
        </is>
      </c>
      <c r="C27" s="212" t="n"/>
      <c r="D27" s="201" t="n"/>
      <c r="E27" s="201" t="n"/>
      <c r="F27" s="201" t="n"/>
      <c r="G27" s="201" t="n"/>
      <c r="H27" s="202">
        <f>'0.2 Data Config'!$L$16</f>
        <v>0.165</v>
      </c>
      <c r="I27" s="201" t="n"/>
      <c r="J27" s="102" t="n"/>
    </row>
    <row r="28">
      <c r="B28" s="203" t="inlineStr">
        <is>
          <t>Store Operations Total</t>
        </is>
      </c>
      <c r="D28" s="212" t="n"/>
      <c r="E28" s="212" t="n"/>
      <c r="F28" s="212" t="n"/>
      <c r="G28" s="204">
        <f>SUM(G23:G26)</f>
        <v>4.6</v>
      </c>
      <c r="H28" s="204">
        <f>SUM(H23:H27)</f>
        <v>2.905</v>
      </c>
      <c r="I28" s="204">
        <f>SUM(I23:I26)</f>
        <v>1.8599999999999999</v>
      </c>
      <c r="J28" s="102" t="n"/>
    </row>
    <row r="29">
      <c r="B29" s="102" t="n"/>
      <c r="C29" s="102" t="n"/>
      <c r="D29" s="102" t="n"/>
      <c r="E29" s="102" t="n"/>
      <c r="F29" s="102" t="n"/>
      <c r="G29" s="102" t="n"/>
      <c r="H29" s="102" t="n"/>
      <c r="I29" s="102" t="n"/>
      <c r="J29" s="102" t="n"/>
    </row>
    <row r="30">
      <c r="B30" s="558" t="inlineStr">
        <is>
          <t>Platform: Above Store</t>
        </is>
      </c>
      <c r="C30" s="509" t="n"/>
      <c r="D30" s="509" t="n"/>
      <c r="E30" s="509" t="n"/>
      <c r="F30" s="509" t="n"/>
      <c r="G30" s="509" t="n"/>
      <c r="H30" s="509" t="n"/>
      <c r="I30" s="510" t="n"/>
      <c r="J30" s="102" t="n"/>
    </row>
    <row r="31">
      <c r="B31" s="5" t="inlineStr">
        <is>
          <t>Squad</t>
        </is>
      </c>
      <c r="C31" s="480" t="inlineStr">
        <is>
          <t>Squad Type</t>
        </is>
      </c>
      <c r="D31" s="480" t="inlineStr">
        <is>
          <t>Size</t>
        </is>
      </c>
      <c r="E31" s="480" t="inlineStr">
        <is>
          <t>On/Off</t>
        </is>
      </c>
      <c r="F31" s="480" t="inlineStr">
        <is>
          <t>Support %</t>
        </is>
      </c>
      <c r="G31" s="480" t="inlineStr">
        <is>
          <t>Total Squad Cost ($m)</t>
        </is>
      </c>
      <c r="H31" s="480" t="inlineStr">
        <is>
          <t>TDD Cost ($m)</t>
        </is>
      </c>
      <c r="I31" s="480" t="inlineStr">
        <is>
          <t>Funded outside TDD ($m)</t>
        </is>
      </c>
      <c r="J31" s="102" t="n"/>
      <c r="K31" s="696" t="inlineStr">
        <is>
          <t>Fund</t>
        </is>
      </c>
    </row>
    <row r="32">
      <c r="B32" s="8" t="inlineStr">
        <is>
          <t>Above Store</t>
        </is>
      </c>
      <c r="C32" s="213" t="inlineStr">
        <is>
          <t>Configuration / Integration</t>
        </is>
      </c>
      <c r="D32" s="213" t="inlineStr">
        <is>
          <t>L</t>
        </is>
      </c>
      <c r="E32" s="213" t="inlineStr">
        <is>
          <t>Onshore</t>
        </is>
      </c>
      <c r="F32" s="214" t="n">
        <v>0.2</v>
      </c>
      <c r="G32" s="202">
        <f>IFERROR(IF($E32="Onshore",INDEX('0.3 Squad Archetypes'!$G$5:$G$23,MATCH($C32&amp;"|"&amp;$D32,'0.3 Squad Archetypes'!$A$5:$A$23,0)),INDEX('0.3 Squad Archetypes'!$H$5:$H$23,MATCH($C32&amp;"|"&amp;$D32,'0.3 Squad Archetypes'!$A$5:$A$23,0))),"check size")</f>
        <v>2.1</v>
      </c>
      <c r="H32" s="9">
        <f>IFERROR($G32*$F32,"")</f>
        <v>0.42000000000000004</v>
      </c>
      <c r="I32" s="9">
        <f>IFERROR($G32*(1-$F32),"")</f>
        <v>1.6800000000000002</v>
      </c>
      <c r="J32" s="102" t="n"/>
      <c r="K32" s="693" t="inlineStr">
        <is>
          <t>AU</t>
        </is>
      </c>
    </row>
    <row r="33">
      <c r="B33" s="8" t="n"/>
      <c r="C33" s="8" t="n"/>
      <c r="D33" s="8" t="n"/>
      <c r="E33" s="8" t="n"/>
      <c r="F33" s="482" t="n"/>
      <c r="G33" s="202" t="n"/>
      <c r="H33" s="9" t="n"/>
      <c r="I33" s="9" t="n"/>
      <c r="J33" s="102" t="inlineStr">
        <is>
          <t xml:space="preserve">Will combine - takes out 4 roles. New platform Above Store &amp; new squad Above Store </t>
        </is>
      </c>
    </row>
    <row r="34">
      <c r="B34" s="470" t="inlineStr">
        <is>
          <t>Platform Overhead</t>
        </is>
      </c>
      <c r="C34" s="201" t="n"/>
      <c r="D34" s="201" t="n"/>
      <c r="E34" s="201" t="n"/>
      <c r="F34" s="201" t="n"/>
      <c r="G34" s="201" t="n"/>
      <c r="H34" s="202">
        <f>'0.2 Data Config'!$L$16</f>
        <v>0.165</v>
      </c>
      <c r="I34" s="201" t="n"/>
      <c r="J34" s="102" t="n"/>
    </row>
    <row r="35">
      <c r="B35" s="203" t="inlineStr">
        <is>
          <t>Above Store Total</t>
        </is>
      </c>
      <c r="C35" s="212" t="n"/>
      <c r="D35" s="212" t="n"/>
      <c r="E35" s="212" t="n"/>
      <c r="F35" s="212" t="n"/>
      <c r="G35" s="204">
        <f>SUM(G32:G33)</f>
        <v>2.1</v>
      </c>
      <c r="H35" s="204">
        <f>SUM(H32:H34)</f>
        <v>0.5850000000000001</v>
      </c>
      <c r="I35" s="204">
        <f>SUM(I32:I33)</f>
        <v>1.6800000000000002</v>
      </c>
      <c r="J35" s="102" t="n"/>
    </row>
    <row r="36">
      <c r="B36" s="102" t="n"/>
      <c r="C36" s="102" t="n"/>
      <c r="D36" s="102" t="n"/>
      <c r="E36" s="102" t="n"/>
      <c r="F36" s="102" t="n"/>
      <c r="G36" s="102" t="n"/>
      <c r="H36" s="102" t="n"/>
      <c r="I36" s="102" t="n"/>
      <c r="J36" s="102" t="n"/>
    </row>
    <row r="37">
      <c r="B37" s="558" t="inlineStr">
        <is>
          <t>Platform: Pricing &amp; WFM - combined into Above Store</t>
        </is>
      </c>
      <c r="C37" s="509" t="n"/>
      <c r="D37" s="509" t="n"/>
      <c r="E37" s="509" t="n"/>
      <c r="F37" s="509" t="n"/>
      <c r="G37" s="509" t="n"/>
      <c r="H37" s="509" t="n"/>
      <c r="I37" s="510" t="n"/>
      <c r="J37" s="102" t="n"/>
    </row>
    <row r="38">
      <c r="B38" s="5" t="inlineStr">
        <is>
          <t>Squad</t>
        </is>
      </c>
      <c r="C38" s="480" t="inlineStr">
        <is>
          <t>Squad Type</t>
        </is>
      </c>
      <c r="D38" s="480" t="inlineStr">
        <is>
          <t>Size</t>
        </is>
      </c>
      <c r="E38" s="480" t="inlineStr">
        <is>
          <t>On/Off</t>
        </is>
      </c>
      <c r="F38" s="480" t="inlineStr">
        <is>
          <t>Support %</t>
        </is>
      </c>
      <c r="G38" s="480" t="inlineStr">
        <is>
          <t>Total Squad Cost ($m)</t>
        </is>
      </c>
      <c r="H38" s="480" t="inlineStr">
        <is>
          <t>TDD Cost ($m)</t>
        </is>
      </c>
      <c r="I38" s="480" t="inlineStr">
        <is>
          <t>Funded outside TDD ($m)</t>
        </is>
      </c>
      <c r="J38" s="102" t="n"/>
    </row>
    <row r="39">
      <c r="B39" s="8" t="n"/>
      <c r="C39" s="8" t="n"/>
      <c r="D39" s="8" t="n"/>
      <c r="E39" s="8" t="n"/>
      <c r="F39" s="482" t="n"/>
      <c r="G39" s="202" t="n"/>
      <c r="H39" s="9" t="n"/>
      <c r="I39" s="9" t="n"/>
      <c r="J39" s="102" t="n"/>
    </row>
    <row r="40">
      <c r="B40" s="8" t="n"/>
      <c r="C40" s="8" t="n"/>
      <c r="D40" s="8" t="n"/>
      <c r="E40" s="8" t="n"/>
      <c r="F40" s="482" t="n"/>
      <c r="G40" s="202" t="n"/>
      <c r="H40" s="9" t="n"/>
      <c r="I40" s="9" t="n"/>
      <c r="J40" s="102" t="n"/>
    </row>
    <row r="41">
      <c r="B41" s="470" t="inlineStr">
        <is>
          <t>Platform Overhead</t>
        </is>
      </c>
      <c r="C41" s="201" t="n"/>
      <c r="D41" s="201" t="n"/>
      <c r="E41" s="201" t="n"/>
      <c r="F41" s="201" t="n"/>
      <c r="G41" s="201" t="n"/>
      <c r="H41" s="202" t="n"/>
      <c r="I41" s="201" t="n"/>
      <c r="J41" s="102" t="n"/>
    </row>
    <row r="42">
      <c r="B42" s="203" t="inlineStr">
        <is>
          <t>(combined into Above Store)</t>
        </is>
      </c>
      <c r="C42" s="212" t="n"/>
      <c r="D42" s="212" t="n"/>
      <c r="E42" s="212" t="n"/>
      <c r="F42" s="212" t="n"/>
      <c r="G42" s="204" t="n"/>
      <c r="H42" s="204" t="n"/>
      <c r="I42" s="204" t="n"/>
      <c r="J42" s="102" t="n"/>
    </row>
    <row r="43">
      <c r="B43" s="102" t="n"/>
      <c r="C43" s="102" t="n"/>
      <c r="D43" s="102" t="n"/>
      <c r="E43" s="102" t="n"/>
      <c r="F43" s="102" t="n"/>
      <c r="G43" s="102" t="n"/>
      <c r="H43" s="102" t="n"/>
      <c r="I43" s="102" t="n"/>
      <c r="J43" s="102" t="n"/>
    </row>
    <row r="44">
      <c r="B44" s="558" t="inlineStr">
        <is>
          <t>Platform: AmPOS</t>
        </is>
      </c>
      <c r="C44" s="509" t="n"/>
      <c r="D44" s="509" t="n"/>
      <c r="E44" s="509" t="n"/>
      <c r="F44" s="509" t="n"/>
      <c r="G44" s="509" t="n"/>
      <c r="H44" s="509" t="n"/>
      <c r="I44" s="510" t="n"/>
      <c r="J44" s="102" t="n"/>
    </row>
    <row r="45">
      <c r="B45" s="5" t="inlineStr">
        <is>
          <t>Squad</t>
        </is>
      </c>
      <c r="C45" s="480" t="inlineStr">
        <is>
          <t>Squad Type</t>
        </is>
      </c>
      <c r="D45" s="480" t="inlineStr">
        <is>
          <t>Size</t>
        </is>
      </c>
      <c r="E45" s="480" t="inlineStr">
        <is>
          <t>On/Off</t>
        </is>
      </c>
      <c r="F45" s="480" t="inlineStr">
        <is>
          <t>Support %</t>
        </is>
      </c>
      <c r="G45" s="480" t="inlineStr">
        <is>
          <t>Total Squad Cost ($m)</t>
        </is>
      </c>
      <c r="H45" s="480" t="inlineStr">
        <is>
          <t>TDD Cost ($m)</t>
        </is>
      </c>
      <c r="I45" s="480" t="inlineStr">
        <is>
          <t>Funded outside TDD ($m)</t>
        </is>
      </c>
      <c r="J45" s="102" t="n"/>
      <c r="K45" s="696" t="inlineStr">
        <is>
          <t>Fund</t>
        </is>
      </c>
    </row>
    <row r="46">
      <c r="B46" s="8" t="inlineStr">
        <is>
          <t>AmPOS</t>
        </is>
      </c>
      <c r="C46" s="213" t="inlineStr">
        <is>
          <t>Strategic Programs</t>
        </is>
      </c>
      <c r="D46" s="213" t="n"/>
      <c r="E46" s="213" t="inlineStr">
        <is>
          <t>Onshore</t>
        </is>
      </c>
      <c r="F46" s="214" t="n">
        <v>0</v>
      </c>
      <c r="G46" s="250" t="n">
        <v>0</v>
      </c>
      <c r="H46" s="9">
        <f>IFERROR($G46*$F46,"")</f>
        <v>0.0</v>
      </c>
      <c r="I46" s="9">
        <f>IFERROR($G46*(1-$F46),"")</f>
        <v>0.0</v>
      </c>
      <c r="J46" s="102" t="inlineStr">
        <is>
          <t xml:space="preserve">Change this to strat projects; impact on price </t>
        </is>
      </c>
      <c r="K46" s="693" t="inlineStr">
        <is>
          <t>AU</t>
        </is>
      </c>
      <c r="L46" t="inlineStr">
        <is>
          <t>7 FTE in AmPOS</t>
        </is>
      </c>
    </row>
    <row r="47">
      <c r="B47" s="470" t="inlineStr">
        <is>
          <t>Platform Overhead</t>
        </is>
      </c>
      <c r="C47" s="201" t="n"/>
      <c r="D47" s="201" t="n"/>
      <c r="E47" s="201" t="n"/>
      <c r="F47" s="201" t="n"/>
      <c r="G47" s="201" t="n"/>
      <c r="H47" s="202">
        <f>'0.2 Data Config'!$L$16</f>
        <v>0.165</v>
      </c>
      <c r="I47" s="201" t="n"/>
      <c r="J47" s="102" t="inlineStr">
        <is>
          <t>Take some roles from POS and put into Pos</t>
        </is>
      </c>
    </row>
    <row r="48">
      <c r="B48" s="203" t="inlineStr">
        <is>
          <t>AmPOS Total</t>
        </is>
      </c>
      <c r="C48" s="212" t="n"/>
      <c r="D48" s="212" t="n"/>
      <c r="E48" s="212" t="n"/>
      <c r="F48" s="212" t="n"/>
      <c r="G48" s="204">
        <f>SUM(G46:G46)</f>
        <v>0.0</v>
      </c>
      <c r="H48" s="204">
        <f>SUM(H46:H47)</f>
        <v>0.165</v>
      </c>
      <c r="I48" s="204">
        <f>SUM(I46:I46)</f>
        <v>0.0</v>
      </c>
      <c r="J48" s="102" t="n"/>
    </row>
    <row r="49">
      <c r="B49" s="102" t="n"/>
      <c r="C49" s="102" t="n"/>
      <c r="D49" s="102" t="n"/>
      <c r="E49" s="102" t="n"/>
      <c r="F49" s="102" t="n"/>
      <c r="G49" s="102" t="n"/>
      <c r="H49" s="102" t="n"/>
      <c r="I49" s="102" t="n"/>
      <c r="J49" s="102" t="n"/>
    </row>
    <row r="50">
      <c r="B50" s="558" t="inlineStr">
        <is>
          <t>Platform: Network / QSR</t>
        </is>
      </c>
      <c r="C50" s="509" t="n"/>
      <c r="D50" s="509" t="n"/>
      <c r="E50" s="509" t="n"/>
      <c r="F50" s="509" t="n"/>
      <c r="G50" s="509" t="n"/>
      <c r="H50" s="509" t="n"/>
      <c r="I50" s="510" t="n"/>
      <c r="J50" s="102" t="inlineStr">
        <is>
          <t>z</t>
        </is>
      </c>
    </row>
    <row r="51">
      <c r="B51" s="5" t="inlineStr">
        <is>
          <t>Squad</t>
        </is>
      </c>
      <c r="C51" s="480" t="inlineStr">
        <is>
          <t>Squad Type</t>
        </is>
      </c>
      <c r="D51" s="480" t="inlineStr">
        <is>
          <t>Size</t>
        </is>
      </c>
      <c r="E51" s="480" t="inlineStr">
        <is>
          <t>On/Off</t>
        </is>
      </c>
      <c r="F51" s="480" t="inlineStr">
        <is>
          <t>Support %</t>
        </is>
      </c>
      <c r="G51" s="480" t="inlineStr">
        <is>
          <t>Total Squad Cost ($m)</t>
        </is>
      </c>
      <c r="H51" s="480" t="inlineStr">
        <is>
          <t>TDD Cost ($m)</t>
        </is>
      </c>
      <c r="I51" s="480" t="inlineStr">
        <is>
          <t>Funded outside TDD ($m)</t>
        </is>
      </c>
      <c r="J51" s="102" t="n"/>
      <c r="K51" s="696" t="inlineStr">
        <is>
          <t>Fund</t>
        </is>
      </c>
    </row>
    <row r="52">
      <c r="B52" s="8" t="inlineStr">
        <is>
          <t>Network / QSR</t>
        </is>
      </c>
      <c r="C52" s="213" t="inlineStr">
        <is>
          <t>Configuration / Integration</t>
        </is>
      </c>
      <c r="D52" s="213" t="inlineStr">
        <is>
          <t>M</t>
        </is>
      </c>
      <c r="E52" s="213" t="inlineStr">
        <is>
          <t>Onshore</t>
        </is>
      </c>
      <c r="F52" s="214" t="n">
        <v>0.2</v>
      </c>
      <c r="G52" s="202">
        <f>IFERROR(IF($E52="Onshore",INDEX('0.3 Squad Archetypes'!$G$5:$G$23,MATCH($C52&amp;"|"&amp;$D52,'0.3 Squad Archetypes'!$A$5:$A$23,0)),INDEX('0.3 Squad Archetypes'!$H$5:$H$23,MATCH($C52&amp;"|"&amp;$D52,'0.3 Squad Archetypes'!$A$5:$A$23,0))),"check size")</f>
        <v>1.4</v>
      </c>
      <c r="H52" s="9">
        <f>IFERROR($G52*$F52,"")</f>
        <v>0.27999999999999997</v>
      </c>
      <c r="I52" s="9">
        <f>IFERROR($G52*(1-$F52),"")</f>
        <v>1.1199999999999999</v>
      </c>
      <c r="J52" s="102" t="n"/>
      <c r="K52" s="693" t="inlineStr">
        <is>
          <t>AU</t>
        </is>
      </c>
    </row>
    <row r="53">
      <c r="B53" s="470" t="inlineStr">
        <is>
          <t>Platform Overhead</t>
        </is>
      </c>
      <c r="C53" s="201" t="n"/>
      <c r="D53" s="201" t="n"/>
      <c r="E53" s="201" t="n"/>
      <c r="F53" s="201" t="n"/>
      <c r="G53" s="201" t="n"/>
      <c r="H53" s="202">
        <f>'0.2 Data Config'!$L$16</f>
        <v>0.165</v>
      </c>
      <c r="I53" s="201" t="n"/>
      <c r="J53" s="102" t="n"/>
    </row>
    <row r="54">
      <c r="B54" s="203" t="inlineStr">
        <is>
          <t>Network / QSR Total</t>
        </is>
      </c>
      <c r="C54" s="212" t="n"/>
      <c r="D54" s="212" t="n"/>
      <c r="E54" s="212" t="n"/>
      <c r="F54" s="212" t="n"/>
      <c r="G54" s="204">
        <f>SUM(G52:G52)</f>
        <v>1.4</v>
      </c>
      <c r="H54" s="204">
        <f>SUM(H52:H53)</f>
        <v>0.44499999999999995</v>
      </c>
      <c r="I54" s="204">
        <f>SUM(I52:I52)</f>
        <v>1.1199999999999999</v>
      </c>
      <c r="J54" s="102" t="n"/>
    </row>
    <row r="55">
      <c r="B55" s="102" t="n"/>
      <c r="C55" s="102" t="n"/>
      <c r="D55" s="102" t="n"/>
      <c r="E55" s="102" t="n"/>
      <c r="F55" s="102" t="n"/>
      <c r="G55" s="102" t="n"/>
      <c r="H55" s="102" t="n"/>
      <c r="I55" s="102" t="n"/>
      <c r="J55" s="102" t="n"/>
    </row>
    <row r="56">
      <c r="B56" s="558" t="inlineStr">
        <is>
          <t>Platform: Data AU</t>
        </is>
      </c>
      <c r="C56" s="509" t="n"/>
      <c r="D56" s="509" t="n"/>
      <c r="E56" s="509" t="n"/>
      <c r="F56" s="509" t="n"/>
      <c r="G56" s="509" t="n"/>
      <c r="H56" s="509" t="n"/>
      <c r="I56" s="510" t="n"/>
    </row>
    <row r="57">
      <c r="B57" s="5" t="inlineStr">
        <is>
          <t>Squad</t>
        </is>
      </c>
      <c r="C57" s="480" t="inlineStr">
        <is>
          <t>Squad Type</t>
        </is>
      </c>
      <c r="D57" s="480" t="inlineStr">
        <is>
          <t>Size</t>
        </is>
      </c>
      <c r="E57" s="480" t="inlineStr">
        <is>
          <t>On/Off</t>
        </is>
      </c>
      <c r="F57" s="480" t="inlineStr">
        <is>
          <t>Support %</t>
        </is>
      </c>
      <c r="G57" s="480" t="inlineStr">
        <is>
          <t>Total Squad Cost ($m)</t>
        </is>
      </c>
      <c r="H57" s="480" t="inlineStr">
        <is>
          <t>TDD Cost ($m)</t>
        </is>
      </c>
      <c r="I57" s="480" t="inlineStr">
        <is>
          <t>Funded outside TDD ($m)</t>
        </is>
      </c>
      <c r="K57" s="696" t="inlineStr">
        <is>
          <t>Fund</t>
        </is>
      </c>
    </row>
    <row r="58">
      <c r="B58" s="8" t="inlineStr">
        <is>
          <t>Data AU</t>
        </is>
      </c>
      <c r="C58" s="213" t="inlineStr">
        <is>
          <t>Enterprise Data and Insights</t>
        </is>
      </c>
      <c r="D58" s="213" t="inlineStr">
        <is>
          <t>M</t>
        </is>
      </c>
      <c r="E58" s="213" t="inlineStr">
        <is>
          <t>Offshore</t>
        </is>
      </c>
      <c r="F58" s="214" t="n">
        <v>0.9</v>
      </c>
      <c r="G58" s="202">
        <f>IFERROR(IF($E58="Onshore",INDEX('0.3 Squad Archetypes'!$G$5:$G$23,MATCH($C58&amp;"|"&amp;$D58,'0.3 Squad Archetypes'!$A$5:$A$23,0)),INDEX('0.3 Squad Archetypes'!$H$5:$H$23,MATCH($C58&amp;"|"&amp;$D58,'0.3 Squad Archetypes'!$A$5:$A$23,0))),"check size")</f>
        <v>0.68</v>
      </c>
      <c r="H58" s="9">
        <f>IFERROR($G58*$F58,"")</f>
        <v>0.6120000000000001</v>
      </c>
      <c r="I58" s="9">
        <f>IFERROR($G58*(1-$F58),"")</f>
        <v>0.06799999999999999</v>
      </c>
      <c r="J58" t="inlineStr">
        <is>
          <t>Subject to support Ampos</t>
        </is>
      </c>
      <c r="K58" s="693" t="inlineStr">
        <is>
          <t>AU</t>
        </is>
      </c>
    </row>
    <row r="59">
      <c r="B59" s="470" t="inlineStr">
        <is>
          <t>Platform Overhead</t>
        </is>
      </c>
      <c r="C59" s="201" t="n"/>
      <c r="D59" s="201" t="n"/>
      <c r="E59" s="201" t="n"/>
      <c r="F59" s="201" t="n"/>
      <c r="G59" s="201" t="n"/>
      <c r="H59" s="202">
        <f>'0.2 Data Config'!$L$16</f>
        <v>0.165</v>
      </c>
      <c r="I59" s="201" t="n"/>
    </row>
    <row r="60">
      <c r="B60" s="203" t="inlineStr">
        <is>
          <t>Data AU Total</t>
        </is>
      </c>
      <c r="C60" s="212" t="n"/>
      <c r="D60" s="212" t="n"/>
      <c r="E60" s="212" t="n"/>
      <c r="F60" s="212" t="n"/>
      <c r="G60" s="204">
        <f>SUM(G58:G58)</f>
        <v>0.68</v>
      </c>
      <c r="H60" s="204">
        <f>SUM(H58:H59)</f>
        <v>0.7770000000000001</v>
      </c>
      <c r="I60" s="204">
        <f>SUM(I58:I58)</f>
        <v>0.06799999999999999</v>
      </c>
    </row>
    <row r="61"/>
    <row r="62">
      <c r="B62" s="558" t="inlineStr">
        <is>
          <t>Platform: EGI Retail</t>
        </is>
      </c>
      <c r="C62" s="509" t="n"/>
      <c r="D62" s="509" t="n"/>
      <c r="E62" s="509" t="n"/>
      <c r="F62" s="509" t="n"/>
      <c r="G62" s="509" t="n"/>
      <c r="H62" s="509" t="n"/>
      <c r="I62" s="510" t="n"/>
    </row>
    <row r="63">
      <c r="B63" s="5" t="inlineStr">
        <is>
          <t>Squad</t>
        </is>
      </c>
      <c r="C63" s="480" t="inlineStr">
        <is>
          <t>Squad Type</t>
        </is>
      </c>
      <c r="D63" s="480" t="inlineStr">
        <is>
          <t>Size</t>
        </is>
      </c>
      <c r="E63" s="480" t="inlineStr">
        <is>
          <t>On/Off</t>
        </is>
      </c>
      <c r="F63" s="480" t="inlineStr">
        <is>
          <t>Support %</t>
        </is>
      </c>
      <c r="G63" s="480" t="inlineStr">
        <is>
          <t>Total Squad Cost ($m)</t>
        </is>
      </c>
      <c r="H63" s="480" t="inlineStr">
        <is>
          <t>TDD Cost ($m)</t>
        </is>
      </c>
      <c r="I63" s="480" t="inlineStr">
        <is>
          <t>Funded outside TDD ($m)</t>
        </is>
      </c>
      <c r="J63" s="483" t="inlineStr">
        <is>
          <t>Update - EGI</t>
        </is>
      </c>
      <c r="K63" s="696" t="inlineStr">
        <is>
          <t>Fund</t>
        </is>
      </c>
    </row>
    <row r="64">
      <c r="B64" s="8" t="inlineStr">
        <is>
          <t>EGI Retail</t>
        </is>
      </c>
      <c r="C64" s="213" t="inlineStr">
        <is>
          <t>Strategic Programs</t>
        </is>
      </c>
      <c r="D64" s="213" t="n"/>
      <c r="E64" s="213" t="inlineStr">
        <is>
          <t>Onshore</t>
        </is>
      </c>
      <c r="F64" s="214" t="n">
        <v>0</v>
      </c>
      <c r="G64" s="250" t="n">
        <v>0</v>
      </c>
      <c r="H64" s="9">
        <f>IFERROR($G64*$F64,"")</f>
        <v>0.0</v>
      </c>
      <c r="I64" s="9">
        <f>IFERROR($G64*(1-$F64),"")</f>
        <v>0.0</v>
      </c>
      <c r="K64" s="693" t="inlineStr">
        <is>
          <t>AU</t>
        </is>
      </c>
    </row>
    <row r="65">
      <c r="B65" s="215" t="n"/>
      <c r="C65" s="201" t="n"/>
      <c r="D65" s="201" t="n"/>
      <c r="E65" s="201" t="n"/>
      <c r="F65" s="201" t="n"/>
      <c r="G65" s="201" t="n"/>
      <c r="H65" s="202" t="n"/>
      <c r="I65" s="201" t="n"/>
    </row>
    <row r="66">
      <c r="B66" s="203" t="inlineStr">
        <is>
          <t>EGI Retail Total</t>
        </is>
      </c>
      <c r="C66" s="212" t="n"/>
      <c r="D66" s="212" t="n"/>
      <c r="E66" s="212" t="n"/>
      <c r="F66" s="212" t="n"/>
      <c r="G66" s="204">
        <f>SUM(G64:G64)</f>
        <v>0.0</v>
      </c>
      <c r="H66" s="204">
        <f>SUM(H64:H64)</f>
        <v>0.0</v>
      </c>
      <c r="I66" s="204">
        <f>SUM(I64:I64)</f>
        <v>0.0</v>
      </c>
    </row>
    <row r="67"/>
    <row r="68">
      <c r="B68" s="686" t="inlineStr">
        <is>
          <t>TDD squad cost - AU funded (Fund toggles) ($m)</t>
        </is>
      </c>
      <c r="C68" s="669">
        <f>SUMIF(K23:K26,"AU",H23:H26)+SUMIF(K32:K32,"AU",H32:H32)+SUMIF(K46:K46,"AU",H46:H46)+SUMIF(K52:K52,"AU",H52:H52)+SUMIF(K58:K58,"AU",H58:H58)+SUMIF(K64:K64,"AU",H64:H64)</f>
        <v>4.052</v>
      </c>
    </row>
    <row r="69">
      <c r="B69" s="686" t="inlineStr">
        <is>
          <t>TDD squad cost - NZ funded (Fund toggles) ($m)</t>
        </is>
      </c>
      <c r="C69" s="669">
        <f>SUMIF(K23:K26,"NZ",H23:H26)+SUMIF(K32:K32,"NZ",H32:H32)+SUMIF(K46:K46,"NZ",H46:H46)+SUMIF(K52:K52,"NZ",H52:H52)+SUMIF(K58:K58,"NZ",H58:H58)+SUMIF(K64:K64,"NZ",H64:H64)</f>
        <v>0.0</v>
      </c>
    </row>
  </sheetData>
  <mergeCells count="11">
    <mergeCell ref="B56:I56"/>
    <mergeCell ref="B11:D11"/>
    <mergeCell ref="B21:I21"/>
    <mergeCell ref="B44:I44"/>
    <mergeCell ref="B62:I62"/>
    <mergeCell ref="B4:E4"/>
    <mergeCell ref="B30:I30"/>
    <mergeCell ref="B37:I37"/>
    <mergeCell ref="B12:D12"/>
    <mergeCell ref="B50:I50"/>
    <mergeCell ref="G10:J10"/>
  </mergeCells>
  <conditionalFormatting sqref="C17">
    <cfRule type="cellIs" priority="9" operator="greaterThan" dxfId="1">
      <formula>0</formula>
    </cfRule>
    <cfRule type="cellIs" priority="9" operator="lessThanOrEqual" dxfId="0">
      <formula>0</formula>
    </cfRule>
  </conditionalFormatting>
  <conditionalFormatting sqref="H7">
    <cfRule type="cellIs" priority="5" operator="greaterThanOrEqual" dxfId="0">
      <formula>0</formula>
    </cfRule>
    <cfRule type="cellIs" priority="6" operator="lessThan" dxfId="1">
      <formula>0</formula>
    </cfRule>
  </conditionalFormatting>
  <conditionalFormatting sqref="I19">
    <cfRule type="cellIs" priority="7" operator="greaterThan" dxfId="1">
      <formula>0</formula>
    </cfRule>
    <cfRule type="cellIs" priority="8" operator="lessThanOrEqual" dxfId="0">
      <formula>0</formula>
    </cfRule>
  </conditionalFormatting>
  <dataValidations count="5">
    <dataValidation sqref="C23:C26 C32:C33 C39:C40 C46 C52 C58 C64" showDropDown="0" showInputMessage="0" showErrorMessage="1" allowBlank="1" errorTitle="Invalid entry" error="Pick a value from the list" type="list">
      <formula1>SquadTypes</formula1>
      <formula2>0</formula2>
    </dataValidation>
    <dataValidation sqref="D23:D26 D32:D33 D39:D40 D46 D52 D58 D64" showDropDown="0" showInputMessage="0" showErrorMessage="1" allowBlank="1" errorTitle="Invalid entry" error="Pick a value from the list" type="list">
      <formula1>SquadSizes</formula1>
      <formula2>0</formula2>
    </dataValidation>
    <dataValidation sqref="E23:E26 E32:E33 E39:E40 E46 E52 E58 E64" showDropDown="0" showInputMessage="0" showErrorMessage="1" allowBlank="1" errorTitle="Invalid entry" error="Pick a value from the list" type="list">
      <formula1>OnOff</formula1>
      <formula2>0</formula2>
    </dataValidation>
    <dataValidation sqref="F23:F26 F32:F33 F39:F40 F46 F52 F58 F64" showDropDown="0" showInputMessage="0" showErrorMessage="1" allowBlank="1" errorTitle="Invalid entry" error="Pick a value from the list" type="list">
      <formula1>SupportPct</formula1>
      <formula2>0</formula2>
    </dataValidation>
    <dataValidation sqref="K23 K24 K25 K26 K32 K46 K52 K58 K64" showDropDown="0" showInputMessage="0" showErrorMessage="1" allowBlank="0" type="list">
      <formula1>"AU,NZ"</formula1>
    </dataValidation>
  </dataValidation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tabColor rgb="001F4E79"/>
    <outlinePr summaryBelow="1" summaryRight="1"/>
    <pageSetUpPr/>
  </sheetPr>
  <dimension ref="A1:M57"/>
  <sheetViews>
    <sheetView showGridLines="0" topLeftCell="A18" zoomScaleNormal="100" workbookViewId="0">
      <selection activeCell="J40" sqref="J40"/>
    </sheetView>
  </sheetViews>
  <sheetFormatPr baseColWidth="8" defaultColWidth="8.54296875" defaultRowHeight="14.5" outlineLevelCol="0"/>
  <cols>
    <col width="28" customWidth="1" style="506" min="2" max="2"/>
    <col width="24.1796875" customWidth="1" style="506" min="3" max="3"/>
    <col width="9.54296875" customWidth="1" style="506" min="4" max="4"/>
    <col width="20.54296875" customWidth="1" style="506" min="5" max="5"/>
    <col width="8.7265625" bestFit="1" customWidth="1" style="506" min="6" max="6"/>
    <col width="27.1796875" customWidth="1" style="506" min="7" max="7"/>
    <col width="14" customWidth="1" style="506" min="8" max="8"/>
    <col width="50.1796875" customWidth="1" style="506" min="9" max="9"/>
    <col width="27.08984375" customWidth="1" style="506" min="10" max="10"/>
    <col width="16.26953125" customWidth="1" style="506" min="11" max="11"/>
  </cols>
  <sheetData>
    <row r="1"/>
    <row r="2" ht="21" customHeight="1" s="506">
      <c r="B2" s="199" t="inlineStr">
        <is>
          <t>Customer</t>
        </is>
      </c>
    </row>
    <row r="3"/>
    <row r="4">
      <c r="B4" s="508" t="inlineStr">
        <is>
          <t>Portfolio Summary</t>
        </is>
      </c>
      <c r="C4" s="509" t="n"/>
      <c r="D4" s="509" t="n"/>
      <c r="E4" s="510" t="n"/>
      <c r="G4" s="200" t="inlineStr">
        <is>
          <t>Budget vs TDD Cost</t>
        </is>
      </c>
      <c r="H4" s="200" t="n"/>
    </row>
    <row r="5">
      <c r="B5" s="5" t="inlineStr">
        <is>
          <t>Cost</t>
        </is>
      </c>
      <c r="C5" s="480" t="inlineStr">
        <is>
          <t>TDD ($m)</t>
        </is>
      </c>
      <c r="D5" s="480" t="inlineStr">
        <is>
          <t>Other ($m)</t>
        </is>
      </c>
      <c r="E5" s="480" t="inlineStr">
        <is>
          <t>Total Customer Cost ($m)</t>
        </is>
      </c>
      <c r="G5" s="201" t="inlineStr">
        <is>
          <t>TDD Lights On Budget (people - 0.2 Data Config)</t>
        </is>
      </c>
      <c r="H5" s="202">
        <f>'0.2 Data Config'!$E$13+'0.2 Data Config'!$E$14</f>
        <v>6.5</v>
      </c>
    </row>
    <row r="6">
      <c r="B6" s="8" t="inlineStr">
        <is>
          <t>Portfolio Overhead (see 0.2 Data Config)</t>
        </is>
      </c>
      <c r="C6" s="202">
        <f>'0.2 Data Config'!$L$10</f>
        <v>0.7495</v>
      </c>
      <c r="E6" s="9">
        <f>C6</f>
        <v>0.7495</v>
      </c>
      <c r="G6" s="201" t="inlineStr">
        <is>
          <t>Overheads &amp; Support (this model)</t>
        </is>
      </c>
      <c r="H6" s="9">
        <f>C9</f>
        <v>9.0245</v>
      </c>
    </row>
    <row r="7">
      <c r="B7" s="8" t="inlineStr">
        <is>
          <t>Platform Overheads</t>
        </is>
      </c>
      <c r="C7" s="9">
        <f>SUM(H32,H40,H47)</f>
        <v>0.495</v>
      </c>
      <c r="E7" s="9">
        <f>C7</f>
        <v>0.495</v>
      </c>
      <c r="G7" s="203" t="inlineStr">
        <is>
          <t>Variance (budget less cost)</t>
        </is>
      </c>
      <c r="H7" s="204">
        <f>H5-H6</f>
        <v>-2.5244999999999997</v>
      </c>
    </row>
    <row r="8">
      <c r="B8" s="8" t="inlineStr">
        <is>
          <t>Squad Support Costs</t>
        </is>
      </c>
      <c r="C8" s="9">
        <f>SUM(H29,H30,H31,H37,H38,H39,H45,H46,H52)</f>
        <v>7.779999999999999</v>
      </c>
      <c r="D8" s="9">
        <f>SUM(I29,I30,I31,I37,I38,I39,I45,I46,I52)</f>
        <v>5.92</v>
      </c>
      <c r="E8" s="9">
        <f>C8+D8</f>
        <v>13.7</v>
      </c>
    </row>
    <row r="9">
      <c r="B9" s="203" t="inlineStr">
        <is>
          <t>Total Cost</t>
        </is>
      </c>
      <c r="C9" s="204">
        <f>SUM(C6:C8)</f>
        <v>9.0245</v>
      </c>
      <c r="D9" s="204">
        <f>SUM(D6:D8)</f>
        <v>5.92</v>
      </c>
      <c r="E9" s="204">
        <f>C9+D9</f>
        <v>14.9445</v>
      </c>
    </row>
    <row r="10">
      <c r="G10" s="561" t="inlineStr">
        <is>
          <t xml:space="preserve">Other funding </t>
        </is>
      </c>
      <c r="H10" s="562" t="n"/>
      <c r="I10" s="562" t="n"/>
      <c r="J10" s="562" t="n"/>
    </row>
    <row r="11">
      <c r="B11" s="560" t="inlineStr">
        <is>
          <t xml:space="preserve">Total Customer budget </t>
        </is>
      </c>
      <c r="D11" s="507" t="n"/>
      <c r="E11" s="206">
        <f>SUM(H12:H21)</f>
        <v>11.7</v>
      </c>
      <c r="G11" s="480" t="inlineStr">
        <is>
          <t>Budget line</t>
        </is>
      </c>
      <c r="H11" s="480" t="inlineStr">
        <is>
          <t>Budget ($m)</t>
        </is>
      </c>
      <c r="I11" s="480" t="inlineStr">
        <is>
          <t>Amount that can be allocated to people</t>
        </is>
      </c>
      <c r="J11" s="480" t="inlineStr">
        <is>
          <t>Remaining for non-people ($m)</t>
        </is>
      </c>
    </row>
    <row r="12">
      <c r="B12" s="560" t="inlineStr">
        <is>
          <t xml:space="preserve">Reconciled to Finance </t>
        </is>
      </c>
      <c r="D12" s="507" t="n"/>
      <c r="E12" s="206">
        <f>'0.1 Budget Table (Fin)'!Q13</f>
        <v>11.7</v>
      </c>
      <c r="G12" s="8" t="inlineStr">
        <is>
          <t>Customer Lights On</t>
        </is>
      </c>
      <c r="H12" s="202">
        <f>'0.1 Budget Table (Fin)'!L13</f>
        <v>1.7000000000000002</v>
      </c>
      <c r="I12" s="467">
        <f>'0.1 Budget Table (Fin)'!G13</f>
        <v>0.0</v>
      </c>
      <c r="J12" s="9">
        <f>IFERROR(H12-I12,0)</f>
        <v>1.7000000000000002</v>
      </c>
    </row>
    <row r="13">
      <c r="G13" s="8" t="inlineStr">
        <is>
          <t>OpEx Initiatives</t>
        </is>
      </c>
      <c r="H13" s="202">
        <f>'0.1 Budget Table (Fin)'!N13</f>
        <v>0.0</v>
      </c>
      <c r="I13" s="208" t="n">
        <v>0</v>
      </c>
      <c r="J13" s="9">
        <f>IFERROR(H13-I13,0)</f>
        <v>0.0</v>
      </c>
    </row>
    <row r="14">
      <c r="B14" s="427" t="inlineStr">
        <is>
          <t>Total to fund</t>
        </is>
      </c>
      <c r="C14" s="428" t="n"/>
      <c r="G14" s="8" t="inlineStr">
        <is>
          <t>CapEx</t>
        </is>
      </c>
      <c r="H14" s="202">
        <f>'0.1 Budget Table (Fin)'!P13</f>
        <v>5.0</v>
      </c>
      <c r="I14" s="208" t="n">
        <v>2</v>
      </c>
      <c r="J14" s="9">
        <f>IFERROR(H14-I14,0)</f>
        <v>3.0</v>
      </c>
    </row>
    <row r="15">
      <c r="B15" s="429" t="inlineStr">
        <is>
          <t>TDD Variance</t>
        </is>
      </c>
      <c r="C15" s="430">
        <f>MAX(0,-H7)</f>
        <v>2.5244999999999997</v>
      </c>
      <c r="G15" s="8" t="inlineStr">
        <is>
          <t>Significant Items EGI</t>
        </is>
      </c>
      <c r="H15" s="202" t="n"/>
      <c r="I15" s="208">
        <f>I52</f>
        <v>0.0</v>
      </c>
      <c r="J15" s="9" t="n"/>
    </row>
    <row r="16">
      <c r="B16" s="429" t="inlineStr">
        <is>
          <t>Other Variance</t>
        </is>
      </c>
      <c r="C16" s="430">
        <f>MAX(0,I24)</f>
        <v>1.92</v>
      </c>
      <c r="G16" s="8" t="inlineStr">
        <is>
          <t xml:space="preserve">Significant Items </t>
        </is>
      </c>
      <c r="H16" s="202">
        <f>'0.1 Budget Table (Fin)'!O13</f>
        <v>5.0</v>
      </c>
      <c r="I16" s="208" t="n">
        <v>2</v>
      </c>
      <c r="J16" s="9">
        <f>IFERROR(H16-I16,0)</f>
        <v>3.0</v>
      </c>
    </row>
    <row r="17">
      <c r="B17" s="431" t="inlineStr">
        <is>
          <t>Total</t>
        </is>
      </c>
      <c r="C17" s="432">
        <f>C15+C16</f>
        <v>4.4445</v>
      </c>
      <c r="G17" s="8" t="inlineStr">
        <is>
          <t>Sig Items EG</t>
        </is>
      </c>
      <c r="H17" s="202" t="n"/>
      <c r="I17" s="208" t="n"/>
      <c r="J17" s="9" t="n"/>
    </row>
    <row r="18">
      <c r="B18" s="224" t="n"/>
      <c r="C18" s="224" t="n"/>
      <c r="G18" s="8" t="inlineStr">
        <is>
          <t>Z OpEx Initiatives</t>
        </is>
      </c>
      <c r="H18" s="202" t="n"/>
      <c r="I18" s="208" t="n"/>
      <c r="J18" s="9" t="n"/>
    </row>
    <row r="19">
      <c r="G19" s="8" t="inlineStr">
        <is>
          <t>Z CapEx</t>
        </is>
      </c>
      <c r="H19" s="202" t="n"/>
      <c r="I19" s="208" t="n"/>
      <c r="J19" s="9" t="n"/>
    </row>
    <row r="20">
      <c r="G20" s="8" t="inlineStr">
        <is>
          <t>Z Sig items</t>
        </is>
      </c>
      <c r="H20" s="202" t="n"/>
      <c r="I20" s="208" t="n"/>
      <c r="J20" s="9" t="n"/>
    </row>
    <row r="21">
      <c r="G21" s="8" t="inlineStr">
        <is>
          <t>Depreciation</t>
        </is>
      </c>
      <c r="H21" s="202">
        <f>'0.1 Budget Table (Fin)'!M13</f>
        <v>0.0</v>
      </c>
      <c r="I21" s="208" t="n">
        <v>0</v>
      </c>
      <c r="J21" s="9">
        <f>IFERROR(H21-I21,0)</f>
        <v>0.0</v>
      </c>
    </row>
    <row r="22">
      <c r="G22" s="211" t="inlineStr">
        <is>
          <t>Total applied</t>
        </is>
      </c>
      <c r="I22" s="22">
        <f>SUM(I12:I21)</f>
        <v>4.0</v>
      </c>
    </row>
    <row r="23">
      <c r="G23" s="8" t="inlineStr">
        <is>
          <t>Other cost (this model)</t>
        </is>
      </c>
      <c r="I23" s="9">
        <f>D9</f>
        <v>5.92</v>
      </c>
    </row>
    <row r="24">
      <c r="G24" s="203" t="inlineStr">
        <is>
          <t>Left to fund</t>
        </is>
      </c>
      <c r="H24" s="203" t="n"/>
      <c r="I24" s="204">
        <f>I23-I22</f>
        <v>1.92</v>
      </c>
      <c r="J24" s="203" t="n"/>
    </row>
    <row r="25"/>
    <row r="26"/>
    <row r="27">
      <c r="B27" s="561" t="inlineStr">
        <is>
          <t>Platform: Ampol Digital</t>
        </is>
      </c>
      <c r="C27" s="562" t="n"/>
      <c r="D27" s="562" t="n"/>
      <c r="E27" s="562" t="n"/>
      <c r="F27" s="562" t="n"/>
      <c r="G27" s="562" t="n"/>
      <c r="H27" s="562" t="n"/>
      <c r="I27" s="562" t="n"/>
    </row>
    <row r="28">
      <c r="B28" s="5" t="inlineStr">
        <is>
          <t>Squad</t>
        </is>
      </c>
      <c r="C28" s="480" t="inlineStr">
        <is>
          <t>Squad Type</t>
        </is>
      </c>
      <c r="D28" s="480" t="inlineStr">
        <is>
          <t>Size</t>
        </is>
      </c>
      <c r="E28" s="480" t="inlineStr">
        <is>
          <t>On/Off</t>
        </is>
      </c>
      <c r="F28" s="480" t="inlineStr">
        <is>
          <t>Support %</t>
        </is>
      </c>
      <c r="G28" s="480" t="inlineStr">
        <is>
          <t>Total Squad Cost ($m)</t>
        </is>
      </c>
      <c r="H28" s="480" t="inlineStr">
        <is>
          <t>TDD Cost ($m)</t>
        </is>
      </c>
      <c r="I28" s="480" t="inlineStr">
        <is>
          <t>Funded outside TDD ($m)</t>
        </is>
      </c>
      <c r="J28" s="483" t="inlineStr">
        <is>
          <t>FTE</t>
        </is>
      </c>
      <c r="L28" s="696" t="inlineStr">
        <is>
          <t>Fund</t>
        </is>
      </c>
    </row>
    <row r="29">
      <c r="B29" s="8" t="inlineStr">
        <is>
          <t>Ampol App</t>
        </is>
      </c>
      <c r="C29" s="213" t="inlineStr">
        <is>
          <t>Product</t>
        </is>
      </c>
      <c r="D29" s="213" t="inlineStr">
        <is>
          <t>L</t>
        </is>
      </c>
      <c r="E29" s="213" t="inlineStr">
        <is>
          <t>Onshore</t>
        </is>
      </c>
      <c r="F29" s="214" t="n">
        <v>0.2</v>
      </c>
      <c r="G29" s="202">
        <f>IFERROR(IF($E29="Onshore",INDEX('0.3 Squad Archetypes'!$G$5:$G$23,MATCH($C29&amp;"|"&amp;$D29,'0.3 Squad Archetypes'!$A$5:$A$23,0)),INDEX('0.3 Squad Archetypes'!$H$5:$H$23,MATCH($C29&amp;"|"&amp;$D29,'0.3 Squad Archetypes'!$A$5:$A$23,0))),"check size")</f>
        <v>2.8</v>
      </c>
      <c r="H29" s="9">
        <f>IFERROR($G29*$F29,"")</f>
        <v>0.5599999999999999</v>
      </c>
      <c r="I29" s="9">
        <f>IFERROR($G29*(1-$F29),"")</f>
        <v>2.2399999999999998</v>
      </c>
      <c r="J29" t="n">
        <v>15</v>
      </c>
      <c r="L29" s="693" t="inlineStr">
        <is>
          <t>AU</t>
        </is>
      </c>
    </row>
    <row r="30">
      <c r="B30" s="8" t="inlineStr">
        <is>
          <t>Ampol Web</t>
        </is>
      </c>
      <c r="C30" s="213" t="inlineStr">
        <is>
          <t>Product</t>
        </is>
      </c>
      <c r="D30" s="213" t="inlineStr">
        <is>
          <t>M</t>
        </is>
      </c>
      <c r="E30" s="213" t="inlineStr">
        <is>
          <t>Onshore</t>
        </is>
      </c>
      <c r="F30" s="214" t="n">
        <v>0.2</v>
      </c>
      <c r="G30" s="202">
        <f>IFERROR(IF($E30="Onshore",INDEX('0.3 Squad Archetypes'!$G$5:$G$23,MATCH($C30&amp;"|"&amp;$D30,'0.3 Squad Archetypes'!$A$5:$A$23,0)),INDEX('0.3 Squad Archetypes'!$H$5:$H$23,MATCH($C30&amp;"|"&amp;$D30,'0.3 Squad Archetypes'!$A$5:$A$23,0))),"check size")</f>
        <v>1.9</v>
      </c>
      <c r="H30" s="9">
        <f>IFERROR($G30*$F30,"")</f>
        <v>0.38</v>
      </c>
      <c r="I30" s="9">
        <f>IFERROR($G30*(1-$F30),"")</f>
        <v>1.52</v>
      </c>
      <c r="J30" t="n">
        <v>9</v>
      </c>
      <c r="L30" s="693" t="inlineStr">
        <is>
          <t>AU</t>
        </is>
      </c>
    </row>
    <row r="31">
      <c r="B31" s="8" t="inlineStr">
        <is>
          <t>Digital Operations</t>
        </is>
      </c>
      <c r="C31" s="213" t="inlineStr">
        <is>
          <t>Operations</t>
        </is>
      </c>
      <c r="D31" s="213" t="inlineStr">
        <is>
          <t>M</t>
        </is>
      </c>
      <c r="E31" s="213" t="inlineStr">
        <is>
          <t>Onshore</t>
        </is>
      </c>
      <c r="F31" s="214" t="n">
        <v>1</v>
      </c>
      <c r="G31" s="202">
        <f>IFERROR(IF($E31="Onshore",INDEX('0.3 Squad Archetypes'!$G$5:$G$23,MATCH($C31&amp;"|"&amp;$D31,'0.3 Squad Archetypes'!$A$5:$A$23,0)),INDEX('0.3 Squad Archetypes'!$H$5:$H$23,MATCH($C31&amp;"|"&amp;$D31,'0.3 Squad Archetypes'!$A$5:$A$23,0))),"check size")</f>
        <v>1.4</v>
      </c>
      <c r="H31" s="9">
        <f>IFERROR($G31*$F31,"")</f>
        <v>1.4</v>
      </c>
      <c r="I31" s="9">
        <f>IFERROR($G31*(1-$F31),"")</f>
        <v>0.0</v>
      </c>
      <c r="J31" t="n">
        <v>6</v>
      </c>
      <c r="L31" s="693" t="inlineStr">
        <is>
          <t>AU</t>
        </is>
      </c>
    </row>
    <row r="32">
      <c r="B32" s="470" t="inlineStr">
        <is>
          <t>Platform Overhead</t>
        </is>
      </c>
      <c r="H32" s="202">
        <f>'0.2 Data Config'!$L$16</f>
        <v>0.165</v>
      </c>
    </row>
    <row r="33">
      <c r="B33" s="203" t="inlineStr">
        <is>
          <t>Ampol Digital Total</t>
        </is>
      </c>
      <c r="C33" s="212" t="n"/>
      <c r="D33" s="212" t="n"/>
      <c r="E33" s="212" t="n"/>
      <c r="F33" s="212" t="n"/>
      <c r="G33" s="484">
        <f>SUM(G29:G31)</f>
        <v>6.1</v>
      </c>
      <c r="H33" s="204">
        <f>SUM(H29:H32)</f>
        <v>2.505</v>
      </c>
      <c r="I33" s="204">
        <f>SUM(I29:I31)</f>
        <v>3.76</v>
      </c>
    </row>
    <row r="34"/>
    <row r="35">
      <c r="B35" s="561" t="inlineStr">
        <is>
          <t>Platform: Customer Z</t>
        </is>
      </c>
      <c r="C35" s="562" t="n"/>
      <c r="D35" s="562" t="n"/>
      <c r="E35" s="562" t="n"/>
      <c r="F35" s="562" t="n"/>
      <c r="G35" s="562" t="n"/>
      <c r="H35" s="562" t="n"/>
      <c r="I35" s="562" t="n"/>
    </row>
    <row r="36">
      <c r="B36" s="5" t="inlineStr">
        <is>
          <t>Squad</t>
        </is>
      </c>
      <c r="C36" s="480" t="inlineStr">
        <is>
          <t>Squad Type</t>
        </is>
      </c>
      <c r="D36" s="480" t="inlineStr">
        <is>
          <t>Size</t>
        </is>
      </c>
      <c r="E36" s="480" t="inlineStr">
        <is>
          <t>On/Off</t>
        </is>
      </c>
      <c r="F36" s="480" t="inlineStr">
        <is>
          <t>Support %</t>
        </is>
      </c>
      <c r="G36" s="480" t="inlineStr">
        <is>
          <t>Total Squad Cost ($m)</t>
        </is>
      </c>
      <c r="H36" s="480" t="inlineStr">
        <is>
          <t>TDD Cost ($m)</t>
        </is>
      </c>
      <c r="I36" s="480" t="inlineStr">
        <is>
          <t>Funded outside TDD ($m)</t>
        </is>
      </c>
      <c r="L36" s="696" t="inlineStr">
        <is>
          <t>Fund</t>
        </is>
      </c>
    </row>
    <row r="37">
      <c r="B37" s="8" t="inlineStr">
        <is>
          <t>Z Energy Apps</t>
        </is>
      </c>
      <c r="C37" s="213" t="inlineStr">
        <is>
          <t>Product</t>
        </is>
      </c>
      <c r="D37" s="213" t="inlineStr">
        <is>
          <t>S</t>
        </is>
      </c>
      <c r="E37" s="213" t="inlineStr">
        <is>
          <t>Onshore</t>
        </is>
      </c>
      <c r="F37" s="214" t="n">
        <v>1</v>
      </c>
      <c r="G37" s="202">
        <f>IFERROR(IF($E37="Onshore",INDEX('0.3 Squad Archetypes'!$G$5:$G$23,MATCH($C37&amp;"|"&amp;$D37,'0.3 Squad Archetypes'!$A$5:$A$23,0)),INDEX('0.3 Squad Archetypes'!$H$5:$H$23,MATCH($C37&amp;"|"&amp;$D37,'0.3 Squad Archetypes'!$A$5:$A$23,0))),"check size")</f>
        <v>1.3</v>
      </c>
      <c r="H37" s="9">
        <f>IFERROR($G37*$F37,"")</f>
        <v>1.3</v>
      </c>
      <c r="I37" s="9">
        <f>IFERROR($G37*(1-$F37),"")</f>
        <v>0.0</v>
      </c>
      <c r="J37" t="inlineStr">
        <is>
          <t xml:space="preserve">Z funded incl. in the lights on budget. Needs to be under group customer platforms </t>
        </is>
      </c>
      <c r="K37" t="n">
        <v>5</v>
      </c>
      <c r="L37" s="693" t="inlineStr">
        <is>
          <t>NZ</t>
        </is>
      </c>
    </row>
    <row r="38">
      <c r="B38" s="244" t="inlineStr">
        <is>
          <t>Z Energy Martech</t>
        </is>
      </c>
      <c r="C38" s="245" t="inlineStr">
        <is>
          <t>Product</t>
        </is>
      </c>
      <c r="D38" s="245" t="inlineStr">
        <is>
          <t>L</t>
        </is>
      </c>
      <c r="E38" s="245" t="inlineStr">
        <is>
          <t>Onshore</t>
        </is>
      </c>
      <c r="F38" s="246" t="n">
        <v>1</v>
      </c>
      <c r="G38" s="202">
        <f>IFERROR(IF($E38="Onshore",INDEX('0.3 Squad Archetypes'!$G$5:$G$23,MATCH($C38&amp;"|"&amp;$D38,'0.3 Squad Archetypes'!$A$5:$A$23,0)),INDEX('0.3 Squad Archetypes'!$H$5:$H$23,MATCH($C38&amp;"|"&amp;$D38,'0.3 Squad Archetypes'!$A$5:$A$23,0))),"check size")</f>
        <v>2.8</v>
      </c>
      <c r="H38" s="9">
        <f>IFERROR($G38*$F38,"")</f>
        <v>2.8</v>
      </c>
      <c r="I38" s="9">
        <f>IFERROR($G38*(1-$F38),"")</f>
        <v>0.0</v>
      </c>
      <c r="J38" t="inlineStr">
        <is>
          <t xml:space="preserve">Z funded incl. in the lights on budget. Needs to be under group customer platforms </t>
        </is>
      </c>
      <c r="K38" t="n">
        <v>16</v>
      </c>
      <c r="L38" s="693" t="inlineStr">
        <is>
          <t>NZ</t>
        </is>
      </c>
    </row>
    <row r="39">
      <c r="A39" t="inlineStr">
        <is>
          <t>Net New</t>
        </is>
      </c>
      <c r="B39" s="8" t="inlineStr">
        <is>
          <t>Digital Support NZ</t>
        </is>
      </c>
      <c r="C39" s="242" t="inlineStr">
        <is>
          <t>Operations</t>
        </is>
      </c>
      <c r="D39" s="242" t="inlineStr">
        <is>
          <t>S</t>
        </is>
      </c>
      <c r="E39" s="242" t="inlineStr">
        <is>
          <t>Onshore</t>
        </is>
      </c>
      <c r="F39" s="243" t="n">
        <v>1</v>
      </c>
      <c r="G39" s="202">
        <f>IFERROR(IF($E39="Onshore",INDEX('0.3 Squad Archetypes'!$G$5:$G$23,MATCH($C39&amp;"|"&amp;$D39,'0.3 Squad Archetypes'!$A$5:$A$23,0)),INDEX('0.3 Squad Archetypes'!$H$5:$H$23,MATCH($C39&amp;"|"&amp;$D39,'0.3 Squad Archetypes'!$A$5:$A$23,0))),"check size")</f>
        <v>0.8</v>
      </c>
      <c r="H39" s="9">
        <f>IFERROR($G39*$F39,"")</f>
        <v>0.8</v>
      </c>
      <c r="I39" s="9">
        <f>IFERROR($G39*(1-$F39),"")</f>
        <v>0.0</v>
      </c>
      <c r="J39" t="inlineStr">
        <is>
          <t xml:space="preserve">Z funded incl. in the lights on budget. Needs to be under group customer platforms </t>
        </is>
      </c>
      <c r="L39" s="693" t="inlineStr">
        <is>
          <t>NZ</t>
        </is>
      </c>
    </row>
    <row r="40">
      <c r="B40" s="470" t="inlineStr">
        <is>
          <t>Platform Overhead</t>
        </is>
      </c>
      <c r="H40" s="202">
        <f>'0.2 Data Config'!$L$16</f>
        <v>0.165</v>
      </c>
    </row>
    <row r="41">
      <c r="B41" s="203" t="inlineStr">
        <is>
          <t>Customer Z Total</t>
        </is>
      </c>
      <c r="C41" s="212" t="n"/>
      <c r="D41" s="212" t="n"/>
      <c r="E41" s="212" t="n"/>
      <c r="F41" s="212" t="n"/>
      <c r="G41" s="204">
        <f>SUM(G37:G39)</f>
        <v>4.8999999999999995</v>
      </c>
      <c r="H41" s="204">
        <f>SUM(H37:H40)</f>
        <v>5.0649999999999995</v>
      </c>
      <c r="I41" s="204">
        <f>SUM(I37:I39)</f>
        <v>0.0</v>
      </c>
    </row>
    <row r="42">
      <c r="M42" t="inlineStr">
        <is>
          <t>2 B2B Vacant FTEs</t>
        </is>
      </c>
    </row>
    <row r="43">
      <c r="B43" s="563" t="inlineStr">
        <is>
          <t>Platform: Group Customer Platforms</t>
        </is>
      </c>
    </row>
    <row r="44">
      <c r="B44" s="217" t="inlineStr">
        <is>
          <t>Squad</t>
        </is>
      </c>
      <c r="C44" s="485" t="inlineStr">
        <is>
          <t>Squad Type</t>
        </is>
      </c>
      <c r="D44" s="485" t="inlineStr">
        <is>
          <t>Size</t>
        </is>
      </c>
      <c r="E44" s="485" t="inlineStr">
        <is>
          <t>On/Off</t>
        </is>
      </c>
      <c r="F44" s="485" t="inlineStr">
        <is>
          <t>Support %</t>
        </is>
      </c>
      <c r="G44" s="485" t="inlineStr">
        <is>
          <t>Total Squad Cost ($m)</t>
        </is>
      </c>
      <c r="H44" s="485" t="inlineStr">
        <is>
          <t>TDD Cost ($m)</t>
        </is>
      </c>
      <c r="I44" s="485" t="inlineStr">
        <is>
          <t>Funded outside TDD ($m)</t>
        </is>
      </c>
      <c r="L44" s="696" t="inlineStr">
        <is>
          <t>Fund</t>
        </is>
      </c>
    </row>
    <row r="45">
      <c r="B45" s="218" t="inlineStr">
        <is>
          <t>AU CRM &amp; Martech</t>
        </is>
      </c>
      <c r="C45" s="219" t="inlineStr">
        <is>
          <t>Product</t>
        </is>
      </c>
      <c r="D45" s="219" t="inlineStr">
        <is>
          <t>M</t>
        </is>
      </c>
      <c r="E45" s="219" t="inlineStr">
        <is>
          <t>Onshore</t>
        </is>
      </c>
      <c r="F45" s="220" t="n">
        <v>0.2</v>
      </c>
      <c r="G45" s="221">
        <f>IFERROR(IF($E45="Onshore",INDEX('0.3 Squad Archetypes'!$G$5:$G$23,MATCH($C45&amp;"|"&amp;$D45,'0.3 Squad Archetypes'!$A$5:$A$23,0)),INDEX('0.3 Squad Archetypes'!$H$5:$H$23,MATCH($C45&amp;"|"&amp;$D45,'0.3 Squad Archetypes'!$A$5:$A$23,0))),"check size")</f>
        <v>1.9</v>
      </c>
      <c r="H45" s="222">
        <f>IFERROR($G45*$F45,"")</f>
        <v>0.38</v>
      </c>
      <c r="I45" s="222">
        <f>IFERROR($G45*(1-$F45),"")</f>
        <v>1.52</v>
      </c>
      <c r="J45" t="n">
        <v>7</v>
      </c>
      <c r="L45" s="693" t="inlineStr">
        <is>
          <t>AU</t>
        </is>
      </c>
    </row>
    <row r="46">
      <c r="A46" t="inlineStr">
        <is>
          <t>Net New - 3FTE</t>
        </is>
      </c>
      <c r="B46" s="218" t="inlineStr">
        <is>
          <t xml:space="preserve">AI Enablement </t>
        </is>
      </c>
      <c r="C46" s="242" t="inlineStr">
        <is>
          <t>Engineering</t>
        </is>
      </c>
      <c r="D46" s="242" t="inlineStr">
        <is>
          <t>S</t>
        </is>
      </c>
      <c r="E46" s="242" t="inlineStr">
        <is>
          <t>Onshore</t>
        </is>
      </c>
      <c r="F46" s="220" t="n">
        <v>0.2</v>
      </c>
      <c r="G46" s="221">
        <f>IFERROR(IF($E46="Onshore",INDEX('0.3 Squad Archetypes'!$G$5:$G$23,MATCH($C46&amp;"|"&amp;$D46,'0.3 Squad Archetypes'!$A$5:$A$23,0)),INDEX('0.3 Squad Archetypes'!$H$5:$H$23,MATCH($C46&amp;"|"&amp;$D46,'0.3 Squad Archetypes'!$A$5:$A$23,0))),"check size")</f>
        <v>0.8</v>
      </c>
      <c r="H46" s="222">
        <f>IFERROR($G46*$F46,"")</f>
        <v>0.16000000000000003</v>
      </c>
      <c r="I46" s="222">
        <f>IFERROR($G46*(1-$F46),"")</f>
        <v>0.6400000000000001</v>
      </c>
      <c r="L46" s="693" t="inlineStr">
        <is>
          <t>AU</t>
        </is>
      </c>
    </row>
    <row r="47">
      <c r="B47" s="486" t="inlineStr">
        <is>
          <t>Platform Overhead</t>
        </is>
      </c>
      <c r="C47" s="201" t="n"/>
      <c r="D47" s="201" t="n"/>
      <c r="E47" s="201" t="n"/>
      <c r="F47" s="201" t="n"/>
      <c r="G47" s="224" t="n"/>
      <c r="H47" s="221">
        <f>'0.2 Data Config'!$L$16</f>
        <v>0.165</v>
      </c>
      <c r="I47" s="224" t="n"/>
    </row>
    <row r="48">
      <c r="B48" s="225" t="inlineStr">
        <is>
          <t>Group Customer Platforms Total</t>
        </is>
      </c>
      <c r="C48" s="212" t="n"/>
      <c r="D48" s="212" t="n"/>
      <c r="E48" s="212" t="n"/>
      <c r="F48" s="212" t="n"/>
      <c r="G48" s="226">
        <f>SUM(G45:G46)</f>
        <v>2.7</v>
      </c>
      <c r="H48" s="226">
        <f>SUM(H45:H47)</f>
        <v>0.7050000000000001</v>
      </c>
      <c r="I48" s="226">
        <f>SUM(I45:I46)</f>
        <v>2.16</v>
      </c>
    </row>
    <row r="49"/>
    <row r="50">
      <c r="B50" s="563" t="inlineStr">
        <is>
          <t>Platform: EGI Customer</t>
        </is>
      </c>
    </row>
    <row r="51">
      <c r="B51" s="217" t="inlineStr">
        <is>
          <t>Squad</t>
        </is>
      </c>
      <c r="C51" s="485" t="inlineStr">
        <is>
          <t>Squad Type</t>
        </is>
      </c>
      <c r="D51" s="485" t="inlineStr">
        <is>
          <t>Size</t>
        </is>
      </c>
      <c r="E51" s="485" t="inlineStr">
        <is>
          <t>On/Off</t>
        </is>
      </c>
      <c r="F51" s="485" t="inlineStr">
        <is>
          <t>Support %</t>
        </is>
      </c>
      <c r="G51" s="485" t="inlineStr">
        <is>
          <t>Total Squad Cost ($m)</t>
        </is>
      </c>
      <c r="H51" s="485" t="inlineStr">
        <is>
          <t>TDD Cost ($m)</t>
        </is>
      </c>
      <c r="I51" s="485" t="inlineStr">
        <is>
          <t>Funded outside TDD ($m)</t>
        </is>
      </c>
      <c r="L51" s="696" t="inlineStr">
        <is>
          <t>Fund</t>
        </is>
      </c>
    </row>
    <row r="52">
      <c r="B52" s="218" t="inlineStr">
        <is>
          <t>EGI Customer</t>
        </is>
      </c>
      <c r="C52" s="219" t="inlineStr">
        <is>
          <t>Strategic Programs</t>
        </is>
      </c>
      <c r="D52" s="219" t="n"/>
      <c r="E52" s="219" t="inlineStr">
        <is>
          <t>Onshore</t>
        </is>
      </c>
      <c r="F52" s="220" t="n">
        <v>0</v>
      </c>
      <c r="G52" s="227" t="n">
        <v>0</v>
      </c>
      <c r="H52" s="222">
        <f>IFERROR($G52*$F52,"")</f>
        <v>0.0</v>
      </c>
      <c r="I52" s="222">
        <f>IFERROR($G52*(1-$F52),"")</f>
        <v>0.0</v>
      </c>
      <c r="J52" t="n">
        <v>9</v>
      </c>
      <c r="K52" t="inlineStr">
        <is>
          <t>EGI completely separate funded by EGI not within sig items budget</t>
        </is>
      </c>
      <c r="L52" s="693" t="inlineStr">
        <is>
          <t>AU</t>
        </is>
      </c>
    </row>
    <row r="53">
      <c r="B53" s="223" t="n"/>
      <c r="C53" s="201" t="n"/>
      <c r="D53" s="201" t="n"/>
      <c r="E53" s="201" t="n"/>
      <c r="F53" s="201" t="n"/>
      <c r="G53" s="224" t="n"/>
      <c r="H53" s="221" t="n"/>
      <c r="I53" s="224" t="n"/>
      <c r="K53" t="n">
        <v>2.25</v>
      </c>
    </row>
    <row r="54">
      <c r="B54" s="225" t="inlineStr">
        <is>
          <t>EGI Customer Total</t>
        </is>
      </c>
      <c r="C54" s="212" t="n"/>
      <c r="D54" s="212" t="n"/>
      <c r="E54" s="212" t="n"/>
      <c r="F54" s="212" t="n"/>
      <c r="G54" s="226">
        <f>SUM(G52:G52)</f>
        <v>0.0</v>
      </c>
      <c r="H54" s="226">
        <f>SUM(H52:H52)</f>
        <v>0.0</v>
      </c>
      <c r="I54" s="226">
        <f>SUM(I52:I52)</f>
        <v>0.0</v>
      </c>
    </row>
    <row r="55"/>
    <row r="56">
      <c r="B56" s="686" t="inlineStr">
        <is>
          <t>TDD squad cost - AU funded (Fund toggles) ($m)</t>
        </is>
      </c>
      <c r="C56" s="669">
        <f>SUMIF(L29:L31,"AU",H29:H31)+SUMIF(L37:L39,"AU",H37:H39)+SUMIF(L45:L46,"AU",H45:H46)+SUMIF(L52:L52,"AU",H52:H52)</f>
        <v>2.88</v>
      </c>
    </row>
    <row r="57">
      <c r="B57" s="686" t="inlineStr">
        <is>
          <t>TDD squad cost - NZ funded (Fund toggles) ($m)</t>
        </is>
      </c>
      <c r="C57" s="669">
        <f>SUMIF(L29:L31,"NZ",H29:H31)+SUMIF(L37:L39,"NZ",H37:H39)+SUMIF(L45:L46,"NZ",H45:H46)+SUMIF(L52:L52,"NZ",H52:H52)</f>
        <v>4.8999999999999995</v>
      </c>
    </row>
  </sheetData>
  <mergeCells count="8">
    <mergeCell ref="B11:D11"/>
    <mergeCell ref="B4:E4"/>
    <mergeCell ref="B12:D12"/>
    <mergeCell ref="B27:I27"/>
    <mergeCell ref="B35:I35"/>
    <mergeCell ref="B50:I50"/>
    <mergeCell ref="G10:J10"/>
    <mergeCell ref="B43:I43"/>
  </mergeCells>
  <conditionalFormatting sqref="C17">
    <cfRule type="cellIs" priority="9" operator="greaterThan" dxfId="1">
      <formula>0</formula>
    </cfRule>
    <cfRule type="cellIs" priority="9" operator="lessThanOrEqual" dxfId="0">
      <formula>0</formula>
    </cfRule>
  </conditionalFormatting>
  <conditionalFormatting sqref="H7">
    <cfRule type="cellIs" priority="5" operator="greaterThanOrEqual" dxfId="0">
      <formula>0</formula>
    </cfRule>
    <cfRule type="cellIs" priority="6" operator="lessThan" dxfId="1">
      <formula>0</formula>
    </cfRule>
  </conditionalFormatting>
  <conditionalFormatting sqref="I24">
    <cfRule type="cellIs" priority="7" operator="greaterThan" dxfId="1">
      <formula>0</formula>
    </cfRule>
    <cfRule type="cellIs" priority="8" operator="lessThanOrEqual" dxfId="0">
      <formula>0</formula>
    </cfRule>
  </conditionalFormatting>
  <dataValidations count="5">
    <dataValidation sqref="C29:C31 C37:C39 C45:C46" showDropDown="0" showInputMessage="0" showErrorMessage="1" allowBlank="1" errorTitle="Invalid entry" error="Pick a value from the list" type="list">
      <formula1>SquadTypes</formula1>
      <formula2>0</formula2>
    </dataValidation>
    <dataValidation sqref="D29:D31 D37:D39 D45:D46 D52" showDropDown="0" showInputMessage="0" showErrorMessage="1" allowBlank="1" errorTitle="Invalid entry" error="Pick a value from the list" type="list">
      <formula1>SquadSizes</formula1>
      <formula2>0</formula2>
    </dataValidation>
    <dataValidation sqref="E29:E31 E37:E39 E45:E46 E52" showDropDown="0" showInputMessage="0" showErrorMessage="1" allowBlank="1" errorTitle="Invalid entry" error="Pick a value from the list" type="list">
      <formula1>OnOff</formula1>
      <formula2>0</formula2>
    </dataValidation>
    <dataValidation sqref="F29:F31 F37:F39 F45:F46 F52" showDropDown="0" showInputMessage="0" showErrorMessage="1" allowBlank="1" errorTitle="Invalid entry" error="Pick a value from the list" type="list">
      <formula1>SupportPct</formula1>
      <formula2>0</formula2>
    </dataValidation>
    <dataValidation sqref="L29 L30 L31 L37 L38 L39 L45 L46 L52" showDropDown="0" showInputMessage="0" showErrorMessage="1" allowBlank="0" type="list">
      <formula1>"AU,NZ"</formula1>
    </dataValidation>
  </dataValidation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tabColor rgb="001F4E79"/>
    <outlinePr summaryBelow="1" summaryRight="1"/>
    <pageSetUpPr/>
  </sheetPr>
  <dimension ref="A1:K33"/>
  <sheetViews>
    <sheetView showGridLines="0" zoomScaleNormal="100" workbookViewId="0">
      <selection activeCell="B27" sqref="B27"/>
    </sheetView>
  </sheetViews>
  <sheetFormatPr baseColWidth="8" defaultColWidth="8.54296875" defaultRowHeight="14.5" outlineLevelCol="0"/>
  <cols>
    <col width="28" customWidth="1" style="506" min="2" max="2"/>
    <col width="26" customWidth="1" style="506" min="3" max="3"/>
    <col width="9.54296875" customWidth="1" style="506" min="4" max="4"/>
    <col width="25.1796875" customWidth="1" style="506" min="5" max="5"/>
    <col width="11" customWidth="1" style="506" min="6" max="6"/>
    <col width="34.453125" bestFit="1" customWidth="1" style="506" min="7" max="7"/>
    <col width="14" customWidth="1" style="506" min="8" max="8"/>
    <col width="50.1796875" customWidth="1" style="506" min="9" max="9"/>
    <col width="24.81640625" customWidth="1" style="506" min="10" max="10"/>
  </cols>
  <sheetData>
    <row r="1"/>
    <row r="2" ht="21" customHeight="1" s="506">
      <c r="B2" s="199" t="inlineStr">
        <is>
          <t>Enterprise Data</t>
        </is>
      </c>
    </row>
    <row r="3"/>
    <row r="4">
      <c r="B4" s="508" t="inlineStr">
        <is>
          <t>Portfolio Summary</t>
        </is>
      </c>
      <c r="C4" s="509" t="n"/>
      <c r="D4" s="509" t="n"/>
      <c r="E4" s="510" t="n"/>
      <c r="G4" s="558" t="inlineStr">
        <is>
          <t>Budget vs TDD Cost</t>
        </is>
      </c>
      <c r="H4" s="510" t="n"/>
    </row>
    <row r="5">
      <c r="B5" s="5" t="inlineStr">
        <is>
          <t>Cost</t>
        </is>
      </c>
      <c r="C5" s="480" t="inlineStr">
        <is>
          <t>TDD ($m)</t>
        </is>
      </c>
      <c r="D5" s="480" t="inlineStr">
        <is>
          <t>Other ($m)</t>
        </is>
      </c>
      <c r="E5" s="480" t="inlineStr">
        <is>
          <t>Total Enterprise Data Cost ($m)</t>
        </is>
      </c>
      <c r="G5" s="201" t="inlineStr">
        <is>
          <t>TDD Lights On Budget (people - 0.2 Data Config)</t>
        </is>
      </c>
      <c r="H5" s="202">
        <f>'0.2 Data Config'!$E$22</f>
        <v>3.5</v>
      </c>
    </row>
    <row r="6">
      <c r="B6" s="8" t="inlineStr">
        <is>
          <t>Portfolio Overhead (see 0.2 Data Config)</t>
        </is>
      </c>
      <c r="C6" s="202">
        <f>'0.2 Data Config'!$L$10</f>
        <v>0.7495</v>
      </c>
      <c r="E6" s="9">
        <f>C6</f>
        <v>0.7495</v>
      </c>
      <c r="G6" s="201" t="inlineStr">
        <is>
          <t>Overheads &amp; Support (this model)</t>
        </is>
      </c>
      <c r="H6" s="9">
        <f>C9</f>
        <v>4.1105</v>
      </c>
    </row>
    <row r="7">
      <c r="B7" s="8" t="inlineStr">
        <is>
          <t>Platform Overheads</t>
        </is>
      </c>
      <c r="C7" s="9">
        <f>SUM(H29)</f>
        <v>0.165</v>
      </c>
      <c r="E7" s="9">
        <f>C7</f>
        <v>0.165</v>
      </c>
      <c r="G7" s="203" t="inlineStr">
        <is>
          <t>Variance (budget less cost)</t>
        </is>
      </c>
      <c r="H7" s="204">
        <f>H5-H6</f>
        <v>-0.6105</v>
      </c>
    </row>
    <row r="8">
      <c r="B8" s="8" t="inlineStr">
        <is>
          <t>Squad Support Costs</t>
        </is>
      </c>
      <c r="C8" s="9">
        <f>SUM(H24,H25,H26,H27,H28)</f>
        <v>3.196</v>
      </c>
      <c r="D8" s="9">
        <f>SUM(I24,I25,I26,I27,I28)</f>
        <v>1.9040000000000001</v>
      </c>
      <c r="E8" s="9">
        <f>C8+D8</f>
        <v>5.1000000000000005</v>
      </c>
    </row>
    <row r="9">
      <c r="B9" s="203" t="inlineStr">
        <is>
          <t>Total Cost</t>
        </is>
      </c>
      <c r="C9" s="204">
        <f>SUM(C6:C8)</f>
        <v>4.1105</v>
      </c>
      <c r="D9" s="204">
        <f>SUM(D6:D8)</f>
        <v>1.9040000000000001</v>
      </c>
      <c r="E9" s="204">
        <f>C9+D9</f>
        <v>6.0145</v>
      </c>
    </row>
    <row r="10">
      <c r="G10" s="511" t="inlineStr">
        <is>
          <t xml:space="preserve">Other funding </t>
        </is>
      </c>
      <c r="H10" s="512" t="n"/>
      <c r="I10" s="512" t="n"/>
      <c r="J10" s="513" t="n"/>
    </row>
    <row r="11">
      <c r="B11" s="564" t="n"/>
      <c r="D11" s="507" t="n"/>
      <c r="E11" s="206" t="n"/>
      <c r="G11" s="480" t="inlineStr">
        <is>
          <t>Funding position</t>
        </is>
      </c>
      <c r="H11" s="217" t="n"/>
      <c r="I11" s="217" t="n"/>
      <c r="J11" s="217" t="n"/>
    </row>
    <row r="12">
      <c r="B12" s="505" t="n"/>
      <c r="D12" s="507" t="n"/>
      <c r="E12" s="207" t="n"/>
      <c r="G12" s="211" t="inlineStr">
        <is>
          <t>Other cost (this model)</t>
        </is>
      </c>
      <c r="H12" s="221" t="n"/>
      <c r="I12" s="228">
        <f>D9</f>
        <v>1.9040000000000001</v>
      </c>
      <c r="J12" s="222" t="n"/>
    </row>
    <row r="13">
      <c r="B13" s="427" t="inlineStr">
        <is>
          <t>Total to fund</t>
        </is>
      </c>
      <c r="C13" s="428" t="n"/>
      <c r="G13" s="211" t="inlineStr">
        <is>
          <t>Funded from TDD Corporate pool (2.4 COE Summary)</t>
        </is>
      </c>
      <c r="H13" s="221" t="n"/>
      <c r="I13" s="216" t="n">
        <v>0</v>
      </c>
      <c r="J13" s="222" t="n"/>
    </row>
    <row r="14">
      <c r="B14" s="429" t="inlineStr">
        <is>
          <t>TDD Variance</t>
        </is>
      </c>
      <c r="C14" s="430">
        <f>MAX(0,-H7)</f>
        <v>0.6105</v>
      </c>
      <c r="D14" s="232" t="n"/>
      <c r="G14" s="203" t="inlineStr">
        <is>
          <t>Left to fund</t>
        </is>
      </c>
      <c r="H14" s="221" t="n"/>
      <c r="I14" s="204">
        <f>I12-I13</f>
        <v>1.9040000000000001</v>
      </c>
      <c r="J14" s="222" t="n"/>
    </row>
    <row r="15">
      <c r="B15" s="429" t="inlineStr">
        <is>
          <t>Other Variance</t>
        </is>
      </c>
      <c r="C15" s="430">
        <f>MAX(0,I14)</f>
        <v>1.9040000000000001</v>
      </c>
      <c r="D15" s="224" t="n"/>
      <c r="G15" s="218" t="n"/>
      <c r="H15" s="221" t="n"/>
      <c r="I15" s="229" t="n"/>
      <c r="J15" s="222" t="n"/>
    </row>
    <row r="16">
      <c r="B16" s="431" t="inlineStr">
        <is>
          <t>Total</t>
        </is>
      </c>
      <c r="C16" s="432">
        <f>C14+C15</f>
        <v>2.5145</v>
      </c>
      <c r="D16" s="224" t="n"/>
      <c r="G16" s="218" t="n"/>
      <c r="H16" s="221" t="n"/>
      <c r="I16" s="229" t="n"/>
      <c r="J16" s="222" t="n"/>
    </row>
    <row r="17">
      <c r="C17" s="224" t="n"/>
      <c r="D17" s="224" t="n"/>
      <c r="G17" s="230" t="n"/>
      <c r="H17" s="224" t="n"/>
      <c r="I17" s="231" t="n"/>
      <c r="J17" s="224" t="n"/>
    </row>
    <row r="18">
      <c r="G18" s="218" t="n"/>
      <c r="H18" s="224" t="n"/>
      <c r="I18" s="222" t="n"/>
      <c r="J18" s="224" t="n"/>
    </row>
    <row r="19">
      <c r="G19" s="225" t="n"/>
      <c r="H19" s="224" t="n"/>
      <c r="I19" s="226" t="n"/>
      <c r="J19" s="224" t="n"/>
    </row>
    <row r="20"/>
    <row r="21"/>
    <row r="22">
      <c r="B22" s="561" t="inlineStr">
        <is>
          <t>Platform: Group Data</t>
        </is>
      </c>
      <c r="C22" s="562" t="n"/>
      <c r="D22" s="562" t="n"/>
      <c r="E22" s="562" t="n"/>
      <c r="F22" s="562" t="n"/>
      <c r="G22" s="562" t="n"/>
      <c r="H22" s="562" t="n"/>
      <c r="I22" s="562" t="n"/>
    </row>
    <row r="23">
      <c r="B23" s="5" t="inlineStr">
        <is>
          <t>Squad</t>
        </is>
      </c>
      <c r="C23" s="480" t="inlineStr">
        <is>
          <t>Squad Type</t>
        </is>
      </c>
      <c r="D23" s="480" t="inlineStr">
        <is>
          <t>Size</t>
        </is>
      </c>
      <c r="E23" s="480" t="inlineStr">
        <is>
          <t>On/Off</t>
        </is>
      </c>
      <c r="F23" s="480" t="inlineStr">
        <is>
          <t>Support %</t>
        </is>
      </c>
      <c r="G23" s="480" t="inlineStr">
        <is>
          <t>Total Squad Cost ($m)</t>
        </is>
      </c>
      <c r="H23" s="480" t="inlineStr">
        <is>
          <t>TDD Cost ($m)</t>
        </is>
      </c>
      <c r="I23" s="480" t="inlineStr">
        <is>
          <t>Funded outside TDD ($m)</t>
        </is>
      </c>
      <c r="K23" s="696" t="inlineStr">
        <is>
          <t>Fund</t>
        </is>
      </c>
    </row>
    <row r="24">
      <c r="B24" s="8" t="inlineStr">
        <is>
          <t>Data Science</t>
        </is>
      </c>
      <c r="C24" s="213" t="inlineStr">
        <is>
          <t>Enterprise Data and Insights</t>
        </is>
      </c>
      <c r="D24" s="213" t="inlineStr">
        <is>
          <t>M</t>
        </is>
      </c>
      <c r="E24" s="213" t="inlineStr">
        <is>
          <t>Onshore</t>
        </is>
      </c>
      <c r="F24" s="214" t="n">
        <v>0.2</v>
      </c>
      <c r="G24" s="202">
        <f>IFERROR(IF($E24="Onshore",INDEX('0.3 Squad Archetypes'!$G$5:$G$23,MATCH($C24&amp;"|"&amp;$D24,'0.3 Squad Archetypes'!$A$5:$A$23,0)),INDEX('0.3 Squad Archetypes'!$H$5:$H$23,MATCH($C24&amp;"|"&amp;$D24,'0.3 Squad Archetypes'!$A$5:$A$23,0))),"check size")</f>
        <v>1.7</v>
      </c>
      <c r="H24" s="9">
        <f>IFERROR($G24*$F24,"")</f>
        <v>0.34</v>
      </c>
      <c r="I24" s="9">
        <f>IFERROR($G24*(1-$F24),"")</f>
        <v>1.36</v>
      </c>
      <c r="K24" s="693" t="inlineStr">
        <is>
          <t>AU</t>
        </is>
      </c>
    </row>
    <row r="25">
      <c r="B25" s="8" t="inlineStr">
        <is>
          <t>Operations</t>
        </is>
      </c>
      <c r="C25" s="213" t="inlineStr">
        <is>
          <t>Operations</t>
        </is>
      </c>
      <c r="D25" s="213" t="inlineStr">
        <is>
          <t>L</t>
        </is>
      </c>
      <c r="E25" s="213" t="inlineStr">
        <is>
          <t>Offshore</t>
        </is>
      </c>
      <c r="F25" s="214" t="n">
        <v>1</v>
      </c>
      <c r="G25" s="202">
        <f>IFERROR(IF($E25="Onshore",INDEX('0.3 Squad Archetypes'!$G$5:$G$23,MATCH($C25&amp;"|"&amp;$D25,'0.3 Squad Archetypes'!$A$5:$A$23,0)),INDEX('0.3 Squad Archetypes'!$H$5:$H$23,MATCH($C25&amp;"|"&amp;$D25,'0.3 Squad Archetypes'!$A$5:$A$23,0))),"check size")</f>
        <v>0.9199999999999999</v>
      </c>
      <c r="H25" s="9">
        <f>IFERROR($G25*$F25,"")</f>
        <v>0.9199999999999999</v>
      </c>
      <c r="I25" s="9">
        <f>IFERROR($G25*(1-$F25),"")</f>
        <v>0.0</v>
      </c>
      <c r="J25" t="inlineStr">
        <is>
          <t>2 Large to 1 big ops squad offshore and 2 small data squads onshore</t>
        </is>
      </c>
      <c r="K25" s="693" t="inlineStr">
        <is>
          <t>AU</t>
        </is>
      </c>
    </row>
    <row r="26">
      <c r="B26" s="8" t="inlineStr">
        <is>
          <t>Reporting &amp; Analytics</t>
        </is>
      </c>
      <c r="C26" s="213" t="inlineStr">
        <is>
          <t>Enterprise Data and Insights</t>
        </is>
      </c>
      <c r="D26" s="213" t="inlineStr">
        <is>
          <t>S</t>
        </is>
      </c>
      <c r="E26" s="213" t="inlineStr">
        <is>
          <t>Onshore</t>
        </is>
      </c>
      <c r="F26" s="214" t="n">
        <v>1</v>
      </c>
      <c r="G26" s="202">
        <f>IFERROR(IF($E26="Onshore",INDEX('0.3 Squad Archetypes'!$G$5:$G$23,MATCH($C26&amp;"|"&amp;$D26,'0.3 Squad Archetypes'!$A$5:$A$23,0)),INDEX('0.3 Squad Archetypes'!$H$5:$H$23,MATCH($C26&amp;"|"&amp;$D26,'0.3 Squad Archetypes'!$A$5:$A$23,0))),"check size")</f>
        <v>0.9</v>
      </c>
      <c r="H26" s="9">
        <f>IFERROR($G26*$F26,"")</f>
        <v>0.9</v>
      </c>
      <c r="I26" s="9">
        <f>IFERROR($G26*(1-$F26),"")</f>
        <v>0.0</v>
      </c>
      <c r="K26" s="693" t="inlineStr">
        <is>
          <t>AU</t>
        </is>
      </c>
    </row>
    <row r="27">
      <c r="B27" s="8" t="inlineStr">
        <is>
          <t>Data Platforms</t>
        </is>
      </c>
      <c r="C27" s="213" t="inlineStr">
        <is>
          <t>Enterprise Data and Insights</t>
        </is>
      </c>
      <c r="D27" s="213" t="inlineStr">
        <is>
          <t>S</t>
        </is>
      </c>
      <c r="E27" s="213" t="inlineStr">
        <is>
          <t>Onshore</t>
        </is>
      </c>
      <c r="F27" s="214" t="n">
        <v>1</v>
      </c>
      <c r="G27" s="202">
        <f>IFERROR(IF($E27="Onshore",INDEX('0.3 Squad Archetypes'!$G$5:$G$23,MATCH($C27&amp;"|"&amp;$D27,'0.3 Squad Archetypes'!$A$5:$A$23,0)),INDEX('0.3 Squad Archetypes'!$H$5:$H$23,MATCH($C27&amp;"|"&amp;$D27,'0.3 Squad Archetypes'!$A$5:$A$23,0))),"check size")</f>
        <v>0.9</v>
      </c>
      <c r="H27" s="9">
        <f>IFERROR($G27*$F27,"")</f>
        <v>0.9</v>
      </c>
      <c r="I27" s="9">
        <f>IFERROR($G27*(1-$F27),"")</f>
        <v>0.0</v>
      </c>
      <c r="K27" s="693" t="inlineStr">
        <is>
          <t>AU</t>
        </is>
      </c>
    </row>
    <row r="28">
      <c r="B28" s="8" t="inlineStr">
        <is>
          <t>Enterprise Data Delivery</t>
        </is>
      </c>
      <c r="C28" s="213" t="inlineStr">
        <is>
          <t>Enterprise Data and Insights</t>
        </is>
      </c>
      <c r="D28" s="213" t="inlineStr">
        <is>
          <t>M</t>
        </is>
      </c>
      <c r="E28" s="213" t="inlineStr">
        <is>
          <t>Offshore</t>
        </is>
      </c>
      <c r="F28" s="214" t="n">
        <v>0.2</v>
      </c>
      <c r="G28" s="202">
        <f>IFERROR(IF($E28="Onshore",INDEX('0.3 Squad Archetypes'!$G$5:$G$23,MATCH($C28&amp;"|"&amp;$D28,'0.3 Squad Archetypes'!$A$5:$A$23,0)),INDEX('0.3 Squad Archetypes'!$H$5:$H$23,MATCH($C28&amp;"|"&amp;$D28,'0.3 Squad Archetypes'!$A$5:$A$23,0))),"check size")</f>
        <v>0.68</v>
      </c>
      <c r="H28" s="9">
        <f>IFERROR($G28*$F28,"")</f>
        <v>0.136</v>
      </c>
      <c r="I28" s="9">
        <f>IFERROR($G28*(1-$F28),"")</f>
        <v>0.544</v>
      </c>
      <c r="K28" s="693" t="inlineStr">
        <is>
          <t>AU</t>
        </is>
      </c>
    </row>
    <row r="29">
      <c r="B29" s="470" t="inlineStr">
        <is>
          <t>Platform Overhead</t>
        </is>
      </c>
      <c r="H29" s="202">
        <f>'0.2 Data Config'!$L$16</f>
        <v>0.165</v>
      </c>
    </row>
    <row r="30">
      <c r="B30" s="203" t="inlineStr">
        <is>
          <t>Group Data Total</t>
        </is>
      </c>
      <c r="C30" s="212" t="n"/>
      <c r="D30" s="212" t="n"/>
      <c r="E30" s="212" t="n"/>
      <c r="F30" s="212" t="n"/>
      <c r="G30" s="204">
        <f>SUM(G24:G28)</f>
        <v>5.1</v>
      </c>
      <c r="H30" s="204">
        <f>SUM(H24:H29)</f>
        <v>3.361</v>
      </c>
      <c r="I30" s="204">
        <f>SUM(I24:I28)</f>
        <v>1.9040000000000001</v>
      </c>
    </row>
    <row r="31"/>
    <row r="32">
      <c r="B32" s="686" t="inlineStr">
        <is>
          <t>TDD squad cost - AU funded (Fund toggles) ($m)</t>
        </is>
      </c>
      <c r="C32" s="669">
        <f>SUMIF(K24:K28,"AU",H24:H28)</f>
        <v>3.196</v>
      </c>
    </row>
    <row r="33">
      <c r="B33" s="686" t="inlineStr">
        <is>
          <t>TDD squad cost - NZ funded (Fund toggles) ($m)</t>
        </is>
      </c>
      <c r="C33" s="669">
        <f>SUMIF(K24:K28,"NZ",H24:H28)</f>
        <v>0.0</v>
      </c>
    </row>
  </sheetData>
  <mergeCells count="6">
    <mergeCell ref="B11:D11"/>
    <mergeCell ref="G4:H4"/>
    <mergeCell ref="B4:E4"/>
    <mergeCell ref="B22:I22"/>
    <mergeCell ref="B12:D12"/>
    <mergeCell ref="G10:J10"/>
  </mergeCells>
  <conditionalFormatting sqref="C16">
    <cfRule type="cellIs" priority="9" operator="greaterThan" dxfId="1">
      <formula>0</formula>
    </cfRule>
    <cfRule type="cellIs" priority="9" operator="lessThanOrEqual" dxfId="0">
      <formula>0</formula>
    </cfRule>
  </conditionalFormatting>
  <conditionalFormatting sqref="H7">
    <cfRule type="cellIs" priority="5" operator="greaterThanOrEqual" dxfId="0">
      <formula>0</formula>
    </cfRule>
    <cfRule type="cellIs" priority="6" operator="lessThan" dxfId="1">
      <formula>0</formula>
    </cfRule>
  </conditionalFormatting>
  <conditionalFormatting sqref="I14">
    <cfRule type="cellIs" priority="7" operator="greaterThan" dxfId="1">
      <formula>0</formula>
    </cfRule>
    <cfRule type="cellIs" priority="8" operator="lessThanOrEqual" dxfId="0">
      <formula>0</formula>
    </cfRule>
  </conditionalFormatting>
  <dataValidations count="5">
    <dataValidation sqref="C24:C28" showDropDown="0" showInputMessage="0" showErrorMessage="1" allowBlank="1" errorTitle="Invalid entry" error="Pick a value from the list" type="list">
      <formula1>SquadTypes</formula1>
      <formula2>0</formula2>
    </dataValidation>
    <dataValidation sqref="D24:D28" showDropDown="0" showInputMessage="0" showErrorMessage="1" allowBlank="1" errorTitle="Invalid entry" error="Pick a value from the list" type="list">
      <formula1>SquadSizes</formula1>
      <formula2>0</formula2>
    </dataValidation>
    <dataValidation sqref="E24:E28" showDropDown="0" showInputMessage="0" showErrorMessage="1" allowBlank="1" errorTitle="Invalid entry" error="Pick a value from the list" type="list">
      <formula1>OnOff</formula1>
      <formula2>0</formula2>
    </dataValidation>
    <dataValidation sqref="F24:F28" showDropDown="0" showInputMessage="0" showErrorMessage="1" allowBlank="1" errorTitle="Invalid entry" error="Pick a value from the list" type="list">
      <formula1>SupportPct</formula1>
      <formula2>0</formula2>
    </dataValidation>
    <dataValidation sqref="K24 K25 K26 K27 K28" showDropDown="0" showInputMessage="0" showErrorMessage="1" allowBlank="0" type="list">
      <formula1>"AU,NZ"</formula1>
    </dataValidation>
  </dataValidation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tabColor rgb="001F4E79"/>
    <outlinePr summaryBelow="1" summaryRight="1"/>
    <pageSetUpPr/>
  </sheetPr>
  <dimension ref="A1:K37"/>
  <sheetViews>
    <sheetView showGridLines="0" topLeftCell="A3" zoomScale="110" zoomScaleNormal="110" workbookViewId="0">
      <selection activeCell="I21" sqref="I21"/>
    </sheetView>
  </sheetViews>
  <sheetFormatPr baseColWidth="8" defaultColWidth="8.54296875" defaultRowHeight="14.5" outlineLevelCol="0"/>
  <cols>
    <col width="28" customWidth="1" style="506" min="2" max="2"/>
    <col width="26" customWidth="1" style="506" min="3" max="3"/>
    <col width="9.54296875" customWidth="1" style="506" min="4" max="4"/>
    <col width="29.7265625" customWidth="1" style="506" min="5" max="5"/>
    <col width="11" customWidth="1" style="506" min="6" max="6"/>
    <col width="27.1796875" customWidth="1" style="506" min="7" max="7"/>
    <col width="14" customWidth="1" style="506" min="8" max="8"/>
    <col width="50.1796875" customWidth="1" style="506" min="9" max="9"/>
    <col width="24.81640625" customWidth="1" style="506" min="10" max="10"/>
  </cols>
  <sheetData>
    <row r="1"/>
    <row r="2" ht="21" customHeight="1" s="506">
      <c r="B2" s="199" t="inlineStr">
        <is>
          <t>TDD Group Functions</t>
        </is>
      </c>
    </row>
    <row r="3"/>
    <row r="4">
      <c r="B4" s="508" t="inlineStr">
        <is>
          <t>Portfolio Summary</t>
        </is>
      </c>
      <c r="C4" s="509" t="n"/>
      <c r="D4" s="509" t="n"/>
      <c r="E4" s="510" t="n"/>
      <c r="G4" s="558" t="inlineStr">
        <is>
          <t>Budget vs TDD Cost</t>
        </is>
      </c>
      <c r="H4" s="510" t="n"/>
    </row>
    <row r="5">
      <c r="B5" s="5" t="inlineStr">
        <is>
          <t>Cost</t>
        </is>
      </c>
      <c r="C5" s="480" t="inlineStr">
        <is>
          <t>TDD ($m)</t>
        </is>
      </c>
      <c r="D5" s="480" t="inlineStr">
        <is>
          <t>Other ($m)</t>
        </is>
      </c>
      <c r="E5" s="480" t="inlineStr">
        <is>
          <t>Total TDD Group Functions Cost ($m)</t>
        </is>
      </c>
      <c r="G5" s="201" t="inlineStr">
        <is>
          <t>TDD Lights On Budget (people - 0.2 Data Config)</t>
        </is>
      </c>
      <c r="H5" s="202">
        <f>'0.2 Data Config'!$E$21</f>
        <v>5.5</v>
      </c>
    </row>
    <row r="6">
      <c r="B6" s="8" t="inlineStr">
        <is>
          <t>Portfolio Overhead (see 0.2 Data Config)</t>
        </is>
      </c>
      <c r="C6" s="202">
        <f>'0.2 Data Config'!$L$10</f>
        <v>0.7495</v>
      </c>
      <c r="E6" s="9">
        <f>C6</f>
        <v>0.7495</v>
      </c>
      <c r="G6" s="201" t="inlineStr">
        <is>
          <t>Overheads &amp; Support (this model)</t>
        </is>
      </c>
      <c r="H6" s="9">
        <f>C9</f>
        <v>3.6644999999999994</v>
      </c>
    </row>
    <row r="7">
      <c r="B7" s="8" t="inlineStr">
        <is>
          <t>Platform Overheads</t>
        </is>
      </c>
      <c r="C7" s="9">
        <f>SUM(H28)</f>
        <v>0.165</v>
      </c>
      <c r="E7" s="9">
        <f>C7</f>
        <v>0.165</v>
      </c>
      <c r="G7" s="203" t="inlineStr">
        <is>
          <t>Variance (budget less cost)</t>
        </is>
      </c>
      <c r="H7" s="204">
        <f>H5-H6</f>
        <v>1.8355000000000006</v>
      </c>
    </row>
    <row r="8">
      <c r="B8" s="8" t="inlineStr">
        <is>
          <t>Squad Support Costs</t>
        </is>
      </c>
      <c r="C8" s="9">
        <f>SUM(H24,H25,H26,H27,H33)</f>
        <v>2.7499999999999996</v>
      </c>
      <c r="D8" s="9">
        <f>SUM(I24,I25,I26,I27,I33)</f>
        <v>1.15</v>
      </c>
      <c r="E8" s="9">
        <f>C8+D8</f>
        <v>3.8999999999999995</v>
      </c>
    </row>
    <row r="9">
      <c r="B9" s="203" t="inlineStr">
        <is>
          <t>Total Cost</t>
        </is>
      </c>
      <c r="C9" s="204">
        <f>SUM(C6:C8)</f>
        <v>3.6644999999999994</v>
      </c>
      <c r="D9" s="204">
        <f>SUM(D6:D8)</f>
        <v>1.15</v>
      </c>
      <c r="E9" s="204">
        <f>C9+D9</f>
        <v>4.814499999999999</v>
      </c>
    </row>
    <row r="10">
      <c r="G10" s="561" t="inlineStr">
        <is>
          <t xml:space="preserve">Other funding </t>
        </is>
      </c>
      <c r="H10" s="562" t="n"/>
      <c r="I10" s="562" t="n"/>
      <c r="J10" s="562" t="n"/>
    </row>
    <row r="11">
      <c r="B11" s="565" t="inlineStr">
        <is>
          <t>Lights On funded from the TDD allocation above (Data Config). Shared TDD Corporate pool sits on 2.4 COE Summary.</t>
        </is>
      </c>
      <c r="D11" s="507" t="n"/>
      <c r="E11" s="206" t="n"/>
      <c r="G11" s="480" t="inlineStr">
        <is>
          <t>Funding position</t>
        </is>
      </c>
      <c r="H11" s="5" t="n"/>
      <c r="I11" s="5" t="n"/>
      <c r="J11" s="5" t="n"/>
    </row>
    <row r="12">
      <c r="B12" s="505" t="n"/>
      <c r="D12" s="507" t="n"/>
      <c r="E12" s="207" t="n"/>
      <c r="G12" s="211" t="inlineStr">
        <is>
          <t>Other cost (this model)</t>
        </is>
      </c>
      <c r="H12" s="202" t="n"/>
      <c r="I12" s="228">
        <f>D9</f>
        <v>1.15</v>
      </c>
      <c r="J12" s="9" t="n"/>
    </row>
    <row r="13">
      <c r="B13" s="427" t="inlineStr">
        <is>
          <t>Total to fund</t>
        </is>
      </c>
      <c r="C13" s="428" t="n"/>
      <c r="G13" s="211" t="inlineStr">
        <is>
          <t>Funded from TDD Corporate pool (2.4 COE Summary)</t>
        </is>
      </c>
      <c r="H13" s="202" t="n"/>
      <c r="I13" s="228">
        <f>I33</f>
        <v>0.0</v>
      </c>
      <c r="J13" s="9" t="n"/>
    </row>
    <row r="14">
      <c r="B14" s="429" t="inlineStr">
        <is>
          <t>TDD Variance</t>
        </is>
      </c>
      <c r="C14" s="430">
        <f>MAX(0,-H7)</f>
        <v>0.0</v>
      </c>
      <c r="G14" s="203" t="inlineStr">
        <is>
          <t>Left to fund</t>
        </is>
      </c>
      <c r="H14" s="202" t="n"/>
      <c r="I14" s="204">
        <f>I12-I13</f>
        <v>1.15</v>
      </c>
      <c r="J14" s="9" t="n"/>
    </row>
    <row r="15">
      <c r="B15" s="429" t="inlineStr">
        <is>
          <t>Other Variance</t>
        </is>
      </c>
      <c r="C15" s="430">
        <f>MAX(0,I14)</f>
        <v>1.15</v>
      </c>
      <c r="G15" s="8" t="n"/>
      <c r="H15" s="202" t="n"/>
      <c r="I15" s="208" t="n"/>
      <c r="J15" s="9" t="n"/>
    </row>
    <row r="16">
      <c r="B16" s="431" t="inlineStr">
        <is>
          <t>Total</t>
        </is>
      </c>
      <c r="C16" s="432">
        <f>C14+C15</f>
        <v>1.15</v>
      </c>
      <c r="G16" s="8" t="n"/>
      <c r="H16" s="202" t="n"/>
      <c r="I16" s="208" t="n"/>
      <c r="J16" s="9" t="n"/>
    </row>
    <row r="17">
      <c r="G17" s="211" t="n"/>
      <c r="I17" s="22" t="n"/>
    </row>
    <row r="18">
      <c r="G18" s="8" t="n"/>
      <c r="I18" s="9" t="n"/>
    </row>
    <row r="19">
      <c r="G19" s="203" t="n"/>
      <c r="I19" s="204" t="n"/>
    </row>
    <row r="20"/>
    <row r="21"/>
    <row r="22">
      <c r="B22" s="561" t="inlineStr">
        <is>
          <t>Platform: TDD Group Functions</t>
        </is>
      </c>
      <c r="C22" s="562" t="n"/>
      <c r="D22" s="562" t="n"/>
      <c r="E22" s="562" t="n"/>
      <c r="F22" s="562" t="n"/>
      <c r="G22" s="562" t="n"/>
      <c r="H22" s="562" t="n"/>
      <c r="I22" s="562" t="n"/>
    </row>
    <row r="23">
      <c r="B23" s="5" t="inlineStr">
        <is>
          <t>Squad</t>
        </is>
      </c>
      <c r="C23" s="480" t="inlineStr">
        <is>
          <t>Squad Type</t>
        </is>
      </c>
      <c r="D23" s="480" t="inlineStr">
        <is>
          <t>Size</t>
        </is>
      </c>
      <c r="E23" s="480" t="inlineStr">
        <is>
          <t>On/Off</t>
        </is>
      </c>
      <c r="F23" s="480" t="inlineStr">
        <is>
          <t>Support %</t>
        </is>
      </c>
      <c r="G23" s="480" t="inlineStr">
        <is>
          <t>Total Squad Cost ($m)</t>
        </is>
      </c>
      <c r="H23" s="480" t="inlineStr">
        <is>
          <t>TDD Cost ($m)</t>
        </is>
      </c>
      <c r="I23" s="480" t="inlineStr">
        <is>
          <t>Funded outside TDD ($m)</t>
        </is>
      </c>
      <c r="K23" s="696" t="inlineStr">
        <is>
          <t>Fund</t>
        </is>
      </c>
    </row>
    <row r="24">
      <c r="B24" s="8" t="inlineStr">
        <is>
          <t>Workplace &amp; Enterprise Tooling</t>
        </is>
      </c>
      <c r="C24" s="213" t="inlineStr">
        <is>
          <t>Configuration / Integration</t>
        </is>
      </c>
      <c r="D24" s="213" t="inlineStr">
        <is>
          <t>S</t>
        </is>
      </c>
      <c r="E24" s="213" t="inlineStr">
        <is>
          <t>Onshore</t>
        </is>
      </c>
      <c r="F24" s="214" t="n">
        <v>1</v>
      </c>
      <c r="G24" s="202">
        <f>IFERROR(IF($E24="Onshore",INDEX('0.3 Squad Archetypes'!$G$5:$G$23,MATCH($C24&amp;"|"&amp;$D24,'0.3 Squad Archetypes'!$A$5:$A$23,0)),INDEX('0.3 Squad Archetypes'!$H$5:$H$23,MATCH($C24&amp;"|"&amp;$D24,'0.3 Squad Archetypes'!$A$5:$A$23,0))),"check size")</f>
        <v>0.4</v>
      </c>
      <c r="H24" s="9">
        <f>IFERROR($G24*$F24,"")</f>
        <v>0.4</v>
      </c>
      <c r="I24" s="9">
        <f>IFERROR($G24*(1-$F24),"")</f>
        <v>0.0</v>
      </c>
      <c r="K24" s="693" t="inlineStr">
        <is>
          <t>AU</t>
        </is>
      </c>
    </row>
    <row r="25">
      <c r="B25" s="8" t="inlineStr">
        <is>
          <t>Network &amp; Infrastructure</t>
        </is>
      </c>
      <c r="C25" s="213" t="inlineStr">
        <is>
          <t>Operations</t>
        </is>
      </c>
      <c r="D25" s="213" t="inlineStr">
        <is>
          <t>L</t>
        </is>
      </c>
      <c r="E25" s="213" t="inlineStr">
        <is>
          <t>Onshore</t>
        </is>
      </c>
      <c r="F25" s="214" t="n">
        <v>0.5</v>
      </c>
      <c r="G25" s="202">
        <f>IFERROR(IF($E25="Onshore",INDEX('0.3 Squad Archetypes'!$G$5:$G$23,MATCH($C25&amp;"|"&amp;$D25,'0.3 Squad Archetypes'!$A$5:$A$23,0)),INDEX('0.3 Squad Archetypes'!$H$5:$H$23,MATCH($C25&amp;"|"&amp;$D25,'0.3 Squad Archetypes'!$A$5:$A$23,0))),"check size")</f>
        <v>2.3</v>
      </c>
      <c r="H25" s="9">
        <f>IFERROR($G25*$F25,"")</f>
        <v>1.15</v>
      </c>
      <c r="I25" s="9">
        <f>IFERROR($G25*(1-$F25),"")</f>
        <v>1.15</v>
      </c>
      <c r="J25" t="inlineStr">
        <is>
          <t xml:space="preserve">Could be 50% support </t>
        </is>
      </c>
      <c r="K25" s="693" t="inlineStr">
        <is>
          <t>AU</t>
        </is>
      </c>
    </row>
    <row r="26">
      <c r="B26" s="8" t="inlineStr">
        <is>
          <t>DevOps &amp; Engineering</t>
        </is>
      </c>
      <c r="C26" s="213" t="inlineStr">
        <is>
          <t>Engineering</t>
        </is>
      </c>
      <c r="D26" s="213" t="inlineStr">
        <is>
          <t>S</t>
        </is>
      </c>
      <c r="E26" s="213" t="inlineStr">
        <is>
          <t>Onshore</t>
        </is>
      </c>
      <c r="F26" s="214" t="n">
        <v>1</v>
      </c>
      <c r="G26" s="202">
        <f>IFERROR(IF($E26="Onshore",INDEX('0.3 Squad Archetypes'!$G$5:$G$23,MATCH($C26&amp;"|"&amp;$D26,'0.3 Squad Archetypes'!$A$5:$A$23,0)),INDEX('0.3 Squad Archetypes'!$H$5:$H$23,MATCH($C26&amp;"|"&amp;$D26,'0.3 Squad Archetypes'!$A$5:$A$23,0))),"check size")</f>
        <v>0.8</v>
      </c>
      <c r="H26" s="9">
        <f>IFERROR($G26*$F26,"")</f>
        <v>0.8</v>
      </c>
      <c r="I26" s="9">
        <f>IFERROR($G26*(1-$F26),"")</f>
        <v>0.0</v>
      </c>
      <c r="J26" t="inlineStr">
        <is>
          <t>Support could be more than 20%</t>
        </is>
      </c>
      <c r="K26" s="693" t="inlineStr">
        <is>
          <t>AU</t>
        </is>
      </c>
    </row>
    <row r="27">
      <c r="B27" s="8" t="inlineStr">
        <is>
          <t>Integration</t>
        </is>
      </c>
      <c r="C27" s="213" t="inlineStr">
        <is>
          <t>Configuration / Integration</t>
        </is>
      </c>
      <c r="D27" s="213" t="inlineStr">
        <is>
          <t>S</t>
        </is>
      </c>
      <c r="E27" s="213" t="inlineStr">
        <is>
          <t>Onshore</t>
        </is>
      </c>
      <c r="F27" s="214" t="n">
        <v>1</v>
      </c>
      <c r="G27" s="202">
        <f>IFERROR(IF($E27="Onshore",INDEX('0.3 Squad Archetypes'!$G$5:$G$23,MATCH($C27&amp;"|"&amp;$D27,'0.3 Squad Archetypes'!$A$5:$A$23,0)),INDEX('0.3 Squad Archetypes'!$H$5:$H$23,MATCH($C27&amp;"|"&amp;$D27,'0.3 Squad Archetypes'!$A$5:$A$23,0))),"check size")</f>
        <v>0.4</v>
      </c>
      <c r="H27" s="9">
        <f>IFERROR($G27*$F27,"")</f>
        <v>0.4</v>
      </c>
      <c r="I27" s="9">
        <f>IFERROR($G27*(1-$F27),"")</f>
        <v>0.0</v>
      </c>
      <c r="K27" s="693" t="inlineStr">
        <is>
          <t>AU</t>
        </is>
      </c>
    </row>
    <row r="28">
      <c r="B28" s="470" t="inlineStr">
        <is>
          <t>Platform Overhead</t>
        </is>
      </c>
      <c r="H28" s="202">
        <f>'0.2 Data Config'!$L$16</f>
        <v>0.165</v>
      </c>
    </row>
    <row r="29">
      <c r="B29" s="203" t="inlineStr">
        <is>
          <t>TDD Group Functions Total</t>
        </is>
      </c>
      <c r="C29" s="212" t="n"/>
      <c r="D29" s="212" t="n"/>
      <c r="E29" s="212" t="n"/>
      <c r="F29" s="212" t="n"/>
      <c r="G29" s="204">
        <f>SUM(G24:G27)</f>
        <v>3.9</v>
      </c>
      <c r="H29" s="204">
        <f>SUM(H24:H28)</f>
        <v>2.9149999999999996</v>
      </c>
      <c r="I29" s="204">
        <f>SUM(I24:I27)</f>
        <v>1.15</v>
      </c>
    </row>
    <row r="30"/>
    <row r="31">
      <c r="B31" s="558" t="inlineStr">
        <is>
          <t>Platform: EGI TDD</t>
        </is>
      </c>
    </row>
    <row r="32">
      <c r="B32" s="5" t="inlineStr">
        <is>
          <t>Squad</t>
        </is>
      </c>
      <c r="C32" s="480" t="inlineStr">
        <is>
          <t>Squad Type</t>
        </is>
      </c>
      <c r="D32" s="480" t="inlineStr">
        <is>
          <t>Size</t>
        </is>
      </c>
      <c r="E32" s="480" t="inlineStr">
        <is>
          <t>On/Off</t>
        </is>
      </c>
      <c r="F32" s="480" t="inlineStr">
        <is>
          <t>Support %</t>
        </is>
      </c>
      <c r="G32" s="480" t="inlineStr">
        <is>
          <t>Total Squad Cost ($m)</t>
        </is>
      </c>
      <c r="H32" s="480" t="inlineStr">
        <is>
          <t>TDD Cost ($m)</t>
        </is>
      </c>
      <c r="I32" s="480" t="inlineStr">
        <is>
          <t>Funded outside TDD ($m)</t>
        </is>
      </c>
      <c r="K32" s="696" t="inlineStr">
        <is>
          <t>Fund</t>
        </is>
      </c>
    </row>
    <row r="33">
      <c r="B33" s="8" t="inlineStr">
        <is>
          <t>EGI TDD</t>
        </is>
      </c>
      <c r="C33" s="213" t="inlineStr">
        <is>
          <t>Strategic Programs</t>
        </is>
      </c>
      <c r="D33" s="213" t="n"/>
      <c r="E33" s="213" t="inlineStr">
        <is>
          <t>Onshore</t>
        </is>
      </c>
      <c r="F33" s="214" t="n">
        <v>0.2</v>
      </c>
      <c r="G33" s="216" t="n">
        <v>0</v>
      </c>
      <c r="H33" s="9">
        <f>IFERROR($G33*$F33,"")</f>
        <v>0.0</v>
      </c>
      <c r="I33" s="9">
        <f>IFERROR($G33*(1-$F33),"")</f>
        <v>0.0</v>
      </c>
      <c r="K33" s="693" t="inlineStr">
        <is>
          <t>AU</t>
        </is>
      </c>
    </row>
    <row r="34">
      <c r="B34" s="203" t="inlineStr">
        <is>
          <t>EGI TDD Total</t>
        </is>
      </c>
      <c r="G34" s="204">
        <f>SUM(G33:G33)</f>
        <v>0.0</v>
      </c>
      <c r="H34" s="204">
        <f>SUM(H33:H33)</f>
        <v>0.0</v>
      </c>
      <c r="I34" s="204">
        <f>SUM(I33:I33)</f>
        <v>0.0</v>
      </c>
    </row>
    <row r="35"/>
    <row r="36">
      <c r="B36" s="686" t="inlineStr">
        <is>
          <t>TDD squad cost - AU funded (Fund toggles) ($m)</t>
        </is>
      </c>
      <c r="C36" s="669">
        <f>SUMIF(K24:K27,"AU",H24:H27)+SUMIF(K33:K33,"AU",H33:H33)</f>
        <v>2.7499999999999996</v>
      </c>
    </row>
    <row r="37">
      <c r="B37" s="686" t="inlineStr">
        <is>
          <t>TDD squad cost - NZ funded (Fund toggles) ($m)</t>
        </is>
      </c>
      <c r="C37" s="669">
        <f>SUMIF(K24:K27,"NZ",H24:H27)+SUMIF(K33:K33,"NZ",H33:H33)</f>
        <v>0.0</v>
      </c>
    </row>
  </sheetData>
  <mergeCells count="6">
    <mergeCell ref="B11:D11"/>
    <mergeCell ref="G4:H4"/>
    <mergeCell ref="B4:E4"/>
    <mergeCell ref="B22:I22"/>
    <mergeCell ref="B12:D12"/>
    <mergeCell ref="G10:J10"/>
  </mergeCells>
  <conditionalFormatting sqref="C16">
    <cfRule type="cellIs" priority="9" operator="greaterThan" dxfId="1">
      <formula>0</formula>
    </cfRule>
    <cfRule type="cellIs" priority="9" operator="lessThanOrEqual" dxfId="0">
      <formula>0</formula>
    </cfRule>
  </conditionalFormatting>
  <conditionalFormatting sqref="H7">
    <cfRule type="cellIs" priority="5" operator="greaterThanOrEqual" dxfId="0">
      <formula>0</formula>
    </cfRule>
    <cfRule type="cellIs" priority="6" operator="lessThan" dxfId="1">
      <formula>0</formula>
    </cfRule>
  </conditionalFormatting>
  <conditionalFormatting sqref="I14">
    <cfRule type="cellIs" priority="7" operator="greaterThan" dxfId="1">
      <formula>0</formula>
    </cfRule>
    <cfRule type="cellIs" priority="8" operator="lessThanOrEqual" dxfId="0">
      <formula>0</formula>
    </cfRule>
  </conditionalFormatting>
  <dataValidations count="5">
    <dataValidation sqref="C24:C27 C33" showDropDown="0" showInputMessage="0" showErrorMessage="1" allowBlank="1" errorTitle="Invalid entry" error="Pick a value from the list" type="list">
      <formula1>SquadTypes</formula1>
      <formula2>0</formula2>
    </dataValidation>
    <dataValidation sqref="D24:D27 D33" showDropDown="0" showInputMessage="0" showErrorMessage="1" allowBlank="1" errorTitle="Invalid entry" error="Pick a value from the list" type="list">
      <formula1>SquadSizes</formula1>
      <formula2>0</formula2>
    </dataValidation>
    <dataValidation sqref="E24:E27 E33" showDropDown="0" showInputMessage="0" showErrorMessage="1" allowBlank="1" errorTitle="Invalid entry" error="Pick a value from the list" type="list">
      <formula1>OnOff</formula1>
      <formula2>0</formula2>
    </dataValidation>
    <dataValidation sqref="F24:F27 F33" showDropDown="0" showInputMessage="0" showErrorMessage="1" allowBlank="1" errorTitle="Invalid entry" error="Pick a value from the list" type="list">
      <formula1>SupportPct</formula1>
      <formula2>0</formula2>
    </dataValidation>
    <dataValidation sqref="K24 K25 K26 K27 K33" showDropDown="0" showInputMessage="0" showErrorMessage="1" allowBlank="0" type="list">
      <formula1>"AU,NZ"</formula1>
    </dataValidation>
  </dataValidation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tabColor rgb="001F4E79"/>
    <outlinePr summaryBelow="1" summaryRight="1"/>
    <pageSetUpPr/>
  </sheetPr>
  <dimension ref="A1:J35"/>
  <sheetViews>
    <sheetView showGridLines="0" topLeftCell="A21" zoomScale="110" zoomScaleNormal="110" workbookViewId="0">
      <selection activeCell="K15" sqref="K15"/>
    </sheetView>
  </sheetViews>
  <sheetFormatPr baseColWidth="8" defaultColWidth="8.54296875" defaultRowHeight="14.5" outlineLevelCol="0"/>
  <cols>
    <col width="28" customWidth="1" style="506" min="2" max="2"/>
    <col width="26" customWidth="1" style="506" min="3" max="3"/>
    <col width="9.54296875" customWidth="1" style="506" min="4" max="4"/>
    <col width="17.81640625" customWidth="1" style="506" min="5" max="5"/>
    <col width="11" customWidth="1" style="506" min="6" max="6"/>
    <col width="27.1796875" customWidth="1" style="506" min="7" max="7"/>
    <col width="14" customWidth="1" style="506" min="8" max="8"/>
    <col width="50.1796875" customWidth="1" style="506" min="9" max="9"/>
    <col width="24.81640625" customWidth="1" style="506" min="10" max="10"/>
  </cols>
  <sheetData>
    <row r="1"/>
    <row r="2" ht="21" customHeight="1" s="506">
      <c r="B2" s="199" t="inlineStr">
        <is>
          <t>P&amp;C</t>
        </is>
      </c>
    </row>
    <row r="3"/>
    <row r="4">
      <c r="B4" s="508" t="inlineStr">
        <is>
          <t>Portfolio Summary</t>
        </is>
      </c>
      <c r="C4" s="509" t="n"/>
      <c r="D4" s="509" t="n"/>
      <c r="E4" s="510" t="n"/>
      <c r="G4" s="566" t="inlineStr">
        <is>
          <t>Budget vs TDD Cost</t>
        </is>
      </c>
      <c r="H4" s="510" t="n"/>
    </row>
    <row r="5">
      <c r="B5" s="5" t="inlineStr">
        <is>
          <t>Cost</t>
        </is>
      </c>
      <c r="C5" s="480" t="inlineStr">
        <is>
          <t>TDD ($m)</t>
        </is>
      </c>
      <c r="D5" s="480" t="inlineStr">
        <is>
          <t>Other ($m)</t>
        </is>
      </c>
      <c r="E5" s="480" t="inlineStr">
        <is>
          <t>Total P&amp;C Cost ($m)</t>
        </is>
      </c>
      <c r="G5" s="201" t="inlineStr">
        <is>
          <t>TDD Lights On Budget (people - 0.2 Data Config)</t>
        </is>
      </c>
      <c r="H5" s="202">
        <f>'0.2 Data Config'!$E$18</f>
        <v>2.0</v>
      </c>
    </row>
    <row r="6">
      <c r="B6" s="8" t="inlineStr">
        <is>
          <t>Portfolio Overhead (see 0.2 Data Config)</t>
        </is>
      </c>
      <c r="C6" s="202">
        <f>'0.2 Data Config'!$L$10</f>
        <v>0.7495</v>
      </c>
      <c r="E6" s="9">
        <f>C6</f>
        <v>0.7495</v>
      </c>
      <c r="G6" s="201" t="inlineStr">
        <is>
          <t>Overheads &amp; Support (this model)</t>
        </is>
      </c>
      <c r="H6" s="9">
        <f>C9</f>
        <v>1.2745000000000002</v>
      </c>
    </row>
    <row r="7">
      <c r="B7" s="8" t="inlineStr">
        <is>
          <t>Platform Overheads</t>
        </is>
      </c>
      <c r="C7" s="9">
        <f>SUM(H26)</f>
        <v>0.165</v>
      </c>
      <c r="E7" s="9">
        <f>C7</f>
        <v>0.165</v>
      </c>
      <c r="G7" s="203" t="inlineStr">
        <is>
          <t>Variance (budget less cost)</t>
        </is>
      </c>
      <c r="H7" s="204">
        <f>H5-H6</f>
        <v>0.7254999999999998</v>
      </c>
    </row>
    <row r="8">
      <c r="B8" s="8" t="inlineStr">
        <is>
          <t>Squad Support Costs</t>
        </is>
      </c>
      <c r="C8" s="9">
        <f>SUM(H24,H25,H31)</f>
        <v>0.36</v>
      </c>
      <c r="D8" s="9">
        <f>SUM(I24,I25,I31)</f>
        <v>1.44</v>
      </c>
      <c r="E8" s="9">
        <f>C8+D8</f>
        <v>1.7999999999999998</v>
      </c>
    </row>
    <row r="9">
      <c r="B9" s="203" t="inlineStr">
        <is>
          <t>Total Cost</t>
        </is>
      </c>
      <c r="C9" s="204">
        <f>SUM(C6:C8)</f>
        <v>1.2745000000000002</v>
      </c>
      <c r="D9" s="204">
        <f>SUM(D6:D8)</f>
        <v>1.44</v>
      </c>
      <c r="E9" s="204">
        <f>C9+D9</f>
        <v>2.7145</v>
      </c>
    </row>
    <row r="10">
      <c r="G10" s="511" t="inlineStr">
        <is>
          <t xml:space="preserve">Other funding </t>
        </is>
      </c>
      <c r="H10" s="512" t="n"/>
      <c r="I10" s="512" t="n"/>
      <c r="J10" s="513" t="n"/>
    </row>
    <row r="11">
      <c r="B11" s="505" t="inlineStr">
        <is>
          <t xml:space="preserve">Total P&amp;C budget </t>
        </is>
      </c>
      <c r="D11" s="507" t="n"/>
      <c r="E11" s="206">
        <f>SUM(H12:H17)</f>
        <v>5.799999999999999</v>
      </c>
      <c r="G11" s="485" t="inlineStr">
        <is>
          <t>Budget line</t>
        </is>
      </c>
      <c r="H11" s="485" t="inlineStr">
        <is>
          <t>Budget ($m)</t>
        </is>
      </c>
      <c r="I11" s="485" t="inlineStr">
        <is>
          <t>Amount that can be allocated to people</t>
        </is>
      </c>
      <c r="J11" s="485" t="inlineStr">
        <is>
          <t>Remaining for non-people ($m)</t>
        </is>
      </c>
    </row>
    <row r="12">
      <c r="B12" s="505" t="inlineStr">
        <is>
          <t xml:space="preserve">Reconciled to Finance </t>
        </is>
      </c>
      <c r="D12" s="507" t="n"/>
      <c r="E12" s="206">
        <f>'0.1 Budget Table (Fin)'!Q12</f>
        <v>5.8</v>
      </c>
      <c r="G12" s="218" t="inlineStr">
        <is>
          <t>P&amp;C Lights On</t>
        </is>
      </c>
      <c r="H12" s="221">
        <f>'0.1 Budget Table (Fin)'!L12</f>
        <v>2.1</v>
      </c>
      <c r="I12" s="487">
        <f>'0.1 Budget Table (Fin)'!G12</f>
        <v>0.0</v>
      </c>
      <c r="J12" s="222">
        <f>IFERROR(H12-I12,0)</f>
        <v>2.1</v>
      </c>
    </row>
    <row r="13">
      <c r="G13" s="218" t="inlineStr">
        <is>
          <t>OpEx Initiatives</t>
        </is>
      </c>
      <c r="H13" s="221">
        <f>'0.1 Budget Table (Fin)'!N12</f>
        <v>2.0</v>
      </c>
      <c r="I13" s="229" t="n">
        <v>0</v>
      </c>
      <c r="J13" s="222">
        <f>IFERROR(H13-I13,0)</f>
        <v>2.0</v>
      </c>
    </row>
    <row r="14">
      <c r="B14" s="427" t="inlineStr">
        <is>
          <t>Total to fund</t>
        </is>
      </c>
      <c r="C14" s="428" t="n"/>
      <c r="G14" s="218" t="inlineStr">
        <is>
          <t>CapEx</t>
        </is>
      </c>
      <c r="H14" s="221">
        <f>'0.1 Budget Table (Fin)'!P12</f>
        <v>0.3</v>
      </c>
      <c r="I14" s="229" t="n">
        <v>0</v>
      </c>
      <c r="J14" s="222">
        <f>IFERROR(H14-I14,0)</f>
        <v>0.3</v>
      </c>
    </row>
    <row r="15">
      <c r="B15" s="429" t="inlineStr">
        <is>
          <t>TDD Variance</t>
        </is>
      </c>
      <c r="C15" s="430">
        <f>MAX(0,-H7)</f>
        <v>0.0</v>
      </c>
      <c r="G15" s="218" t="inlineStr">
        <is>
          <t>Significant Items</t>
        </is>
      </c>
      <c r="H15" s="221">
        <f>'0.1 Budget Table (Fin)'!O12</f>
        <v>1.4</v>
      </c>
      <c r="I15" s="229" t="n">
        <v>0</v>
      </c>
      <c r="J15" s="222">
        <f>IFERROR(H15-I15,0)</f>
        <v>1.4</v>
      </c>
    </row>
    <row r="16">
      <c r="B16" s="429" t="inlineStr">
        <is>
          <t>Other Variance</t>
        </is>
      </c>
      <c r="C16" s="430">
        <f>MAX(0,I20)</f>
        <v>1.44</v>
      </c>
      <c r="G16" s="218" t="inlineStr">
        <is>
          <t>Significant Items EGI</t>
        </is>
      </c>
      <c r="H16" s="221" t="n"/>
      <c r="I16" s="229">
        <f>I31</f>
        <v>0.0</v>
      </c>
      <c r="J16" s="222" t="n"/>
    </row>
    <row r="17">
      <c r="B17" s="431" t="inlineStr">
        <is>
          <t>Total</t>
        </is>
      </c>
      <c r="C17" s="432">
        <f>C15+C16</f>
        <v>1.44</v>
      </c>
      <c r="G17" s="218" t="inlineStr">
        <is>
          <t>Depreciation</t>
        </is>
      </c>
      <c r="H17" s="221">
        <f>'0.1 Budget Table (Fin)'!M12</f>
        <v>0.0</v>
      </c>
      <c r="I17" s="229" t="n">
        <v>0</v>
      </c>
      <c r="J17" s="222">
        <f>IFERROR(H17-I17,0)</f>
        <v>0.0</v>
      </c>
    </row>
    <row r="18">
      <c r="G18" s="230" t="inlineStr">
        <is>
          <t>Total applied</t>
        </is>
      </c>
      <c r="H18" s="224" t="n"/>
      <c r="I18" s="231">
        <f>SUM(I12:I17)</f>
        <v>0.0</v>
      </c>
      <c r="J18" s="224" t="n"/>
    </row>
    <row r="19">
      <c r="G19" s="218" t="inlineStr">
        <is>
          <t>Other cost (this model)</t>
        </is>
      </c>
      <c r="H19" s="224" t="n"/>
      <c r="I19" s="222">
        <f>D9</f>
        <v>1.44</v>
      </c>
      <c r="J19" s="224" t="n"/>
    </row>
    <row r="20">
      <c r="G20" s="225" t="inlineStr">
        <is>
          <t>Left to fund</t>
        </is>
      </c>
      <c r="H20" s="224" t="n"/>
      <c r="I20" s="226">
        <f>I19-I18</f>
        <v>1.44</v>
      </c>
      <c r="J20" s="224" t="n"/>
    </row>
    <row r="21"/>
    <row r="22">
      <c r="B22" s="511" t="inlineStr">
        <is>
          <t>Platform: P&amp;C</t>
        </is>
      </c>
      <c r="C22" s="512" t="n"/>
      <c r="D22" s="512" t="n"/>
      <c r="E22" s="512" t="n"/>
      <c r="F22" s="512" t="n"/>
      <c r="G22" s="512" t="n"/>
      <c r="H22" s="512" t="n"/>
      <c r="I22" s="513" t="n"/>
    </row>
    <row r="23">
      <c r="B23" s="217" t="inlineStr">
        <is>
          <t>Squad</t>
        </is>
      </c>
      <c r="C23" s="485" t="inlineStr">
        <is>
          <t>Squad Type</t>
        </is>
      </c>
      <c r="D23" s="485" t="inlineStr">
        <is>
          <t>Size</t>
        </is>
      </c>
      <c r="E23" s="485" t="inlineStr">
        <is>
          <t>On/Off</t>
        </is>
      </c>
      <c r="F23" s="485" t="inlineStr">
        <is>
          <t>Support %</t>
        </is>
      </c>
      <c r="G23" s="485" t="inlineStr">
        <is>
          <t>Total Squad Cost ($m)</t>
        </is>
      </c>
      <c r="H23" s="485" t="inlineStr">
        <is>
          <t>TDD Cost ($m)</t>
        </is>
      </c>
      <c r="I23" s="485" t="inlineStr">
        <is>
          <t>Funded outside TDD ($m)</t>
        </is>
      </c>
      <c r="J23" s="696" t="inlineStr">
        <is>
          <t>Fund</t>
        </is>
      </c>
    </row>
    <row r="24">
      <c r="B24" s="218" t="inlineStr">
        <is>
          <t>P&amp;C</t>
        </is>
      </c>
      <c r="C24" s="219" t="inlineStr">
        <is>
          <t>Configuration / Integration</t>
        </is>
      </c>
      <c r="D24" s="219" t="inlineStr">
        <is>
          <t>M</t>
        </is>
      </c>
      <c r="E24" s="219" t="inlineStr">
        <is>
          <t>Onshore</t>
        </is>
      </c>
      <c r="F24" s="220" t="n">
        <v>0.2</v>
      </c>
      <c r="G24" s="221">
        <f>IFERROR(IF($E24="Onshore",INDEX('0.3 Squad Archetypes'!$G$5:$G$23,MATCH($C24&amp;"|"&amp;$D24,'0.3 Squad Archetypes'!$A$5:$A$23,0)),INDEX('0.3 Squad Archetypes'!$H$5:$H$23,MATCH($C24&amp;"|"&amp;$D24,'0.3 Squad Archetypes'!$A$5:$A$23,0))),"check size")</f>
        <v>1.4</v>
      </c>
      <c r="H24" s="222">
        <f>IFERROR($G24*$F24,"")</f>
        <v>0.27999999999999997</v>
      </c>
      <c r="I24" s="222">
        <f>IFERROR($G24*(1-$F24),"")</f>
        <v>1.1199999999999999</v>
      </c>
      <c r="J24" s="693" t="inlineStr">
        <is>
          <t>AU</t>
        </is>
      </c>
    </row>
    <row r="25">
      <c r="B25" s="218" t="inlineStr">
        <is>
          <t>P&amp;C - RTA</t>
        </is>
      </c>
      <c r="C25" s="219" t="inlineStr">
        <is>
          <t>Configuration / Integration</t>
        </is>
      </c>
      <c r="D25" s="219" t="inlineStr">
        <is>
          <t>S</t>
        </is>
      </c>
      <c r="E25" s="219" t="inlineStr">
        <is>
          <t>Onshore</t>
        </is>
      </c>
      <c r="F25" s="220" t="n">
        <v>0.2</v>
      </c>
      <c r="G25" s="221">
        <f>IFERROR(IF($E25="Onshore",INDEX('0.3 Squad Archetypes'!$G$5:$G$23,MATCH($C25&amp;"|"&amp;$D25,'0.3 Squad Archetypes'!$A$5:$A$23,0)),INDEX('0.3 Squad Archetypes'!$H$5:$H$23,MATCH($C25&amp;"|"&amp;$D25,'0.3 Squad Archetypes'!$A$5:$A$23,0))),"check size")</f>
        <v>0.4</v>
      </c>
      <c r="H25" s="222">
        <f>IFERROR($G25*$F25,"")</f>
        <v>0.08000000000000002</v>
      </c>
      <c r="I25" s="222">
        <f>IFERROR($G25*(1-$F25),"")</f>
        <v>0.32000000000000006</v>
      </c>
      <c r="J25" s="693" t="inlineStr">
        <is>
          <t>AU</t>
        </is>
      </c>
    </row>
    <row r="26">
      <c r="B26" s="486" t="inlineStr">
        <is>
          <t>Platform Overhead</t>
        </is>
      </c>
      <c r="G26" s="224" t="n"/>
      <c r="H26" s="221">
        <f>'0.2 Data Config'!$L$16</f>
        <v>0.165</v>
      </c>
      <c r="I26" s="224" t="n"/>
    </row>
    <row r="27">
      <c r="B27" s="225" t="inlineStr">
        <is>
          <t>P&amp;C Total</t>
        </is>
      </c>
      <c r="C27" s="212" t="n"/>
      <c r="D27" s="212" t="n"/>
      <c r="E27" s="212" t="n"/>
      <c r="F27" s="212" t="n"/>
      <c r="G27" s="226">
        <f>SUM(G24:G25)</f>
        <v>1.7999999999999998</v>
      </c>
      <c r="H27" s="226">
        <f>SUM(H24:H26)</f>
        <v>0.525</v>
      </c>
      <c r="I27" s="226">
        <f>SUM(I24:I25)</f>
        <v>1.44</v>
      </c>
    </row>
    <row r="28"/>
    <row r="29">
      <c r="B29" s="558" t="inlineStr">
        <is>
          <t>Platform: EGI P&amp;C</t>
        </is>
      </c>
    </row>
    <row r="30">
      <c r="B30" s="5" t="inlineStr">
        <is>
          <t>Squad</t>
        </is>
      </c>
      <c r="C30" s="480" t="inlineStr">
        <is>
          <t>Squad Type</t>
        </is>
      </c>
      <c r="D30" s="480" t="inlineStr">
        <is>
          <t>Size</t>
        </is>
      </c>
      <c r="E30" s="480" t="inlineStr">
        <is>
          <t>On/Off</t>
        </is>
      </c>
      <c r="F30" s="480" t="inlineStr">
        <is>
          <t>Support %</t>
        </is>
      </c>
      <c r="G30" s="480" t="inlineStr">
        <is>
          <t>Total Squad Cost ($m)</t>
        </is>
      </c>
      <c r="H30" s="480" t="inlineStr">
        <is>
          <t>TDD Cost ($m)</t>
        </is>
      </c>
      <c r="I30" s="480" t="inlineStr">
        <is>
          <t>Funded outside TDD ($m)</t>
        </is>
      </c>
      <c r="J30" s="696" t="inlineStr">
        <is>
          <t>Fund</t>
        </is>
      </c>
    </row>
    <row r="31">
      <c r="B31" s="8" t="inlineStr">
        <is>
          <t>EGI P&amp;C</t>
        </is>
      </c>
      <c r="C31" s="213" t="inlineStr">
        <is>
          <t>Strategic Programs</t>
        </is>
      </c>
      <c r="D31" s="213" t="n"/>
      <c r="E31" s="213" t="inlineStr">
        <is>
          <t>Onshore</t>
        </is>
      </c>
      <c r="F31" s="214" t="n">
        <v>0.2</v>
      </c>
      <c r="G31" s="216" t="n">
        <v>0</v>
      </c>
      <c r="H31" s="9">
        <f>IFERROR($G31*$F31,"")</f>
        <v>0.0</v>
      </c>
      <c r="I31" s="9">
        <f>IFERROR($G31*(1-$F31),"")</f>
        <v>0.0</v>
      </c>
      <c r="J31" s="693" t="inlineStr">
        <is>
          <t>AU</t>
        </is>
      </c>
    </row>
    <row r="32">
      <c r="B32" s="203" t="inlineStr">
        <is>
          <t>EGI P&amp;C Total</t>
        </is>
      </c>
      <c r="G32" s="204">
        <f>SUM(G31:G31)</f>
        <v>0.0</v>
      </c>
      <c r="H32" s="204">
        <f>SUM(H31:H31)</f>
        <v>0.0</v>
      </c>
      <c r="I32" s="204">
        <f>SUM(I31:I31)</f>
        <v>0.0</v>
      </c>
    </row>
    <row r="33"/>
    <row r="34">
      <c r="B34" s="686" t="inlineStr">
        <is>
          <t>TDD squad cost - AU funded (Fund toggles) ($m)</t>
        </is>
      </c>
      <c r="C34" s="669">
        <f>SUMIF(J24:J25,"AU",H24:H25)+SUMIF(J31:J31,"AU",H31:H31)</f>
        <v>0.36</v>
      </c>
    </row>
    <row r="35">
      <c r="B35" s="686" t="inlineStr">
        <is>
          <t>TDD squad cost - NZ funded (Fund toggles) ($m)</t>
        </is>
      </c>
      <c r="C35" s="669">
        <f>SUMIF(J24:J25,"NZ",H24:H25)+SUMIF(J31:J31,"NZ",H31:H31)</f>
        <v>0.0</v>
      </c>
    </row>
  </sheetData>
  <mergeCells count="6">
    <mergeCell ref="B11:D11"/>
    <mergeCell ref="G4:H4"/>
    <mergeCell ref="B4:E4"/>
    <mergeCell ref="B22:I22"/>
    <mergeCell ref="B12:D12"/>
    <mergeCell ref="G10:J10"/>
  </mergeCells>
  <conditionalFormatting sqref="C17">
    <cfRule type="cellIs" priority="9" operator="greaterThan" dxfId="1">
      <formula>0</formula>
    </cfRule>
    <cfRule type="cellIs" priority="9" operator="lessThanOrEqual" dxfId="0">
      <formula>0</formula>
    </cfRule>
  </conditionalFormatting>
  <conditionalFormatting sqref="H7">
    <cfRule type="cellIs" priority="5" operator="greaterThanOrEqual" dxfId="0">
      <formula>0</formula>
    </cfRule>
    <cfRule type="cellIs" priority="6" operator="lessThan" dxfId="1">
      <formula>0</formula>
    </cfRule>
  </conditionalFormatting>
  <conditionalFormatting sqref="I20">
    <cfRule type="cellIs" priority="7" operator="greaterThan" dxfId="1">
      <formula>0</formula>
    </cfRule>
    <cfRule type="cellIs" priority="8" operator="lessThanOrEqual" dxfId="0">
      <formula>0</formula>
    </cfRule>
  </conditionalFormatting>
  <dataValidations count="5">
    <dataValidation sqref="C24:C25 C31" showDropDown="0" showInputMessage="0" showErrorMessage="1" allowBlank="1" errorTitle="Invalid entry" error="Pick a value from the list" type="list">
      <formula1>SquadTypes</formula1>
      <formula2>0</formula2>
    </dataValidation>
    <dataValidation sqref="D24:D25 D31" showDropDown="0" showInputMessage="0" showErrorMessage="1" allowBlank="1" errorTitle="Invalid entry" error="Pick a value from the list" type="list">
      <formula1>SquadSizes</formula1>
      <formula2>0</formula2>
    </dataValidation>
    <dataValidation sqref="E24:E25 E31" showDropDown="0" showInputMessage="0" showErrorMessage="1" allowBlank="1" errorTitle="Invalid entry" error="Pick a value from the list" type="list">
      <formula1>OnOff</formula1>
      <formula2>0</formula2>
    </dataValidation>
    <dataValidation sqref="F24:F25 F31" showDropDown="0" showInputMessage="0" showErrorMessage="1" allowBlank="1" errorTitle="Invalid entry" error="Pick a value from the list" type="list">
      <formula1>SupportPct</formula1>
      <formula2>0</formula2>
    </dataValidation>
    <dataValidation sqref="J24 J25 J31" showDropDown="0" showInputMessage="0" showErrorMessage="1" allowBlank="0" type="list">
      <formula1>"AU,NZ"</formula1>
    </dataValidation>
  </dataValidations>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tabColor rgb="001F4E79"/>
    <outlinePr summaryBelow="1" summaryRight="1"/>
    <pageSetUpPr/>
  </sheetPr>
  <dimension ref="A1:J35"/>
  <sheetViews>
    <sheetView showGridLines="0" topLeftCell="A9" zoomScaleNormal="100" workbookViewId="0">
      <selection activeCell="G31" sqref="G31"/>
    </sheetView>
  </sheetViews>
  <sheetFormatPr baseColWidth="8" defaultColWidth="8.54296875" defaultRowHeight="14.5" outlineLevelCol="0"/>
  <cols>
    <col width="28" customWidth="1" style="506" min="2" max="2"/>
    <col width="26" customWidth="1" style="506" min="3" max="3"/>
    <col width="9.54296875" customWidth="1" style="506" min="4" max="4"/>
    <col width="17.81640625" customWidth="1" style="506" min="5" max="5"/>
    <col width="11" customWidth="1" style="506" min="6" max="6"/>
    <col width="27.1796875" customWidth="1" style="506" min="7" max="7"/>
    <col width="14" customWidth="1" style="506" min="8" max="8"/>
    <col width="50.1796875" customWidth="1" style="506" min="9" max="9"/>
    <col width="24.81640625" customWidth="1" style="506" min="10" max="10"/>
  </cols>
  <sheetData>
    <row r="1"/>
    <row r="2" ht="21" customHeight="1" s="506">
      <c r="B2" s="199" t="inlineStr">
        <is>
          <t>Finance</t>
        </is>
      </c>
    </row>
    <row r="3"/>
    <row r="4">
      <c r="B4" s="508" t="inlineStr">
        <is>
          <t>Portfolio Summary</t>
        </is>
      </c>
      <c r="C4" s="509" t="n"/>
      <c r="D4" s="509" t="n"/>
      <c r="E4" s="510" t="n"/>
      <c r="G4" s="558" t="inlineStr">
        <is>
          <t>Budget vs TDD Cost</t>
        </is>
      </c>
      <c r="H4" s="510" t="n"/>
    </row>
    <row r="5">
      <c r="B5" s="5" t="inlineStr">
        <is>
          <t>Cost</t>
        </is>
      </c>
      <c r="C5" s="480" t="inlineStr">
        <is>
          <t>TDD ($m)</t>
        </is>
      </c>
      <c r="D5" s="480" t="inlineStr">
        <is>
          <t>Other ($m)</t>
        </is>
      </c>
      <c r="E5" s="480" t="inlineStr">
        <is>
          <t>Total Finance Cost ($m)</t>
        </is>
      </c>
      <c r="G5" s="201" t="inlineStr">
        <is>
          <t>TDD Lights On Budget (people - 0.2 Data Config)</t>
        </is>
      </c>
      <c r="H5" s="202">
        <f>'0.2 Data Config'!$E$19</f>
        <v>2.0</v>
      </c>
    </row>
    <row r="6">
      <c r="B6" s="8" t="inlineStr">
        <is>
          <t>Portfolio Overhead (see 0.2 Data Config)</t>
        </is>
      </c>
      <c r="C6" s="202">
        <f>'0.2 Data Config'!$L$10</f>
        <v>0.7495</v>
      </c>
      <c r="E6" s="9">
        <f>C6</f>
        <v>0.7495</v>
      </c>
      <c r="G6" s="201" t="inlineStr">
        <is>
          <t>Overheads &amp; Support (this model)</t>
        </is>
      </c>
      <c r="H6" s="9">
        <f>C9</f>
        <v>1.4145</v>
      </c>
    </row>
    <row r="7">
      <c r="B7" s="8" t="inlineStr">
        <is>
          <t>Platform Overheads</t>
        </is>
      </c>
      <c r="C7" s="9">
        <f>SUM(H26)</f>
        <v>0.165</v>
      </c>
      <c r="E7" s="9">
        <f>C7</f>
        <v>0.165</v>
      </c>
      <c r="G7" s="203" t="inlineStr">
        <is>
          <t>Variance (budget less cost)</t>
        </is>
      </c>
      <c r="H7" s="204">
        <f>H5-H6</f>
        <v>0.5854999999999999</v>
      </c>
    </row>
    <row r="8">
      <c r="B8" s="8" t="inlineStr">
        <is>
          <t>Squad Support Costs</t>
        </is>
      </c>
      <c r="C8" s="9">
        <f>SUM(H24,H25,H31)</f>
        <v>0.5</v>
      </c>
      <c r="D8" s="9">
        <f>SUM(I24,I25,I31)</f>
        <v>2.0</v>
      </c>
      <c r="E8" s="9">
        <f>C8+D8</f>
        <v>2.5</v>
      </c>
    </row>
    <row r="9">
      <c r="B9" s="203" t="inlineStr">
        <is>
          <t>Total Cost</t>
        </is>
      </c>
      <c r="C9" s="204">
        <f>SUM(C6:C8)</f>
        <v>1.4145</v>
      </c>
      <c r="D9" s="204">
        <f>SUM(D6:D8)</f>
        <v>2.0</v>
      </c>
      <c r="E9" s="204">
        <f>C9+D9</f>
        <v>3.4145000000000003</v>
      </c>
    </row>
    <row r="10">
      <c r="G10" s="511" t="inlineStr">
        <is>
          <t xml:space="preserve">Other funding </t>
        </is>
      </c>
      <c r="H10" s="512" t="n"/>
      <c r="I10" s="512" t="n"/>
      <c r="J10" s="513" t="n"/>
    </row>
    <row r="11">
      <c r="B11" s="505" t="inlineStr">
        <is>
          <t xml:space="preserve">Total Corporate Finance budget </t>
        </is>
      </c>
      <c r="D11" s="507" t="n"/>
      <c r="E11" s="206">
        <f>SUM(H12:H17)</f>
        <v>3.5</v>
      </c>
      <c r="G11" s="485" t="inlineStr">
        <is>
          <t>Budget line</t>
        </is>
      </c>
      <c r="H11" s="485" t="inlineStr">
        <is>
          <t>Budget ($m)</t>
        </is>
      </c>
      <c r="I11" s="485" t="inlineStr">
        <is>
          <t>Amount that can be allocated to people</t>
        </is>
      </c>
      <c r="J11" s="485" t="inlineStr">
        <is>
          <t>Remaining for non-people ($m)</t>
        </is>
      </c>
    </row>
    <row r="12">
      <c r="B12" s="505" t="inlineStr">
        <is>
          <t xml:space="preserve">Reconciled to Finance </t>
        </is>
      </c>
      <c r="D12" s="507" t="n"/>
      <c r="E12" s="206">
        <f>'0.1 Budget Table (Fin)'!Q11</f>
        <v>3.5</v>
      </c>
      <c r="G12" s="218" t="inlineStr">
        <is>
          <t>Corporate Finance Lights On</t>
        </is>
      </c>
      <c r="H12" s="221">
        <f>'0.1 Budget Table (Fin)'!L11</f>
        <v>2.6</v>
      </c>
      <c r="I12" s="487">
        <f>'0.1 Budget Table (Fin)'!G11</f>
        <v>0.0</v>
      </c>
      <c r="J12" s="222">
        <f>IFERROR(H12-I12,0)</f>
        <v>2.6</v>
      </c>
    </row>
    <row r="13">
      <c r="G13" s="218" t="inlineStr">
        <is>
          <t>OpEx Initiatives</t>
        </is>
      </c>
      <c r="H13" s="221">
        <f>'0.1 Budget Table (Fin)'!N11</f>
        <v>0.9</v>
      </c>
      <c r="I13" s="229" t="n">
        <v>0</v>
      </c>
      <c r="J13" s="222">
        <f>IFERROR(H13-I13,0)</f>
        <v>0.9</v>
      </c>
    </row>
    <row r="14">
      <c r="B14" s="427" t="inlineStr">
        <is>
          <t>Total to fund</t>
        </is>
      </c>
      <c r="C14" s="428" t="n"/>
      <c r="G14" s="218" t="inlineStr">
        <is>
          <t>CapEx</t>
        </is>
      </c>
      <c r="H14" s="221">
        <f>'0.1 Budget Table (Fin)'!P11</f>
        <v>0.0</v>
      </c>
      <c r="I14" s="229" t="n">
        <v>0</v>
      </c>
      <c r="J14" s="222">
        <f>IFERROR(H14-I14,0)</f>
        <v>0.0</v>
      </c>
    </row>
    <row r="15">
      <c r="B15" s="429" t="inlineStr">
        <is>
          <t>TDD Variance</t>
        </is>
      </c>
      <c r="C15" s="430">
        <f>MAX(0,-H7)</f>
        <v>0.0</v>
      </c>
      <c r="G15" s="218" t="inlineStr">
        <is>
          <t>Significant Items</t>
        </is>
      </c>
      <c r="H15" s="221">
        <f>'0.1 Budget Table (Fin)'!O11</f>
        <v>0.0</v>
      </c>
      <c r="I15" s="229" t="n">
        <v>0</v>
      </c>
      <c r="J15" s="222">
        <f>IFERROR(H15-I15,0)</f>
        <v>0.0</v>
      </c>
    </row>
    <row r="16">
      <c r="B16" s="429" t="inlineStr">
        <is>
          <t>Other Variance</t>
        </is>
      </c>
      <c r="C16" s="430">
        <f>MAX(0,I20)</f>
        <v>2.0</v>
      </c>
      <c r="G16" s="218" t="inlineStr">
        <is>
          <t>Significant Items EGI</t>
        </is>
      </c>
      <c r="H16" s="221" t="n"/>
      <c r="I16" s="229">
        <f>I31</f>
        <v>0.0</v>
      </c>
      <c r="J16" s="222" t="n"/>
    </row>
    <row r="17">
      <c r="B17" s="431" t="inlineStr">
        <is>
          <t>Total</t>
        </is>
      </c>
      <c r="C17" s="432">
        <f>C15+C16</f>
        <v>2.0</v>
      </c>
      <c r="G17" s="218" t="inlineStr">
        <is>
          <t>Depreciation</t>
        </is>
      </c>
      <c r="H17" s="221">
        <f>'0.1 Budget Table (Fin)'!M11</f>
        <v>0.0</v>
      </c>
      <c r="I17" s="229" t="n">
        <v>0</v>
      </c>
      <c r="J17" s="222">
        <f>IFERROR(H17-I17,0)</f>
        <v>0.0</v>
      </c>
    </row>
    <row r="18">
      <c r="G18" s="230" t="inlineStr">
        <is>
          <t>Total applied</t>
        </is>
      </c>
      <c r="H18" s="224" t="n"/>
      <c r="I18" s="231">
        <f>SUM(I12:I17)</f>
        <v>0.0</v>
      </c>
      <c r="J18" s="224" t="n"/>
    </row>
    <row r="19">
      <c r="G19" s="218" t="inlineStr">
        <is>
          <t>Other cost (this model)</t>
        </is>
      </c>
      <c r="H19" s="224" t="n"/>
      <c r="I19" s="222">
        <f>D9</f>
        <v>2.0</v>
      </c>
      <c r="J19" s="224" t="n"/>
    </row>
    <row r="20">
      <c r="G20" s="225" t="inlineStr">
        <is>
          <t>Left to fund</t>
        </is>
      </c>
      <c r="H20" s="224" t="n"/>
      <c r="I20" s="226">
        <f>I19-I18</f>
        <v>2.0</v>
      </c>
      <c r="J20" s="224" t="n"/>
    </row>
    <row r="21"/>
    <row r="22">
      <c r="B22" s="563" t="inlineStr">
        <is>
          <t>Platform: Finance</t>
        </is>
      </c>
    </row>
    <row r="23">
      <c r="B23" s="217" t="inlineStr">
        <is>
          <t>Squad</t>
        </is>
      </c>
      <c r="C23" s="485" t="inlineStr">
        <is>
          <t>Squad Type</t>
        </is>
      </c>
      <c r="D23" s="485" t="inlineStr">
        <is>
          <t>Size</t>
        </is>
      </c>
      <c r="E23" s="485" t="inlineStr">
        <is>
          <t>On/Off</t>
        </is>
      </c>
      <c r="F23" s="485" t="inlineStr">
        <is>
          <t>Support %</t>
        </is>
      </c>
      <c r="G23" s="485" t="inlineStr">
        <is>
          <t>Total Squad Cost ($m)</t>
        </is>
      </c>
      <c r="H23" s="485" t="inlineStr">
        <is>
          <t>TDD Cost ($m)</t>
        </is>
      </c>
      <c r="I23" s="485" t="inlineStr">
        <is>
          <t>Funded outside TDD ($m)</t>
        </is>
      </c>
      <c r="J23" s="696" t="inlineStr">
        <is>
          <t>Fund</t>
        </is>
      </c>
    </row>
    <row r="24">
      <c r="B24" s="218" t="inlineStr">
        <is>
          <t>AU Finance</t>
        </is>
      </c>
      <c r="C24" s="219" t="inlineStr">
        <is>
          <t>Configuration / Integration</t>
        </is>
      </c>
      <c r="D24" s="219" t="inlineStr">
        <is>
          <t>L</t>
        </is>
      </c>
      <c r="E24" s="219" t="inlineStr">
        <is>
          <t>Onshore</t>
        </is>
      </c>
      <c r="F24" s="220" t="n">
        <v>0.2</v>
      </c>
      <c r="G24" s="221">
        <f>IFERROR(IF($E24="Onshore",INDEX('0.3 Squad Archetypes'!$G$5:$G$23,MATCH($C24&amp;"|"&amp;$D24,'0.3 Squad Archetypes'!$A$5:$A$23,0)),INDEX('0.3 Squad Archetypes'!$H$5:$H$23,MATCH($C24&amp;"|"&amp;$D24,'0.3 Squad Archetypes'!$A$5:$A$23,0))),"check size")</f>
        <v>2.1</v>
      </c>
      <c r="H24" s="222">
        <f>IFERROR($G24*$F24,"")</f>
        <v>0.42000000000000004</v>
      </c>
      <c r="I24" s="222">
        <f>IFERROR($G24*(1-$F24),"")</f>
        <v>1.6800000000000002</v>
      </c>
      <c r="J24" s="693" t="inlineStr">
        <is>
          <t>AU</t>
        </is>
      </c>
    </row>
    <row r="25">
      <c r="B25" s="218" t="inlineStr">
        <is>
          <t>NZ Finance</t>
        </is>
      </c>
      <c r="C25" s="219" t="inlineStr">
        <is>
          <t>Configuration / Integration</t>
        </is>
      </c>
      <c r="D25" s="219" t="inlineStr">
        <is>
          <t>S</t>
        </is>
      </c>
      <c r="E25" s="219" t="inlineStr">
        <is>
          <t>Onshore</t>
        </is>
      </c>
      <c r="F25" s="220" t="n">
        <v>0.2</v>
      </c>
      <c r="G25" s="221">
        <f>IFERROR(IF($E25="Onshore",INDEX('0.3 Squad Archetypes'!$G$5:$G$23,MATCH($C25&amp;"|"&amp;$D25,'0.3 Squad Archetypes'!$A$5:$A$23,0)),INDEX('0.3 Squad Archetypes'!$H$5:$H$23,MATCH($C25&amp;"|"&amp;$D25,'0.3 Squad Archetypes'!$A$5:$A$23,0))),"check size")</f>
        <v>0.4</v>
      </c>
      <c r="H25" s="222">
        <f>IFERROR($G25*$F25,"")</f>
        <v>0.08000000000000002</v>
      </c>
      <c r="I25" s="222">
        <f>IFERROR($G25*(1-$F25),"")</f>
        <v>0.32000000000000006</v>
      </c>
      <c r="J25" s="693" t="inlineStr">
        <is>
          <t>AU</t>
        </is>
      </c>
    </row>
    <row r="26">
      <c r="B26" s="486" t="inlineStr">
        <is>
          <t>Platform Overhead</t>
        </is>
      </c>
      <c r="C26" s="224" t="n"/>
      <c r="D26" s="224" t="n"/>
      <c r="E26" s="224" t="n"/>
      <c r="F26" s="224" t="n"/>
      <c r="G26" s="224" t="n"/>
      <c r="H26" s="221">
        <f>'0.2 Data Config'!$L$16</f>
        <v>0.165</v>
      </c>
      <c r="I26" s="224" t="n"/>
    </row>
    <row r="27">
      <c r="B27" s="225" t="inlineStr">
        <is>
          <t>Finance Total</t>
        </is>
      </c>
      <c r="C27" s="212" t="n"/>
      <c r="D27" s="212" t="n"/>
      <c r="E27" s="212" t="n"/>
      <c r="F27" s="212" t="n"/>
      <c r="G27" s="226">
        <f>SUM(G24:G25)</f>
        <v>2.5</v>
      </c>
      <c r="H27" s="226">
        <f>SUM(H24:H26)</f>
        <v>0.665</v>
      </c>
      <c r="I27" s="226">
        <f>SUM(I24:I25)</f>
        <v>2.0</v>
      </c>
    </row>
    <row r="28"/>
    <row r="29">
      <c r="B29" s="558" t="inlineStr">
        <is>
          <t>Platform: EGI Finance</t>
        </is>
      </c>
    </row>
    <row r="30">
      <c r="B30" s="5" t="inlineStr">
        <is>
          <t>Squad</t>
        </is>
      </c>
      <c r="C30" s="480" t="inlineStr">
        <is>
          <t>Squad Type</t>
        </is>
      </c>
      <c r="D30" s="480" t="inlineStr">
        <is>
          <t>Size</t>
        </is>
      </c>
      <c r="E30" s="480" t="inlineStr">
        <is>
          <t>On/Off</t>
        </is>
      </c>
      <c r="F30" s="480" t="inlineStr">
        <is>
          <t>Support %</t>
        </is>
      </c>
      <c r="G30" s="480" t="inlineStr">
        <is>
          <t>Total Squad Cost ($m)</t>
        </is>
      </c>
      <c r="H30" s="480" t="inlineStr">
        <is>
          <t>TDD Cost ($m)</t>
        </is>
      </c>
      <c r="I30" s="480" t="inlineStr">
        <is>
          <t>Funded outside TDD ($m)</t>
        </is>
      </c>
      <c r="J30" s="696" t="inlineStr">
        <is>
          <t>Fund</t>
        </is>
      </c>
    </row>
    <row r="31">
      <c r="B31" s="8" t="inlineStr">
        <is>
          <t>EGI Finance</t>
        </is>
      </c>
      <c r="C31" s="213" t="inlineStr">
        <is>
          <t>Strategic Programs</t>
        </is>
      </c>
      <c r="D31" s="213" t="n"/>
      <c r="E31" s="213" t="inlineStr">
        <is>
          <t>Onshore</t>
        </is>
      </c>
      <c r="F31" s="214" t="n">
        <v>0.2</v>
      </c>
      <c r="G31" s="216" t="n">
        <v>0</v>
      </c>
      <c r="H31" s="9">
        <f>IFERROR($G31*$F31,"")</f>
        <v>0.0</v>
      </c>
      <c r="I31" s="9">
        <f>IFERROR($G31*(1-$F31),"")</f>
        <v>0.0</v>
      </c>
      <c r="J31" s="693" t="inlineStr">
        <is>
          <t>AU</t>
        </is>
      </c>
    </row>
    <row r="32">
      <c r="B32" s="203" t="inlineStr">
        <is>
          <t>EGI Finance Total</t>
        </is>
      </c>
      <c r="G32" s="204">
        <f>SUM(G31:G31)</f>
        <v>0.0</v>
      </c>
      <c r="H32" s="204">
        <f>SUM(H31:H31)</f>
        <v>0.0</v>
      </c>
      <c r="I32" s="204">
        <f>SUM(I31:I31)</f>
        <v>0.0</v>
      </c>
    </row>
    <row r="33"/>
    <row r="34">
      <c r="B34" s="686" t="inlineStr">
        <is>
          <t>TDD squad cost - AU funded (Fund toggles) ($m)</t>
        </is>
      </c>
      <c r="C34" s="669">
        <f>SUMIF(J24:J25,"AU",H24:H25)+SUMIF(J31:J31,"AU",H31:H31)</f>
        <v>0.5</v>
      </c>
    </row>
    <row r="35">
      <c r="B35" s="686" t="inlineStr">
        <is>
          <t>TDD squad cost - NZ funded (Fund toggles) ($m)</t>
        </is>
      </c>
      <c r="C35" s="669">
        <f>SUMIF(J24:J25,"NZ",H24:H25)+SUMIF(J31:J31,"NZ",H31:H31)</f>
        <v>0.0</v>
      </c>
    </row>
  </sheetData>
  <mergeCells count="6">
    <mergeCell ref="B11:D11"/>
    <mergeCell ref="G4:H4"/>
    <mergeCell ref="B4:E4"/>
    <mergeCell ref="B22:I22"/>
    <mergeCell ref="B12:D12"/>
    <mergeCell ref="G10:J10"/>
  </mergeCells>
  <conditionalFormatting sqref="C17">
    <cfRule type="cellIs" priority="9" operator="greaterThan" dxfId="1">
      <formula>0</formula>
    </cfRule>
    <cfRule type="cellIs" priority="9" operator="lessThanOrEqual" dxfId="0">
      <formula>0</formula>
    </cfRule>
  </conditionalFormatting>
  <conditionalFormatting sqref="H7">
    <cfRule type="cellIs" priority="5" operator="greaterThanOrEqual" dxfId="0">
      <formula>0</formula>
    </cfRule>
    <cfRule type="cellIs" priority="6" operator="lessThan" dxfId="1">
      <formula>0</formula>
    </cfRule>
  </conditionalFormatting>
  <conditionalFormatting sqref="I20">
    <cfRule type="cellIs" priority="7" operator="greaterThan" dxfId="1">
      <formula>0</formula>
    </cfRule>
    <cfRule type="cellIs" priority="8" operator="lessThanOrEqual" dxfId="0">
      <formula>0</formula>
    </cfRule>
  </conditionalFormatting>
  <dataValidations count="5">
    <dataValidation sqref="C24:C25 C31" showDropDown="0" showInputMessage="0" showErrorMessage="1" allowBlank="1" errorTitle="Invalid entry" error="Pick a value from the list" type="list">
      <formula1>SquadTypes</formula1>
      <formula2>0</formula2>
    </dataValidation>
    <dataValidation sqref="D24:D25 D31" showDropDown="0" showInputMessage="0" showErrorMessage="1" allowBlank="1" errorTitle="Invalid entry" error="Pick a value from the list" type="list">
      <formula1>SquadSizes</formula1>
      <formula2>0</formula2>
    </dataValidation>
    <dataValidation sqref="E24:E25 E31" showDropDown="0" showInputMessage="0" showErrorMessage="1" allowBlank="1" errorTitle="Invalid entry" error="Pick a value from the list" type="list">
      <formula1>OnOff</formula1>
      <formula2>0</formula2>
    </dataValidation>
    <dataValidation sqref="F24:F25 F31" showDropDown="0" showInputMessage="0" showErrorMessage="1" allowBlank="1" errorTitle="Invalid entry" error="Pick a value from the list" type="list">
      <formula1>SupportPct</formula1>
      <formula2>0</formula2>
    </dataValidation>
    <dataValidation sqref="J24 J25 J31" showDropDown="0" showInputMessage="0" showErrorMessage="1" allowBlank="0" type="list">
      <formula1>"AU,NZ"</formula1>
    </dataValidation>
  </dataValidations>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tabColor rgb="001F4E79"/>
    <outlinePr summaryBelow="1" summaryRight="1"/>
    <pageSetUpPr/>
  </sheetPr>
  <dimension ref="A1:K43"/>
  <sheetViews>
    <sheetView showGridLines="0" zoomScaleNormal="100" workbookViewId="0">
      <selection activeCell="E10" sqref="E10"/>
    </sheetView>
  </sheetViews>
  <sheetFormatPr baseColWidth="8" defaultColWidth="8.54296875" defaultRowHeight="14.5" outlineLevelCol="0"/>
  <cols>
    <col width="28" customWidth="1" style="506" min="2" max="2"/>
    <col width="26" customWidth="1" style="506" min="3" max="3"/>
    <col width="9.54296875" customWidth="1" style="506" min="4" max="4"/>
    <col width="23.54296875" customWidth="1" style="506" min="5" max="5"/>
    <col width="11" customWidth="1" style="506" min="6" max="6"/>
    <col width="27.1796875" customWidth="1" style="506" min="7" max="7"/>
    <col width="14" customWidth="1" style="506" min="8" max="8"/>
    <col width="50.1796875" customWidth="1" style="506" min="9" max="9"/>
    <col width="24.81640625" customWidth="1" style="506" min="10" max="10"/>
  </cols>
  <sheetData>
    <row r="1"/>
    <row r="2" ht="21" customHeight="1" s="506">
      <c r="B2" s="199" t="inlineStr">
        <is>
          <t>Infrastructure</t>
        </is>
      </c>
    </row>
    <row r="3"/>
    <row r="4"/>
    <row r="5">
      <c r="B5" s="508" t="inlineStr">
        <is>
          <t>Portfolio Summary</t>
        </is>
      </c>
      <c r="C5" s="509" t="n"/>
      <c r="D5" s="509" t="n"/>
      <c r="E5" s="510" t="n"/>
      <c r="G5" s="200" t="inlineStr">
        <is>
          <t>Budget vs TDD Cost</t>
        </is>
      </c>
      <c r="H5" s="200" t="n"/>
    </row>
    <row r="6">
      <c r="B6" s="5" t="inlineStr">
        <is>
          <t>Cost</t>
        </is>
      </c>
      <c r="C6" s="488" t="inlineStr">
        <is>
          <t>TDD ($m)</t>
        </is>
      </c>
      <c r="D6" s="488" t="inlineStr">
        <is>
          <t>Other ($m)</t>
        </is>
      </c>
      <c r="E6" s="488" t="inlineStr">
        <is>
          <t>Total Infrastructure Cost ($m)</t>
        </is>
      </c>
      <c r="G6" s="201" t="inlineStr">
        <is>
          <t>TDD Lights On Budget (people - 0.2 Data Config)</t>
        </is>
      </c>
      <c r="H6" s="202">
        <f>'0.2 Data Config'!$E$17</f>
        <v>2.5</v>
      </c>
    </row>
    <row r="7">
      <c r="B7" s="233" t="inlineStr">
        <is>
          <t>Portfolio Overhead (see 0.2 Data Config)</t>
        </is>
      </c>
      <c r="C7" s="221">
        <f>'0.2 Data Config'!$L$10</f>
        <v>0.7495</v>
      </c>
      <c r="D7" s="224" t="n"/>
      <c r="E7" s="222">
        <f>C7</f>
        <v>0.7495</v>
      </c>
      <c r="G7" s="201" t="inlineStr">
        <is>
          <t>Overheads &amp; Support (this model)</t>
        </is>
      </c>
      <c r="H7" s="9">
        <f>C10</f>
        <v>2.5245</v>
      </c>
    </row>
    <row r="8">
      <c r="B8" s="233" t="inlineStr">
        <is>
          <t>Platform Overheads</t>
        </is>
      </c>
      <c r="C8" s="222">
        <f>SUM(H26,H33,H39)</f>
        <v>0.495</v>
      </c>
      <c r="D8" s="224" t="n"/>
      <c r="E8" s="222">
        <f>C8</f>
        <v>0.495</v>
      </c>
      <c r="G8" s="203" t="inlineStr">
        <is>
          <t>Variance (budget less cost)</t>
        </is>
      </c>
      <c r="H8" s="204">
        <f>H6-H7</f>
        <v>-0.02450000000000019</v>
      </c>
    </row>
    <row r="9">
      <c r="B9" s="8" t="inlineStr">
        <is>
          <t>Squad Support Costs</t>
        </is>
      </c>
      <c r="C9" s="234">
        <f>SUM(H25,H31,H32,H38)</f>
        <v>1.2800000000000002</v>
      </c>
      <c r="D9" s="234">
        <f>SUM(I25,I31,I32,I38)</f>
        <v>2.7199999999999998</v>
      </c>
      <c r="E9" s="234">
        <f>C9+D9</f>
        <v>4.0</v>
      </c>
    </row>
    <row r="10">
      <c r="B10" s="203" t="inlineStr">
        <is>
          <t>Total Cost</t>
        </is>
      </c>
      <c r="C10" s="204">
        <f>SUM(C7:C9)</f>
        <v>2.5245</v>
      </c>
      <c r="D10" s="204">
        <f>SUM(D7:D9)</f>
        <v>2.7199999999999998</v>
      </c>
      <c r="E10" s="204">
        <f>C10+D10</f>
        <v>5.2445</v>
      </c>
    </row>
    <row r="11">
      <c r="G11" s="511" t="inlineStr">
        <is>
          <t xml:space="preserve">Other funding </t>
        </is>
      </c>
      <c r="H11" s="512" t="n"/>
      <c r="I11" s="512" t="n"/>
      <c r="J11" s="513" t="n"/>
    </row>
    <row r="12">
      <c r="B12" s="505" t="inlineStr">
        <is>
          <t xml:space="preserve">Total Infrastructure budget </t>
        </is>
      </c>
      <c r="D12" s="507" t="n"/>
      <c r="E12" s="206">
        <f>SUM(H13:H17)</f>
        <v>9.3</v>
      </c>
      <c r="G12" s="485" t="inlineStr">
        <is>
          <t>Budget line</t>
        </is>
      </c>
      <c r="H12" s="485" t="inlineStr">
        <is>
          <t>Budget ($m)</t>
        </is>
      </c>
      <c r="I12" s="489" t="inlineStr">
        <is>
          <t>Amount that can be allocated to people</t>
        </is>
      </c>
      <c r="J12" s="485" t="inlineStr">
        <is>
          <t>Remaining for non-people ($m)</t>
        </is>
      </c>
    </row>
    <row r="13">
      <c r="B13" s="567" t="inlineStr">
        <is>
          <t xml:space="preserve">Reconciled to Finance </t>
        </is>
      </c>
      <c r="C13" s="512" t="n"/>
      <c r="D13" s="513" t="n"/>
      <c r="E13" s="206">
        <f>'0.1 Budget Table (Fin)'!Q10</f>
        <v>9.3</v>
      </c>
      <c r="G13" s="218" t="inlineStr">
        <is>
          <t>Infrastructure Lights On</t>
        </is>
      </c>
      <c r="H13" s="221">
        <f>'0.1 Budget Table (Fin)'!L10</f>
        <v>3.9</v>
      </c>
      <c r="I13" s="224">
        <f>'0.1 Budget Table (Fin)'!G10</f>
        <v>0.0</v>
      </c>
      <c r="J13" s="222">
        <f>IFERROR(H13-I13,0)</f>
        <v>3.9</v>
      </c>
    </row>
    <row r="14">
      <c r="G14" s="218" t="inlineStr">
        <is>
          <t>OpEx Initiatives</t>
        </is>
      </c>
      <c r="H14" s="221">
        <f>'0.1 Budget Table (Fin)'!N10</f>
        <v>0.4</v>
      </c>
      <c r="I14" s="229" t="n">
        <v>0</v>
      </c>
      <c r="J14" s="222">
        <f>IFERROR(H14-I14,0)</f>
        <v>0.4</v>
      </c>
    </row>
    <row r="15">
      <c r="B15" s="427" t="inlineStr">
        <is>
          <t>Total to fund</t>
        </is>
      </c>
      <c r="C15" s="428" t="n"/>
      <c r="G15" s="218" t="inlineStr">
        <is>
          <t>CapEx</t>
        </is>
      </c>
      <c r="H15" s="221">
        <f>'0.1 Budget Table (Fin)'!P10</f>
        <v>5.0</v>
      </c>
      <c r="I15" s="229" t="n">
        <v>0</v>
      </c>
      <c r="J15" s="222">
        <f>IFERROR(H15-I15,0)</f>
        <v>5.0</v>
      </c>
    </row>
    <row r="16">
      <c r="B16" s="429" t="inlineStr">
        <is>
          <t>TDD Variance</t>
        </is>
      </c>
      <c r="C16" s="430">
        <f>MAX(0,-H8)</f>
        <v>0.02450000000000019</v>
      </c>
      <c r="G16" s="218" t="inlineStr">
        <is>
          <t>Significant Items</t>
        </is>
      </c>
      <c r="H16" s="221">
        <f>'0.1 Budget Table (Fin)'!O10</f>
        <v>0.0</v>
      </c>
      <c r="I16" s="229" t="n">
        <v>0</v>
      </c>
      <c r="J16" s="222">
        <f>IFERROR(H16-I16,0)</f>
        <v>0.0</v>
      </c>
    </row>
    <row r="17">
      <c r="B17" s="429" t="inlineStr">
        <is>
          <t>Other Variance</t>
        </is>
      </c>
      <c r="C17" s="430">
        <f>MAX(0,I20)</f>
        <v>2.7199999999999998</v>
      </c>
      <c r="G17" s="218" t="inlineStr">
        <is>
          <t>Depreciation</t>
        </is>
      </c>
      <c r="H17" s="221">
        <f>'0.1 Budget Table (Fin)'!M10</f>
        <v>0.0</v>
      </c>
      <c r="I17" s="229" t="n">
        <v>0</v>
      </c>
      <c r="J17" s="222">
        <f>IFERROR(H17-I17,0)</f>
        <v>0.0</v>
      </c>
    </row>
    <row r="18">
      <c r="B18" s="431" t="inlineStr">
        <is>
          <t>Total</t>
        </is>
      </c>
      <c r="C18" s="432">
        <f>C16+C17</f>
        <v>2.7445</v>
      </c>
      <c r="G18" s="230" t="inlineStr">
        <is>
          <t>Total applied</t>
        </is>
      </c>
      <c r="H18" s="224" t="n"/>
      <c r="I18" s="231">
        <f>SUM(I13:I17)</f>
        <v>0.0</v>
      </c>
      <c r="J18" s="224" t="n"/>
    </row>
    <row r="19">
      <c r="G19" s="218" t="inlineStr">
        <is>
          <t>Other cost (this model)</t>
        </is>
      </c>
      <c r="H19" s="224" t="n"/>
      <c r="I19" s="222">
        <f>D10</f>
        <v>2.7199999999999998</v>
      </c>
      <c r="J19" s="224" t="n"/>
    </row>
    <row r="20">
      <c r="G20" s="225" t="inlineStr">
        <is>
          <t>Left to fund</t>
        </is>
      </c>
      <c r="H20" s="224" t="n"/>
      <c r="I20" s="226">
        <f>I19-I18</f>
        <v>2.7199999999999998</v>
      </c>
      <c r="J20" s="224" t="n"/>
    </row>
    <row r="21"/>
    <row r="22"/>
    <row r="23">
      <c r="B23" s="511" t="inlineStr">
        <is>
          <t>Platform: Distribution</t>
        </is>
      </c>
      <c r="C23" s="512" t="n"/>
      <c r="D23" s="512" t="n"/>
      <c r="E23" s="512" t="n"/>
      <c r="F23" s="512" t="n"/>
      <c r="G23" s="512" t="n"/>
      <c r="H23" s="512" t="n"/>
      <c r="I23" s="513" t="n"/>
    </row>
    <row r="24">
      <c r="B24" s="217" t="inlineStr">
        <is>
          <t>Squad</t>
        </is>
      </c>
      <c r="C24" s="485" t="inlineStr">
        <is>
          <t>Squad Type</t>
        </is>
      </c>
      <c r="D24" s="485" t="inlineStr">
        <is>
          <t>Size</t>
        </is>
      </c>
      <c r="E24" s="485" t="inlineStr">
        <is>
          <t>On/Off</t>
        </is>
      </c>
      <c r="F24" s="485" t="inlineStr">
        <is>
          <t>Support %</t>
        </is>
      </c>
      <c r="G24" s="485" t="inlineStr">
        <is>
          <t>Total Squad Cost ($m)</t>
        </is>
      </c>
      <c r="H24" s="485" t="inlineStr">
        <is>
          <t>TDD Cost ($m)</t>
        </is>
      </c>
      <c r="I24" s="485" t="inlineStr">
        <is>
          <t>Funded outside TDD ($m)</t>
        </is>
      </c>
      <c r="K24" s="696" t="inlineStr">
        <is>
          <t>Fund</t>
        </is>
      </c>
    </row>
    <row r="25">
      <c r="B25" s="218" t="inlineStr">
        <is>
          <t>Distribution, Sales &amp; Services</t>
        </is>
      </c>
      <c r="C25" s="219" t="inlineStr">
        <is>
          <t>Configuration / Integration</t>
        </is>
      </c>
      <c r="D25" s="219" t="inlineStr">
        <is>
          <t>M</t>
        </is>
      </c>
      <c r="E25" s="219" t="inlineStr">
        <is>
          <t>Onshore</t>
        </is>
      </c>
      <c r="F25" s="220" t="n">
        <v>0.2</v>
      </c>
      <c r="G25" s="221">
        <f>IFERROR(IF($E25="Onshore",INDEX('0.3 Squad Archetypes'!$G$5:$G$23,MATCH($C25&amp;"|"&amp;$D25,'0.3 Squad Archetypes'!$A$5:$A$23,0)),INDEX('0.3 Squad Archetypes'!$H$5:$H$23,MATCH($C25&amp;"|"&amp;$D25,'0.3 Squad Archetypes'!$A$5:$A$23,0))),"check size")</f>
        <v>1.4</v>
      </c>
      <c r="H25" s="222">
        <f>IFERROR($G25*$F25,"")</f>
        <v>0.27999999999999997</v>
      </c>
      <c r="I25" s="222">
        <f>IFERROR($G25*(1-$F25),"")</f>
        <v>1.1199999999999999</v>
      </c>
      <c r="K25" s="693" t="inlineStr">
        <is>
          <t>AU</t>
        </is>
      </c>
    </row>
    <row r="26">
      <c r="B26" s="486" t="inlineStr">
        <is>
          <t>Platform Overhead</t>
        </is>
      </c>
      <c r="C26" s="224" t="n"/>
      <c r="D26" s="224" t="n"/>
      <c r="E26" s="224" t="n"/>
      <c r="F26" s="224" t="n"/>
      <c r="G26" s="224" t="n"/>
      <c r="H26" s="221">
        <f>'0.2 Data Config'!$L$16</f>
        <v>0.165</v>
      </c>
      <c r="I26" s="224" t="n"/>
    </row>
    <row r="27">
      <c r="B27" s="225" t="inlineStr">
        <is>
          <t>Distribution Total</t>
        </is>
      </c>
      <c r="C27" s="212" t="n"/>
      <c r="D27" s="212" t="n"/>
      <c r="E27" s="212" t="n"/>
      <c r="F27" s="212" t="n"/>
      <c r="G27" s="226">
        <f>SUM(G25:G25)</f>
        <v>1.4</v>
      </c>
      <c r="H27" s="226">
        <f>SUM(H25:H26)</f>
        <v>0.44499999999999995</v>
      </c>
      <c r="I27" s="226">
        <f>SUM(I25:I25)</f>
        <v>1.1199999999999999</v>
      </c>
    </row>
    <row r="28"/>
    <row r="29">
      <c r="B29" s="511" t="inlineStr">
        <is>
          <t>Platform: Manufacturing</t>
        </is>
      </c>
      <c r="C29" s="512" t="n"/>
      <c r="D29" s="512" t="n"/>
      <c r="E29" s="512" t="n"/>
      <c r="F29" s="512" t="n"/>
      <c r="G29" s="512" t="n"/>
      <c r="H29" s="512" t="n"/>
      <c r="I29" s="513" t="n"/>
    </row>
    <row r="30">
      <c r="B30" s="217" t="inlineStr">
        <is>
          <t>Squad</t>
        </is>
      </c>
      <c r="C30" s="485" t="inlineStr">
        <is>
          <t>Squad Type</t>
        </is>
      </c>
      <c r="D30" s="485" t="inlineStr">
        <is>
          <t>Size</t>
        </is>
      </c>
      <c r="E30" s="485" t="inlineStr">
        <is>
          <t>On/Off</t>
        </is>
      </c>
      <c r="F30" s="485" t="inlineStr">
        <is>
          <t>Support %</t>
        </is>
      </c>
      <c r="G30" s="485" t="inlineStr">
        <is>
          <t>Total Squad Cost ($m)</t>
        </is>
      </c>
      <c r="H30" s="485" t="inlineStr">
        <is>
          <t>TDD Cost ($m)</t>
        </is>
      </c>
      <c r="I30" s="485" t="inlineStr">
        <is>
          <t>Funded outside TDD ($m)</t>
        </is>
      </c>
      <c r="K30" s="696" t="inlineStr">
        <is>
          <t>Fund</t>
        </is>
      </c>
    </row>
    <row r="31">
      <c r="B31" s="218" t="inlineStr">
        <is>
          <t>Manufacturing &amp; Group Projects</t>
        </is>
      </c>
      <c r="C31" s="219" t="inlineStr">
        <is>
          <t>Configuration / Integration</t>
        </is>
      </c>
      <c r="D31" s="219" t="inlineStr">
        <is>
          <t>M</t>
        </is>
      </c>
      <c r="E31" s="219" t="inlineStr">
        <is>
          <t>Onshore</t>
        </is>
      </c>
      <c r="F31" s="220" t="n">
        <v>0.2</v>
      </c>
      <c r="G31" s="221">
        <f>IFERROR(IF($E31="Onshore",INDEX('0.3 Squad Archetypes'!$G$5:$G$23,MATCH($C31&amp;"|"&amp;$D31,'0.3 Squad Archetypes'!$A$5:$A$23,0)),INDEX('0.3 Squad Archetypes'!$H$5:$H$23,MATCH($C31&amp;"|"&amp;$D31,'0.3 Squad Archetypes'!$A$5:$A$23,0))),"check size")</f>
        <v>1.4</v>
      </c>
      <c r="H31" s="222">
        <f>IFERROR($G31*$F31,"")</f>
        <v>0.27999999999999997</v>
      </c>
      <c r="I31" s="222">
        <f>IFERROR($G31*(1-$F31),"")</f>
        <v>1.1199999999999999</v>
      </c>
      <c r="K31" s="693" t="inlineStr">
        <is>
          <t>AU</t>
        </is>
      </c>
    </row>
    <row r="32">
      <c r="B32" s="218" t="inlineStr">
        <is>
          <t>Technology Support</t>
        </is>
      </c>
      <c r="C32" s="219" t="inlineStr">
        <is>
          <t>Operations</t>
        </is>
      </c>
      <c r="D32" s="219" t="inlineStr">
        <is>
          <t>S</t>
        </is>
      </c>
      <c r="E32" s="219" t="inlineStr">
        <is>
          <t>Onshore</t>
        </is>
      </c>
      <c r="F32" s="220" t="n">
        <v>0.8</v>
      </c>
      <c r="G32" s="221">
        <f>IFERROR(IF($E32="Onshore",INDEX('0.3 Squad Archetypes'!$G$5:$G$23,MATCH($C32&amp;"|"&amp;$D32,'0.3 Squad Archetypes'!$A$5:$A$23,0)),INDEX('0.3 Squad Archetypes'!$H$5:$H$23,MATCH($C32&amp;"|"&amp;$D32,'0.3 Squad Archetypes'!$A$5:$A$23,0))),"check size")</f>
        <v>0.8</v>
      </c>
      <c r="H32" s="222">
        <f>IFERROR($G32*$F32,"")</f>
        <v>0.6400000000000001</v>
      </c>
      <c r="I32" s="222">
        <f>IFERROR($G32*(1-$F32),"")</f>
        <v>0.15999999999999998</v>
      </c>
      <c r="K32" s="693" t="inlineStr">
        <is>
          <t>AU</t>
        </is>
      </c>
    </row>
    <row r="33">
      <c r="B33" s="486" t="inlineStr">
        <is>
          <t>Platform Overhead</t>
        </is>
      </c>
      <c r="C33" s="224" t="n"/>
      <c r="D33" s="224" t="n"/>
      <c r="E33" s="224" t="n"/>
      <c r="F33" s="224" t="n"/>
      <c r="G33" s="224" t="n"/>
      <c r="H33" s="221">
        <f>'0.2 Data Config'!$L$16</f>
        <v>0.165</v>
      </c>
      <c r="I33" s="224" t="n"/>
    </row>
    <row r="34">
      <c r="B34" s="225" t="inlineStr">
        <is>
          <t>Manufacturing Total</t>
        </is>
      </c>
      <c r="C34" s="212" t="n"/>
      <c r="D34" s="212" t="n"/>
      <c r="E34" s="212" t="n"/>
      <c r="F34" s="212" t="n"/>
      <c r="G34" s="226">
        <f>SUM(G31:G32)</f>
        <v>2.2</v>
      </c>
      <c r="H34" s="226">
        <f>SUM(H31:H33)</f>
        <v>1.0850000000000002</v>
      </c>
      <c r="I34" s="226">
        <f>SUM(I31:I32)</f>
        <v>1.2799999999999998</v>
      </c>
    </row>
    <row r="35"/>
    <row r="36">
      <c r="B36" s="511" t="inlineStr">
        <is>
          <t>Platform: Data &amp; Insights</t>
        </is>
      </c>
      <c r="C36" s="512" t="n"/>
      <c r="D36" s="512" t="n"/>
      <c r="E36" s="512" t="n"/>
      <c r="F36" s="512" t="n"/>
      <c r="G36" s="512" t="n"/>
      <c r="H36" s="512" t="n"/>
      <c r="I36" s="513" t="n"/>
    </row>
    <row r="37">
      <c r="B37" s="217" t="inlineStr">
        <is>
          <t>Squad</t>
        </is>
      </c>
      <c r="C37" s="485" t="inlineStr">
        <is>
          <t>Squad Type</t>
        </is>
      </c>
      <c r="D37" s="485" t="inlineStr">
        <is>
          <t>Size</t>
        </is>
      </c>
      <c r="E37" s="485" t="inlineStr">
        <is>
          <t>On/Off</t>
        </is>
      </c>
      <c r="F37" s="485" t="inlineStr">
        <is>
          <t>Support %</t>
        </is>
      </c>
      <c r="G37" s="485" t="inlineStr">
        <is>
          <t>Total Squad Cost ($m)</t>
        </is>
      </c>
      <c r="H37" s="485" t="inlineStr">
        <is>
          <t>TDD Cost ($m)</t>
        </is>
      </c>
      <c r="I37" s="485" t="inlineStr">
        <is>
          <t>Funded outside TDD ($m)</t>
        </is>
      </c>
      <c r="K37" s="696" t="inlineStr">
        <is>
          <t>Fund</t>
        </is>
      </c>
    </row>
    <row r="38">
      <c r="B38" s="218" t="inlineStr">
        <is>
          <t>Data &amp; Insights</t>
        </is>
      </c>
      <c r="C38" s="219" t="inlineStr">
        <is>
          <t>Configuration / Integration</t>
        </is>
      </c>
      <c r="D38" s="219" t="inlineStr">
        <is>
          <t>S</t>
        </is>
      </c>
      <c r="E38" s="219" t="inlineStr">
        <is>
          <t>Onshore</t>
        </is>
      </c>
      <c r="F38" s="220" t="n">
        <v>0.2</v>
      </c>
      <c r="G38" s="221">
        <f>IFERROR(IF($E38="Onshore",INDEX('0.3 Squad Archetypes'!$G$5:$G$23,MATCH($C38&amp;"|"&amp;$D38,'0.3 Squad Archetypes'!$A$5:$A$23,0)),INDEX('0.3 Squad Archetypes'!$H$5:$H$23,MATCH($C38&amp;"|"&amp;$D38,'0.3 Squad Archetypes'!$A$5:$A$23,0))),"check size")</f>
        <v>0.4</v>
      </c>
      <c r="H38" s="222">
        <f>IFERROR($G38*$F38,"")</f>
        <v>0.08000000000000002</v>
      </c>
      <c r="I38" s="222">
        <f>IFERROR($G38*(1-$F38),"")</f>
        <v>0.32000000000000006</v>
      </c>
      <c r="J38" t="inlineStr">
        <is>
          <t>Data team to be worked out</t>
        </is>
      </c>
      <c r="K38" s="693" t="inlineStr">
        <is>
          <t>AU</t>
        </is>
      </c>
    </row>
    <row r="39">
      <c r="B39" s="486" t="inlineStr">
        <is>
          <t>Platform Overhead</t>
        </is>
      </c>
      <c r="C39" s="224" t="n"/>
      <c r="D39" s="224" t="n"/>
      <c r="E39" s="224" t="n"/>
      <c r="F39" s="224" t="n"/>
      <c r="G39" s="224" t="n"/>
      <c r="H39" s="221">
        <f>'0.2 Data Config'!$L$16</f>
        <v>0.165</v>
      </c>
      <c r="I39" s="224" t="n"/>
    </row>
    <row r="40">
      <c r="B40" s="225" t="inlineStr">
        <is>
          <t>Data &amp; Insights Total</t>
        </is>
      </c>
      <c r="C40" s="212" t="n"/>
      <c r="D40" s="212" t="n"/>
      <c r="E40" s="212" t="n"/>
      <c r="F40" s="212" t="n"/>
      <c r="G40" s="226">
        <f>SUM(G38:G38)</f>
        <v>0.4</v>
      </c>
      <c r="H40" s="226">
        <f>SUM(H38:H39)</f>
        <v>0.24500000000000002</v>
      </c>
      <c r="I40" s="226">
        <f>SUM(I38:I38)</f>
        <v>0.32000000000000006</v>
      </c>
    </row>
    <row r="41"/>
    <row r="42">
      <c r="B42" s="686" t="inlineStr">
        <is>
          <t>TDD squad cost - AU funded (Fund toggles) ($m)</t>
        </is>
      </c>
      <c r="C42" s="669">
        <f>SUMIF(K25:K25,"AU",H25:H25)+SUMIF(K31:K32,"AU",H31:H32)+SUMIF(K38:K38,"AU",H38:H38)</f>
        <v>1.2800000000000002</v>
      </c>
    </row>
    <row r="43">
      <c r="B43" s="686" t="inlineStr">
        <is>
          <t>TDD squad cost - NZ funded (Fund toggles) ($m)</t>
        </is>
      </c>
      <c r="C43" s="669">
        <f>SUMIF(K25:K25,"NZ",H25:H25)+SUMIF(K31:K32,"NZ",H31:H32)+SUMIF(K38:K38,"NZ",H38:H38)</f>
        <v>0.0</v>
      </c>
    </row>
  </sheetData>
  <mergeCells count="7">
    <mergeCell ref="G11:J11"/>
    <mergeCell ref="B29:I29"/>
    <mergeCell ref="B13:D13"/>
    <mergeCell ref="B36:I36"/>
    <mergeCell ref="B5:E5"/>
    <mergeCell ref="B12:D12"/>
    <mergeCell ref="B23:I23"/>
  </mergeCells>
  <conditionalFormatting sqref="C18">
    <cfRule type="cellIs" priority="9" operator="greaterThan" dxfId="1">
      <formula>0</formula>
    </cfRule>
    <cfRule type="cellIs" priority="9" operator="lessThanOrEqual" dxfId="0">
      <formula>0</formula>
    </cfRule>
  </conditionalFormatting>
  <conditionalFormatting sqref="H8">
    <cfRule type="cellIs" priority="5" operator="greaterThanOrEqual" dxfId="0">
      <formula>0</formula>
    </cfRule>
    <cfRule type="cellIs" priority="6" operator="lessThan" dxfId="1">
      <formula>0</formula>
    </cfRule>
  </conditionalFormatting>
  <conditionalFormatting sqref="I20">
    <cfRule type="cellIs" priority="7" operator="greaterThan" dxfId="1">
      <formula>0</formula>
    </cfRule>
    <cfRule type="cellIs" priority="8" operator="lessThanOrEqual" dxfId="0">
      <formula>0</formula>
    </cfRule>
  </conditionalFormatting>
  <dataValidations count="5">
    <dataValidation sqref="C25 C31:C32 C38" showDropDown="0" showInputMessage="0" showErrorMessage="1" allowBlank="1" errorTitle="Invalid entry" error="Pick a value from the list" type="list">
      <formula1>SquadTypes</formula1>
      <formula2>0</formula2>
    </dataValidation>
    <dataValidation sqref="D25 D31:D32 D38" showDropDown="0" showInputMessage="0" showErrorMessage="1" allowBlank="1" errorTitle="Invalid entry" error="Pick a value from the list" type="list">
      <formula1>SquadSizes</formula1>
      <formula2>0</formula2>
    </dataValidation>
    <dataValidation sqref="E25 E31:E32 E38" showDropDown="0" showInputMessage="0" showErrorMessage="1" allowBlank="1" errorTitle="Invalid entry" error="Pick a value from the list" type="list">
      <formula1>OnOff</formula1>
      <formula2>0</formula2>
    </dataValidation>
    <dataValidation sqref="F25 F31:F32 F38" showDropDown="0" showInputMessage="0" showErrorMessage="1" allowBlank="1" errorTitle="Invalid entry" error="Pick a value from the list" type="list">
      <formula1>SupportPct</formula1>
      <formula2>0</formula2>
    </dataValidation>
    <dataValidation sqref="K25 K31 K32 K38" showDropDown="0" showInputMessage="0" showErrorMessage="1" allowBlank="0" type="list">
      <formula1>"AU,NZ"</formula1>
    </dataValidation>
  </dataValidations>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tabColor rgb="001F4E79"/>
    <outlinePr summaryBelow="1" summaryRight="1"/>
    <pageSetUpPr/>
  </sheetPr>
  <dimension ref="A1:K39"/>
  <sheetViews>
    <sheetView showGridLines="0" zoomScale="110" zoomScaleNormal="110" workbookViewId="0">
      <selection activeCell="M15" sqref="M15"/>
    </sheetView>
  </sheetViews>
  <sheetFormatPr baseColWidth="8" defaultColWidth="8.54296875" defaultRowHeight="14.5" outlineLevelCol="0"/>
  <cols>
    <col width="28" customWidth="1" style="506" min="2" max="2"/>
    <col width="26" customWidth="1" style="506" min="3" max="3"/>
    <col width="9.54296875" customWidth="1" style="506" min="4" max="4"/>
    <col width="19.81640625" customWidth="1" style="506" min="5" max="5"/>
    <col width="11" customWidth="1" style="506" min="6" max="6"/>
    <col width="27.1796875" customWidth="1" style="506" min="7" max="7"/>
    <col width="14" customWidth="1" style="506" min="8" max="8"/>
    <col width="50.1796875" customWidth="1" style="506" min="9" max="9"/>
    <col width="24.81640625" customWidth="1" style="506" min="10" max="10"/>
  </cols>
  <sheetData>
    <row r="1"/>
    <row r="2" ht="21" customHeight="1" s="506">
      <c r="B2" s="199" t="inlineStr">
        <is>
          <t>Energy Solutions &amp; B2B</t>
        </is>
      </c>
    </row>
    <row r="3"/>
    <row r="4">
      <c r="B4" s="508" t="inlineStr">
        <is>
          <t>Portfolio Summary</t>
        </is>
      </c>
      <c r="C4" s="509" t="n"/>
      <c r="D4" s="509" t="n"/>
      <c r="E4" s="510" t="n"/>
      <c r="G4" s="200" t="inlineStr">
        <is>
          <t>Budget vs TDD Cost</t>
        </is>
      </c>
      <c r="H4" s="200" t="n"/>
    </row>
    <row r="5">
      <c r="B5" s="5" t="inlineStr">
        <is>
          <t>Cost</t>
        </is>
      </c>
      <c r="C5" s="480" t="inlineStr">
        <is>
          <t>TDD ($m)</t>
        </is>
      </c>
      <c r="D5" s="480" t="inlineStr">
        <is>
          <t>Other ($m)</t>
        </is>
      </c>
      <c r="E5" s="480" t="inlineStr">
        <is>
          <t>Total ES &amp; B2B Cost ($m)</t>
        </is>
      </c>
      <c r="G5" s="201" t="inlineStr">
        <is>
          <t>TDD Lights On Budget (people - 0.2 Data Config)</t>
        </is>
      </c>
      <c r="H5" s="202">
        <f>'0.2 Data Config'!$E$16</f>
        <v>2.5</v>
      </c>
    </row>
    <row r="6">
      <c r="B6" s="8" t="inlineStr">
        <is>
          <t>Portfolio Overhead (see 0.2 Data Config)</t>
        </is>
      </c>
      <c r="C6" s="202">
        <f>'0.2 Data Config'!$L$10</f>
        <v>0.7495</v>
      </c>
      <c r="E6" s="9">
        <f>C6</f>
        <v>0.7495</v>
      </c>
      <c r="G6" s="201" t="inlineStr">
        <is>
          <t>Overheads &amp; Support (this model)</t>
        </is>
      </c>
      <c r="H6" s="9">
        <f>C9</f>
        <v>2.5095</v>
      </c>
      <c r="J6" t="inlineStr">
        <is>
          <t xml:space="preserve">Will need to split out B2B for budget </t>
        </is>
      </c>
    </row>
    <row r="7">
      <c r="B7" s="8" t="inlineStr">
        <is>
          <t>Platform Overheads</t>
        </is>
      </c>
      <c r="C7" s="9">
        <f>SUM(H29,H35)</f>
        <v>0.33</v>
      </c>
      <c r="E7" s="9">
        <f>C7</f>
        <v>0.33</v>
      </c>
      <c r="G7" s="203" t="inlineStr">
        <is>
          <t>Variance (budget less cost)</t>
        </is>
      </c>
      <c r="H7" s="204">
        <f>H5-H6</f>
        <v>-0.009500000000000064</v>
      </c>
    </row>
    <row r="8">
      <c r="B8" s="8" t="inlineStr">
        <is>
          <t>Squad Support Costs</t>
        </is>
      </c>
      <c r="C8" s="9">
        <f>SUM(H27,H28,H34)</f>
        <v>1.4300000000000002</v>
      </c>
      <c r="D8" s="9">
        <f>SUM(I27,I28,I34)</f>
        <v>4.67</v>
      </c>
      <c r="E8" s="9">
        <f>C8+D8</f>
        <v>6.1</v>
      </c>
    </row>
    <row r="9">
      <c r="B9" s="203" t="inlineStr">
        <is>
          <t>Total Cost</t>
        </is>
      </c>
      <c r="C9" s="204">
        <f>SUM(C6:C8)</f>
        <v>2.5095</v>
      </c>
      <c r="D9" s="204">
        <f>SUM(D6:D8)</f>
        <v>4.67</v>
      </c>
      <c r="E9" s="204">
        <f>C9+D9</f>
        <v>7.1795</v>
      </c>
    </row>
    <row r="10">
      <c r="G10" s="511" t="inlineStr">
        <is>
          <t xml:space="preserve">Other funding </t>
        </is>
      </c>
      <c r="H10" s="512" t="n"/>
      <c r="I10" s="512" t="n"/>
      <c r="J10" s="513" t="n"/>
    </row>
    <row r="11">
      <c r="B11" s="560" t="inlineStr">
        <is>
          <t xml:space="preserve">Total Energy Solutions budget </t>
        </is>
      </c>
      <c r="D11" s="507" t="n"/>
      <c r="E11" s="206">
        <f>SUM(H12:H19)</f>
        <v>12.4</v>
      </c>
      <c r="G11" s="485" t="inlineStr">
        <is>
          <t>Budget line</t>
        </is>
      </c>
      <c r="H11" s="485" t="inlineStr">
        <is>
          <t>Budget ($m)</t>
        </is>
      </c>
      <c r="I11" s="485" t="inlineStr">
        <is>
          <t>Amount that can be allocated to people</t>
        </is>
      </c>
      <c r="J11" s="485" t="inlineStr">
        <is>
          <t>Remaining for non-people ($m)</t>
        </is>
      </c>
    </row>
    <row r="12">
      <c r="B12" s="560" t="inlineStr">
        <is>
          <t xml:space="preserve">Reconciled to Finance </t>
        </is>
      </c>
      <c r="D12" s="507" t="n"/>
      <c r="E12" s="206">
        <f>'0.1 Budget Table (Fin)'!Q7</f>
        <v>7.2</v>
      </c>
      <c r="G12" s="218" t="inlineStr">
        <is>
          <t>Energy Solutions Lights On</t>
        </is>
      </c>
      <c r="H12" s="221">
        <f>'0.1 Budget Table (Fin)'!L7</f>
        <v>3.9</v>
      </c>
      <c r="I12" s="487">
        <f>'0.1 Budget Table (Fin)'!G7</f>
        <v>1.0</v>
      </c>
      <c r="J12" s="222">
        <f>IFERROR(H12-I12,0)</f>
        <v>2.9</v>
      </c>
    </row>
    <row r="13">
      <c r="G13" s="218" t="inlineStr">
        <is>
          <t xml:space="preserve">ES OpEx Initiatives </t>
        </is>
      </c>
      <c r="H13" s="221">
        <f>'0.1 Budget Table (Fin)'!N7</f>
        <v>1.0</v>
      </c>
      <c r="I13" s="229" t="n">
        <v>0</v>
      </c>
      <c r="J13" s="222">
        <f>IFERROR(H13-I13,0)</f>
        <v>1.0</v>
      </c>
    </row>
    <row r="14">
      <c r="B14" s="427" t="inlineStr">
        <is>
          <t>Total to fund</t>
        </is>
      </c>
      <c r="C14" s="428" t="n"/>
      <c r="G14" s="218" t="inlineStr">
        <is>
          <t>ES CapEx</t>
        </is>
      </c>
      <c r="H14" s="221">
        <f>'0.1 Budget Table (Fin)'!P7</f>
        <v>2.3</v>
      </c>
      <c r="I14" s="229" t="n">
        <v>1</v>
      </c>
      <c r="J14" s="222">
        <f>IFERROR(H14-I14,0)</f>
        <v>1.2999999999999998</v>
      </c>
    </row>
    <row r="15">
      <c r="B15" s="429" t="inlineStr">
        <is>
          <t>TDD Variance</t>
        </is>
      </c>
      <c r="C15" s="430">
        <f>MAX(0,-H7)</f>
        <v>0.009500000000000064</v>
      </c>
      <c r="G15" s="247" t="inlineStr">
        <is>
          <t>B2B Lights On</t>
        </is>
      </c>
      <c r="H15" s="229" t="n"/>
      <c r="I15" s="229" t="n"/>
      <c r="J15" s="222" t="n"/>
    </row>
    <row r="16">
      <c r="B16" s="429" t="inlineStr">
        <is>
          <t>Other Variance</t>
        </is>
      </c>
      <c r="C16" s="430">
        <f>MAX(0,I22)</f>
        <v>1.17</v>
      </c>
      <c r="E16" t="inlineStr">
        <is>
          <t>What is the B2B initiatives #?</t>
        </is>
      </c>
      <c r="G16" s="247" t="inlineStr">
        <is>
          <t xml:space="preserve">B2B OpEx Initiatives </t>
        </is>
      </c>
      <c r="H16" s="229" t="n"/>
      <c r="I16" s="229" t="n"/>
      <c r="J16" s="222" t="n"/>
    </row>
    <row r="17">
      <c r="B17" s="431" t="inlineStr">
        <is>
          <t>Total</t>
        </is>
      </c>
      <c r="C17" s="432">
        <f>C15+C16</f>
        <v>1.1795</v>
      </c>
      <c r="E17" t="inlineStr">
        <is>
          <t>What is the B2B CapEx?</t>
        </is>
      </c>
      <c r="G17" s="247" t="inlineStr">
        <is>
          <t>B2B CapEx</t>
        </is>
      </c>
      <c r="H17" s="229" t="n">
        <v>5.2</v>
      </c>
      <c r="I17" s="229" t="n">
        <v>1.5</v>
      </c>
      <c r="J17" s="222" t="n"/>
    </row>
    <row r="18">
      <c r="G18" s="218" t="inlineStr">
        <is>
          <t>Significant Items</t>
        </is>
      </c>
      <c r="H18" s="221">
        <f>'0.1 Budget Table (Fin)'!O7</f>
        <v>0.0</v>
      </c>
      <c r="I18" s="229" t="n">
        <v>0</v>
      </c>
      <c r="J18" s="222">
        <f>IFERROR(H18-I18,0)</f>
        <v>0.0</v>
      </c>
    </row>
    <row r="19">
      <c r="G19" s="218" t="inlineStr">
        <is>
          <t>Depreciation</t>
        </is>
      </c>
      <c r="H19" s="221">
        <f>'0.1 Budget Table (Fin)'!M7</f>
        <v>0.0</v>
      </c>
      <c r="I19" s="229" t="n">
        <v>0</v>
      </c>
      <c r="J19" s="222">
        <f>IFERROR(H19-I19,0)</f>
        <v>0.0</v>
      </c>
    </row>
    <row r="20">
      <c r="G20" s="230" t="inlineStr">
        <is>
          <t>Total applied</t>
        </is>
      </c>
      <c r="H20" s="224" t="n"/>
      <c r="I20" s="231">
        <f>SUM(I12:I19)</f>
        <v>3.5</v>
      </c>
      <c r="J20" s="224" t="n"/>
    </row>
    <row r="21">
      <c r="G21" s="218" t="inlineStr">
        <is>
          <t>Other cost (this model)</t>
        </is>
      </c>
      <c r="H21" s="224" t="n"/>
      <c r="I21" s="222">
        <f>D9</f>
        <v>4.67</v>
      </c>
      <c r="J21" s="224" t="n"/>
    </row>
    <row r="22">
      <c r="G22" s="225" t="inlineStr">
        <is>
          <t>Left to fund</t>
        </is>
      </c>
      <c r="H22" s="224" t="n"/>
      <c r="I22" s="226">
        <f>I21-I20</f>
        <v>1.17</v>
      </c>
      <c r="J22" s="224" t="n"/>
    </row>
    <row r="23"/>
    <row r="24"/>
    <row r="25">
      <c r="B25" s="511" t="inlineStr">
        <is>
          <t>Platform: Energy Solutions</t>
        </is>
      </c>
      <c r="C25" s="512" t="n"/>
      <c r="D25" s="512" t="n"/>
      <c r="E25" s="512" t="n"/>
      <c r="F25" s="512" t="n"/>
      <c r="G25" s="512" t="n"/>
      <c r="H25" s="512" t="n"/>
      <c r="I25" s="513" t="n"/>
    </row>
    <row r="26">
      <c r="B26" s="217" t="inlineStr">
        <is>
          <t>Squad</t>
        </is>
      </c>
      <c r="C26" s="485" t="inlineStr">
        <is>
          <t>Squad Type</t>
        </is>
      </c>
      <c r="D26" s="485" t="inlineStr">
        <is>
          <t>Size</t>
        </is>
      </c>
      <c r="E26" s="485" t="inlineStr">
        <is>
          <t>On/Off</t>
        </is>
      </c>
      <c r="F26" s="485" t="inlineStr">
        <is>
          <t>Support %</t>
        </is>
      </c>
      <c r="G26" s="485" t="inlineStr">
        <is>
          <t>Total Squad Cost ($m)</t>
        </is>
      </c>
      <c r="H26" s="485" t="inlineStr">
        <is>
          <t>TDD Cost ($m)</t>
        </is>
      </c>
      <c r="I26" s="485" t="inlineStr">
        <is>
          <t>Funded outside TDD ($m)</t>
        </is>
      </c>
      <c r="K26" s="696" t="inlineStr">
        <is>
          <t>Fund</t>
        </is>
      </c>
    </row>
    <row r="27">
      <c r="B27" s="218" t="inlineStr">
        <is>
          <t>Energy</t>
        </is>
      </c>
      <c r="C27" s="219" t="inlineStr">
        <is>
          <t>Engineering</t>
        </is>
      </c>
      <c r="D27" s="219" t="inlineStr">
        <is>
          <t>M</t>
        </is>
      </c>
      <c r="E27" s="219" t="inlineStr">
        <is>
          <t>Onshore</t>
        </is>
      </c>
      <c r="F27" s="220" t="n">
        <v>0.2</v>
      </c>
      <c r="G27" s="221">
        <f>IFERROR(IF($E27="Onshore",INDEX('0.3 Squad Archetypes'!$G$5:$G$23,MATCH($C27&amp;"|"&amp;$D27,'0.3 Squad Archetypes'!$A$5:$A$23,0)),INDEX('0.3 Squad Archetypes'!$H$5:$H$23,MATCH($C27&amp;"|"&amp;$D27,'0.3 Squad Archetypes'!$A$5:$A$23,0))),"check size")</f>
        <v>2.0</v>
      </c>
      <c r="H27" s="222">
        <f>IFERROR($G27*$F27,"")</f>
        <v>0.4</v>
      </c>
      <c r="I27" s="222">
        <f>IFERROR($G27*(1-$F27),"")</f>
        <v>1.6</v>
      </c>
      <c r="K27" s="693" t="inlineStr">
        <is>
          <t>AU</t>
        </is>
      </c>
    </row>
    <row r="28">
      <c r="B28" s="218" t="inlineStr">
        <is>
          <t>EVCI</t>
        </is>
      </c>
      <c r="C28" s="219" t="inlineStr">
        <is>
          <t>Engineering</t>
        </is>
      </c>
      <c r="D28" s="219" t="inlineStr">
        <is>
          <t>M</t>
        </is>
      </c>
      <c r="E28" s="219" t="inlineStr">
        <is>
          <t>Onshore</t>
        </is>
      </c>
      <c r="F28" s="220" t="n">
        <v>0.2</v>
      </c>
      <c r="G28" s="221">
        <f>IFERROR(IF($E28="Onshore",INDEX('0.3 Squad Archetypes'!$G$5:$G$23,MATCH($C28&amp;"|"&amp;$D28,'0.3 Squad Archetypes'!$A$5:$A$23,0)),INDEX('0.3 Squad Archetypes'!$H$5:$H$23,MATCH($C28&amp;"|"&amp;$D28,'0.3 Squad Archetypes'!$A$5:$A$23,0))),"check size")</f>
        <v>2.0</v>
      </c>
      <c r="H28" s="222">
        <f>IFERROR($G28*$F28,"")</f>
        <v>0.4</v>
      </c>
      <c r="I28" s="222">
        <f>IFERROR($G28*(1-$F28),"")</f>
        <v>1.6</v>
      </c>
      <c r="J28" t="inlineStr">
        <is>
          <t xml:space="preserve">current FTE 6 </t>
        </is>
      </c>
      <c r="K28" s="693" t="inlineStr">
        <is>
          <t>AU</t>
        </is>
      </c>
    </row>
    <row r="29">
      <c r="B29" s="486" t="inlineStr">
        <is>
          <t>Platform Overhead</t>
        </is>
      </c>
      <c r="C29" s="224" t="n"/>
      <c r="D29" s="224" t="n"/>
      <c r="E29" s="224" t="n"/>
      <c r="F29" s="224" t="n"/>
      <c r="G29" s="224" t="n"/>
      <c r="H29" s="221">
        <f>'0.2 Data Config'!$L$16</f>
        <v>0.165</v>
      </c>
      <c r="I29" s="224" t="n"/>
    </row>
    <row r="30">
      <c r="B30" s="225" t="inlineStr">
        <is>
          <t>Energy Solutions Total</t>
        </is>
      </c>
      <c r="C30" s="212" t="n"/>
      <c r="D30" s="212" t="n"/>
      <c r="E30" s="212" t="n"/>
      <c r="F30" s="212" t="n"/>
      <c r="G30" s="226">
        <f>SUM(G27:G28)</f>
        <v>4.0</v>
      </c>
      <c r="H30" s="226">
        <f>SUM(H27:H29)</f>
        <v>0.9650000000000001</v>
      </c>
      <c r="I30" s="226">
        <f>SUM(I27:I28)</f>
        <v>3.2</v>
      </c>
    </row>
    <row r="31"/>
    <row r="32">
      <c r="B32" s="511" t="inlineStr">
        <is>
          <t>Platform: B2B</t>
        </is>
      </c>
      <c r="C32" s="512" t="n"/>
      <c r="D32" s="512" t="n"/>
      <c r="E32" s="512" t="n"/>
      <c r="F32" s="512" t="n"/>
      <c r="G32" s="512" t="n"/>
      <c r="H32" s="512" t="n"/>
      <c r="I32" s="513" t="n"/>
    </row>
    <row r="33">
      <c r="B33" s="217" t="inlineStr">
        <is>
          <t>Squad</t>
        </is>
      </c>
      <c r="C33" s="485" t="inlineStr">
        <is>
          <t>Squad Type</t>
        </is>
      </c>
      <c r="D33" s="485" t="inlineStr">
        <is>
          <t>Size</t>
        </is>
      </c>
      <c r="E33" s="485" t="inlineStr">
        <is>
          <t>On/Off</t>
        </is>
      </c>
      <c r="F33" s="485" t="inlineStr">
        <is>
          <t>Support %</t>
        </is>
      </c>
      <c r="G33" s="485" t="inlineStr">
        <is>
          <t>Total Squad Cost ($m)</t>
        </is>
      </c>
      <c r="H33" s="485" t="inlineStr">
        <is>
          <t>TDD Cost ($m)</t>
        </is>
      </c>
      <c r="I33" s="485" t="inlineStr">
        <is>
          <t>Funded outside TDD ($m)</t>
        </is>
      </c>
      <c r="K33" s="696" t="inlineStr">
        <is>
          <t>Fund</t>
        </is>
      </c>
    </row>
    <row r="34">
      <c r="B34" s="218" t="inlineStr">
        <is>
          <t>B2B</t>
        </is>
      </c>
      <c r="C34" s="219" t="inlineStr">
        <is>
          <t>Configuration / Integration</t>
        </is>
      </c>
      <c r="D34" s="219" t="inlineStr">
        <is>
          <t>L</t>
        </is>
      </c>
      <c r="E34" s="219" t="inlineStr">
        <is>
          <t>Onshore</t>
        </is>
      </c>
      <c r="F34" s="220" t="n">
        <v>0.3</v>
      </c>
      <c r="G34" s="221">
        <f>IFERROR(IF($E34="Onshore",INDEX('0.3 Squad Archetypes'!$G$5:$G$23,MATCH($C34&amp;"|"&amp;$D34,'0.3 Squad Archetypes'!$A$5:$A$23,0)),INDEX('0.3 Squad Archetypes'!$H$5:$H$23,MATCH($C34&amp;"|"&amp;$D34,'0.3 Squad Archetypes'!$A$5:$A$23,0))),"check size")</f>
        <v>2.1</v>
      </c>
      <c r="H34" s="222">
        <f>IFERROR($G34*$F34,"")</f>
        <v>0.63</v>
      </c>
      <c r="I34" s="222">
        <f>IFERROR($G34*(1-$F34),"")</f>
        <v>1.47</v>
      </c>
      <c r="K34" s="693" t="inlineStr">
        <is>
          <t>AU</t>
        </is>
      </c>
    </row>
    <row r="35">
      <c r="B35" s="486" t="inlineStr">
        <is>
          <t>Platform Overhead</t>
        </is>
      </c>
      <c r="C35" s="224" t="n"/>
      <c r="D35" s="224" t="n"/>
      <c r="E35" s="224" t="n"/>
      <c r="F35" s="224" t="n"/>
      <c r="G35" s="224" t="n"/>
      <c r="H35" s="221">
        <f>'0.2 Data Config'!$L$16</f>
        <v>0.165</v>
      </c>
      <c r="I35" s="224" t="n"/>
    </row>
    <row r="36">
      <c r="B36" s="225" t="inlineStr">
        <is>
          <t>B2B Total</t>
        </is>
      </c>
      <c r="C36" s="212" t="n"/>
      <c r="D36" s="212" t="n"/>
      <c r="E36" s="212" t="n"/>
      <c r="F36" s="212" t="n"/>
      <c r="G36" s="226">
        <f>SUM(G34:G34)</f>
        <v>2.1</v>
      </c>
      <c r="H36" s="226">
        <f>SUM(H34:H35)</f>
        <v>0.795</v>
      </c>
      <c r="I36" s="226">
        <f>SUM(I34:I34)</f>
        <v>1.47</v>
      </c>
    </row>
    <row r="37"/>
    <row r="38">
      <c r="B38" s="686" t="inlineStr">
        <is>
          <t>TDD squad cost - AU funded (Fund toggles) ($m)</t>
        </is>
      </c>
      <c r="C38" s="669">
        <f>SUMIF(K27:K28,"AU",H27:H28)+SUMIF(K34:K34,"AU",H34:H34)</f>
        <v>1.4300000000000002</v>
      </c>
    </row>
    <row r="39">
      <c r="B39" s="686" t="inlineStr">
        <is>
          <t>TDD squad cost - NZ funded (Fund toggles) ($m)</t>
        </is>
      </c>
      <c r="C39" s="669">
        <f>SUMIF(K27:K28,"NZ",H27:H28)+SUMIF(K34:K34,"NZ",H34:H34)</f>
        <v>0.0</v>
      </c>
    </row>
  </sheetData>
  <mergeCells count="6">
    <mergeCell ref="B11:D11"/>
    <mergeCell ref="B4:E4"/>
    <mergeCell ref="B25:I25"/>
    <mergeCell ref="B12:D12"/>
    <mergeCell ref="B32:I32"/>
    <mergeCell ref="G10:J10"/>
  </mergeCells>
  <conditionalFormatting sqref="C17">
    <cfRule type="cellIs" priority="9" operator="greaterThan" dxfId="1">
      <formula>0</formula>
    </cfRule>
    <cfRule type="cellIs" priority="9" operator="lessThanOrEqual" dxfId="0">
      <formula>0</formula>
    </cfRule>
  </conditionalFormatting>
  <conditionalFormatting sqref="H7">
    <cfRule type="cellIs" priority="5" operator="greaterThanOrEqual" dxfId="0">
      <formula>0</formula>
    </cfRule>
    <cfRule type="cellIs" priority="6" operator="lessThan" dxfId="1">
      <formula>0</formula>
    </cfRule>
  </conditionalFormatting>
  <conditionalFormatting sqref="I22">
    <cfRule type="cellIs" priority="7" operator="greaterThan" dxfId="1">
      <formula>0</formula>
    </cfRule>
    <cfRule type="cellIs" priority="8" operator="lessThanOrEqual" dxfId="0">
      <formula>0</formula>
    </cfRule>
  </conditionalFormatting>
  <dataValidations count="5">
    <dataValidation sqref="C27:C28 C34" showDropDown="0" showInputMessage="0" showErrorMessage="1" allowBlank="1" errorTitle="Invalid entry" error="Pick a value from the list" type="list">
      <formula1>SquadTypes</formula1>
      <formula2>0</formula2>
    </dataValidation>
    <dataValidation sqref="D27:D28 D34" showDropDown="0" showInputMessage="0" showErrorMessage="1" allowBlank="1" errorTitle="Invalid entry" error="Pick a value from the list" type="list">
      <formula1>SquadSizes</formula1>
      <formula2>0</formula2>
    </dataValidation>
    <dataValidation sqref="E27:E28 E34" showDropDown="0" showInputMessage="0" showErrorMessage="1" allowBlank="1" errorTitle="Invalid entry" error="Pick a value from the list" type="list">
      <formula1>OnOff</formula1>
      <formula2>0</formula2>
    </dataValidation>
    <dataValidation sqref="F27:F28 F34" showDropDown="0" showInputMessage="0" showErrorMessage="1" allowBlank="1" errorTitle="Invalid entry" error="Pick a value from the list" type="list">
      <formula1>SupportPct</formula1>
      <formula2>0</formula2>
    </dataValidation>
    <dataValidation sqref="K27 K28 K34" showDropDown="0" showInputMessage="0" showErrorMessage="1" allowBlank="0" type="list">
      <formula1>"AU,NZ"</formula1>
    </dataValidation>
  </dataValidations>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tabColor rgb="001F4E79"/>
    <outlinePr summaryBelow="1" summaryRight="1"/>
    <pageSetUpPr/>
  </sheetPr>
  <dimension ref="A1:L43"/>
  <sheetViews>
    <sheetView showGridLines="0" zoomScale="120" zoomScaleNormal="120" workbookViewId="0">
      <selection activeCell="J19" sqref="J19"/>
    </sheetView>
  </sheetViews>
  <sheetFormatPr baseColWidth="8" defaultColWidth="8.54296875" defaultRowHeight="14.5" outlineLevelCol="0"/>
  <cols>
    <col width="28" customWidth="1" style="506" min="2" max="2"/>
    <col width="26" customWidth="1" style="506" min="3" max="3"/>
    <col width="9.54296875" customWidth="1" style="506" min="4" max="4"/>
    <col width="26.54296875" customWidth="1" style="506" min="5" max="5"/>
    <col width="11" customWidth="1" style="506" min="6" max="6"/>
    <col width="27.1796875" customWidth="1" style="506" min="7" max="7"/>
    <col width="14" customWidth="1" style="506" min="8" max="8"/>
    <col width="50.1796875" customWidth="1" style="506" min="9" max="9"/>
    <col width="24.81640625" customWidth="1" style="506" min="10" max="10"/>
  </cols>
  <sheetData>
    <row r="1"/>
    <row r="2" ht="21" customHeight="1" s="506">
      <c r="B2" s="199" t="inlineStr">
        <is>
          <t>Commercial Fuels</t>
        </is>
      </c>
    </row>
    <row r="3"/>
    <row r="4">
      <c r="B4" s="508" t="inlineStr">
        <is>
          <t>Portfolio Summary</t>
        </is>
      </c>
      <c r="C4" s="509" t="n"/>
      <c r="D4" s="509" t="n"/>
      <c r="E4" s="510" t="n"/>
      <c r="G4" s="200" t="inlineStr">
        <is>
          <t>Budget vs TDD Cost</t>
        </is>
      </c>
      <c r="H4" s="200" t="n"/>
    </row>
    <row r="5">
      <c r="B5" s="5" t="inlineStr">
        <is>
          <t>Cost</t>
        </is>
      </c>
      <c r="C5" s="480" t="inlineStr">
        <is>
          <t>TDD ($m)</t>
        </is>
      </c>
      <c r="D5" s="480" t="inlineStr">
        <is>
          <t>Other ($m)</t>
        </is>
      </c>
      <c r="E5" s="480" t="inlineStr">
        <is>
          <t>Total Commercial Fuels Cost ($m)</t>
        </is>
      </c>
      <c r="G5" s="201" t="inlineStr">
        <is>
          <t>TDD Lights On Budget (people - 0.2 Data Config)</t>
        </is>
      </c>
      <c r="H5" s="202">
        <f>'0.2 Data Config'!$E$15</f>
        <v>2.5</v>
      </c>
    </row>
    <row r="6">
      <c r="B6" s="8" t="inlineStr">
        <is>
          <t>Portfolio Overhead (see 0.2 Data Config)</t>
        </is>
      </c>
      <c r="C6" s="202">
        <f>'0.2 Data Config'!$L$10</f>
        <v>0.7495</v>
      </c>
      <c r="E6" s="9">
        <f>C6</f>
        <v>0.7495</v>
      </c>
      <c r="G6" s="201" t="inlineStr">
        <is>
          <t>Overheads &amp; Support (this model)</t>
        </is>
      </c>
      <c r="H6" s="9">
        <f>C9</f>
        <v>2.0845</v>
      </c>
    </row>
    <row r="7">
      <c r="B7" s="8" t="inlineStr">
        <is>
          <t>Platform Overheads</t>
        </is>
      </c>
      <c r="C7" s="9">
        <f>SUM(H27,H33,H39)</f>
        <v>0.495</v>
      </c>
      <c r="E7" s="9">
        <f>C7</f>
        <v>0.495</v>
      </c>
      <c r="G7" s="203" t="inlineStr">
        <is>
          <t>Variance (budget less cost)</t>
        </is>
      </c>
      <c r="H7" s="204">
        <f>H5-H6</f>
        <v>0.4155000000000002</v>
      </c>
    </row>
    <row r="8">
      <c r="B8" s="8" t="inlineStr">
        <is>
          <t>Squad Support Costs</t>
        </is>
      </c>
      <c r="C8" s="9">
        <f>SUM(H25,H26,H32,H38)</f>
        <v>0.8399999999999999</v>
      </c>
      <c r="D8" s="9">
        <f>SUM(I25,I26,I32,I38)</f>
        <v>5.0600000000000005</v>
      </c>
      <c r="E8" s="9">
        <f>C8+D8</f>
        <v>5.9</v>
      </c>
    </row>
    <row r="9">
      <c r="B9" s="203" t="inlineStr">
        <is>
          <t>Total Cost</t>
        </is>
      </c>
      <c r="C9" s="204">
        <f>SUM(C6:C8)</f>
        <v>2.0845</v>
      </c>
      <c r="D9" s="204">
        <f>SUM(D6:D8)</f>
        <v>5.0600000000000005</v>
      </c>
      <c r="E9" s="204">
        <f>C9+D9</f>
        <v>7.144500000000001</v>
      </c>
    </row>
    <row r="10">
      <c r="G10" s="558" t="inlineStr">
        <is>
          <t xml:space="preserve">Other funding </t>
        </is>
      </c>
      <c r="H10" s="509" t="n"/>
      <c r="I10" s="509" t="n"/>
      <c r="J10" s="510" t="n"/>
    </row>
    <row r="11">
      <c r="B11" s="505" t="inlineStr">
        <is>
          <t xml:space="preserve">Total Commercial Fuels budget </t>
        </is>
      </c>
      <c r="D11" s="507" t="n"/>
      <c r="E11" s="206">
        <f>SUM(H12:H17)</f>
        <v>45.400000000000006</v>
      </c>
      <c r="G11" s="480" t="inlineStr">
        <is>
          <t>Budget line</t>
        </is>
      </c>
      <c r="H11" s="480" t="inlineStr">
        <is>
          <t>Budget ($m)</t>
        </is>
      </c>
      <c r="I11" s="480" t="inlineStr">
        <is>
          <t>Amount that can be allocated to people</t>
        </is>
      </c>
      <c r="J11" s="480" t="inlineStr">
        <is>
          <t>Remaining for non-people ($m)</t>
        </is>
      </c>
    </row>
    <row r="12">
      <c r="B12" s="505" t="inlineStr">
        <is>
          <t xml:space="preserve">Reconciled to Finance </t>
        </is>
      </c>
      <c r="D12" s="507" t="n"/>
      <c r="E12" s="206">
        <f>'0.1 Budget Table (Fin)'!Q8</f>
        <v>40.5</v>
      </c>
      <c r="G12" s="8" t="inlineStr">
        <is>
          <t>Commercial Fuels Lights On</t>
        </is>
      </c>
      <c r="H12" s="202">
        <f>'0.1 Budget Table (Fin)'!L8</f>
        <v>13.4</v>
      </c>
      <c r="I12" s="467">
        <f>'0.1 Budget Table (Fin)'!G8</f>
        <v>0.0</v>
      </c>
      <c r="J12" s="9">
        <f>IFERROR(H12-I12,0)</f>
        <v>13.4</v>
      </c>
    </row>
    <row r="13">
      <c r="G13" s="8" t="inlineStr">
        <is>
          <t>OpEx Initiatives</t>
        </is>
      </c>
      <c r="H13" s="202">
        <f>'0.1 Budget Table (Fin)'!N8</f>
        <v>6.1</v>
      </c>
      <c r="I13" s="208" t="n">
        <v>0</v>
      </c>
      <c r="J13" s="9">
        <f>IFERROR(H13-I13,0)</f>
        <v>6.1</v>
      </c>
    </row>
    <row r="14">
      <c r="B14" s="427" t="inlineStr">
        <is>
          <t>Total to fund</t>
        </is>
      </c>
      <c r="C14" s="428" t="n"/>
      <c r="G14" s="8" t="inlineStr">
        <is>
          <t>CapEx</t>
        </is>
      </c>
      <c r="H14" s="202">
        <f>'0.1 Budget Table (Fin)'!P8</f>
        <v>6.8</v>
      </c>
      <c r="I14" s="208" t="n">
        <v>1.7</v>
      </c>
      <c r="J14" s="9">
        <f>IFERROR(H14-I14,0)</f>
        <v>5.1</v>
      </c>
    </row>
    <row r="15">
      <c r="B15" s="429" t="inlineStr">
        <is>
          <t>TDD Variance</t>
        </is>
      </c>
      <c r="C15" s="430">
        <f>MAX(0,-H7)</f>
        <v>0.0</v>
      </c>
      <c r="G15" s="8" t="inlineStr">
        <is>
          <t>TDD CapEx</t>
        </is>
      </c>
      <c r="H15" s="202">
        <f>'0.1 Budget Table (Fin)'!P5</f>
        <v>4.9</v>
      </c>
      <c r="I15" s="208" t="n"/>
      <c r="J15" s="9">
        <f>IFERROR(H15-I15,0)</f>
        <v>4.9</v>
      </c>
    </row>
    <row r="16">
      <c r="B16" s="429" t="inlineStr">
        <is>
          <t>Other Variance</t>
        </is>
      </c>
      <c r="C16" s="430">
        <f>MAX(0,I20)</f>
        <v>1.9600000000000009</v>
      </c>
      <c r="G16" s="8" t="inlineStr">
        <is>
          <t>Significant Items</t>
        </is>
      </c>
      <c r="H16" s="202">
        <f>'0.1 Budget Table (Fin)'!O8</f>
        <v>14.2</v>
      </c>
      <c r="I16" s="208">
        <f>I38</f>
        <v>1.4</v>
      </c>
      <c r="J16" s="9">
        <f>IFERROR(H16-I16,0)</f>
        <v>12.799999999999999</v>
      </c>
    </row>
    <row r="17">
      <c r="B17" s="431" t="inlineStr">
        <is>
          <t>Total</t>
        </is>
      </c>
      <c r="C17" s="432">
        <f>C15+C16</f>
        <v>1.9600000000000009</v>
      </c>
      <c r="G17" s="8" t="inlineStr">
        <is>
          <t>Depreciation</t>
        </is>
      </c>
      <c r="H17" s="202">
        <f>'0.1 Budget Table (Fin)'!M8</f>
        <v>0.0</v>
      </c>
      <c r="I17" s="208" t="n">
        <v>0</v>
      </c>
      <c r="J17" s="9">
        <f>IFERROR(H17-I17,0)</f>
        <v>0.0</v>
      </c>
    </row>
    <row r="18">
      <c r="G18" s="211" t="inlineStr">
        <is>
          <t>Total applied</t>
        </is>
      </c>
      <c r="I18" s="22">
        <f>SUM(I12:I17)</f>
        <v>3.0999999999999996</v>
      </c>
    </row>
    <row r="19">
      <c r="G19" s="8" t="inlineStr">
        <is>
          <t>Other cost (this model)</t>
        </is>
      </c>
      <c r="I19" s="9">
        <f>D9</f>
        <v>5.0600000000000005</v>
      </c>
    </row>
    <row r="20">
      <c r="G20" s="203" t="inlineStr">
        <is>
          <t>Left to fund</t>
        </is>
      </c>
      <c r="I20" s="204">
        <f>I19-I18</f>
        <v>1.9600000000000009</v>
      </c>
    </row>
    <row r="21"/>
    <row r="22"/>
    <row r="23">
      <c r="B23" s="561" t="inlineStr">
        <is>
          <t>Platform: Trading &amp; Shipping</t>
        </is>
      </c>
      <c r="C23" s="562" t="n"/>
      <c r="D23" s="562" t="n"/>
      <c r="E23" s="562" t="n"/>
      <c r="F23" s="562" t="n"/>
      <c r="G23" s="562" t="n"/>
      <c r="H23" s="562" t="n"/>
      <c r="I23" s="562" t="n"/>
    </row>
    <row r="24">
      <c r="B24" s="5" t="inlineStr">
        <is>
          <t>Squad</t>
        </is>
      </c>
      <c r="C24" s="480" t="inlineStr">
        <is>
          <t>Squad Type</t>
        </is>
      </c>
      <c r="D24" s="480" t="inlineStr">
        <is>
          <t>Size</t>
        </is>
      </c>
      <c r="E24" s="480" t="inlineStr">
        <is>
          <t>On/Off</t>
        </is>
      </c>
      <c r="F24" s="480" t="inlineStr">
        <is>
          <t>Support %</t>
        </is>
      </c>
      <c r="G24" s="480" t="inlineStr">
        <is>
          <t>Total Squad Cost ($m)</t>
        </is>
      </c>
      <c r="H24" s="480" t="inlineStr">
        <is>
          <t>TDD Cost ($m)</t>
        </is>
      </c>
      <c r="I24" s="480" t="inlineStr">
        <is>
          <t>Funded outside TDD ($m)</t>
        </is>
      </c>
      <c r="K24" s="696" t="inlineStr">
        <is>
          <t>Fund</t>
        </is>
      </c>
    </row>
    <row r="25">
      <c r="B25" s="8" t="inlineStr">
        <is>
          <t>Trading &amp; Shipping</t>
        </is>
      </c>
      <c r="C25" s="213" t="inlineStr">
        <is>
          <t>Configuration / Integration</t>
        </is>
      </c>
      <c r="D25" s="213" t="inlineStr">
        <is>
          <t>M</t>
        </is>
      </c>
      <c r="E25" s="213" t="inlineStr">
        <is>
          <t>Onshore</t>
        </is>
      </c>
      <c r="F25" s="214" t="n">
        <v>0.4</v>
      </c>
      <c r="G25" s="202">
        <f>IFERROR(IF($E25="Onshore",INDEX('0.3 Squad Archetypes'!$G$5:$G$23,MATCH($C25&amp;"|"&amp;$D25,'0.3 Squad Archetypes'!$A$5:$A$23,0)),INDEX('0.3 Squad Archetypes'!$H$5:$H$23,MATCH($C25&amp;"|"&amp;$D25,'0.3 Squad Archetypes'!$A$5:$A$23,0))),"check size")</f>
        <v>1.4</v>
      </c>
      <c r="H25" s="9">
        <f>IFERROR($G25*$F25,"")</f>
        <v>0.5599999999999999</v>
      </c>
      <c r="I25" s="9">
        <f>IFERROR($G25*(1-$F25),"")</f>
        <v>0.84</v>
      </c>
      <c r="K25" s="693" t="inlineStr">
        <is>
          <t>AU</t>
        </is>
      </c>
    </row>
    <row r="26">
      <c r="B26" s="8" t="inlineStr">
        <is>
          <t>Trading &amp; Shipping Data</t>
        </is>
      </c>
      <c r="C26" s="213" t="inlineStr">
        <is>
          <t>Enterprise Data and Insights</t>
        </is>
      </c>
      <c r="D26" s="213" t="inlineStr">
        <is>
          <t>M</t>
        </is>
      </c>
      <c r="E26" s="213" t="inlineStr">
        <is>
          <t>Onshore</t>
        </is>
      </c>
      <c r="F26" s="214" t="n">
        <v>0</v>
      </c>
      <c r="G26" s="202">
        <f>IFERROR(IF($E26="Onshore",INDEX('0.3 Squad Archetypes'!$G$5:$G$23,MATCH($C26&amp;"|"&amp;$D26,'0.3 Squad Archetypes'!$A$5:$A$23,0)),INDEX('0.3 Squad Archetypes'!$H$5:$H$23,MATCH($C26&amp;"|"&amp;$D26,'0.3 Squad Archetypes'!$A$5:$A$23,0))),"check size")</f>
        <v>1.7</v>
      </c>
      <c r="H26" s="9">
        <f>IFERROR($G26*$F26,"")</f>
        <v>0.0</v>
      </c>
      <c r="I26" s="9">
        <f>IFERROR($G26*(1-$F26),"")</f>
        <v>1.7</v>
      </c>
      <c r="J26" s="102" t="inlineStr">
        <is>
          <t>Fully funded by CF</t>
        </is>
      </c>
      <c r="K26" s="693" t="inlineStr">
        <is>
          <t>AU</t>
        </is>
      </c>
    </row>
    <row r="27">
      <c r="B27" s="470" t="inlineStr">
        <is>
          <t>Platform Overhead</t>
        </is>
      </c>
      <c r="H27" s="202">
        <f>'0.2 Data Config'!$L$16</f>
        <v>0.165</v>
      </c>
    </row>
    <row r="28">
      <c r="B28" s="203" t="inlineStr">
        <is>
          <t>Trading &amp; Shipping Total</t>
        </is>
      </c>
      <c r="C28" s="212" t="n"/>
      <c r="D28" s="212" t="n"/>
      <c r="E28" s="212" t="n"/>
      <c r="F28" s="212" t="n"/>
      <c r="G28" s="204">
        <f>SUM(G25:G26)</f>
        <v>3.0999999999999996</v>
      </c>
      <c r="H28" s="204">
        <f>SUM(H25:H27)</f>
        <v>0.725</v>
      </c>
      <c r="I28" s="204">
        <f>SUM(I25:I26)</f>
        <v>2.54</v>
      </c>
      <c r="L28" s="102" t="n"/>
    </row>
    <row r="29"/>
    <row r="30">
      <c r="B30" s="561" t="inlineStr">
        <is>
          <t>Platform: Supply</t>
        </is>
      </c>
      <c r="C30" s="562" t="n"/>
      <c r="D30" s="562" t="n"/>
      <c r="E30" s="562" t="n"/>
      <c r="F30" s="562" t="n"/>
      <c r="G30" s="562" t="n"/>
      <c r="H30" s="562" t="n"/>
      <c r="I30" s="562" t="n"/>
    </row>
    <row r="31">
      <c r="B31" s="5" t="inlineStr">
        <is>
          <t>Squad</t>
        </is>
      </c>
      <c r="C31" s="480" t="inlineStr">
        <is>
          <t>Squad Type</t>
        </is>
      </c>
      <c r="D31" s="480" t="inlineStr">
        <is>
          <t>Size</t>
        </is>
      </c>
      <c r="E31" s="480" t="inlineStr">
        <is>
          <t>On/Off</t>
        </is>
      </c>
      <c r="F31" s="480" t="inlineStr">
        <is>
          <t>Support %</t>
        </is>
      </c>
      <c r="G31" s="480" t="inlineStr">
        <is>
          <t>Total Squad Cost ($m)</t>
        </is>
      </c>
      <c r="H31" s="480" t="inlineStr">
        <is>
          <t>TDD Cost ($m)</t>
        </is>
      </c>
      <c r="I31" s="480" t="inlineStr">
        <is>
          <t>Funded outside TDD ($m)</t>
        </is>
      </c>
      <c r="K31" s="696" t="inlineStr">
        <is>
          <t>Fund</t>
        </is>
      </c>
    </row>
    <row r="32">
      <c r="B32" s="8" t="inlineStr">
        <is>
          <t>Supply</t>
        </is>
      </c>
      <c r="C32" s="213" t="inlineStr">
        <is>
          <t>Configuration / Integration</t>
        </is>
      </c>
      <c r="D32" s="213" t="inlineStr">
        <is>
          <t>M</t>
        </is>
      </c>
      <c r="E32" s="213" t="inlineStr">
        <is>
          <t>Onshore</t>
        </is>
      </c>
      <c r="F32" s="214" t="n">
        <v>0.2</v>
      </c>
      <c r="G32" s="202">
        <f>IFERROR(IF($E32="Onshore",INDEX('0.3 Squad Archetypes'!$G$5:$G$23,MATCH($C32&amp;"|"&amp;$D32,'0.3 Squad Archetypes'!$A$5:$A$23,0)),INDEX('0.3 Squad Archetypes'!$H$5:$H$23,MATCH($C32&amp;"|"&amp;$D32,'0.3 Squad Archetypes'!$A$5:$A$23,0))),"check size")</f>
        <v>1.4</v>
      </c>
      <c r="H32" s="9">
        <f>IFERROR($G32*$F32,"")</f>
        <v>0.27999999999999997</v>
      </c>
      <c r="I32" s="9">
        <f>IFERROR($G32*(1-$F32),"")</f>
        <v>1.1199999999999999</v>
      </c>
      <c r="K32" s="693" t="inlineStr">
        <is>
          <t>AU</t>
        </is>
      </c>
    </row>
    <row r="33">
      <c r="B33" s="470" t="inlineStr">
        <is>
          <t>Platform Overhead</t>
        </is>
      </c>
      <c r="H33" s="202">
        <f>'0.2 Data Config'!$L$16</f>
        <v>0.165</v>
      </c>
    </row>
    <row r="34">
      <c r="B34" s="203" t="inlineStr">
        <is>
          <t>Supply Total</t>
        </is>
      </c>
      <c r="C34" s="212" t="n"/>
      <c r="D34" s="212" t="n"/>
      <c r="E34" s="212" t="n"/>
      <c r="F34" s="212" t="n"/>
      <c r="G34" s="204">
        <f>SUM(G32:G32)</f>
        <v>1.4</v>
      </c>
      <c r="H34" s="204">
        <f>SUM(H32:H33)</f>
        <v>0.44499999999999995</v>
      </c>
      <c r="I34" s="204">
        <f>SUM(I32:I32)</f>
        <v>1.1199999999999999</v>
      </c>
    </row>
    <row r="35"/>
    <row r="36">
      <c r="B36" s="561" t="inlineStr">
        <is>
          <t>Platform: CTRM</t>
        </is>
      </c>
      <c r="C36" s="562" t="n"/>
      <c r="D36" s="562" t="n"/>
      <c r="E36" s="562" t="n"/>
      <c r="F36" s="562" t="n"/>
      <c r="G36" s="562" t="n"/>
      <c r="H36" s="562" t="n"/>
      <c r="I36" s="562" t="n"/>
    </row>
    <row r="37">
      <c r="B37" s="5" t="inlineStr">
        <is>
          <t>Squad</t>
        </is>
      </c>
      <c r="C37" s="480" t="inlineStr">
        <is>
          <t>Squad Type</t>
        </is>
      </c>
      <c r="D37" s="480" t="inlineStr">
        <is>
          <t>Size</t>
        </is>
      </c>
      <c r="E37" s="480" t="inlineStr">
        <is>
          <t>On/Off</t>
        </is>
      </c>
      <c r="F37" s="480" t="inlineStr">
        <is>
          <t>Support %</t>
        </is>
      </c>
      <c r="G37" s="480" t="inlineStr">
        <is>
          <t>Total Squad Cost ($m)</t>
        </is>
      </c>
      <c r="H37" s="480" t="inlineStr">
        <is>
          <t>TDD Cost ($m)</t>
        </is>
      </c>
      <c r="I37" s="480" t="inlineStr">
        <is>
          <t>Funded outside TDD ($m)</t>
        </is>
      </c>
      <c r="K37" s="696" t="inlineStr">
        <is>
          <t>Fund</t>
        </is>
      </c>
    </row>
    <row r="38">
      <c r="B38" s="8" t="inlineStr">
        <is>
          <t>CTRM</t>
        </is>
      </c>
      <c r="C38" s="213" t="inlineStr">
        <is>
          <t>Strategic Programs</t>
        </is>
      </c>
      <c r="D38" s="213" t="n"/>
      <c r="E38" s="213" t="inlineStr">
        <is>
          <t>Onshore</t>
        </is>
      </c>
      <c r="F38" s="214" t="n">
        <v>0</v>
      </c>
      <c r="G38" s="216" t="n">
        <v>1.4</v>
      </c>
      <c r="H38" s="9">
        <f>IFERROR($G38*$F38,"")</f>
        <v>0.0</v>
      </c>
      <c r="I38" s="9">
        <f>IFERROR($G38*(1-$F38),"")</f>
        <v>1.4</v>
      </c>
      <c r="J38" s="102" t="inlineStr">
        <is>
          <t>Fully funded by CTRM</t>
        </is>
      </c>
      <c r="K38" s="693" t="inlineStr">
        <is>
          <t>AU</t>
        </is>
      </c>
    </row>
    <row r="39">
      <c r="B39" s="470" t="inlineStr">
        <is>
          <t>Platform Overhead</t>
        </is>
      </c>
      <c r="H39" s="202">
        <f>'0.2 Data Config'!$L$16</f>
        <v>0.165</v>
      </c>
    </row>
    <row r="40">
      <c r="B40" s="203" t="inlineStr">
        <is>
          <t>CTRM Total</t>
        </is>
      </c>
      <c r="C40" s="212" t="n"/>
      <c r="D40" s="212" t="n"/>
      <c r="E40" s="212" t="n"/>
      <c r="F40" s="212" t="n"/>
      <c r="G40" s="204">
        <f>SUM(G38:G38)</f>
        <v>1.4</v>
      </c>
      <c r="H40" s="204">
        <f>SUM(H38:H39)</f>
        <v>0.165</v>
      </c>
      <c r="I40" s="204">
        <f>SUM(I38:I38)</f>
        <v>1.4</v>
      </c>
    </row>
    <row r="41"/>
    <row r="42">
      <c r="B42" s="686" t="inlineStr">
        <is>
          <t>TDD squad cost - AU funded (Fund toggles) ($m)</t>
        </is>
      </c>
      <c r="C42" s="669">
        <f>SUMIF(K25:K26,"AU",H25:H26)+SUMIF(K32:K32,"AU",H32:H32)+SUMIF(K38:K38,"AU",H38:H38)</f>
        <v>0.8399999999999999</v>
      </c>
    </row>
    <row r="43">
      <c r="B43" s="686" t="inlineStr">
        <is>
          <t>TDD squad cost - NZ funded (Fund toggles) ($m)</t>
        </is>
      </c>
      <c r="C43" s="669">
        <f>SUMIF(K25:K26,"NZ",H25:H26)+SUMIF(K32:K32,"NZ",H32:H32)+SUMIF(K38:K38,"NZ",H38:H38)</f>
        <v>0.0</v>
      </c>
    </row>
  </sheetData>
  <mergeCells count="7">
    <mergeCell ref="B11:D11"/>
    <mergeCell ref="B30:I30"/>
    <mergeCell ref="B4:E4"/>
    <mergeCell ref="B36:I36"/>
    <mergeCell ref="B12:D12"/>
    <mergeCell ref="G10:J10"/>
    <mergeCell ref="B23:I23"/>
  </mergeCells>
  <conditionalFormatting sqref="C17">
    <cfRule type="cellIs" priority="9" operator="greaterThan" dxfId="1">
      <formula>0</formula>
    </cfRule>
    <cfRule type="cellIs" priority="9" operator="lessThanOrEqual" dxfId="0">
      <formula>0</formula>
    </cfRule>
  </conditionalFormatting>
  <conditionalFormatting sqref="H7">
    <cfRule type="cellIs" priority="5" operator="greaterThanOrEqual" dxfId="0">
      <formula>0</formula>
    </cfRule>
    <cfRule type="cellIs" priority="6" operator="lessThan" dxfId="1">
      <formula>0</formula>
    </cfRule>
  </conditionalFormatting>
  <conditionalFormatting sqref="I20">
    <cfRule type="cellIs" priority="7" operator="greaterThan" dxfId="1">
      <formula>0</formula>
    </cfRule>
    <cfRule type="cellIs" priority="8" operator="lessThanOrEqual" dxfId="0">
      <formula>0</formula>
    </cfRule>
  </conditionalFormatting>
  <dataValidations count="5">
    <dataValidation sqref="C25:C26 C32 C38" showDropDown="0" showInputMessage="0" showErrorMessage="1" allowBlank="1" errorTitle="Invalid entry" error="Pick a value from the list" type="list">
      <formula1>SquadTypes</formula1>
      <formula2>0</formula2>
    </dataValidation>
    <dataValidation sqref="D25:D26 D32 D38" showDropDown="0" showInputMessage="0" showErrorMessage="1" allowBlank="1" errorTitle="Invalid entry" error="Pick a value from the list" type="list">
      <formula1>SquadSizes</formula1>
      <formula2>0</formula2>
    </dataValidation>
    <dataValidation sqref="E25:E26 E32 E38" showDropDown="0" showInputMessage="0" showErrorMessage="1" allowBlank="1" errorTitle="Invalid entry" error="Pick a value from the list" type="list">
      <formula1>OnOff</formula1>
      <formula2>0</formula2>
    </dataValidation>
    <dataValidation sqref="F25:F26 F32 F38" showDropDown="0" showInputMessage="0" showErrorMessage="1" allowBlank="1" errorTitle="Invalid entry" error="Pick a value from the list" type="list">
      <formula1>SupportPct</formula1>
      <formula2>0</formula2>
    </dataValidation>
    <dataValidation sqref="K25 K26 K32 K38" showDropDown="0" showInputMessage="0" showErrorMessage="1" allowBlank="0" type="list">
      <formula1>"AU,NZ"</formula1>
    </dataValidation>
  </dataValidations>
  <pageMargins left="0.75" right="0.75" top="1" bottom="1" header="0.511811023622047" footer="0.511811023622047"/>
  <pageSetup orientation="portrait" paperSize="9" horizontalDpi="300" verticalDpi="300"/>
</worksheet>
</file>

<file path=xl/worksheets/sheet18.xml><?xml version="1.0" encoding="utf-8"?>
<worksheet xmlns="http://schemas.openxmlformats.org/spreadsheetml/2006/main">
  <sheetPr>
    <tabColor rgb="001F4E79"/>
    <outlinePr summaryBelow="1" summaryRight="1"/>
    <pageSetUpPr/>
  </sheetPr>
  <dimension ref="A1:K36"/>
  <sheetViews>
    <sheetView showGridLines="0" zoomScale="110" zoomScaleNormal="110" workbookViewId="0">
      <selection activeCell="L10" sqref="L10"/>
    </sheetView>
  </sheetViews>
  <sheetFormatPr baseColWidth="8" defaultColWidth="8.54296875" defaultRowHeight="14.5" outlineLevelCol="0"/>
  <cols>
    <col width="28" customWidth="1" style="506" min="2" max="2"/>
    <col width="26" customWidth="1" style="506" min="3" max="3"/>
    <col width="9.54296875" customWidth="1" style="506" min="4" max="4"/>
    <col width="17.81640625" customWidth="1" style="506" min="5" max="5"/>
    <col width="11" customWidth="1" style="506" min="6" max="6"/>
    <col width="27.1796875" customWidth="1" style="506" min="7" max="7"/>
    <col width="14" customWidth="1" style="506" min="8" max="8"/>
    <col width="50.1796875" customWidth="1" style="506" min="9" max="9"/>
    <col width="24.81640625" customWidth="1" style="506" min="10" max="10"/>
  </cols>
  <sheetData>
    <row r="1"/>
    <row r="2" ht="21" customHeight="1" s="506">
      <c r="B2" s="199" t="inlineStr">
        <is>
          <t>Z Retail</t>
        </is>
      </c>
    </row>
    <row r="3"/>
    <row r="4">
      <c r="B4" s="508" t="inlineStr">
        <is>
          <t>Portfolio Summary</t>
        </is>
      </c>
      <c r="C4" s="509" t="n"/>
      <c r="D4" s="509" t="n"/>
      <c r="E4" s="510" t="n"/>
      <c r="G4" s="200" t="inlineStr">
        <is>
          <t>Budget vs TDD Cost</t>
        </is>
      </c>
      <c r="H4" s="200" t="n"/>
    </row>
    <row r="5">
      <c r="B5" s="5" t="inlineStr">
        <is>
          <t>Cost</t>
        </is>
      </c>
      <c r="C5" s="480" t="inlineStr">
        <is>
          <t>TDD ($m)</t>
        </is>
      </c>
      <c r="D5" s="480" t="inlineStr">
        <is>
          <t>Other ($m)</t>
        </is>
      </c>
      <c r="E5" s="480" t="inlineStr">
        <is>
          <t>Total Z Retail Cost ($m)</t>
        </is>
      </c>
      <c r="G5" s="201" t="inlineStr">
        <is>
          <t>TDD Lights On Budget (people - 0.2 Data Config)</t>
        </is>
      </c>
      <c r="H5" s="202">
        <f>'0.2 Data Config'!$E$12</f>
        <v>2.5</v>
      </c>
    </row>
    <row r="6">
      <c r="B6" s="8" t="inlineStr">
        <is>
          <t>Portfolio Overhead (see 0.2 Data Config)</t>
        </is>
      </c>
      <c r="C6" s="202">
        <f>'0.2 Data Config'!$L$10</f>
        <v>0.7495</v>
      </c>
      <c r="E6" s="9">
        <f>C6</f>
        <v>0.7495</v>
      </c>
      <c r="G6" s="201" t="inlineStr">
        <is>
          <t>Overheads &amp; Support (this model)</t>
        </is>
      </c>
      <c r="H6" s="9">
        <f>C9</f>
        <v>5.399500000000001</v>
      </c>
    </row>
    <row r="7">
      <c r="B7" s="8" t="inlineStr">
        <is>
          <t>Platform Overheads</t>
        </is>
      </c>
      <c r="C7" s="9">
        <f>SUM(H25,H32)</f>
        <v>0.33</v>
      </c>
      <c r="E7" s="9">
        <f>C7</f>
        <v>0.33</v>
      </c>
      <c r="G7" s="203" t="inlineStr">
        <is>
          <t>Variance (budget less cost)</t>
        </is>
      </c>
      <c r="H7" s="204">
        <f>H5-H6</f>
        <v>-2.8995000000000006</v>
      </c>
      <c r="I7" t="inlineStr">
        <is>
          <t>Z funded - out of Z OpEx</t>
        </is>
      </c>
    </row>
    <row r="8">
      <c r="B8" s="8" t="inlineStr">
        <is>
          <t>Squad Support Costs</t>
        </is>
      </c>
      <c r="C8" s="9">
        <f>SUM(H24,H30,H31)</f>
        <v>4.32</v>
      </c>
      <c r="D8" s="9">
        <f>SUM(I24,I30,I31)</f>
        <v>1.0799999999999996</v>
      </c>
      <c r="E8" s="9">
        <f>C8+D8</f>
        <v>5.4</v>
      </c>
    </row>
    <row r="9">
      <c r="B9" s="203" t="inlineStr">
        <is>
          <t>Total Cost</t>
        </is>
      </c>
      <c r="C9" s="204">
        <f>SUM(C6:C8)</f>
        <v>5.399500000000001</v>
      </c>
      <c r="D9" s="204">
        <f>SUM(D6:D8)</f>
        <v>1.0799999999999996</v>
      </c>
      <c r="E9" s="204">
        <f>C9+D9</f>
        <v>6.4795</v>
      </c>
    </row>
    <row r="10">
      <c r="G10" s="511" t="inlineStr">
        <is>
          <t xml:space="preserve">Other funding </t>
        </is>
      </c>
      <c r="H10" s="512" t="n"/>
      <c r="I10" s="512" t="n"/>
      <c r="J10" s="513" t="n"/>
    </row>
    <row r="11">
      <c r="B11" s="505" t="inlineStr">
        <is>
          <t xml:space="preserve">Total Z-Energy budget </t>
        </is>
      </c>
      <c r="D11" s="507" t="n"/>
      <c r="E11" s="206">
        <f>SUM(H12:H16)</f>
        <v>76.60000000000001</v>
      </c>
      <c r="G11" s="485" t="inlineStr">
        <is>
          <t>Budget line</t>
        </is>
      </c>
      <c r="H11" s="485" t="inlineStr">
        <is>
          <t>Budget ($m)</t>
        </is>
      </c>
      <c r="I11" s="485" t="inlineStr">
        <is>
          <t>Amount that can be allocated to people</t>
        </is>
      </c>
      <c r="J11" s="485" t="inlineStr">
        <is>
          <t>Remaining for non-people ($m)</t>
        </is>
      </c>
    </row>
    <row r="12">
      <c r="B12" s="505" t="inlineStr">
        <is>
          <t xml:space="preserve">Reconciled to Finance </t>
        </is>
      </c>
      <c r="D12" s="507" t="n"/>
      <c r="E12" s="206">
        <f>'0.1 Budget Table (Fin)'!Q6</f>
        <v>76.60000000000002</v>
      </c>
      <c r="G12" s="218" t="inlineStr">
        <is>
          <t>Z-Energy Lights On</t>
        </is>
      </c>
      <c r="H12" s="221">
        <f>'0.1 Budget Table (Fin)'!L6</f>
        <v>52.20000000000001</v>
      </c>
      <c r="I12" s="224" t="n"/>
      <c r="J12" s="222">
        <f>IFERROR(H12-I12,0)</f>
        <v>52.20000000000001</v>
      </c>
    </row>
    <row r="13">
      <c r="G13" s="218" t="inlineStr">
        <is>
          <t>OpEx Initiatives</t>
        </is>
      </c>
      <c r="H13" s="221">
        <f>'0.1 Budget Table (Fin)'!N6</f>
        <v>1.4</v>
      </c>
      <c r="I13" s="229" t="n">
        <v>0</v>
      </c>
      <c r="J13" s="222">
        <f>IFERROR(H13-I13,0)</f>
        <v>1.4</v>
      </c>
    </row>
    <row r="14">
      <c r="B14" s="427" t="inlineStr">
        <is>
          <t>Total to fund</t>
        </is>
      </c>
      <c r="C14" s="428" t="n"/>
      <c r="G14" s="218" t="inlineStr">
        <is>
          <t>CapEx</t>
        </is>
      </c>
      <c r="H14" s="221">
        <f>'0.1 Budget Table (Fin)'!P6</f>
        <v>11.7</v>
      </c>
      <c r="I14" s="229" t="n">
        <v>1.08</v>
      </c>
      <c r="J14" s="222">
        <f>IFERROR(H14-I14,0)</f>
        <v>10.62</v>
      </c>
    </row>
    <row r="15">
      <c r="B15" s="429" t="inlineStr">
        <is>
          <t>TDD Variance</t>
        </is>
      </c>
      <c r="C15" s="430">
        <f>MAX(0,-H7)</f>
        <v>2.8995000000000006</v>
      </c>
      <c r="G15" s="218" t="inlineStr">
        <is>
          <t>Significant Items</t>
        </is>
      </c>
      <c r="H15" s="221" t="str">
        <f>'0.1 Budget Table (Fin)'!$O$6</f>
        <v>-</v>
      </c>
      <c r="I15" s="229" t="n">
        <v>0</v>
      </c>
      <c r="J15" s="222">
        <f>IFERROR(H15-I15,0)</f>
        <v>0.0</v>
      </c>
    </row>
    <row r="16">
      <c r="B16" s="429" t="inlineStr">
        <is>
          <t>Other Variance</t>
        </is>
      </c>
      <c r="C16" s="430">
        <f>MAX(0,I19)</f>
        <v>0.0</v>
      </c>
      <c r="G16" s="218" t="inlineStr">
        <is>
          <t>Depreciation</t>
        </is>
      </c>
      <c r="H16" s="221">
        <f>'0.1 Budget Table (Fin)'!M6</f>
        <v>11.3</v>
      </c>
      <c r="I16" s="229" t="n">
        <v>0</v>
      </c>
      <c r="J16" s="222">
        <f>IFERROR(H16-I16,0)</f>
        <v>11.3</v>
      </c>
    </row>
    <row r="17">
      <c r="B17" s="431" t="inlineStr">
        <is>
          <t>Total</t>
        </is>
      </c>
      <c r="C17" s="432">
        <f>C15+C16</f>
        <v>2.8995000000000006</v>
      </c>
      <c r="G17" s="230" t="inlineStr">
        <is>
          <t>Total applied</t>
        </is>
      </c>
      <c r="H17" s="224" t="n"/>
      <c r="I17" s="231">
        <f>SUM(I12:I16)</f>
        <v>1.08</v>
      </c>
      <c r="J17" s="224" t="n"/>
    </row>
    <row r="18">
      <c r="G18" s="218" t="inlineStr">
        <is>
          <t>Other cost (this model)</t>
        </is>
      </c>
      <c r="H18" s="224" t="n"/>
      <c r="I18" s="222">
        <f>D9</f>
        <v>1.0799999999999996</v>
      </c>
      <c r="J18" s="224" t="n"/>
    </row>
    <row r="19">
      <c r="G19" s="225" t="inlineStr">
        <is>
          <t>Left to fund</t>
        </is>
      </c>
      <c r="H19" s="224" t="n"/>
      <c r="I19" s="226">
        <f>MAX(0,ROUND(I18-I17,6))</f>
        <v>0.0</v>
      </c>
      <c r="J19" s="224" t="n"/>
    </row>
    <row r="20"/>
    <row r="21"/>
    <row r="22">
      <c r="B22" s="514" t="inlineStr">
        <is>
          <t>Platform: Z Supply</t>
        </is>
      </c>
      <c r="C22" s="512" t="n"/>
      <c r="D22" s="512" t="n"/>
      <c r="E22" s="512" t="n"/>
      <c r="F22" s="512" t="n"/>
      <c r="G22" s="512" t="n"/>
      <c r="H22" s="512" t="n"/>
      <c r="I22" s="513" t="n"/>
    </row>
    <row r="23">
      <c r="B23" s="217" t="inlineStr">
        <is>
          <t>Squad</t>
        </is>
      </c>
      <c r="C23" s="485" t="inlineStr">
        <is>
          <t>Squad Type</t>
        </is>
      </c>
      <c r="D23" s="485" t="inlineStr">
        <is>
          <t>Size</t>
        </is>
      </c>
      <c r="E23" s="485" t="inlineStr">
        <is>
          <t>On/Off</t>
        </is>
      </c>
      <c r="F23" s="485" t="inlineStr">
        <is>
          <t>Support %</t>
        </is>
      </c>
      <c r="G23" s="485" t="inlineStr">
        <is>
          <t>Total Squad Cost ($m)</t>
        </is>
      </c>
      <c r="H23" s="485" t="inlineStr">
        <is>
          <t>TDD Cost ($m)</t>
        </is>
      </c>
      <c r="I23" s="485" t="inlineStr">
        <is>
          <t>Funded outside TDD ($m)</t>
        </is>
      </c>
      <c r="K23" s="696" t="inlineStr">
        <is>
          <t>Fund</t>
        </is>
      </c>
    </row>
    <row r="24">
      <c r="B24" s="218" t="inlineStr">
        <is>
          <t>Z Supply</t>
        </is>
      </c>
      <c r="C24" s="219" t="inlineStr">
        <is>
          <t>Build and Run</t>
        </is>
      </c>
      <c r="D24" s="219" t="inlineStr">
        <is>
          <t>M</t>
        </is>
      </c>
      <c r="E24" s="219" t="inlineStr">
        <is>
          <t>Onshore</t>
        </is>
      </c>
      <c r="F24" s="220" t="n">
        <v>0.8</v>
      </c>
      <c r="G24" s="221">
        <f>IFERROR(IF($E24="Onshore",INDEX('0.3 Squad Archetypes'!$G$5:$G$23,MATCH($C24&amp;"|"&amp;$D24,'0.3 Squad Archetypes'!$A$5:$A$23,0)),INDEX('0.3 Squad Archetypes'!$H$5:$H$23,MATCH($C24&amp;"|"&amp;$D24,'0.3 Squad Archetypes'!$A$5:$A$23,0))),"check size")</f>
        <v>2.0</v>
      </c>
      <c r="H24" s="222">
        <f>IFERROR($G24*$F24,"")</f>
        <v>1.6</v>
      </c>
      <c r="I24" s="222">
        <f>IFERROR($G24*(1-$F24),"")</f>
        <v>0.3999999999999999</v>
      </c>
      <c r="J24" t="inlineStr">
        <is>
          <t>100% Z covered</t>
        </is>
      </c>
      <c r="K24" s="693" t="inlineStr">
        <is>
          <t>NZ</t>
        </is>
      </c>
    </row>
    <row r="25">
      <c r="B25" s="486" t="inlineStr">
        <is>
          <t>Platform Overhead</t>
        </is>
      </c>
      <c r="C25" s="224" t="n"/>
      <c r="D25" s="224" t="n"/>
      <c r="E25" s="224" t="n"/>
      <c r="F25" s="224" t="n"/>
      <c r="G25" s="224" t="n"/>
      <c r="H25" s="221">
        <f>'0.2 Data Config'!$L$16</f>
        <v>0.165</v>
      </c>
      <c r="I25" s="224" t="n"/>
    </row>
    <row r="26">
      <c r="B26" s="225" t="inlineStr">
        <is>
          <t>Z Supply Total</t>
        </is>
      </c>
      <c r="C26" s="212" t="n"/>
      <c r="D26" s="212" t="n"/>
      <c r="E26" s="212" t="n"/>
      <c r="F26" s="212" t="n"/>
      <c r="G26" s="490">
        <f>SUM(G24:G24)</f>
        <v>2.0</v>
      </c>
      <c r="H26" s="226">
        <f>SUM(H24:H25)</f>
        <v>1.7650000000000001</v>
      </c>
      <c r="I26" s="226">
        <f>SUM(I24:I24)</f>
        <v>0.3999999999999999</v>
      </c>
    </row>
    <row r="27"/>
    <row r="28">
      <c r="B28" s="511" t="inlineStr">
        <is>
          <t>Platform: Z Customer</t>
        </is>
      </c>
      <c r="C28" s="512" t="n"/>
      <c r="D28" s="512" t="n"/>
      <c r="E28" s="512" t="n"/>
      <c r="F28" s="512" t="n"/>
      <c r="G28" s="512" t="n"/>
      <c r="H28" s="512" t="n"/>
      <c r="I28" s="513" t="n"/>
    </row>
    <row r="29">
      <c r="B29" s="217" t="inlineStr">
        <is>
          <t>Squad</t>
        </is>
      </c>
      <c r="C29" s="485" t="inlineStr">
        <is>
          <t>Squad Type</t>
        </is>
      </c>
      <c r="D29" s="485" t="inlineStr">
        <is>
          <t>Size</t>
        </is>
      </c>
      <c r="E29" s="485" t="inlineStr">
        <is>
          <t>On/Off</t>
        </is>
      </c>
      <c r="F29" s="485" t="inlineStr">
        <is>
          <t>Support %</t>
        </is>
      </c>
      <c r="G29" s="485" t="inlineStr">
        <is>
          <t>Total Squad Cost ($m)</t>
        </is>
      </c>
      <c r="H29" s="485" t="inlineStr">
        <is>
          <t>TDD Cost ($m)</t>
        </is>
      </c>
      <c r="I29" s="485" t="inlineStr">
        <is>
          <t>Funded outside TDD ($m)</t>
        </is>
      </c>
      <c r="K29" s="696" t="inlineStr">
        <is>
          <t>Fund</t>
        </is>
      </c>
    </row>
    <row r="30">
      <c r="B30" s="218" t="inlineStr">
        <is>
          <t>Site Systems</t>
        </is>
      </c>
      <c r="C30" s="219" t="inlineStr">
        <is>
          <t>Configuration / Integration</t>
        </is>
      </c>
      <c r="D30" s="219" t="inlineStr">
        <is>
          <t>M</t>
        </is>
      </c>
      <c r="E30" s="219" t="inlineStr">
        <is>
          <t>Onshore</t>
        </is>
      </c>
      <c r="F30" s="220" t="n">
        <v>0.8</v>
      </c>
      <c r="G30" s="221">
        <f>IFERROR(IF($E30="Onshore",INDEX('0.3 Squad Archetypes'!$G$5:$G$23,MATCH($C30&amp;"|"&amp;$D30,'0.3 Squad Archetypes'!$A$5:$A$23,0)),INDEX('0.3 Squad Archetypes'!$H$5:$H$23,MATCH($C30&amp;"|"&amp;$D30,'0.3 Squad Archetypes'!$A$5:$A$23,0))),"check size")</f>
        <v>1.4</v>
      </c>
      <c r="H30" s="222">
        <f>IFERROR($G30*$F30,"")</f>
        <v>1.1199999999999999</v>
      </c>
      <c r="I30" s="222">
        <f>IFERROR($G30*(1-$F30),"")</f>
        <v>0.2799999999999999</v>
      </c>
      <c r="J30" t="inlineStr">
        <is>
          <t>20% is CapEx</t>
        </is>
      </c>
      <c r="K30" s="693" t="inlineStr">
        <is>
          <t>NZ</t>
        </is>
      </c>
    </row>
    <row r="31">
      <c r="B31" s="218" t="inlineStr">
        <is>
          <t>Z Retail Backend</t>
        </is>
      </c>
      <c r="C31" s="219" t="inlineStr">
        <is>
          <t>Build and Run</t>
        </is>
      </c>
      <c r="D31" s="219" t="inlineStr">
        <is>
          <t>M</t>
        </is>
      </c>
      <c r="E31" s="219" t="inlineStr">
        <is>
          <t>Onshore</t>
        </is>
      </c>
      <c r="F31" s="220" t="n">
        <v>0.8</v>
      </c>
      <c r="G31" s="221">
        <f>IFERROR(IF($E31="Onshore",INDEX('0.3 Squad Archetypes'!$G$5:$G$23,MATCH($C31&amp;"|"&amp;$D31,'0.3 Squad Archetypes'!$A$5:$A$23,0)),INDEX('0.3 Squad Archetypes'!$H$5:$H$23,MATCH($C31&amp;"|"&amp;$D31,'0.3 Squad Archetypes'!$A$5:$A$23,0))),"check size")</f>
        <v>2.0</v>
      </c>
      <c r="H31" s="222">
        <f>IFERROR($G31*$F31,"")</f>
        <v>1.6</v>
      </c>
      <c r="I31" s="222">
        <f>IFERROR($G31*(1-$F31),"")</f>
        <v>0.3999999999999999</v>
      </c>
      <c r="K31" s="693" t="inlineStr">
        <is>
          <t>NZ</t>
        </is>
      </c>
    </row>
    <row r="32">
      <c r="B32" s="486" t="inlineStr">
        <is>
          <t>Platform Overhead</t>
        </is>
      </c>
      <c r="C32" s="224" t="n"/>
      <c r="D32" s="224" t="n"/>
      <c r="E32" s="224" t="n"/>
      <c r="F32" s="224" t="n"/>
      <c r="G32" s="224" t="n"/>
      <c r="H32" s="221">
        <f>'0.2 Data Config'!$L$16</f>
        <v>0.165</v>
      </c>
      <c r="I32" s="224" t="n"/>
    </row>
    <row r="33">
      <c r="B33" s="225" t="inlineStr">
        <is>
          <t>Z Customer Total</t>
        </is>
      </c>
      <c r="C33" s="212" t="n"/>
      <c r="D33" s="212" t="n"/>
      <c r="E33" s="212" t="n"/>
      <c r="F33" s="212" t="n"/>
      <c r="G33" s="226">
        <f>SUM(G30:G31)</f>
        <v>3.4</v>
      </c>
      <c r="H33" s="226">
        <f>SUM(H30:H32)</f>
        <v>2.885</v>
      </c>
      <c r="I33" s="226">
        <f>SUM(I30:I31)</f>
        <v>0.6799999999999998</v>
      </c>
    </row>
    <row r="34"/>
    <row r="35">
      <c r="B35" s="686" t="inlineStr">
        <is>
          <t>TDD squad cost - AU funded (Fund toggles) ($m)</t>
        </is>
      </c>
      <c r="C35" s="669">
        <f>SUMIF(K24:K24,"AU",H24:H24)+SUMIF(K30:K31,"AU",H30:H31)</f>
        <v>0.0</v>
      </c>
    </row>
    <row r="36">
      <c r="B36" s="686" t="inlineStr">
        <is>
          <t>TDD squad cost - NZ funded (Fund toggles) ($m)</t>
        </is>
      </c>
      <c r="C36" s="669">
        <f>SUMIF(K24:K24,"NZ",H24:H24)+SUMIF(K30:K31,"NZ",H30:H31)</f>
        <v>4.32</v>
      </c>
    </row>
  </sheetData>
  <mergeCells count="6">
    <mergeCell ref="B11:D11"/>
    <mergeCell ref="B4:E4"/>
    <mergeCell ref="B28:I28"/>
    <mergeCell ref="B22:I22"/>
    <mergeCell ref="B12:D12"/>
    <mergeCell ref="G10:J10"/>
  </mergeCells>
  <conditionalFormatting sqref="C17">
    <cfRule type="cellIs" priority="9" operator="greaterThan" dxfId="1">
      <formula>0</formula>
    </cfRule>
    <cfRule type="cellIs" priority="9" operator="lessThanOrEqual" dxfId="0">
      <formula>0</formula>
    </cfRule>
  </conditionalFormatting>
  <conditionalFormatting sqref="H7">
    <cfRule type="cellIs" priority="5" operator="greaterThanOrEqual" dxfId="0">
      <formula>0</formula>
    </cfRule>
    <cfRule type="cellIs" priority="6" operator="lessThan" dxfId="1">
      <formula>0</formula>
    </cfRule>
  </conditionalFormatting>
  <conditionalFormatting sqref="I19">
    <cfRule type="cellIs" priority="7" operator="greaterThan" dxfId="1">
      <formula>0</formula>
    </cfRule>
    <cfRule type="cellIs" priority="8" operator="lessThanOrEqual" dxfId="0">
      <formula>0</formula>
    </cfRule>
  </conditionalFormatting>
  <dataValidations count="5">
    <dataValidation sqref="C24 C30:C31" showDropDown="0" showInputMessage="0" showErrorMessage="1" allowBlank="1" errorTitle="Invalid entry" error="Pick a value from the list" type="list">
      <formula1>SquadTypes</formula1>
      <formula2>0</formula2>
    </dataValidation>
    <dataValidation sqref="D24 D30:D31" showDropDown="0" showInputMessage="0" showErrorMessage="1" allowBlank="1" errorTitle="Invalid entry" error="Pick a value from the list" type="list">
      <formula1>SquadSizes</formula1>
      <formula2>0</formula2>
    </dataValidation>
    <dataValidation sqref="E24 E30:E31" showDropDown="0" showInputMessage="0" showErrorMessage="1" allowBlank="1" errorTitle="Invalid entry" error="Pick a value from the list" type="list">
      <formula1>OnOff</formula1>
      <formula2>0</formula2>
    </dataValidation>
    <dataValidation sqref="F24 F30:F31" showDropDown="0" showInputMessage="0" showErrorMessage="1" allowBlank="1" errorTitle="Invalid entry" error="Pick a value from the list" type="list">
      <formula1>SupportPct</formula1>
      <formula2>0</formula2>
    </dataValidation>
    <dataValidation sqref="K24 K30 K31" showDropDown="0" showInputMessage="0" showErrorMessage="1" allowBlank="0" type="list">
      <formula1>"AU,NZ"</formula1>
    </dataValidation>
  </dataValidations>
  <pageMargins left="0.75" right="0.75" top="1" bottom="1" header="0.511811023622047" footer="0.511811023622047"/>
  <pageSetup orientation="portrait" paperSize="9" horizontalDpi="300" verticalDpi="300"/>
</worksheet>
</file>

<file path=xl/worksheets/sheet19.xml><?xml version="1.0" encoding="utf-8"?>
<worksheet xmlns="http://schemas.openxmlformats.org/spreadsheetml/2006/main">
  <sheetPr>
    <tabColor rgb="001F4E79"/>
    <outlinePr summaryBelow="1" summaryRight="1"/>
    <pageSetUpPr/>
  </sheetPr>
  <dimension ref="A1:J30"/>
  <sheetViews>
    <sheetView showGridLines="0" zoomScaleNormal="100" workbookViewId="0">
      <selection activeCell="L8" sqref="L8"/>
    </sheetView>
  </sheetViews>
  <sheetFormatPr baseColWidth="8" defaultColWidth="8.54296875" defaultRowHeight="14.5" outlineLevelCol="0"/>
  <cols>
    <col width="28" customWidth="1" style="506" min="2" max="2"/>
    <col width="26" customWidth="1" style="506" min="3" max="3"/>
    <col width="9.1796875" bestFit="1" customWidth="1" style="506" min="4" max="4"/>
    <col width="21.26953125" customWidth="1" style="506" min="5" max="5"/>
    <col width="24.08984375" customWidth="1" style="506" min="6" max="6"/>
    <col width="27.1796875" customWidth="1" style="506" min="7" max="7"/>
    <col width="11.81640625" bestFit="1" customWidth="1" style="506" min="8" max="8"/>
    <col width="50.1796875" customWidth="1" style="506" min="9" max="9"/>
    <col width="24.81640625" customWidth="1" style="506" min="10" max="10"/>
  </cols>
  <sheetData>
    <row r="1"/>
    <row r="2" ht="21" customHeight="1" s="506">
      <c r="B2" s="199" t="inlineStr">
        <is>
          <t>TDD Cyber</t>
        </is>
      </c>
    </row>
    <row r="3"/>
    <row r="4">
      <c r="B4" s="508" t="inlineStr">
        <is>
          <t>Portfolio Summary</t>
        </is>
      </c>
      <c r="C4" s="509" t="n"/>
      <c r="D4" s="509" t="n"/>
      <c r="E4" s="510" t="n"/>
      <c r="G4" s="566" t="inlineStr">
        <is>
          <t>Budget vs TDD Cost</t>
        </is>
      </c>
      <c r="H4" s="510" t="n"/>
    </row>
    <row r="5">
      <c r="B5" s="5" t="inlineStr">
        <is>
          <t>Cost</t>
        </is>
      </c>
      <c r="C5" s="480" t="inlineStr">
        <is>
          <t>TDD ($m)</t>
        </is>
      </c>
      <c r="D5" s="480" t="inlineStr">
        <is>
          <t>Other ($m)</t>
        </is>
      </c>
      <c r="E5" s="480" t="inlineStr">
        <is>
          <t>Total TDD Cyber Cost ($m)</t>
        </is>
      </c>
      <c r="G5" s="201" t="inlineStr">
        <is>
          <t>TDD Lights On Budget (people - 0.2 Data Config)</t>
        </is>
      </c>
      <c r="H5" s="202">
        <f>'0.2 Data Config'!$E$23</f>
        <v>3.5</v>
      </c>
    </row>
    <row r="6">
      <c r="B6" s="8" t="inlineStr">
        <is>
          <t>Portfolio Overhead (see 0.2 Data Config)</t>
        </is>
      </c>
      <c r="C6" s="202">
        <f>'0.2 Data Config'!$L$10</f>
        <v>0.7495</v>
      </c>
      <c r="E6" s="9">
        <f>C6</f>
        <v>0.7495</v>
      </c>
      <c r="G6" s="201" t="inlineStr">
        <is>
          <t>Overheads &amp; Support (this model)</t>
        </is>
      </c>
      <c r="H6" s="9">
        <f>C9</f>
        <v>11.830489044</v>
      </c>
    </row>
    <row r="7">
      <c r="B7" s="8" t="inlineStr">
        <is>
          <t>Platform Overheads</t>
        </is>
      </c>
      <c r="C7" s="9">
        <f>SUM(H26)</f>
        <v>0.165</v>
      </c>
      <c r="E7" s="9">
        <f>C7</f>
        <v>0.165</v>
      </c>
      <c r="G7" s="203" t="inlineStr">
        <is>
          <t>Variance (budget less cost)</t>
        </is>
      </c>
      <c r="H7" s="204">
        <f>H5-H6</f>
        <v>-8.330489044</v>
      </c>
    </row>
    <row r="8">
      <c r="B8" s="8" t="inlineStr">
        <is>
          <t>Squad Support Costs</t>
        </is>
      </c>
      <c r="C8" s="9">
        <f>SUM(H24,H25)</f>
        <v>10.915989044</v>
      </c>
      <c r="D8" s="9">
        <f>SUM(I24,I25)</f>
        <v>0.0</v>
      </c>
      <c r="E8" s="9">
        <f>C8+D8</f>
        <v>10.915989044</v>
      </c>
    </row>
    <row r="9">
      <c r="B9" s="203" t="inlineStr">
        <is>
          <t>Total Cost</t>
        </is>
      </c>
      <c r="C9" s="204">
        <f>SUM(C6:C8)</f>
        <v>11.830489044</v>
      </c>
      <c r="D9" s="204">
        <f>SUM(D6:D8)</f>
        <v>0.0</v>
      </c>
      <c r="E9" s="204">
        <f>C9+D9</f>
        <v>11.830489044</v>
      </c>
    </row>
    <row r="10">
      <c r="G10" s="511" t="inlineStr">
        <is>
          <t xml:space="preserve">Other funding </t>
        </is>
      </c>
      <c r="H10" s="512" t="n"/>
      <c r="I10" s="512" t="n"/>
      <c r="J10" s="513" t="n"/>
    </row>
    <row r="11" ht="28" customHeight="1" s="506">
      <c r="B11" s="568" t="inlineStr">
        <is>
          <t>Lights On funded from the TDD allocation above (Data Config). Shared TDD Corporate pool sits on 2.4 COE Summary.</t>
        </is>
      </c>
      <c r="D11" s="507" t="n"/>
      <c r="E11" s="206" t="n"/>
      <c r="G11" s="480" t="inlineStr">
        <is>
          <t>Funding position</t>
        </is>
      </c>
      <c r="H11" s="217" t="n"/>
      <c r="I11" s="217" t="n"/>
      <c r="J11" s="217" t="n"/>
    </row>
    <row r="12">
      <c r="B12" s="560" t="n"/>
      <c r="D12" s="507" t="n"/>
      <c r="E12" s="207" t="n"/>
      <c r="G12" s="211" t="inlineStr">
        <is>
          <t>Other cost (this model)</t>
        </is>
      </c>
      <c r="H12" s="221" t="n"/>
      <c r="I12" s="228">
        <f>D9</f>
        <v>0.0</v>
      </c>
      <c r="J12" s="222" t="n"/>
    </row>
    <row r="13">
      <c r="B13" s="427" t="inlineStr">
        <is>
          <t>Total to fund</t>
        </is>
      </c>
      <c r="C13" s="428" t="n"/>
      <c r="F13" t="inlineStr">
        <is>
          <t xml:space="preserve">Cyber uplift bucket </t>
        </is>
      </c>
      <c r="G13" s="211" t="inlineStr">
        <is>
          <t>Funded from TDD Corporate pool (2.4 COE Summary)</t>
        </is>
      </c>
      <c r="H13" s="221" t="n"/>
      <c r="I13" s="216" t="n">
        <v>0</v>
      </c>
      <c r="J13" s="222" t="n"/>
    </row>
    <row r="14">
      <c r="B14" s="429" t="inlineStr">
        <is>
          <t>TDD Variance</t>
        </is>
      </c>
      <c r="C14" s="430">
        <f>MAX(0,-H7)</f>
        <v>8.330489044</v>
      </c>
      <c r="G14" s="203" t="inlineStr">
        <is>
          <t>Left to fund</t>
        </is>
      </c>
      <c r="H14" s="221" t="n"/>
      <c r="I14" s="204">
        <f>I12-I13-I16</f>
        <v>0.0</v>
      </c>
      <c r="J14" s="222" t="n"/>
    </row>
    <row r="15">
      <c r="B15" s="429" t="inlineStr">
        <is>
          <t>Other Variance</t>
        </is>
      </c>
      <c r="C15" s="430">
        <f>MAX(0,I14)</f>
        <v>0.0</v>
      </c>
      <c r="G15" s="438" t="inlineStr">
        <is>
          <t>Cyber funding buckets</t>
        </is>
      </c>
      <c r="H15" s="433" t="inlineStr">
        <is>
          <t>Budget ($m)</t>
        </is>
      </c>
      <c r="I15" s="433" t="inlineStr">
        <is>
          <t>Applied ($m)</t>
        </is>
      </c>
      <c r="J15" s="433" t="inlineStr">
        <is>
          <t>Remaining ($m)</t>
        </is>
      </c>
    </row>
    <row r="16">
      <c r="B16" s="431" t="inlineStr">
        <is>
          <t>Total</t>
        </is>
      </c>
      <c r="C16" s="432">
        <f>C14+C15</f>
        <v>8.330489044</v>
      </c>
      <c r="D16" t="inlineStr">
        <is>
          <t xml:space="preserve">Identity - can be charging back </t>
        </is>
      </c>
      <c r="G16" s="434" t="inlineStr">
        <is>
          <t>Cyber CapEx (Monitoring)</t>
        </is>
      </c>
      <c r="H16" s="435" t="n">
        <v>0.5</v>
      </c>
      <c r="I16" s="435" t="n">
        <v>0</v>
      </c>
      <c r="J16" s="430">
        <f>H16-I16</f>
        <v>0.5</v>
      </c>
    </row>
    <row r="17">
      <c r="B17" t="inlineStr">
        <is>
          <t xml:space="preserve">Cyber Architects could be charged back </t>
        </is>
      </c>
      <c r="D17" t="inlineStr">
        <is>
          <t xml:space="preserve">Governance, Risk &amp; Complaince 
- Some can be charged back </t>
        </is>
      </c>
      <c r="G17" s="230" t="n"/>
      <c r="H17" s="224" t="n"/>
      <c r="I17" s="231" t="n"/>
      <c r="J17" s="224" t="n"/>
    </row>
    <row r="18">
      <c r="B18" t="inlineStr">
        <is>
          <t xml:space="preserve">Initiatives within Cyber &amp; outside </t>
        </is>
      </c>
      <c r="G18" s="218" t="n"/>
      <c r="H18" s="224" t="n"/>
      <c r="I18" s="222" t="n"/>
      <c r="J18" s="224" t="n"/>
    </row>
    <row r="19">
      <c r="B19" t="inlineStr">
        <is>
          <t>4x Architects can be charged out 100%</t>
        </is>
      </c>
      <c r="G19" s="225" t="n"/>
      <c r="H19" s="224" t="n"/>
      <c r="I19" s="226" t="n"/>
      <c r="J19" s="224" t="n"/>
    </row>
    <row r="20"/>
    <row r="21"/>
    <row r="22">
      <c r="B22" s="511" t="inlineStr">
        <is>
          <t xml:space="preserve">Platform: TDD Cyber, Risk &amp; Service Ops </t>
        </is>
      </c>
      <c r="C22" s="512" t="n"/>
      <c r="D22" s="512" t="n"/>
      <c r="E22" s="512" t="n"/>
      <c r="F22" s="512" t="n"/>
      <c r="G22" s="512" t="n"/>
      <c r="H22" s="512" t="n"/>
      <c r="I22" s="513" t="n"/>
    </row>
    <row r="23">
      <c r="B23" s="217" t="inlineStr">
        <is>
          <t>Squad</t>
        </is>
      </c>
      <c r="C23" s="485" t="inlineStr">
        <is>
          <t>Squad Type</t>
        </is>
      </c>
      <c r="D23" s="485" t="inlineStr">
        <is>
          <t>Size</t>
        </is>
      </c>
      <c r="E23" s="485" t="inlineStr">
        <is>
          <t>On/Off</t>
        </is>
      </c>
      <c r="F23" s="485" t="inlineStr">
        <is>
          <t>Support %</t>
        </is>
      </c>
      <c r="G23" s="485" t="inlineStr">
        <is>
          <t>Total Squad Cost ($m)</t>
        </is>
      </c>
      <c r="H23" s="485" t="inlineStr">
        <is>
          <t>TDD Cost ($m)</t>
        </is>
      </c>
      <c r="I23" s="485" t="inlineStr">
        <is>
          <t>Funded outside TDD ($m)</t>
        </is>
      </c>
      <c r="J23" s="696" t="inlineStr">
        <is>
          <t>Fund</t>
        </is>
      </c>
    </row>
    <row r="24">
      <c r="B24" s="218" t="inlineStr">
        <is>
          <t>Cyber &amp; Risk</t>
        </is>
      </c>
      <c r="C24" s="304" t="inlineStr">
        <is>
          <t>Strategic Programs</t>
        </is>
      </c>
      <c r="D24" s="304" t="n"/>
      <c r="E24" s="304" t="inlineStr">
        <is>
          <t>Onshore</t>
        </is>
      </c>
      <c r="F24" s="305" t="n">
        <v>1</v>
      </c>
      <c r="G24" s="491">
        <f>'2.3 Cyber Roles'!$F$6</f>
        <v>6.5289684139999995</v>
      </c>
      <c r="H24" s="222">
        <f>IFERROR($G24*$F24,"")</f>
        <v>6.5289684139999995</v>
      </c>
      <c r="I24" s="222">
        <f>IFERROR($G24*(1-$F24),"")</f>
        <v>0.0</v>
      </c>
      <c r="J24" s="693" t="inlineStr">
        <is>
          <t>AU</t>
        </is>
      </c>
    </row>
    <row r="25">
      <c r="B25" s="218" t="inlineStr">
        <is>
          <t>Service Operations</t>
        </is>
      </c>
      <c r="C25" s="304" t="inlineStr">
        <is>
          <t>Strategic Programs</t>
        </is>
      </c>
      <c r="D25" s="304" t="n"/>
      <c r="E25" s="304" t="inlineStr">
        <is>
          <t>Onshore</t>
        </is>
      </c>
      <c r="F25" s="305" t="n">
        <v>1</v>
      </c>
      <c r="G25" s="491">
        <f>'2.3 Cyber Roles'!$F$7</f>
        <v>4.38702063</v>
      </c>
      <c r="H25" s="222">
        <f>IFERROR($G25*$F25,"")</f>
        <v>4.38702063</v>
      </c>
      <c r="I25" s="222">
        <f>IFERROR($G25*(1-$F25),"")</f>
        <v>0.0</v>
      </c>
      <c r="J25" s="693" t="inlineStr">
        <is>
          <t>AU</t>
        </is>
      </c>
    </row>
    <row r="26">
      <c r="B26" s="486" t="inlineStr">
        <is>
          <t>Platform Overhead</t>
        </is>
      </c>
      <c r="C26" s="224" t="n"/>
      <c r="D26" s="224" t="n"/>
      <c r="E26" s="224" t="n"/>
      <c r="F26" s="224" t="n"/>
      <c r="G26" s="224" t="n"/>
      <c r="H26" s="221">
        <f>'0.2 Data Config'!$L$16</f>
        <v>0.165</v>
      </c>
      <c r="I26" s="224" t="n"/>
    </row>
    <row r="27">
      <c r="B27" s="212" t="inlineStr">
        <is>
          <t>TDD Cyber Total</t>
        </is>
      </c>
      <c r="C27" s="212" t="n"/>
      <c r="D27" s="212" t="n"/>
      <c r="E27" s="212" t="n"/>
      <c r="F27" s="212" t="n"/>
      <c r="G27" s="226">
        <f>SUM(G24:G25)</f>
        <v>10.915989044</v>
      </c>
      <c r="H27" s="226">
        <f>SUM(H24:H26)</f>
        <v>11.080989043999999</v>
      </c>
      <c r="I27" s="226">
        <f>SUM(I24:I25)</f>
        <v>0.0</v>
      </c>
    </row>
    <row r="28"/>
    <row r="29">
      <c r="B29" s="686" t="inlineStr">
        <is>
          <t>TDD squad cost - AU funded (Fund toggles) ($m)</t>
        </is>
      </c>
      <c r="C29" s="669">
        <f>SUMIF(J24:J25,"AU",H24:H25)</f>
        <v>10.915989044</v>
      </c>
    </row>
    <row r="30">
      <c r="B30" s="686" t="inlineStr">
        <is>
          <t>TDD squad cost - NZ funded (Fund toggles) ($m)</t>
        </is>
      </c>
      <c r="C30" s="669">
        <f>SUMIF(J24:J25,"NZ",H24:H25)</f>
        <v>0.0</v>
      </c>
    </row>
  </sheetData>
  <mergeCells count="6">
    <mergeCell ref="B11:D11"/>
    <mergeCell ref="G4:H4"/>
    <mergeCell ref="B4:E4"/>
    <mergeCell ref="B22:I22"/>
    <mergeCell ref="B12:D12"/>
    <mergeCell ref="G10:J10"/>
  </mergeCells>
  <conditionalFormatting sqref="C16">
    <cfRule type="cellIs" priority="9" operator="greaterThan" dxfId="1">
      <formula>0</formula>
    </cfRule>
    <cfRule type="cellIs" priority="9" operator="lessThanOrEqual" dxfId="0">
      <formula>0</formula>
    </cfRule>
  </conditionalFormatting>
  <conditionalFormatting sqref="H7">
    <cfRule type="cellIs" priority="5" operator="greaterThanOrEqual" dxfId="0">
      <formula>0</formula>
    </cfRule>
    <cfRule type="cellIs" priority="6" operator="lessThan" dxfId="1">
      <formula>0</formula>
    </cfRule>
  </conditionalFormatting>
  <conditionalFormatting sqref="I14">
    <cfRule type="cellIs" priority="7" operator="greaterThan" dxfId="1">
      <formula>0</formula>
    </cfRule>
    <cfRule type="cellIs" priority="8" operator="lessThanOrEqual" dxfId="0">
      <formula>0</formula>
    </cfRule>
  </conditionalFormatting>
  <dataValidations count="5">
    <dataValidation sqref="C24:C25" showDropDown="0" showInputMessage="0" showErrorMessage="1" allowBlank="1" errorTitle="Invalid entry" error="Pick a value from the list" type="list">
      <formula1>SquadTypes</formula1>
      <formula2>0</formula2>
    </dataValidation>
    <dataValidation sqref="D24:D25" showDropDown="0" showInputMessage="0" showErrorMessage="1" allowBlank="1" errorTitle="Invalid entry" error="Pick a value from the list" type="list">
      <formula1>SquadSizes</formula1>
      <formula2>0</formula2>
    </dataValidation>
    <dataValidation sqref="E24:E25" showDropDown="0" showInputMessage="0" showErrorMessage="1" allowBlank="1" errorTitle="Invalid entry" error="Pick a value from the list" type="list">
      <formula1>OnOff</formula1>
      <formula2>0</formula2>
    </dataValidation>
    <dataValidation sqref="F24:F25" showDropDown="0" showInputMessage="0" showErrorMessage="1" allowBlank="1" errorTitle="Invalid entry" error="Pick a value from the list" type="list">
      <formula1>SupportPct</formula1>
      <formula2>0</formula2>
    </dataValidation>
    <dataValidation sqref="J24 J25" showDropDown="0" showInputMessage="0" showErrorMessage="1" allowBlank="0" type="list">
      <formula1>"AU,NZ"</formula1>
    </dataValidation>
  </dataValidations>
  <pageMargins left="0.75" right="0.75" top="1" bottom="1" header="0.511811023622047" footer="0.511811023622047"/>
  <pageSetup orientation="portrait" paperSize="9" horizontalDpi="300" verticalDpi="300"/>
</worksheet>
</file>

<file path=xl/worksheets/sheet20.xml><?xml version="1.0" encoding="utf-8"?>
<worksheet xmlns="http://schemas.openxmlformats.org/spreadsheetml/2006/main">
  <sheetPr>
    <tabColor rgb="00002F6C"/>
    <outlinePr summaryBelow="1" summaryRight="1"/>
    <pageSetUpPr/>
  </sheetPr>
  <dimension ref="B2:B2"/>
  <sheetViews>
    <sheetView showGridLines="0" workbookViewId="0">
      <selection activeCell="A1" sqref="A1"/>
    </sheetView>
  </sheetViews>
  <sheetFormatPr baseColWidth="8" defaultRowHeight="15"/>
  <cols>
    <col width="2" customWidth="1" style="506" min="1" max="1"/>
    <col width="60" customWidth="1" style="506" min="2" max="2"/>
  </cols>
  <sheetData>
    <row r="2">
      <c r="B2" s="746" t="inlineStr">
        <is>
          <t>ROLL-UP  &gt;&gt;&gt;</t>
        </is>
      </c>
    </row>
  </sheetData>
  <pageMargins left="0.75" right="0.75" top="1" bottom="1" header="0.5" footer="0.5"/>
</worksheet>
</file>

<file path=xl/worksheets/sheet21.xml><?xml version="1.0" encoding="utf-8"?>
<worksheet xmlns="http://schemas.openxmlformats.org/spreadsheetml/2006/main">
  <sheetPr>
    <tabColor rgb="00002F6C"/>
    <outlinePr summaryBelow="1" summaryRight="1"/>
    <pageSetUpPr/>
  </sheetPr>
  <dimension ref="A1:L54"/>
  <sheetViews>
    <sheetView showGridLines="0" zoomScale="70" zoomScaleNormal="70" workbookViewId="0">
      <selection activeCell="C10" sqref="C10"/>
    </sheetView>
  </sheetViews>
  <sheetFormatPr baseColWidth="8" defaultRowHeight="14.5" outlineLevelCol="0"/>
  <cols>
    <col width="3" customWidth="1" style="506" min="1" max="1"/>
    <col width="71.26953125" bestFit="1" customWidth="1" style="506" min="2" max="2"/>
    <col width="24.26953125" customWidth="1" style="506" min="3" max="3"/>
    <col width="26" customWidth="1" style="506" min="4" max="4"/>
    <col width="10" customWidth="1" style="506" min="5" max="5"/>
    <col width="16.36328125" bestFit="1" customWidth="1" style="506" min="6" max="6"/>
    <col width="20" customWidth="1" style="506" min="7" max="7"/>
    <col width="13.7265625" bestFit="1" customWidth="1" style="506" min="8" max="8"/>
    <col width="13" customWidth="1" style="506" min="9" max="10"/>
    <col width="46" customWidth="1" style="506" min="11" max="11"/>
  </cols>
  <sheetData>
    <row r="1"/>
    <row r="2" ht="21" customHeight="1" s="506">
      <c r="B2" s="437" t="inlineStr">
        <is>
          <t>Business Partnering &amp; Transformation - roles and funding</t>
        </is>
      </c>
    </row>
    <row r="3"/>
    <row r="4">
      <c r="B4" s="666" t="inlineStr">
        <is>
          <t>Summary</t>
        </is>
      </c>
      <c r="C4" s="665" t="n"/>
      <c r="D4" s="665" t="n"/>
      <c r="E4" s="665" t="n"/>
      <c r="F4" s="665" t="n"/>
      <c r="G4" s="665" t="n"/>
      <c r="H4" s="665" t="n"/>
      <c r="I4" s="665" t="n"/>
      <c r="J4" s="665" t="n"/>
      <c r="K4" s="665" t="n"/>
      <c r="L4" s="665" t="n"/>
    </row>
    <row r="5">
      <c r="B5" s="667" t="inlineStr">
        <is>
          <t>Category</t>
        </is>
      </c>
      <c r="C5" s="667" t="inlineStr">
        <is>
          <t>Roles</t>
        </is>
      </c>
      <c r="D5" s="667" t="inlineStr">
        <is>
          <t>Filled</t>
        </is>
      </c>
      <c r="E5" s="667" t="inlineStr">
        <is>
          <t>Vacant</t>
        </is>
      </c>
      <c r="F5" s="667" t="inlineStr">
        <is>
          <t>Planned spend ($m)</t>
        </is>
      </c>
      <c r="G5" s="667" t="inlineStr">
        <is>
          <t>Budget to draw down ($m)</t>
        </is>
      </c>
      <c r="H5" s="667" t="inlineStr">
        <is>
          <t>Left to fund ($m)</t>
        </is>
      </c>
      <c r="I5" s="665" t="n"/>
      <c r="J5" s="665" t="n"/>
      <c r="K5" s="665" t="n"/>
      <c r="L5" s="665" t="n"/>
    </row>
    <row r="6">
      <c r="B6" s="668" t="inlineStr">
        <is>
          <t>Business Partnering</t>
        </is>
      </c>
      <c r="C6" s="671">
        <f>COUNTIF($G$21:$G$44,$B6)</f>
        <v>10.0</v>
      </c>
      <c r="D6" s="671">
        <f>COUNTIFS($G$21:$G$44,$B6,$F$21:$F$44,"Filled")</f>
        <v>9.0</v>
      </c>
      <c r="E6" s="671">
        <f>COUNTIFS($G$21:$G$44,$B6,$F$21:$F$44,"Vacant")</f>
        <v>1.0</v>
      </c>
      <c r="F6" s="669">
        <f>SUMIF($G$21:$G$44,$B6,$J$21:$J$44)</f>
        <v>3.2925625919999995</v>
      </c>
      <c r="G6" s="669">
        <f>C15</f>
        <v>3.8920000000000003</v>
      </c>
      <c r="H6" s="669">
        <f>MAX(0,F6-G6)</f>
        <v>0.0</v>
      </c>
      <c r="I6" s="665" t="n"/>
      <c r="J6" s="665" t="n"/>
      <c r="K6" s="665" t="n"/>
      <c r="L6" s="665" t="n"/>
    </row>
    <row r="7">
      <c r="B7" s="668" t="inlineStr">
        <is>
          <t>Transformation</t>
        </is>
      </c>
      <c r="C7" s="671">
        <f>COUNTIF($G$21:$G$44,$B7)</f>
        <v>14.0</v>
      </c>
      <c r="D7" s="671">
        <f>COUNTIFS($G$21:$G$44,$B7,$F$21:$F$44,"Filled")</f>
        <v>6.0</v>
      </c>
      <c r="E7" s="671">
        <f>COUNTIFS($G$21:$G$44,$B7,$F$21:$F$44,"Vacant")</f>
        <v>8.0</v>
      </c>
      <c r="F7" s="669">
        <f>SUMIF($G$21:$G$44,$B7,$J$21:$J$44)</f>
        <v>3.10799923</v>
      </c>
      <c r="G7" s="669">
        <f>C16</f>
        <v>2.0</v>
      </c>
      <c r="H7" s="669">
        <f>MAX(0,F7-G7)</f>
        <v>1.10799923</v>
      </c>
      <c r="I7" s="665" t="n"/>
      <c r="J7" s="665" t="n"/>
      <c r="K7" s="665" t="n"/>
      <c r="L7" s="665" t="n"/>
    </row>
    <row r="8">
      <c r="B8" s="683" t="inlineStr">
        <is>
          <t>Total</t>
        </is>
      </c>
      <c r="C8" s="684">
        <f>SUM(C6:C7)</f>
        <v>24.0</v>
      </c>
      <c r="D8" s="684">
        <f>SUM(D6:D7)</f>
        <v>15.0</v>
      </c>
      <c r="E8" s="684">
        <f>SUM(E6:E7)</f>
        <v>9.0</v>
      </c>
      <c r="F8" s="685">
        <f>SUM(F6:F7)</f>
        <v>6.400561821999999</v>
      </c>
      <c r="G8" s="685">
        <f>SUM(G6:G7)</f>
        <v>5.892</v>
      </c>
      <c r="H8" s="685">
        <f>SUM(H6:H7)</f>
        <v>1.10799923</v>
      </c>
      <c r="I8" s="665" t="n"/>
      <c r="J8" s="665" t="n"/>
      <c r="K8" s="665" t="n"/>
      <c r="L8" s="665" t="n"/>
    </row>
    <row r="9">
      <c r="B9" s="665" t="n"/>
      <c r="C9" s="665" t="n"/>
      <c r="D9" s="665" t="n"/>
      <c r="E9" s="665" t="n"/>
      <c r="F9" s="665" t="n"/>
      <c r="G9" s="665" t="n"/>
      <c r="H9" s="665" t="n"/>
      <c r="I9" s="665" t="n"/>
      <c r="J9" s="665" t="n"/>
      <c r="K9" s="665" t="n"/>
      <c r="L9" s="665" t="n"/>
    </row>
    <row r="10">
      <c r="B10" s="686" t="inlineStr">
        <is>
          <t>Portfolios funded (2.0 Group Summary)</t>
        </is>
      </c>
      <c r="C10" s="687">
        <f>COUNTA('2.5 Group Summary'!$B$6:$B$16)</f>
        <v>11.0</v>
      </c>
      <c r="D10" s="665" t="n"/>
      <c r="E10" s="686" t="inlineStr">
        <is>
          <t>Cost - AU and other funded ($m)</t>
        </is>
      </c>
      <c r="F10" s="669">
        <f>SUMIF($E$21:$E$44,"&lt;&gt;NZ",$J$21:$J$44)</f>
        <v>5.65861055</v>
      </c>
      <c r="G10" s="665" t="n"/>
      <c r="H10" s="665" t="n"/>
      <c r="I10" s="665" t="n"/>
      <c r="J10" s="665" t="n"/>
      <c r="K10" s="665" t="n"/>
      <c r="L10" s="665" t="n"/>
    </row>
    <row r="11">
      <c r="B11" s="686" t="inlineStr">
        <is>
          <t>Business Partner allocation per portfolio (FTE - 0.2 Data Config)</t>
        </is>
      </c>
      <c r="C11" s="688">
        <f>'0.2 Data Config'!$K$7</f>
        <v>0.4</v>
      </c>
      <c r="D11" s="665" t="n"/>
      <c r="E11" s="686" t="inlineStr">
        <is>
          <t>Cost - NZ funded ($m)</t>
        </is>
      </c>
      <c r="F11" s="669">
        <f>SUMIF($E$21:$E$44,"NZ",$J$21:$J$44)</f>
        <v>0.741951272</v>
      </c>
      <c r="G11" s="665" t="n"/>
      <c r="H11" s="665" t="n"/>
      <c r="I11" s="665" t="n"/>
      <c r="J11" s="665" t="n"/>
      <c r="K11" s="665" t="n"/>
      <c r="L11" s="665" t="n"/>
    </row>
    <row r="12">
      <c r="B12" s="686" t="inlineStr">
        <is>
          <t>Business Partner FTEs funded by portfolio overheads</t>
        </is>
      </c>
      <c r="C12" s="688">
        <f>C10*C11</f>
        <v>4.4</v>
      </c>
      <c r="D12" s="665" t="n"/>
      <c r="E12" s="665" t="n"/>
      <c r="F12" s="665" t="n"/>
      <c r="G12" s="665" t="n"/>
      <c r="H12" s="665" t="n"/>
      <c r="I12" s="665" t="n"/>
      <c r="J12" s="665" t="n"/>
      <c r="K12" s="665" t="n"/>
      <c r="L12" s="665" t="n"/>
    </row>
    <row r="13">
      <c r="B13" s="686" t="inlineStr">
        <is>
          <t>Business Partner funding from portfolio overheads ($m)</t>
        </is>
      </c>
      <c r="C13" s="669">
        <f>COUNTA('2.5 Group Summary'!$B$6:$B$16)*'0.2 Data Config'!$L$7</f>
        <v>1.8920000000000001</v>
      </c>
      <c r="D13" s="665" t="n"/>
      <c r="E13" s="665" t="n"/>
      <c r="F13" s="665" t="n"/>
      <c r="G13" s="665" t="n"/>
      <c r="H13" s="665" t="n"/>
      <c r="I13" s="665" t="n"/>
      <c r="J13" s="665" t="n"/>
      <c r="K13" s="665" t="n"/>
      <c r="L13" s="665" t="n"/>
    </row>
    <row r="14">
      <c r="B14" s="686" t="inlineStr">
        <is>
          <t>COE - Business Partnering allocation ($m) - 0.2 Data Config</t>
        </is>
      </c>
      <c r="C14" s="669">
        <f>'0.2 Data Config'!$E$9</f>
        <v>2.0</v>
      </c>
      <c r="D14" s="665" t="n"/>
      <c r="E14" s="665" t="n"/>
      <c r="F14" s="665" t="n"/>
      <c r="G14" s="665" t="n"/>
      <c r="H14" s="665" t="n"/>
      <c r="I14" s="665" t="n"/>
      <c r="J14" s="665" t="n"/>
      <c r="K14" s="665" t="n"/>
      <c r="L14" s="665" t="n"/>
    </row>
    <row r="15">
      <c r="B15" s="668" t="inlineStr">
        <is>
          <t>Total Business Partnering budget ($m)</t>
        </is>
      </c>
      <c r="C15" s="689">
        <f>C13+C14</f>
        <v>3.8920000000000003</v>
      </c>
      <c r="D15" s="665" t="n"/>
      <c r="E15" s="665" t="n"/>
      <c r="F15" s="665" t="n"/>
      <c r="G15" s="665" t="n"/>
      <c r="H15" s="665" t="n"/>
      <c r="I15" s="665" t="n"/>
      <c r="J15" s="665" t="n"/>
      <c r="K15" s="665" t="n"/>
      <c r="L15" s="665" t="n"/>
    </row>
    <row r="16">
      <c r="B16" s="686" t="inlineStr">
        <is>
          <t>COE - Transformation allocation ($m) - 0.2 Data Config</t>
        </is>
      </c>
      <c r="C16" s="669">
        <f>'0.2 Data Config'!$E$8</f>
        <v>2.0</v>
      </c>
      <c r="D16" s="665" t="n"/>
      <c r="E16" s="665" t="n"/>
      <c r="F16" s="665" t="n"/>
      <c r="G16" s="665" t="n"/>
      <c r="H16" s="665" t="n"/>
      <c r="I16" s="665" t="n"/>
      <c r="J16" s="665" t="n"/>
      <c r="K16" s="665" t="n"/>
      <c r="L16" s="665" t="n"/>
    </row>
    <row r="17">
      <c r="B17" s="668" t="inlineStr">
        <is>
          <t>Total budget to draw down ($m)</t>
        </is>
      </c>
      <c r="C17" s="689">
        <f>C15+C16</f>
        <v>5.892</v>
      </c>
      <c r="D17" s="665" t="n"/>
      <c r="E17" s="665" t="n"/>
      <c r="F17" s="665" t="n"/>
      <c r="G17" s="665" t="n"/>
      <c r="H17" s="665" t="n"/>
      <c r="I17" s="665" t="n"/>
      <c r="J17" s="665" t="n"/>
      <c r="K17" s="665" t="n"/>
      <c r="L17" s="665" t="n"/>
    </row>
    <row r="18">
      <c r="B18" s="681" t="n"/>
      <c r="C18" s="681" t="n"/>
      <c r="D18" s="681" t="n"/>
      <c r="E18" s="681" t="n"/>
      <c r="F18" s="681" t="n"/>
      <c r="G18" s="681" t="n"/>
      <c r="H18" s="681" t="n"/>
      <c r="I18" s="681" t="n"/>
      <c r="J18" s="681" t="n"/>
      <c r="K18" s="665" t="n"/>
      <c r="L18" s="665" t="n"/>
    </row>
    <row r="19">
      <c r="B19" s="666" t="inlineStr">
        <is>
          <t>Roles</t>
        </is>
      </c>
      <c r="C19" s="676" t="n"/>
      <c r="D19" s="676" t="n"/>
      <c r="E19" s="676" t="n"/>
      <c r="F19" s="681" t="n"/>
      <c r="G19" s="676" t="n"/>
      <c r="H19" s="681" t="n"/>
      <c r="I19" s="682" t="n"/>
      <c r="J19" s="677" t="n"/>
      <c r="K19" s="665" t="n"/>
      <c r="L19" s="665" t="n"/>
    </row>
    <row r="20">
      <c r="B20" s="667" t="inlineStr">
        <is>
          <t>Name</t>
        </is>
      </c>
      <c r="C20" s="667" t="inlineStr">
        <is>
          <t>Position Title</t>
        </is>
      </c>
      <c r="D20" s="667" t="inlineStr">
        <is>
          <t>Department</t>
        </is>
      </c>
      <c r="E20" s="667" t="inlineStr">
        <is>
          <t>Country</t>
        </is>
      </c>
      <c r="F20" s="667" t="inlineStr">
        <is>
          <t>Status</t>
        </is>
      </c>
      <c r="G20" s="667" t="inlineStr">
        <is>
          <t>Category</t>
        </is>
      </c>
      <c r="H20" s="667" t="inlineStr">
        <is>
          <t>On/Off</t>
        </is>
      </c>
      <c r="I20" s="690" t="inlineStr">
        <is>
          <t>Full Cost AUD ($)</t>
        </is>
      </c>
      <c r="J20" s="691" t="inlineStr">
        <is>
          <t>Model cost ($m)</t>
        </is>
      </c>
      <c r="K20" s="665" t="n"/>
      <c r="L20" s="665" t="n"/>
    </row>
    <row r="21">
      <c r="B21" s="686" t="str">
        <f>Sheet2!$B$70</f>
        <v>Briony Scott</v>
      </c>
      <c r="C21" s="692" t="str">
        <f>SUBSTITUTE(SUBSTITUTE(Sheet2!$C$70,"–","-"),"—","-")</f>
        <v>Service &amp; Contract Specialist AU</v>
      </c>
      <c r="D21" s="686" t="str">
        <f>Sheet2!$G$70</f>
        <v>Commercial</v>
      </c>
      <c r="E21" s="686" t="str">
        <f>Sheet2!$M$70</f>
        <v>Australia</v>
      </c>
      <c r="F21" s="673" t="str">
        <f>IF(LOWER(Sheet2!$Q$70)="v","Vacant",IF(LOWER(Sheet2!$Q$70)="pause","Paused",IF(LOWER(Sheet2!$Q$70)="cxc","Contractor","Filled")))</f>
        <v>Filled</v>
      </c>
      <c r="G21" s="686" t="str">
        <f>IF(Sheet2!$G$70="Transformation","Transformation","Business Partnering")</f>
        <v>Business Partnering</v>
      </c>
      <c r="H21" s="693" t="inlineStr">
        <is>
          <t>Onshore</t>
        </is>
      </c>
      <c r="I21" s="694">
        <f>Sheet2!$AA$70</f>
        <v>205056.0</v>
      </c>
      <c r="J21" s="669">
        <f>IF($H21="Offshore",$I21*'0.3 Squad Archetypes'!$K$5,$I21)/1000000</f>
        <v>0.205056</v>
      </c>
      <c r="K21" s="665" t="n"/>
      <c r="L21" s="665" t="n"/>
    </row>
    <row r="22">
      <c r="B22" s="686" t="str">
        <f>Sheet2!$B$71</f>
        <v>Conli Mills</v>
      </c>
      <c r="C22" s="692" t="str">
        <f>SUBSTITUTE(SUBSTITUTE(Sheet2!$C$71,"–","-"),"—","-")</f>
        <v>TDD BP - Infrastructure</v>
      </c>
      <c r="D22" s="686" t="str">
        <f>Sheet2!$G$71</f>
        <v>TDD Business Partner</v>
      </c>
      <c r="E22" s="686" t="str">
        <f>Sheet2!$M$71</f>
        <v>Australia</v>
      </c>
      <c r="F22" s="673" t="str">
        <f>IF(LOWER(Sheet2!$Q$71)="v","Vacant",IF(LOWER(Sheet2!$Q$71)="pause","Paused",IF(LOWER(Sheet2!$Q$71)="cxc","Contractor","Filled")))</f>
        <v>Filled</v>
      </c>
      <c r="G22" s="686" t="str">
        <f>IF(Sheet2!$G$71="Transformation","Transformation","Business Partnering")</f>
        <v>Business Partnering</v>
      </c>
      <c r="H22" s="693" t="inlineStr">
        <is>
          <t>Onshore</t>
        </is>
      </c>
      <c r="I22" s="694">
        <f>Sheet2!$AA$71</f>
        <v>297150.0</v>
      </c>
      <c r="J22" s="669">
        <f>IF($H22="Offshore",$I22*'0.3 Squad Archetypes'!$K$5,$I22)/1000000</f>
        <v>0.29715</v>
      </c>
      <c r="K22" s="665" t="n"/>
      <c r="L22" s="665" t="n"/>
    </row>
    <row r="23">
      <c r="B23" s="686" t="str">
        <f>Sheet2!$B$72</f>
        <v>Helen Ngu</v>
      </c>
      <c r="C23" s="692" t="str">
        <f>SUBSTITUTE(SUBSTITUTE(Sheet2!$C$72,"–","-"),"—","-")</f>
        <v>Service &amp; Contract Specialist NZ</v>
      </c>
      <c r="D23" s="686" t="str">
        <f>Sheet2!$G$72</f>
        <v>Commercial</v>
      </c>
      <c r="E23" s="686" t="str">
        <f>Sheet2!$M$72</f>
        <v>NZ</v>
      </c>
      <c r="F23" s="673" t="str">
        <f>IF(LOWER(Sheet2!$Q$72)="v","Vacant",IF(LOWER(Sheet2!$Q$72)="pause","Paused",IF(LOWER(Sheet2!$Q$72)="cxc","Contractor","Filled")))</f>
        <v>Filled</v>
      </c>
      <c r="G23" s="686" t="str">
        <f>IF(Sheet2!$G$72="Transformation","Transformation","Business Partnering")</f>
        <v>Business Partnering</v>
      </c>
      <c r="H23" s="693" t="inlineStr">
        <is>
          <t>Onshore</t>
        </is>
      </c>
      <c r="I23" s="694">
        <f>Sheet2!$AA$72</f>
        <v>151002.492</v>
      </c>
      <c r="J23" s="669">
        <f>IF($H23="Offshore",$I23*'0.3 Squad Archetypes'!$K$5,$I23)/1000000</f>
        <v>0.151002492</v>
      </c>
      <c r="K23" s="665" t="n"/>
      <c r="L23" s="665" t="n"/>
    </row>
    <row r="24">
      <c r="B24" s="686" t="str">
        <f>Sheet2!$B$73</f>
        <v>Jane Esclandra</v>
      </c>
      <c r="C24" s="692" t="str">
        <f>SUBSTITUTE(SUBSTITUTE(Sheet2!$C$73,"–","-"),"—","-")</f>
        <v>Software Asset Specialist</v>
      </c>
      <c r="D24" s="686" t="str">
        <f>Sheet2!$G$73</f>
        <v>Commercial</v>
      </c>
      <c r="E24" s="686" t="str">
        <f>Sheet2!$M$73</f>
        <v>Australia</v>
      </c>
      <c r="F24" s="673" t="str">
        <f>IF(LOWER(Sheet2!$Q$73)="v","Vacant",IF(LOWER(Sheet2!$Q$73)="pause","Paused",IF(LOWER(Sheet2!$Q$73)="cxc","Contractor","Filled")))</f>
        <v>Filled</v>
      </c>
      <c r="G24" s="686" t="str">
        <f>IF(Sheet2!$G$73="Transformation","Transformation","Business Partnering")</f>
        <v>Business Partnering</v>
      </c>
      <c r="H24" s="693" t="inlineStr">
        <is>
          <t>Onshore</t>
        </is>
      </c>
      <c r="I24" s="694">
        <f>Sheet2!$AA$73</f>
        <v>183455.69999999998</v>
      </c>
      <c r="J24" s="669">
        <f>IF($H24="Offshore",$I24*'0.3 Squad Archetypes'!$K$5,$I24)/1000000</f>
        <v>0.18345569999999997</v>
      </c>
      <c r="K24" s="665" t="n"/>
      <c r="L24" s="665" t="n"/>
    </row>
    <row r="25">
      <c r="B25" s="686" t="str">
        <f>Sheet2!$B$74</f>
        <v>Jeannie Chu</v>
      </c>
      <c r="C25" s="692" t="str">
        <f>SUBSTITUTE(SUBSTITUTE(Sheet2!$C$74,"–","-"),"—","-")</f>
        <v>Snr Finance Support Administrator</v>
      </c>
      <c r="D25" s="686" t="str">
        <f>Sheet2!$G$74</f>
        <v>Transformation</v>
      </c>
      <c r="E25" s="686" t="str">
        <f>Sheet2!$M$74</f>
        <v>Australia</v>
      </c>
      <c r="F25" s="673" t="str">
        <f>IF(LOWER(Sheet2!$Q$74)="v","Vacant",IF(LOWER(Sheet2!$Q$74)="pause","Paused",IF(LOWER(Sheet2!$Q$74)="cxc","Contractor","Filled")))</f>
        <v>Filled</v>
      </c>
      <c r="G25" s="686" t="str">
        <f>IF(Sheet2!$G$74="Transformation","Transformation","Business Partnering")</f>
        <v>Transformation</v>
      </c>
      <c r="H25" s="693" t="inlineStr">
        <is>
          <t>Onshore</t>
        </is>
      </c>
      <c r="I25" s="694">
        <f>Sheet2!$AA$74</f>
        <v>147687.65</v>
      </c>
      <c r="J25" s="669">
        <f>IF($H25="Offshore",$I25*'0.3 Squad Archetypes'!$K$5,$I25)/1000000</f>
        <v>0.14768765</v>
      </c>
      <c r="K25" s="665" t="n"/>
      <c r="L25" s="665" t="n"/>
    </row>
    <row r="26">
      <c r="B26" s="686" t="str">
        <f>Sheet2!$B$75</f>
        <v>Jenny Chan</v>
      </c>
      <c r="C26" s="692" t="str">
        <f>SUBSTITUTE(SUBSTITUTE(Sheet2!$C$75,"–","-"),"—","-")</f>
        <v>Project Finance Lead</v>
      </c>
      <c r="D26" s="686" t="str">
        <f>Sheet2!$G$75</f>
        <v>Transformation</v>
      </c>
      <c r="E26" s="686" t="str">
        <f>Sheet2!$M$75</f>
        <v>Australia</v>
      </c>
      <c r="F26" s="673" t="str">
        <f>IF(LOWER(Sheet2!$Q$75)="v","Vacant",IF(LOWER(Sheet2!$Q$75)="pause","Paused",IF(LOWER(Sheet2!$Q$75)="cxc","Contractor","Filled")))</f>
        <v>Filled</v>
      </c>
      <c r="G26" s="686" t="str">
        <f>IF(Sheet2!$G$75="Transformation","Transformation","Business Partnering")</f>
        <v>Transformation</v>
      </c>
      <c r="H26" s="693" t="inlineStr">
        <is>
          <t>Onshore</t>
        </is>
      </c>
      <c r="I26" s="694">
        <f>Sheet2!$AA$75</f>
        <v>206124.0</v>
      </c>
      <c r="J26" s="669">
        <f>IF($H26="Offshore",$I26*'0.3 Squad Archetypes'!$K$5,$I26)/1000000</f>
        <v>0.206124</v>
      </c>
      <c r="K26" s="665" t="n"/>
      <c r="L26" s="665" t="n"/>
    </row>
    <row r="27">
      <c r="B27" s="686" t="str">
        <f>Sheet2!$B$76</f>
        <v>Malcolm Deare</v>
      </c>
      <c r="C27" s="692" t="str">
        <f>SUBSTITUTE(SUBSTITUTE(Sheet2!$C$76,"–","-"),"—","-")</f>
        <v>TDD BP, Group Functions</v>
      </c>
      <c r="D27" s="686" t="str">
        <f>Sheet2!$G$76</f>
        <v>TDD Business Partner</v>
      </c>
      <c r="E27" s="686" t="str">
        <f>Sheet2!$M$76</f>
        <v>Australia</v>
      </c>
      <c r="F27" s="673" t="str">
        <f>IF(LOWER(Sheet2!$Q$76)="v","Vacant",IF(LOWER(Sheet2!$Q$76)="pause","Paused",IF(LOWER(Sheet2!$Q$76)="cxc","Contractor","Filled")))</f>
        <v>Filled</v>
      </c>
      <c r="G27" s="686" t="str">
        <f>IF(Sheet2!$G$76="Transformation","Transformation","Business Partnering")</f>
        <v>Business Partnering</v>
      </c>
      <c r="H27" s="693" t="inlineStr">
        <is>
          <t>Onshore</t>
        </is>
      </c>
      <c r="I27" s="694">
        <f>Sheet2!$AA$76</f>
        <v>298100.0</v>
      </c>
      <c r="J27" s="669">
        <f>IF($H27="Offshore",$I27*'0.3 Squad Archetypes'!$K$5,$I27)/1000000</f>
        <v>0.2981</v>
      </c>
      <c r="K27" s="665" t="n"/>
      <c r="L27" s="665" t="n"/>
    </row>
    <row r="28">
      <c r="B28" s="686" t="str">
        <f>Sheet2!$B$77</f>
        <v>Maria Somera</v>
      </c>
      <c r="C28" s="692" t="str">
        <f>SUBSTITUTE(SUBSTITUTE(Sheet2!$C$77,"–","-"),"—","-")</f>
        <v>Technology Finance Analyst</v>
      </c>
      <c r="D28" s="686" t="str">
        <f>Sheet2!$G$77</f>
        <v>Transformation</v>
      </c>
      <c r="E28" s="686" t="str">
        <f>Sheet2!$M$77</f>
        <v>Australia</v>
      </c>
      <c r="F28" s="673" t="str">
        <f>IF(LOWER(Sheet2!$Q$77)="v","Vacant",IF(LOWER(Sheet2!$Q$77)="pause","Paused",IF(LOWER(Sheet2!$Q$77)="cxc","Contractor","Filled")))</f>
        <v>Filled</v>
      </c>
      <c r="G28" s="686" t="str">
        <f>IF(Sheet2!$G$77="Transformation","Transformation","Business Partnering")</f>
        <v>Transformation</v>
      </c>
      <c r="H28" s="693" t="inlineStr">
        <is>
          <t>Onshore</t>
        </is>
      </c>
      <c r="I28" s="694">
        <f>Sheet2!$AA$77</f>
        <v>179313.4</v>
      </c>
      <c r="J28" s="669">
        <f>IF($H28="Offshore",$I28*'0.3 Squad Archetypes'!$K$5,$I28)/1000000</f>
        <v>0.17931339999999998</v>
      </c>
      <c r="K28" s="665" t="n"/>
      <c r="L28" s="665" t="n"/>
    </row>
    <row r="29">
      <c r="B29" s="686" t="str">
        <f>Sheet2!$B$78</f>
        <v>Matt Saunders</v>
      </c>
      <c r="C29" s="692" t="str">
        <f>SUBSTITUTE(SUBSTITUTE(Sheet2!$C$78,"–","-"),"—","-")</f>
        <v>Scrum Master</v>
      </c>
      <c r="D29" s="686" t="str">
        <f>Sheet2!$G$78</f>
        <v>Transformation</v>
      </c>
      <c r="E29" s="686" t="str">
        <f>Sheet2!$M$78</f>
        <v>NZ</v>
      </c>
      <c r="F29" s="673" t="str">
        <f>IF(LOWER(Sheet2!$Q$78)="v","Vacant",IF(LOWER(Sheet2!$Q$78)="pause","Paused",IF(LOWER(Sheet2!$Q$78)="cxc","Contractor","Filled")))</f>
        <v>Filled</v>
      </c>
      <c r="G29" s="686" t="str">
        <f>IF(Sheet2!$G$78="Transformation","Transformation","Business Partnering")</f>
        <v>Transformation</v>
      </c>
      <c r="H29" s="693" t="inlineStr">
        <is>
          <t>Onshore</t>
        </is>
      </c>
      <c r="I29" s="694">
        <f>Sheet2!$AA$78</f>
        <v>147754.8</v>
      </c>
      <c r="J29" s="669">
        <f>IF($H29="Offshore",$I29*'0.3 Squad Archetypes'!$K$5,$I29)/1000000</f>
        <v>0.1477548</v>
      </c>
      <c r="K29" s="665" t="n"/>
      <c r="L29" s="665" t="n"/>
    </row>
    <row r="30">
      <c r="B30" s="686" t="str">
        <f>Sheet2!$B$79</f>
        <v>Neil Reilly</v>
      </c>
      <c r="C30" s="692" t="str">
        <f>SUBSTITUTE(SUBSTITUTE(Sheet2!$C$79,"–","-"),"—","-")</f>
        <v>TDD BP - T&amp;S</v>
      </c>
      <c r="D30" s="686" t="str">
        <f>Sheet2!$G$79</f>
        <v>TDD Business Partner</v>
      </c>
      <c r="E30" s="686" t="str">
        <f>Sheet2!$M$79</f>
        <v>Singapore</v>
      </c>
      <c r="F30" s="673" t="str">
        <f>IF(LOWER(Sheet2!$Q$79)="v","Vacant",IF(LOWER(Sheet2!$Q$79)="pause","Paused",IF(LOWER(Sheet2!$Q$79)="cxc","Contractor","Filled")))</f>
        <v>Filled</v>
      </c>
      <c r="G30" s="686" t="str">
        <f>IF(Sheet2!$G$79="Transformation","Transformation","Business Partnering")</f>
        <v>Business Partnering</v>
      </c>
      <c r="H30" s="693" t="inlineStr">
        <is>
          <t>Onshore</t>
        </is>
      </c>
      <c r="I30" s="694">
        <f>Sheet2!$AA$79</f>
        <v>666087.5</v>
      </c>
      <c r="J30" s="669">
        <f>IF($H30="Offshore",$I30*'0.3 Squad Archetypes'!$K$5,$I30)/1000000</f>
        <v>0.6660875</v>
      </c>
      <c r="K30" s="665" t="n"/>
      <c r="L30" s="665" t="n"/>
    </row>
    <row r="31">
      <c r="B31" s="686" t="str">
        <f>Sheet2!$B$80</f>
        <v>Ruth Chou</v>
      </c>
      <c r="C31" s="692" t="str">
        <f>SUBSTITUTE(SUBSTITUTE(Sheet2!$C$80,"–","-"),"—","-")</f>
        <v>Portfolio Reporting Manager</v>
      </c>
      <c r="D31" s="686" t="str">
        <f>Sheet2!$G$80</f>
        <v>Transformation</v>
      </c>
      <c r="E31" s="686" t="str">
        <f>Sheet2!$M$80</f>
        <v>Australia</v>
      </c>
      <c r="F31" s="673" t="str">
        <f>IF(LOWER(Sheet2!$Q$80)="v","Vacant",IF(LOWER(Sheet2!$Q$80)="pause","Paused",IF(LOWER(Sheet2!$Q$80)="cxc","Contractor","Filled")))</f>
        <v>Filled</v>
      </c>
      <c r="G31" s="686" t="str">
        <f>IF(Sheet2!$G$80="Transformation","Transformation","Business Partnering")</f>
        <v>Transformation</v>
      </c>
      <c r="H31" s="693" t="inlineStr">
        <is>
          <t>Onshore</t>
        </is>
      </c>
      <c r="I31" s="694">
        <f>Sheet2!$AA$80</f>
        <v>293316.85</v>
      </c>
      <c r="J31" s="669">
        <f>IF($H31="Offshore",$I31*'0.3 Squad Archetypes'!$K$5,$I31)/1000000</f>
        <v>0.29331684999999996</v>
      </c>
      <c r="K31" s="665" t="n"/>
      <c r="L31" s="665" t="n"/>
    </row>
    <row r="32">
      <c r="B32" s="686" t="str">
        <f>Sheet2!$B$81</f>
        <v>Sam Chan</v>
      </c>
      <c r="C32" s="692" t="str">
        <f>SUBSTITUTE(SUBSTITUTE(Sheet2!$C$81,"–","-"),"—","-")</f>
        <v>FinOps Manager</v>
      </c>
      <c r="D32" s="686" t="str">
        <f>Sheet2!$G$81</f>
        <v>Transformation</v>
      </c>
      <c r="E32" s="686" t="str">
        <f>Sheet2!$M$81</f>
        <v>Australia</v>
      </c>
      <c r="F32" s="673" t="str">
        <f>IF(LOWER(Sheet2!$Q$81)="v","Vacant",IF(LOWER(Sheet2!$Q$81)="pause","Paused",IF(LOWER(Sheet2!$Q$81)="cxc","Contractor","Filled")))</f>
        <v>Filled</v>
      </c>
      <c r="G32" s="686" t="str">
        <f>IF(Sheet2!$G$81="Transformation","Transformation","Business Partnering")</f>
        <v>Transformation</v>
      </c>
      <c r="H32" s="693" t="inlineStr">
        <is>
          <t>Onshore</t>
        </is>
      </c>
      <c r="I32" s="694">
        <f>Sheet2!$AA$81</f>
        <v>225788.55</v>
      </c>
      <c r="J32" s="669">
        <f>IF($H32="Offshore",$I32*'0.3 Squad Archetypes'!$K$5,$I32)/1000000</f>
        <v>0.22578854999999998</v>
      </c>
      <c r="K32" s="665" t="n"/>
      <c r="L32" s="665" t="n"/>
    </row>
    <row r="33">
      <c r="B33" s="686" t="str">
        <f>Sheet2!$B$82</f>
        <v>Shelley Crawford</v>
      </c>
      <c r="C33" s="692" t="str">
        <f>SUBSTITUTE(SUBSTITUTE(Sheet2!$C$82,"–","-"),"—","-")</f>
        <v>TDD BP - Z</v>
      </c>
      <c r="D33" s="686" t="str">
        <f>Sheet2!$G$82</f>
        <v>TDD Business Partner</v>
      </c>
      <c r="E33" s="686" t="str">
        <f>Sheet2!$M$82</f>
        <v>NZ</v>
      </c>
      <c r="F33" s="673" t="str">
        <f>IF(LOWER(Sheet2!$Q$82)="v","Vacant",IF(LOWER(Sheet2!$Q$82)="pause","Paused",IF(LOWER(Sheet2!$Q$82)="cxc","Contractor","Filled")))</f>
        <v>Filled</v>
      </c>
      <c r="G33" s="686" t="str">
        <f>IF(Sheet2!$G$82="Transformation","Transformation","Business Partnering")</f>
        <v>Business Partnering</v>
      </c>
      <c r="H33" s="693" t="inlineStr">
        <is>
          <t>Onshore</t>
        </is>
      </c>
      <c r="I33" s="694">
        <f>Sheet2!$AA$82</f>
        <v>291422.0</v>
      </c>
      <c r="J33" s="669">
        <f>IF($H33="Offshore",$I33*'0.3 Squad Archetypes'!$K$5,$I33)/1000000</f>
        <v>0.291422</v>
      </c>
      <c r="K33" s="665" t="n"/>
      <c r="L33" s="665" t="n"/>
    </row>
    <row r="34">
      <c r="B34" s="686" t="str">
        <f>Sheet2!$B$83</f>
        <v>Thomas Reid</v>
      </c>
      <c r="C34" s="692" t="str">
        <f>SUBSTITUTE(SUBSTITUTE(Sheet2!$C$83,"–","-"),"—","-")</f>
        <v>TDD BP - Retail &amp; Customer - Store Digital</v>
      </c>
      <c r="D34" s="686" t="str">
        <f>Sheet2!$G$83</f>
        <v>TDD Business Partner</v>
      </c>
      <c r="E34" s="686" t="str">
        <f>Sheet2!$M$83</f>
        <v>Australia</v>
      </c>
      <c r="F34" s="673" t="str">
        <f>IF(LOWER(Sheet2!$Q$83)="v","Vacant",IF(LOWER(Sheet2!$Q$83)="pause","Paused",IF(LOWER(Sheet2!$Q$83)="cxc","Contractor","Filled")))</f>
        <v>Filled</v>
      </c>
      <c r="G34" s="686" t="str">
        <f>IF(Sheet2!$G$83="Transformation","Transformation","Business Partnering")</f>
        <v>Business Partnering</v>
      </c>
      <c r="H34" s="693" t="inlineStr">
        <is>
          <t>Onshore</t>
        </is>
      </c>
      <c r="I34" s="694">
        <f>Sheet2!$AA$83</f>
        <v>417425.0</v>
      </c>
      <c r="J34" s="669">
        <f>IF($H34="Offshore",$I34*'0.3 Squad Archetypes'!$K$5,$I34)/1000000</f>
        <v>0.417425</v>
      </c>
      <c r="K34" s="665" t="n"/>
      <c r="L34" s="665" t="n"/>
    </row>
    <row r="35">
      <c r="B35" s="686" t="str">
        <f>Sheet2!$B$84</f>
        <v>Vacant</v>
      </c>
      <c r="C35" s="692" t="str">
        <f>SUBSTITUTE(SUBSTITUTE(Sheet2!$C$84,"–","-"),"—","-")</f>
        <v>Commercial Director</v>
      </c>
      <c r="D35" s="686" t="str">
        <f>Sheet2!$G$84</f>
        <v>Commercial</v>
      </c>
      <c r="E35" s="686" t="str">
        <f>Sheet2!$M$84</f>
        <v>Australia</v>
      </c>
      <c r="F35" s="673" t="str">
        <f>IF(LOWER(Sheet2!$Q$84)="v","Vacant",IF(LOWER(Sheet2!$Q$84)="pause","Paused",IF(LOWER(Sheet2!$Q$84)="cxc","Contractor","Filled")))</f>
        <v>Vacant</v>
      </c>
      <c r="G35" s="686" t="str">
        <f>IF(Sheet2!$G$84="Transformation","Transformation","Business Partnering")</f>
        <v>Business Partnering</v>
      </c>
      <c r="H35" s="693" t="inlineStr">
        <is>
          <t>Onshore</t>
        </is>
      </c>
      <c r="I35" s="694">
        <f>Sheet2!$AA$84</f>
        <v>439499.99999999994</v>
      </c>
      <c r="J35" s="669">
        <f>IF($H35="Offshore",$I35*'0.3 Squad Archetypes'!$K$5,$I35)/1000000</f>
        <v>0.43949999999999995</v>
      </c>
      <c r="K35" s="665" t="n"/>
      <c r="L35" s="665" t="n"/>
    </row>
    <row r="36">
      <c r="B36" s="686" t="str">
        <f>Sheet2!$B$85</f>
        <v>Vacant</v>
      </c>
      <c r="C36" s="692" t="str">
        <f>SUBSTITUTE(SUBSTITUTE(Sheet2!$C$85,"–","-"),"—","-")</f>
        <v>Head of Transformation</v>
      </c>
      <c r="D36" s="686" t="str">
        <f>Sheet2!$G$85</f>
        <v>Transformation</v>
      </c>
      <c r="E36" s="686" t="str">
        <f>Sheet2!$M$85</f>
        <v>Australia</v>
      </c>
      <c r="F36" s="673" t="str">
        <f>IF(LOWER(Sheet2!$Q$85)="v","Vacant",IF(LOWER(Sheet2!$Q$85)="pause","Paused",IF(LOWER(Sheet2!$Q$85)="cxc","Contractor","Filled")))</f>
        <v>Vacant</v>
      </c>
      <c r="G36" s="686" t="str">
        <f>IF(Sheet2!$G$85="Transformation","Transformation","Business Partnering")</f>
        <v>Transformation</v>
      </c>
      <c r="H36" s="693" t="inlineStr">
        <is>
          <t>Onshore</t>
        </is>
      </c>
      <c r="I36" s="694">
        <f>Sheet2!$AA$85</f>
        <v>367900.0</v>
      </c>
      <c r="J36" s="669">
        <f>IF($H36="Offshore",$I36*'0.3 Squad Archetypes'!$K$5,$I36)/1000000</f>
        <v>0.3679</v>
      </c>
      <c r="K36" s="665" t="n"/>
      <c r="L36" s="665" t="n"/>
    </row>
    <row r="37">
      <c r="B37" s="686" t="str">
        <f>Sheet2!$B$86</f>
        <v>Vacant</v>
      </c>
      <c r="C37" s="692" t="str">
        <f>SUBSTITUTE(SUBSTITUTE(Sheet2!$C$86,"–","-"),"—","-")</f>
        <v>Delivery Systems Analyst</v>
      </c>
      <c r="D37" s="686" t="str">
        <f>Sheet2!$G$86</f>
        <v>Transformation</v>
      </c>
      <c r="E37" s="686" t="str">
        <f>Sheet2!$M$86</f>
        <v>Australia</v>
      </c>
      <c r="F37" s="673" t="str">
        <f>IF(LOWER(Sheet2!$Q$86)="v","Vacant",IF(LOWER(Sheet2!$Q$86)="pause","Paused",IF(LOWER(Sheet2!$Q$86)="cxc","Contractor","Filled")))</f>
        <v>Vacant</v>
      </c>
      <c r="G37" s="686" t="str">
        <f>IF(Sheet2!$G$86="Transformation","Transformation","Business Partnering")</f>
        <v>Transformation</v>
      </c>
      <c r="H37" s="693" t="inlineStr">
        <is>
          <t>Onshore</t>
        </is>
      </c>
      <c r="I37" s="694">
        <f>Sheet2!$AA$86</f>
        <v>202853.25</v>
      </c>
      <c r="J37" s="669">
        <f>IF($H37="Offshore",$I37*'0.3 Squad Archetypes'!$K$5,$I37)/1000000</f>
        <v>0.20285325</v>
      </c>
      <c r="K37" s="665" t="n"/>
      <c r="L37" s="665" t="n"/>
    </row>
    <row r="38">
      <c r="B38" s="686" t="str">
        <f>Sheet2!$B$87</f>
        <v>Vacant</v>
      </c>
      <c r="C38" s="692" t="str">
        <f>SUBSTITUTE(SUBSTITUTE(Sheet2!$C$87,"–","-"),"—","-")</f>
        <v>Business Analysis Practice Lead</v>
      </c>
      <c r="D38" s="686" t="str">
        <f>Sheet2!$G$87</f>
        <v>Transformation</v>
      </c>
      <c r="E38" s="686" t="str">
        <f>Sheet2!$M$87</f>
        <v>Australia</v>
      </c>
      <c r="F38" s="673" t="str">
        <f>IF(LOWER(Sheet2!$Q$87)="v","Vacant",IF(LOWER(Sheet2!$Q$87)="pause","Paused",IF(LOWER(Sheet2!$Q$87)="cxc","Contractor","Filled")))</f>
        <v>Vacant</v>
      </c>
      <c r="G38" s="686" t="str">
        <f>IF(Sheet2!$G$87="Transformation","Transformation","Business Partnering")</f>
        <v>Transformation</v>
      </c>
      <c r="H38" s="693" t="inlineStr">
        <is>
          <t>Onshore</t>
        </is>
      </c>
      <c r="I38" s="694">
        <f>Sheet2!$AA$87</f>
        <v>231689.25</v>
      </c>
      <c r="J38" s="669">
        <f>IF($H38="Offshore",$I38*'0.3 Squad Archetypes'!$K$5,$I38)/1000000</f>
        <v>0.23168925</v>
      </c>
      <c r="K38" s="665" t="n"/>
      <c r="L38" s="665" t="n"/>
    </row>
    <row r="39">
      <c r="B39" s="686" t="str">
        <f>Sheet2!$B$88</f>
        <v>Vacant</v>
      </c>
      <c r="C39" s="692" t="str">
        <f>SUBSTITUTE(SUBSTITUTE(Sheet2!$C$88,"–","-"),"—","-")</f>
        <v>Delivery Assurance Manager</v>
      </c>
      <c r="D39" s="686" t="str">
        <f>Sheet2!$G$88</f>
        <v>Transformation</v>
      </c>
      <c r="E39" s="686" t="str">
        <f>Sheet2!$M$88</f>
        <v>Australia</v>
      </c>
      <c r="F39" s="673" t="str">
        <f>IF(LOWER(Sheet2!$Q$88)="v","Vacant",IF(LOWER(Sheet2!$Q$88)="pause","Paused",IF(LOWER(Sheet2!$Q$88)="cxc","Contractor","Filled")))</f>
        <v>Vacant</v>
      </c>
      <c r="G39" s="686" t="str">
        <f>IF(Sheet2!$G$88="Transformation","Transformation","Business Partnering")</f>
        <v>Transformation</v>
      </c>
      <c r="H39" s="693" t="inlineStr">
        <is>
          <t>Onshore</t>
        </is>
      </c>
      <c r="I39" s="694">
        <f>Sheet2!$AA$88</f>
        <v>275810.25</v>
      </c>
      <c r="J39" s="669">
        <f>IF($H39="Offshore",$I39*'0.3 Squad Archetypes'!$K$5,$I39)/1000000</f>
        <v>0.27581025</v>
      </c>
      <c r="K39" s="665" t="n"/>
      <c r="L39" s="665" t="n"/>
    </row>
    <row r="40">
      <c r="B40" s="686" t="str">
        <f>Sheet2!$B$89</f>
        <v>Vacant</v>
      </c>
      <c r="C40" s="692" t="str">
        <f>SUBSTITUTE(SUBSTITUTE(Sheet2!$C$89,"–","-"),"—","-")</f>
        <v>Delivery Capacity &amp; Assurance Lead</v>
      </c>
      <c r="D40" s="686" t="str">
        <f>Sheet2!$G$89</f>
        <v>Transformation</v>
      </c>
      <c r="E40" s="686" t="str">
        <f>Sheet2!$M$89</f>
        <v>Australia</v>
      </c>
      <c r="F40" s="673" t="str">
        <f>IF(LOWER(Sheet2!$Q$89)="v","Vacant",IF(LOWER(Sheet2!$Q$89)="pause","Paused",IF(LOWER(Sheet2!$Q$89)="cxc","Contractor","Filled")))</f>
        <v>Vacant</v>
      </c>
      <c r="G40" s="686" t="str">
        <f>IF(Sheet2!$G$89="Transformation","Transformation","Business Partnering")</f>
        <v>Transformation</v>
      </c>
      <c r="H40" s="693" t="inlineStr">
        <is>
          <t>Onshore</t>
        </is>
      </c>
      <c r="I40" s="694">
        <f>Sheet2!$AA$89</f>
        <v>231689.25</v>
      </c>
      <c r="J40" s="669">
        <f>IF($H40="Offshore",$I40*'0.3 Squad Archetypes'!$K$5,$I40)/1000000</f>
        <v>0.23168925</v>
      </c>
      <c r="K40" s="665" t="n"/>
      <c r="L40" s="665" t="n"/>
    </row>
    <row r="41">
      <c r="B41" s="686" t="str">
        <f>Sheet2!$B$90</f>
        <v>Vacant</v>
      </c>
      <c r="C41" s="692" t="str">
        <f>SUBSTITUTE(SUBSTITUTE(Sheet2!$C$90,"–","-"),"—","-")</f>
        <v>Delivery Excellence Manager</v>
      </c>
      <c r="D41" s="686" t="str">
        <f>Sheet2!$G$90</f>
        <v>Transformation</v>
      </c>
      <c r="E41" s="686" t="str">
        <f>Sheet2!$M$90</f>
        <v>Australia</v>
      </c>
      <c r="F41" s="673" t="str">
        <f>IF(LOWER(Sheet2!$Q$90)="v","Vacant",IF(LOWER(Sheet2!$Q$90)="pause","Paused",IF(LOWER(Sheet2!$Q$90)="cxc","Contractor","Filled")))</f>
        <v>Vacant</v>
      </c>
      <c r="G41" s="686" t="str">
        <f>IF(Sheet2!$G$90="Transformation","Transformation","Business Partnering")</f>
        <v>Transformation</v>
      </c>
      <c r="H41" s="693" t="inlineStr">
        <is>
          <t>Onshore</t>
        </is>
      </c>
      <c r="I41" s="694">
        <f>Sheet2!$AA$90</f>
        <v>275810.25</v>
      </c>
      <c r="J41" s="669">
        <f>IF($H41="Offshore",$I41*'0.3 Squad Archetypes'!$K$5,$I41)/1000000</f>
        <v>0.27581025</v>
      </c>
      <c r="K41" s="665" t="n"/>
      <c r="L41" s="665" t="n"/>
    </row>
    <row r="42">
      <c r="B42" s="686" t="str">
        <f>Sheet2!$B$91</f>
        <v>Vacant</v>
      </c>
      <c r="C42" s="692" t="str">
        <f>SUBSTITUTE(SUBSTITUTE(Sheet2!$C$91,"–","-"),"—","-")</f>
        <v>Scrum Master</v>
      </c>
      <c r="D42" s="686" t="str">
        <f>Sheet2!$G$91</f>
        <v>Transformation</v>
      </c>
      <c r="E42" s="686" t="str">
        <f>Sheet2!$M$91</f>
        <v>NZ</v>
      </c>
      <c r="F42" s="673" t="str">
        <f>IF(LOWER(Sheet2!$Q$91)="v","Vacant",IF(LOWER(Sheet2!$Q$91)="pause","Paused",IF(LOWER(Sheet2!$Q$91)="cxc","Contractor","Filled")))</f>
        <v>Vacant</v>
      </c>
      <c r="G42" s="686" t="str">
        <f>IF(Sheet2!$G$91="Transformation","Transformation","Business Partnering")</f>
        <v>Transformation</v>
      </c>
      <c r="H42" s="693" t="inlineStr">
        <is>
          <t>Onshore</t>
        </is>
      </c>
      <c r="I42" s="694">
        <f>Sheet2!$AA$91</f>
        <v>151771.98</v>
      </c>
      <c r="J42" s="669">
        <f>IF($H42="Offshore",$I42*'0.3 Squad Archetypes'!$K$5,$I42)/1000000</f>
        <v>0.15177198</v>
      </c>
      <c r="K42" s="665" t="n"/>
      <c r="L42" s="665" t="n"/>
    </row>
    <row r="43">
      <c r="B43" s="686" t="str">
        <f>Sheet2!$B$92</f>
        <v>Vacant </v>
      </c>
      <c r="C43" s="692" t="str">
        <f>SUBSTITUTE(SUBSTITUTE(Sheet2!$C$92,"–","-"),"—","-")</f>
        <v>Portfolio Analyst</v>
      </c>
      <c r="D43" s="686" t="str">
        <f>Sheet2!$G$92</f>
        <v>Transformation</v>
      </c>
      <c r="E43" s="686" t="str">
        <f>Sheet2!$M$92</f>
        <v>Australia</v>
      </c>
      <c r="F43" s="673" t="str">
        <f>IF(LOWER(Sheet2!$Q$92)="v","Vacant",IF(LOWER(Sheet2!$Q$92)="pause","Paused",IF(LOWER(Sheet2!$Q$92)="cxc","Contractor","Filled")))</f>
        <v>Vacant</v>
      </c>
      <c r="G43" s="686" t="str">
        <f>IF(Sheet2!$G$92="Transformation","Transformation","Business Partnering")</f>
        <v>Transformation</v>
      </c>
      <c r="H43" s="693" t="inlineStr">
        <is>
          <t>Onshore</t>
        </is>
      </c>
      <c r="I43" s="694">
        <f>Sheet2!$AA$92</f>
        <v>170489.75</v>
      </c>
      <c r="J43" s="669">
        <f>IF($H43="Offshore",$I43*'0.3 Squad Archetypes'!$K$5,$I43)/1000000</f>
        <v>0.17048975</v>
      </c>
      <c r="K43" s="665" t="n"/>
      <c r="L43" s="665" t="n"/>
    </row>
    <row r="44">
      <c r="B44" s="686" t="str">
        <f>Sheet2!$B$93</f>
        <v>Vaughn Scott</v>
      </c>
      <c r="C44" s="692" t="str">
        <f>SUBSTITUTE(SUBSTITUTE(Sheet2!$C$93,"–","-"),"—","-")</f>
        <v>TDD BP - ES</v>
      </c>
      <c r="D44" s="686" t="str">
        <f>Sheet2!$G$93</f>
        <v>TDD Business Partner</v>
      </c>
      <c r="E44" s="686" t="str">
        <f>Sheet2!$M$93</f>
        <v>Australia</v>
      </c>
      <c r="F44" s="673" t="str">
        <f>IF(LOWER(Sheet2!$Q$93)="v","Vacant",IF(LOWER(Sheet2!$Q$93)="pause","Paused",IF(LOWER(Sheet2!$Q$93)="cxc","Contractor","Filled")))</f>
        <v>Filled</v>
      </c>
      <c r="G44" s="686" t="str">
        <f>IF(Sheet2!$G$93="Transformation","Transformation","Business Partnering")</f>
        <v>Business Partnering</v>
      </c>
      <c r="H44" s="693" t="inlineStr">
        <is>
          <t>Onshore</t>
        </is>
      </c>
      <c r="I44" s="694">
        <f>Sheet2!$AA$93</f>
        <v>343363.9</v>
      </c>
      <c r="J44" s="669">
        <f>IF($H44="Offshore",$I44*'0.3 Squad Archetypes'!$K$5,$I44)/1000000</f>
        <v>0.3433639</v>
      </c>
      <c r="K44" s="665" t="n"/>
      <c r="L44" s="665" t="n"/>
    </row>
    <row r="45">
      <c r="B45" s="686" t="inlineStr">
        <is>
          <t>Check - roles listed vs counted (must be 0)</t>
        </is>
      </c>
      <c r="C45" s="671">
        <f>COUNTA(B21:B44)-C8</f>
        <v>0.0</v>
      </c>
      <c r="D45" s="665" t="n"/>
      <c r="E45" s="665" t="n"/>
      <c r="F45" s="665" t="n"/>
      <c r="G45" s="665" t="n"/>
      <c r="H45" s="665" t="n"/>
      <c r="I45" s="665" t="n"/>
      <c r="J45" s="665" t="n"/>
      <c r="K45" s="665" t="n"/>
      <c r="L45" s="665" t="n"/>
    </row>
    <row r="46">
      <c r="B46" s="665" t="n"/>
      <c r="C46" s="665" t="n"/>
      <c r="D46" s="665" t="n"/>
      <c r="E46" s="665" t="n"/>
      <c r="F46" s="665" t="n"/>
      <c r="G46" s="665" t="n"/>
      <c r="H46" s="665" t="n"/>
      <c r="I46" s="665" t="n"/>
      <c r="J46" s="665" t="n"/>
      <c r="K46" s="665" t="n"/>
      <c r="L46" s="665" t="n"/>
    </row>
    <row r="47">
      <c r="B47" s="695" t="inlineStr">
        <is>
          <t>Commercial roles sit in the Business Partnering bucket - the Department column shows where each role reports.</t>
        </is>
      </c>
    </row>
    <row r="48">
      <c r="B48" s="665" t="n"/>
      <c r="C48" s="665" t="n"/>
      <c r="D48" s="665" t="n"/>
      <c r="E48" s="665" t="n"/>
      <c r="F48" s="665" t="n"/>
      <c r="G48" s="665" t="n"/>
      <c r="H48" s="665" t="n"/>
      <c r="I48" s="665" t="n"/>
      <c r="J48" s="665" t="n"/>
      <c r="K48" s="665" t="n"/>
      <c r="L48" s="665" t="n"/>
    </row>
    <row r="49">
      <c r="B49" s="665" t="n"/>
      <c r="C49" s="665" t="n"/>
      <c r="D49" s="665" t="n"/>
      <c r="E49" s="665" t="n"/>
      <c r="F49" s="665" t="n"/>
      <c r="G49" s="665" t="n"/>
      <c r="H49" s="665" t="n"/>
      <c r="I49" s="665" t="n"/>
      <c r="J49" s="665" t="n"/>
      <c r="K49" s="665" t="n"/>
      <c r="L49" s="665" t="n"/>
    </row>
    <row r="50">
      <c r="B50" s="665" t="n"/>
      <c r="C50" s="665" t="n"/>
      <c r="D50" s="665" t="n"/>
      <c r="E50" s="665" t="n"/>
      <c r="F50" s="665" t="n"/>
      <c r="G50" s="665" t="n"/>
      <c r="H50" s="665" t="n"/>
      <c r="I50" s="665" t="n"/>
      <c r="J50" s="665" t="n"/>
      <c r="K50" s="665" t="n"/>
      <c r="L50" s="665" t="n"/>
    </row>
    <row r="51">
      <c r="B51" s="665" t="n"/>
      <c r="C51" s="665" t="n"/>
      <c r="D51" s="665" t="n"/>
      <c r="E51" s="665" t="n"/>
      <c r="F51" s="665" t="n"/>
      <c r="G51" s="665" t="n"/>
      <c r="H51" s="665" t="n"/>
      <c r="I51" s="665" t="n"/>
      <c r="J51" s="665" t="n"/>
      <c r="K51" s="665" t="n"/>
      <c r="L51" s="665" t="n"/>
    </row>
    <row r="52">
      <c r="B52" s="665" t="n"/>
      <c r="C52" s="665" t="n"/>
      <c r="D52" s="665" t="n"/>
      <c r="E52" s="665" t="n"/>
      <c r="F52" s="665" t="n"/>
      <c r="G52" s="665" t="n"/>
      <c r="H52" s="665" t="n"/>
      <c r="I52" s="665" t="n"/>
      <c r="J52" s="665" t="n"/>
      <c r="K52" s="665" t="n"/>
      <c r="L52" s="665" t="n"/>
    </row>
    <row r="53">
      <c r="B53" s="665" t="n"/>
      <c r="C53" s="665" t="n"/>
      <c r="D53" s="665" t="n"/>
      <c r="E53" s="665" t="n"/>
      <c r="F53" s="665" t="n"/>
      <c r="G53" s="665" t="n"/>
      <c r="H53" s="665" t="n"/>
      <c r="I53" s="665" t="n"/>
      <c r="J53" s="665" t="n"/>
      <c r="K53" s="665" t="n"/>
      <c r="L53" s="665" t="n"/>
    </row>
    <row r="54">
      <c r="B54" s="665" t="n"/>
      <c r="C54" s="665" t="n"/>
      <c r="D54" s="665" t="n"/>
      <c r="E54" s="665" t="n"/>
      <c r="F54" s="665" t="n"/>
      <c r="G54" s="665" t="n"/>
      <c r="H54" s="665" t="n"/>
      <c r="I54" s="665" t="n"/>
      <c r="J54" s="665" t="n"/>
      <c r="K54" s="665" t="n"/>
      <c r="L54" s="665" t="n"/>
    </row>
  </sheetData>
  <dataValidations count="1">
    <dataValidation sqref="H21:H44" showDropDown="0" showInputMessage="0" showErrorMessage="1" allowBlank="0" type="list">
      <formula1>"Onshore,Offshore"</formula1>
    </dataValidation>
  </dataValidations>
  <pageMargins left="0.75" right="0.75" top="1" bottom="1" header="0.5" footer="0.5"/>
</worksheet>
</file>

<file path=xl/worksheets/sheet22.xml><?xml version="1.0" encoding="utf-8"?>
<worksheet xmlns="http://schemas.openxmlformats.org/spreadsheetml/2006/main">
  <sheetPr>
    <tabColor rgb="00002F6C"/>
    <outlinePr summaryBelow="1" summaryRight="1"/>
    <pageSetUpPr/>
  </sheetPr>
  <dimension ref="A1:L60"/>
  <sheetViews>
    <sheetView showGridLines="0" workbookViewId="0">
      <selection activeCell="C11" sqref="C11"/>
    </sheetView>
  </sheetViews>
  <sheetFormatPr baseColWidth="8" defaultRowHeight="14.5" outlineLevelCol="0"/>
  <cols>
    <col width="3" customWidth="1" style="506" min="1" max="1"/>
    <col width="60.453125" bestFit="1" customWidth="1" style="506" min="2" max="2"/>
    <col width="42" customWidth="1" style="506" min="3" max="3"/>
    <col width="26" customWidth="1" style="506" min="4" max="4"/>
    <col width="10" customWidth="1" style="506" min="5" max="5"/>
    <col width="16.1796875" bestFit="1" customWidth="1" style="506" min="6" max="6"/>
    <col width="20" customWidth="1" style="506" min="7" max="7"/>
    <col width="11" customWidth="1" style="506" min="8" max="8"/>
    <col width="13.81640625" bestFit="1" customWidth="1" style="506" min="9" max="9"/>
    <col width="13.26953125" bestFit="1" customWidth="1" style="506" min="10" max="10"/>
    <col width="46" customWidth="1" style="506" min="11" max="11"/>
  </cols>
  <sheetData>
    <row r="1"/>
    <row r="2" ht="21" customHeight="1" s="506">
      <c r="B2" s="437" t="inlineStr">
        <is>
          <t>Strategy, Architecture &amp; Data - roles and funding</t>
        </is>
      </c>
    </row>
    <row r="3"/>
    <row r="4">
      <c r="B4" s="666" t="inlineStr">
        <is>
          <t>Summary</t>
        </is>
      </c>
      <c r="C4" s="665" t="n"/>
      <c r="D4" s="665" t="n"/>
      <c r="E4" s="665" t="n"/>
      <c r="F4" s="665" t="n"/>
      <c r="G4" s="665" t="n"/>
      <c r="H4" s="665" t="n"/>
      <c r="I4" s="665" t="n"/>
      <c r="J4" s="665" t="n"/>
      <c r="K4" s="665" t="n"/>
      <c r="L4" s="665" t="n"/>
    </row>
    <row r="5">
      <c r="B5" s="667" t="inlineStr">
        <is>
          <t>Category</t>
        </is>
      </c>
      <c r="C5" s="667" t="inlineStr">
        <is>
          <t>Roles</t>
        </is>
      </c>
      <c r="D5" s="667" t="inlineStr">
        <is>
          <t>Filled</t>
        </is>
      </c>
      <c r="E5" s="667" t="inlineStr">
        <is>
          <t>Vacant</t>
        </is>
      </c>
      <c r="F5" s="667" t="inlineStr">
        <is>
          <t>Paused</t>
        </is>
      </c>
      <c r="G5" s="667" t="inlineStr">
        <is>
          <t>Planned spend ($m)</t>
        </is>
      </c>
      <c r="H5" s="667" t="inlineStr">
        <is>
          <t>Budget to draw down ($m)</t>
        </is>
      </c>
      <c r="I5" s="667" t="inlineStr">
        <is>
          <t>Left to fund ($m)</t>
        </is>
      </c>
      <c r="J5" s="665" t="n"/>
      <c r="K5" s="665" t="n"/>
      <c r="L5" s="665" t="n"/>
    </row>
    <row r="6">
      <c r="B6" s="668" t="inlineStr">
        <is>
          <t>Strategy &amp; Architecture</t>
        </is>
      </c>
      <c r="C6" s="671">
        <f>COUNTIF($G$22:$G$50,$B6)</f>
        <v>20.0</v>
      </c>
      <c r="D6" s="671">
        <f>COUNTIFS($G$22:$G$50,$B6,$F$22:$F$50,"Filled")</f>
        <v>7.0</v>
      </c>
      <c r="E6" s="671">
        <f>COUNTIFS($G$22:$G$50,$B6,$F$22:$F$50,"Vacant")</f>
        <v>11.0</v>
      </c>
      <c r="F6" s="671">
        <f>COUNTIFS($G$22:$G$50,$B6,$F$22:$F$50,"Paused")</f>
        <v>2.0</v>
      </c>
      <c r="G6" s="669">
        <f>SUMIF($G$22:$G$50,$B6,$J$22:$J$50)</f>
        <v>4.320560996</v>
      </c>
      <c r="H6" s="669">
        <f>C15</f>
        <v>3.54</v>
      </c>
      <c r="I6" s="669">
        <f>MAX(0,G6-H6)</f>
        <v>0.7805609960000002</v>
      </c>
      <c r="J6" s="665" t="n"/>
      <c r="K6" s="665" t="n"/>
      <c r="L6" s="665" t="n"/>
    </row>
    <row r="7">
      <c r="B7" s="668" t="inlineStr">
        <is>
          <t>Data</t>
        </is>
      </c>
      <c r="C7" s="671">
        <f>COUNTIF($G$22:$G$50,$B7)</f>
        <v>9.0</v>
      </c>
      <c r="D7" s="671">
        <f>COUNTIFS($G$22:$G$50,$B7,$F$22:$F$50,"Filled")</f>
        <v>7.0</v>
      </c>
      <c r="E7" s="671">
        <f>COUNTIFS($G$22:$G$50,$B7,$F$22:$F$50,"Vacant")</f>
        <v>1.0</v>
      </c>
      <c r="F7" s="671">
        <f>COUNTIFS($G$22:$G$50,$B7,$F$22:$F$50,"Paused")</f>
        <v>1.0</v>
      </c>
      <c r="G7" s="669">
        <f>SUMIF($G$22:$G$50,$B7,$J$22:$J$50)</f>
        <v>2.232736616</v>
      </c>
      <c r="H7" s="669">
        <f>C16</f>
        <v>2.0</v>
      </c>
      <c r="I7" s="669">
        <f>MAX(0,G7-H7)</f>
        <v>0.23273661599999995</v>
      </c>
      <c r="J7" s="665" t="n"/>
      <c r="K7" s="665" t="n"/>
      <c r="L7" s="665" t="n"/>
    </row>
    <row r="8">
      <c r="B8" s="683" t="inlineStr">
        <is>
          <t>Total</t>
        </is>
      </c>
      <c r="C8" s="684">
        <f>SUM(C6:C7)</f>
        <v>29.0</v>
      </c>
      <c r="D8" s="684">
        <f>SUM(D6:D7)</f>
        <v>14.0</v>
      </c>
      <c r="E8" s="684">
        <f>SUM(E6:E7)</f>
        <v>12.0</v>
      </c>
      <c r="F8" s="684">
        <f>SUM(F6:F7)</f>
        <v>3.0</v>
      </c>
      <c r="G8" s="685">
        <f>SUM(G6:G7)</f>
        <v>6.553297612</v>
      </c>
      <c r="H8" s="685">
        <f>SUM(H6:H7)</f>
        <v>5.54</v>
      </c>
      <c r="I8" s="685">
        <f>SUM(I6:I7)</f>
        <v>1.0132976120000001</v>
      </c>
      <c r="J8" s="665" t="n"/>
      <c r="K8" s="665" t="n"/>
      <c r="L8" s="665" t="n"/>
    </row>
    <row r="9">
      <c r="B9" s="665" t="n"/>
      <c r="C9" s="665" t="n"/>
      <c r="D9" s="665" t="n"/>
      <c r="E9" s="665" t="n"/>
      <c r="F9" s="665" t="n"/>
      <c r="G9" s="665" t="n"/>
      <c r="H9" s="665" t="n"/>
      <c r="I9" s="665" t="n"/>
      <c r="J9" s="665" t="n"/>
      <c r="K9" s="665" t="n"/>
      <c r="L9" s="665" t="n"/>
    </row>
    <row r="10">
      <c r="B10" s="686" t="inlineStr">
        <is>
          <t>Portfolios funded (2.0 Group Summary)</t>
        </is>
      </c>
      <c r="C10" s="687">
        <f>COUNTA('2.5 Group Summary'!$B$6:$B$16)</f>
        <v>11.0</v>
      </c>
      <c r="D10" s="665" t="n"/>
      <c r="E10" s="686" t="inlineStr">
        <is>
          <t>Cost - AU and other funded ($m)</t>
        </is>
      </c>
      <c r="F10" s="669">
        <f>SUMIF($E$22:$E$50,"&lt;&gt;NZ",$J$22:$J$50)</f>
        <v>5.5239061</v>
      </c>
      <c r="G10" s="665" t="n"/>
      <c r="H10" s="665" t="n"/>
      <c r="I10" s="665" t="n"/>
      <c r="J10" s="665" t="n"/>
      <c r="K10" s="665" t="n"/>
      <c r="L10" s="665" t="n"/>
    </row>
    <row r="11">
      <c r="B11" s="686" t="inlineStr">
        <is>
          <t>Domain Architect allocation per portfolio (FTE - 0.2 Data Config)</t>
        </is>
      </c>
      <c r="C11" s="688">
        <f>'0.2 Data Config'!$K$8</f>
        <v>0.5</v>
      </c>
      <c r="D11" s="665" t="n"/>
      <c r="E11" s="686" t="inlineStr">
        <is>
          <t>Cost - NZ funded ($m)</t>
        </is>
      </c>
      <c r="F11" s="669">
        <f>SUMIF($E$22:$E$50,"NZ",$J$22:$J$50)</f>
        <v>1.029391512</v>
      </c>
      <c r="G11" s="665" t="n"/>
      <c r="H11" s="665" t="n"/>
      <c r="I11" s="665" t="n"/>
      <c r="J11" s="665" t="n"/>
      <c r="K11" s="665" t="n"/>
      <c r="L11" s="665" t="n"/>
    </row>
    <row r="12">
      <c r="B12" s="686" t="inlineStr">
        <is>
          <t>Domain Architect FTEs funded by portfolio overheads</t>
        </is>
      </c>
      <c r="C12" s="688">
        <f>C10*C11</f>
        <v>5.5</v>
      </c>
      <c r="D12" s="665" t="n"/>
      <c r="E12" s="665" t="n"/>
      <c r="F12" s="665" t="n"/>
      <c r="G12" s="665" t="n"/>
      <c r="H12" s="665" t="n"/>
      <c r="I12" s="665" t="n"/>
      <c r="J12" s="665" t="n"/>
      <c r="K12" s="665" t="n"/>
      <c r="L12" s="665" t="n"/>
    </row>
    <row r="13">
      <c r="B13" s="686" t="inlineStr">
        <is>
          <t>Domain Architect funding from portfolio overheads ($m)</t>
        </is>
      </c>
      <c r="C13" s="669">
        <f>COUNTA('2.5 Group Summary'!$B$6:$B$16)*'0.2 Data Config'!$L$8</f>
        <v>1.54</v>
      </c>
      <c r="D13" s="665" t="n"/>
      <c r="E13" s="665" t="n"/>
      <c r="F13" s="665" t="n"/>
      <c r="G13" s="665" t="n"/>
      <c r="H13" s="665" t="n"/>
      <c r="I13" s="665" t="n"/>
      <c r="J13" s="665" t="n"/>
      <c r="K13" s="665" t="n"/>
      <c r="L13" s="665" t="n"/>
    </row>
    <row r="14">
      <c r="B14" s="686" t="inlineStr">
        <is>
          <t>COE - Strategy Architecture allocation ($m) - 0.2 Data Config</t>
        </is>
      </c>
      <c r="C14" s="669">
        <f>'0.2 Data Config'!$E$6</f>
        <v>2.0</v>
      </c>
      <c r="D14" s="665" t="n"/>
      <c r="E14" s="665" t="n"/>
      <c r="F14" s="665" t="n"/>
      <c r="G14" s="665" t="n"/>
      <c r="H14" s="665" t="n"/>
      <c r="I14" s="665" t="n"/>
      <c r="J14" s="665" t="n"/>
      <c r="K14" s="665" t="n"/>
      <c r="L14" s="665" t="n"/>
    </row>
    <row r="15">
      <c r="B15" s="668" t="inlineStr">
        <is>
          <t>Total Strategy &amp; Architecture budget ($m)</t>
        </is>
      </c>
      <c r="C15" s="689">
        <f>C13+C14</f>
        <v>3.54</v>
      </c>
      <c r="D15" s="665" t="n"/>
      <c r="E15" s="665" t="n"/>
      <c r="F15" s="665" t="n"/>
      <c r="G15" s="665" t="n"/>
      <c r="H15" s="665" t="n"/>
      <c r="I15" s="665" t="n"/>
      <c r="J15" s="665" t="n"/>
      <c r="K15" s="665" t="n"/>
      <c r="L15" s="665" t="n"/>
    </row>
    <row r="16">
      <c r="B16" s="686" t="inlineStr">
        <is>
          <t>COE - Data allocation ($m) - 0.2 Data Config</t>
        </is>
      </c>
      <c r="C16" s="669">
        <f>'0.2 Data Config'!$E$10</f>
        <v>2.0</v>
      </c>
      <c r="D16" s="665" t="n"/>
      <c r="E16" s="665" t="n"/>
      <c r="F16" s="665" t="n"/>
      <c r="G16" s="665" t="n"/>
      <c r="H16" s="665" t="n"/>
      <c r="I16" s="665" t="n"/>
      <c r="J16" s="665" t="n"/>
      <c r="K16" s="665" t="n"/>
      <c r="L16" s="665" t="n"/>
    </row>
    <row r="17">
      <c r="B17" s="668" t="inlineStr">
        <is>
          <t>Total budget to draw down ($m)</t>
        </is>
      </c>
      <c r="C17" s="689">
        <f>C15+C16</f>
        <v>5.54</v>
      </c>
      <c r="D17" s="665" t="n"/>
      <c r="E17" s="665" t="n"/>
      <c r="F17" s="665" t="n"/>
      <c r="G17" s="665" t="n"/>
      <c r="H17" s="665" t="n"/>
      <c r="I17" s="665" t="n"/>
      <c r="J17" s="665" t="n"/>
      <c r="K17" s="665" t="n"/>
      <c r="L17" s="665" t="n"/>
    </row>
    <row r="18">
      <c r="B18" s="686" t="inlineStr">
        <is>
          <t>Paused roles - cost if released ($m)</t>
        </is>
      </c>
      <c r="C18" s="669">
        <f>SUMIFS($I$22:$I$50,$F$22:$F$50,"Paused")/1000000</f>
        <v>0.75447375</v>
      </c>
      <c r="D18" s="681" t="n"/>
      <c r="E18" s="681" t="n"/>
      <c r="F18" s="681" t="n"/>
      <c r="G18" s="681" t="n"/>
      <c r="H18" s="681" t="n"/>
      <c r="I18" s="681" t="n"/>
      <c r="J18" s="681" t="n"/>
      <c r="K18" s="665" t="n"/>
      <c r="L18" s="665" t="n"/>
    </row>
    <row r="19">
      <c r="B19" s="676" t="n"/>
      <c r="C19" s="676" t="n"/>
      <c r="D19" s="676" t="n"/>
      <c r="E19" s="676" t="n"/>
      <c r="F19" s="681" t="n"/>
      <c r="G19" s="676" t="n"/>
      <c r="H19" s="681" t="n"/>
      <c r="I19" s="682" t="n"/>
      <c r="J19" s="677" t="n"/>
      <c r="K19" s="665" t="n"/>
      <c r="L19" s="665" t="n"/>
    </row>
    <row r="20">
      <c r="B20" s="666" t="inlineStr">
        <is>
          <t>Roles</t>
        </is>
      </c>
      <c r="C20" s="676" t="n"/>
      <c r="D20" s="676" t="n"/>
      <c r="E20" s="676" t="n"/>
      <c r="F20" s="681" t="n"/>
      <c r="G20" s="676" t="n"/>
      <c r="H20" s="681" t="n"/>
      <c r="I20" s="682" t="n"/>
      <c r="J20" s="677" t="n"/>
      <c r="K20" s="665" t="n"/>
      <c r="L20" s="665" t="n"/>
    </row>
    <row r="21">
      <c r="B21" s="667" t="inlineStr">
        <is>
          <t>Name</t>
        </is>
      </c>
      <c r="C21" s="667" t="inlineStr">
        <is>
          <t>Position Title</t>
        </is>
      </c>
      <c r="D21" s="667" t="inlineStr">
        <is>
          <t>Department</t>
        </is>
      </c>
      <c r="E21" s="667" t="inlineStr">
        <is>
          <t>Country</t>
        </is>
      </c>
      <c r="F21" s="667" t="inlineStr">
        <is>
          <t>Status</t>
        </is>
      </c>
      <c r="G21" s="667" t="inlineStr">
        <is>
          <t>Category</t>
        </is>
      </c>
      <c r="H21" s="667" t="inlineStr">
        <is>
          <t>On/Off</t>
        </is>
      </c>
      <c r="I21" s="690" t="inlineStr">
        <is>
          <t>Full Cost AUD ($)</t>
        </is>
      </c>
      <c r="J21" s="691" t="inlineStr">
        <is>
          <t>Model cost ($m)</t>
        </is>
      </c>
      <c r="K21" s="665" t="n"/>
      <c r="L21" s="665" t="n"/>
    </row>
    <row r="22">
      <c r="B22" s="686" t="str">
        <f>Sheet2!$B$97</f>
        <v>Craig Ambrose</v>
      </c>
      <c r="C22" s="692" t="str">
        <f>SUBSTITUTE(SUBSTITUTE(Sheet2!$C$97,"–","-"),"—","-")</f>
        <v>Domain Architect - Group Functions</v>
      </c>
      <c r="D22" s="686" t="str">
        <f>Sheet2!$G$97</f>
        <v>Architecture</v>
      </c>
      <c r="E22" s="686" t="str">
        <f>Sheet2!$M$97</f>
        <v>NZ</v>
      </c>
      <c r="F22" s="673" t="str">
        <f>IF(LOWER(Sheet2!$Q$97)="v","Vacant",IF(LOWER(Sheet2!$Q$97)="pause","Paused",IF(LOWER(Sheet2!$Q$97)="cxc","Contractor","Filled")))</f>
        <v>Filled</v>
      </c>
      <c r="G22" s="686" t="str">
        <f>IF(Sheet2!$G$97="Group Data","Data","Strategy &amp; Architecture")</f>
        <v>Strategy &amp; Architecture</v>
      </c>
      <c r="H22" s="693" t="inlineStr">
        <is>
          <t>Onshore</t>
        </is>
      </c>
      <c r="I22" s="694">
        <f>Sheet2!$AA$97</f>
        <v>242741.30399999997</v>
      </c>
      <c r="J22" s="669">
        <f>IF($F22="Paused",0,IF($H22="Offshore",$I22*'0.3 Squad Archetypes'!$K$5,$I22)/1000000)</f>
        <v>0.24274130399999996</v>
      </c>
      <c r="K22" s="665" t="n"/>
      <c r="L22" s="665" t="n"/>
    </row>
    <row r="23">
      <c r="B23" s="686" t="str">
        <f>Sheet2!$B$100</f>
        <v>James Holgate</v>
      </c>
      <c r="C23" s="692" t="str">
        <f>SUBSTITUTE(SUBSTITUTE(Sheet2!$C$100,"–","-"),"—","-")</f>
        <v>Head of Technology,  Group Data</v>
      </c>
      <c r="D23" s="686" t="str">
        <f>Sheet2!$G$100</f>
        <v>Group Data</v>
      </c>
      <c r="E23" s="686" t="str">
        <f>Sheet2!$M$100</f>
        <v>Australia</v>
      </c>
      <c r="F23" s="673" t="str">
        <f>IF(LOWER(Sheet2!$Q$100)="v","Vacant",IF(LOWER(Sheet2!$Q$100)="pause","Paused",IF(LOWER(Sheet2!$Q$100)="cxc","Contractor","Filled")))</f>
        <v>Filled</v>
      </c>
      <c r="G23" s="686" t="str">
        <f>IF(Sheet2!$G$100="Group Data","Data","Strategy &amp; Architecture")</f>
        <v>Data</v>
      </c>
      <c r="H23" s="693" t="inlineStr">
        <is>
          <t>Onshore</t>
        </is>
      </c>
      <c r="I23" s="694">
        <f>Sheet2!$AA$100</f>
        <v>409755.7</v>
      </c>
      <c r="J23" s="669">
        <f>IF($F23="Paused",0,IF($H23="Offshore",$I23*'0.3 Squad Archetypes'!$K$5,$I23)/1000000)</f>
        <v>0.4097557</v>
      </c>
      <c r="K23" s="665" t="n"/>
      <c r="L23" s="665" t="n"/>
    </row>
    <row r="24">
      <c r="B24" s="686" t="str">
        <f>Sheet2!$B$102</f>
        <v>Joel Vijayakumar</v>
      </c>
      <c r="C24" s="692" t="str">
        <f>SUBSTITUTE(SUBSTITUTE(Sheet2!$C$102,"–","-"),"—","-")</f>
        <v>Delivery Manager, Strategy, Architecture &amp; Data</v>
      </c>
      <c r="D24" s="686" t="str">
        <f>Sheet2!$G$102</f>
        <v>Delivery, SADA</v>
      </c>
      <c r="E24" s="686" t="str">
        <f>Sheet2!$M$102</f>
        <v>Australia</v>
      </c>
      <c r="F24" s="673" t="str">
        <f>IF(LOWER(Sheet2!$Q$102)="v","Vacant",IF(LOWER(Sheet2!$Q$102)="pause","Paused",IF(LOWER(Sheet2!$Q$102)="cxc","Contractor","Filled")))</f>
        <v>Filled</v>
      </c>
      <c r="G24" s="686" t="str">
        <f>IF(Sheet2!$G$102="Group Data","Data","Strategy &amp; Architecture")</f>
        <v>Strategy &amp; Architecture</v>
      </c>
      <c r="H24" s="693" t="inlineStr">
        <is>
          <t>Onshore</t>
        </is>
      </c>
      <c r="I24" s="694">
        <f>Sheet2!$AA$102</f>
        <v>369088.60000000003</v>
      </c>
      <c r="J24" s="669">
        <f>IF($F24="Paused",0,IF($H24="Offshore",$I24*'0.3 Squad Archetypes'!$K$5,$I24)/1000000)</f>
        <v>0.36908860000000004</v>
      </c>
      <c r="K24" s="665" t="n"/>
      <c r="L24" s="665" t="n"/>
    </row>
    <row r="25">
      <c r="B25" s="686" t="str">
        <f>Sheet2!$B$103</f>
        <v>John Forde</v>
      </c>
      <c r="C25" s="692" t="str">
        <f>SUBSTITUTE(SUBSTITUTE(Sheet2!$C$103,"–","-"),"—","-")</f>
        <v>Enterprise Architect</v>
      </c>
      <c r="D25" s="686" t="str">
        <f>Sheet2!$G$103</f>
        <v>Architecture</v>
      </c>
      <c r="E25" s="686" t="str">
        <f>Sheet2!$M$103</f>
        <v>NZ</v>
      </c>
      <c r="F25" s="673" t="str">
        <f>IF(LOWER(Sheet2!$Q$103)="v","Vacant",IF(LOWER(Sheet2!$Q$103)="pause","Paused",IF(LOWER(Sheet2!$Q$103)="cxc","Contractor","Filled")))</f>
        <v>Filled</v>
      </c>
      <c r="G25" s="686" t="str">
        <f>IF(Sheet2!$G$103="Group Data","Data","Strategy &amp; Architecture")</f>
        <v>Strategy &amp; Architecture</v>
      </c>
      <c r="H25" s="693" t="inlineStr">
        <is>
          <t>Onshore</t>
        </is>
      </c>
      <c r="I25" s="694">
        <f>Sheet2!$AA$103</f>
        <v>214270.248</v>
      </c>
      <c r="J25" s="669">
        <f>IF($F25="Paused",0,IF($H25="Offshore",$I25*'0.3 Squad Archetypes'!$K$5,$I25)/1000000)</f>
        <v>0.214270248</v>
      </c>
      <c r="K25" s="665" t="n"/>
      <c r="L25" s="665" t="n"/>
    </row>
    <row r="26">
      <c r="B26" s="686" t="str">
        <f>Sheet2!$B$106</f>
        <v>Lynn Yiew</v>
      </c>
      <c r="C26" s="692" t="str">
        <f>SUBSTITUTE(SUBSTITUTE(Sheet2!$C$106,"–","-"),"—","-")</f>
        <v>Data Governance Specialist</v>
      </c>
      <c r="D26" s="686" t="str">
        <f>Sheet2!$G$106</f>
        <v>Group Data</v>
      </c>
      <c r="E26" s="686" t="str">
        <f>Sheet2!$M$106</f>
        <v>NZ</v>
      </c>
      <c r="F26" s="673" t="str">
        <f>IF(LOWER(Sheet2!$Q$106)="v","Vacant",IF(LOWER(Sheet2!$Q$106)="pause","Paused",IF(LOWER(Sheet2!$Q$106)="cxc","Contractor","Filled")))</f>
        <v>Filled</v>
      </c>
      <c r="G26" s="686" t="str">
        <f>IF(Sheet2!$G$106="Group Data","Data","Strategy &amp; Architecture")</f>
        <v>Data</v>
      </c>
      <c r="H26" s="693" t="inlineStr">
        <is>
          <t>Onshore</t>
        </is>
      </c>
      <c r="I26" s="694">
        <f>Sheet2!$AA$106</f>
        <v>149746.416</v>
      </c>
      <c r="J26" s="669">
        <f>IF($F26="Paused",0,IF($H26="Offshore",$I26*'0.3 Squad Archetypes'!$K$5,$I26)/1000000)</f>
        <v>0.149746416</v>
      </c>
      <c r="K26" s="665" t="n"/>
      <c r="L26" s="665" t="n"/>
    </row>
    <row r="27">
      <c r="B27" s="686" t="str">
        <f>Sheet2!$B$107</f>
        <v>Mike Gilbert</v>
      </c>
      <c r="C27" s="692" t="str">
        <f>SUBSTITUTE(SUBSTITUTE(Sheet2!$C$107,"–","-"),"—","-")</f>
        <v>Domain Architect - CFE &amp; Infrastructure </v>
      </c>
      <c r="D27" s="686" t="str">
        <f>Sheet2!$G$107</f>
        <v>Architecture</v>
      </c>
      <c r="E27" s="686" t="str">
        <f>Sheet2!$M$107</f>
        <v>NZ</v>
      </c>
      <c r="F27" s="673" t="str">
        <f>IF(LOWER(Sheet2!$Q$107)="v","Vacant",IF(LOWER(Sheet2!$Q$107)="pause","Paused",IF(LOWER(Sheet2!$Q$107)="cxc","Contractor","Filled")))</f>
        <v>Filled</v>
      </c>
      <c r="G27" s="686" t="str">
        <f>IF(Sheet2!$G$107="Group Data","Data","Strategy &amp; Architecture")</f>
        <v>Strategy &amp; Architecture</v>
      </c>
      <c r="H27" s="693" t="inlineStr">
        <is>
          <t>Onshore</t>
        </is>
      </c>
      <c r="I27" s="694">
        <f>Sheet2!$AA$107</f>
        <v>236856.984</v>
      </c>
      <c r="J27" s="669">
        <f>IF($F27="Paused",0,IF($H27="Offshore",$I27*'0.3 Squad Archetypes'!$K$5,$I27)/1000000)</f>
        <v>0.236856984</v>
      </c>
      <c r="K27" s="665" t="n"/>
      <c r="L27" s="665" t="n"/>
    </row>
    <row r="28">
      <c r="B28" s="686" t="str">
        <f>Sheet2!$B$108</f>
        <v>Milan Patel</v>
      </c>
      <c r="C28" s="692" t="str">
        <f>SUBSTITUTE(SUBSTITUTE(Sheet2!$C$108,"–","-"),"—","-")</f>
        <v>Platform Architect</v>
      </c>
      <c r="D28" s="686" t="str">
        <f>Sheet2!$G$108</f>
        <v>Group Data</v>
      </c>
      <c r="E28" s="686" t="str">
        <f>Sheet2!$M$108</f>
        <v>Australia</v>
      </c>
      <c r="F28" s="673" t="str">
        <f>IF(LOWER(Sheet2!$Q$108)="v","Vacant",IF(LOWER(Sheet2!$Q$108)="pause","Paused",IF(LOWER(Sheet2!$Q$108)="cxc","Contractor","Filled")))</f>
        <v>Filled</v>
      </c>
      <c r="G28" s="686" t="str">
        <f>IF(Sheet2!$G$108="Group Data","Data","Strategy &amp; Architecture")</f>
        <v>Data</v>
      </c>
      <c r="H28" s="693" t="inlineStr">
        <is>
          <t>Onshore</t>
        </is>
      </c>
      <c r="I28" s="694">
        <f>Sheet2!$AA$108</f>
        <v>265584.89999999997</v>
      </c>
      <c r="J28" s="669">
        <f>IF($F28="Paused",0,IF($H28="Offshore",$I28*'0.3 Squad Archetypes'!$K$5,$I28)/1000000)</f>
        <v>0.26558489999999996</v>
      </c>
      <c r="K28" s="665" t="n"/>
      <c r="L28" s="665" t="n"/>
    </row>
    <row r="29">
      <c r="B29" s="686" t="str">
        <f>Sheet2!$B$109</f>
        <v>Mitchell Clarke</v>
      </c>
      <c r="C29" s="692" t="str">
        <f>SUBSTITUTE(SUBSTITUTE(Sheet2!$C$109,"–","-"),"—","-")</f>
        <v>Snr Data Governance Specialist</v>
      </c>
      <c r="D29" s="686" t="str">
        <f>Sheet2!$G$109</f>
        <v>Group Data</v>
      </c>
      <c r="E29" s="686" t="str">
        <f>Sheet2!$M$109</f>
        <v>Australia</v>
      </c>
      <c r="F29" s="673" t="str">
        <f>IF(LOWER(Sheet2!$Q$109)="v","Vacant",IF(LOWER(Sheet2!$Q$109)="pause","Paused",IF(LOWER(Sheet2!$Q$109)="cxc","Contractor","Filled")))</f>
        <v>Filled</v>
      </c>
      <c r="G29" s="686" t="str">
        <f>IF(Sheet2!$G$109="Group Data","Data","Strategy &amp; Architecture")</f>
        <v>Data</v>
      </c>
      <c r="H29" s="693" t="inlineStr">
        <is>
          <t>Onshore</t>
        </is>
      </c>
      <c r="I29" s="694">
        <f>Sheet2!$AA$109</f>
        <v>225988.8</v>
      </c>
      <c r="J29" s="669">
        <f>IF($F29="Paused",0,IF($H29="Offshore",$I29*'0.3 Squad Archetypes'!$K$5,$I29)/1000000)</f>
        <v>0.2259888</v>
      </c>
      <c r="K29" s="665" t="n"/>
      <c r="L29" s="665" t="n"/>
    </row>
    <row r="30">
      <c r="B30" s="686" t="str">
        <f>Sheet2!$B$114</f>
        <v>Raymond Bai</v>
      </c>
      <c r="C30" s="692" t="str">
        <f>SUBSTITUTE(SUBSTITUTE(Sheet2!$C$114,"–","-"),"—","-")</f>
        <v>Data Adoption Specialist</v>
      </c>
      <c r="D30" s="686" t="str">
        <f>Sheet2!$G$114</f>
        <v>Group Data</v>
      </c>
      <c r="E30" s="686" t="str">
        <f>Sheet2!$M$114</f>
        <v>Australia</v>
      </c>
      <c r="F30" s="673" t="str">
        <f>IF(LOWER(Sheet2!$Q$114)="v","Vacant",IF(LOWER(Sheet2!$Q$114)="pause","Paused",IF(LOWER(Sheet2!$Q$114)="cxc","Contractor","Filled")))</f>
        <v>Filled</v>
      </c>
      <c r="G30" s="686" t="str">
        <f>IF(Sheet2!$G$114="Group Data","Data","Strategy &amp; Architecture")</f>
        <v>Data</v>
      </c>
      <c r="H30" s="693" t="inlineStr">
        <is>
          <t>Onshore</t>
        </is>
      </c>
      <c r="I30" s="694">
        <f>Sheet2!$AA$114</f>
        <v>175872.9</v>
      </c>
      <c r="J30" s="669">
        <f>IF($F30="Paused",0,IF($H30="Offshore",$I30*'0.3 Squad Archetypes'!$K$5,$I30)/1000000)</f>
        <v>0.1758729</v>
      </c>
      <c r="K30" s="665" t="n"/>
      <c r="L30" s="665" t="n"/>
    </row>
    <row r="31">
      <c r="B31" s="686" t="str">
        <f>Sheet2!$B$115</f>
        <v>Renosh Matthew Thomas</v>
      </c>
      <c r="C31" s="692" t="str">
        <f>SUBSTITUTE(SUBSTITUTE(Sheet2!$C$115,"–","-"),"—","-")</f>
        <v>Data Enablement Lead</v>
      </c>
      <c r="D31" s="686" t="str">
        <f>Sheet2!$G$115</f>
        <v>Group Data</v>
      </c>
      <c r="E31" s="686" t="str">
        <f>Sheet2!$M$115</f>
        <v>Australia</v>
      </c>
      <c r="F31" s="673" t="str">
        <f>IF(LOWER(Sheet2!$Q$115)="v","Vacant",IF(LOWER(Sheet2!$Q$115)="pause","Paused",IF(LOWER(Sheet2!$Q$115)="cxc","Contractor","Filled")))</f>
        <v>Filled</v>
      </c>
      <c r="G31" s="686" t="str">
        <f>IF(Sheet2!$G$115="Group Data","Data","Strategy &amp; Architecture")</f>
        <v>Data</v>
      </c>
      <c r="H31" s="693" t="inlineStr">
        <is>
          <t>Onshore</t>
        </is>
      </c>
      <c r="I31" s="694">
        <f>Sheet2!$AA$115</f>
        <v>227056.8</v>
      </c>
      <c r="J31" s="669">
        <f>IF($F31="Paused",0,IF($H31="Offshore",$I31*'0.3 Squad Archetypes'!$K$5,$I31)/1000000)</f>
        <v>0.22705679999999998</v>
      </c>
      <c r="K31" s="665" t="n"/>
      <c r="L31" s="665" t="n"/>
    </row>
    <row r="32">
      <c r="B32" s="686" t="str">
        <f>Sheet2!$B$116</f>
        <v>Rihan Schalkwyk</v>
      </c>
      <c r="C32" s="692" t="str">
        <f>SUBSTITUTE(SUBSTITUTE(Sheet2!$C$116,"–","-"),"—","-")</f>
        <v>Senior Business Analyst</v>
      </c>
      <c r="D32" s="686" t="str">
        <f>Sheet2!$G$116</f>
        <v>Delivery, SADA</v>
      </c>
      <c r="E32" s="686" t="str">
        <f>Sheet2!$M$116</f>
        <v>Australia</v>
      </c>
      <c r="F32" s="673" t="str">
        <f>IF(LOWER(Sheet2!$Q$116)="v","Vacant",IF(LOWER(Sheet2!$Q$116)="pause","Paused",IF(LOWER(Sheet2!$Q$116)="cxc","Contractor","Filled")))</f>
        <v>Filled</v>
      </c>
      <c r="G32" s="686" t="str">
        <f>IF(Sheet2!$G$116="Group Data","Data","Strategy &amp; Architecture")</f>
        <v>Strategy &amp; Architecture</v>
      </c>
      <c r="H32" s="693" t="inlineStr">
        <is>
          <t>Onshore</t>
        </is>
      </c>
      <c r="I32" s="694">
        <f>Sheet2!$AA$116</f>
        <v>249124.35</v>
      </c>
      <c r="J32" s="669">
        <f>IF($F32="Paused",0,IF($H32="Offshore",$I32*'0.3 Squad Archetypes'!$K$5,$I32)/1000000)</f>
        <v>0.24912435</v>
      </c>
      <c r="K32" s="665" t="n"/>
      <c r="L32" s="665" t="n"/>
    </row>
    <row r="33">
      <c r="B33" s="686" t="str">
        <f>Sheet2!$B$117</f>
        <v>ring fenced</v>
      </c>
      <c r="C33" s="692" t="str">
        <f>SUBSTITUTE(SUBSTITUTE(Sheet2!$C$117,"–","-"),"—","-")</f>
        <v>Enterprise Architect</v>
      </c>
      <c r="D33" s="686" t="str">
        <f>Sheet2!$G$117</f>
        <v>Architecture</v>
      </c>
      <c r="E33" s="686" t="str">
        <f>Sheet2!$M$117</f>
        <v>Australia</v>
      </c>
      <c r="F33" s="673" t="str">
        <f>IF(LOWER(Sheet2!$Q$117)="v","Vacant",IF(LOWER(Sheet2!$Q$117)="pause","Paused",IF(LOWER(Sheet2!$Q$117)="cxc","Contractor","Filled")))</f>
        <v>Paused</v>
      </c>
      <c r="G33" s="686" t="str">
        <f>IF(Sheet2!$G$117="Group Data","Data","Strategy &amp; Architecture")</f>
        <v>Strategy &amp; Architecture</v>
      </c>
      <c r="H33" s="693" t="inlineStr">
        <is>
          <t>Onshore</t>
        </is>
      </c>
      <c r="I33" s="694">
        <f>Sheet2!$AA$117</f>
        <v>275810.25</v>
      </c>
      <c r="J33" s="669">
        <f>IF($F33="Paused",0,IF($H33="Offshore",$I33*'0.3 Squad Archetypes'!$K$5,$I33)/1000000)</f>
        <v>0.0</v>
      </c>
      <c r="K33" s="665" t="n"/>
      <c r="L33" s="665" t="n"/>
    </row>
    <row r="34">
      <c r="B34" s="686" t="str">
        <f>Sheet2!$B$118</f>
        <v>ring fenced</v>
      </c>
      <c r="C34" s="692" t="str">
        <f>SUBSTITUTE(SUBSTITUTE(Sheet2!$C$118,"–","-"),"—","-")</f>
        <v>Domain Architect - Customer &amp; Digital Tech</v>
      </c>
      <c r="D34" s="686" t="str">
        <f>Sheet2!$G$118</f>
        <v>Architecture</v>
      </c>
      <c r="E34" s="686" t="str">
        <f>Sheet2!$M$118</f>
        <v>Australia</v>
      </c>
      <c r="F34" s="673" t="str">
        <f>IF(LOWER(Sheet2!$Q$118)="v","Vacant",IF(LOWER(Sheet2!$Q$118)="pause","Paused",IF(LOWER(Sheet2!$Q$118)="cxc","Contractor","Filled")))</f>
        <v>Vacant</v>
      </c>
      <c r="G34" s="686" t="str">
        <f>IF(Sheet2!$G$118="Group Data","Data","Strategy &amp; Architecture")</f>
        <v>Strategy &amp; Architecture</v>
      </c>
      <c r="H34" s="693" t="inlineStr">
        <is>
          <t>Onshore</t>
        </is>
      </c>
      <c r="I34" s="694">
        <f>Sheet2!$AA$118</f>
        <v>231689.25</v>
      </c>
      <c r="J34" s="669">
        <f>IF($F34="Paused",0,IF($H34="Offshore",$I34*'0.3 Squad Archetypes'!$K$5,$I34)/1000000)</f>
        <v>0.23168925</v>
      </c>
      <c r="K34" s="665" t="n"/>
      <c r="L34" s="665" t="n"/>
    </row>
    <row r="35">
      <c r="B35" s="686" t="str">
        <f>Sheet2!$B$119</f>
        <v>ring fenced</v>
      </c>
      <c r="C35" s="692" t="str">
        <f>SUBSTITUTE(SUBSTITUTE(Sheet2!$C$119,"–","-"),"—","-")</f>
        <v>Domain Architect - Retail &amp; Z</v>
      </c>
      <c r="D35" s="686" t="str">
        <f>Sheet2!$G$119</f>
        <v>Architecture</v>
      </c>
      <c r="E35" s="686" t="str">
        <f>Sheet2!$M$119</f>
        <v>Australia</v>
      </c>
      <c r="F35" s="673" t="str">
        <f>IF(LOWER(Sheet2!$Q$119)="v","Vacant",IF(LOWER(Sheet2!$Q$119)="pause","Paused",IF(LOWER(Sheet2!$Q$119)="cxc","Contractor","Filled")))</f>
        <v>Vacant</v>
      </c>
      <c r="G35" s="686" t="str">
        <f>IF(Sheet2!$G$119="Group Data","Data","Strategy &amp; Architecture")</f>
        <v>Strategy &amp; Architecture</v>
      </c>
      <c r="H35" s="693" t="inlineStr">
        <is>
          <t>Onshore</t>
        </is>
      </c>
      <c r="I35" s="694">
        <f>Sheet2!$AA$119</f>
        <v>231689.25</v>
      </c>
      <c r="J35" s="669">
        <f>IF($F35="Paused",0,IF($H35="Offshore",$I35*'0.3 Squad Archetypes'!$K$5,$I35)/1000000)</f>
        <v>0.23168925</v>
      </c>
      <c r="K35" s="665" t="n"/>
      <c r="L35" s="665" t="n"/>
    </row>
    <row r="36">
      <c r="B36" s="686" t="str">
        <f>Sheet2!$B$120</f>
        <v>ring fenced</v>
      </c>
      <c r="C36" s="692" t="str">
        <f>SUBSTITUTE(SUBSTITUTE(Sheet2!$C$120,"–","-"),"—","-")</f>
        <v>Domain Architect - TDD</v>
      </c>
      <c r="D36" s="686" t="str">
        <f>Sheet2!$G$120</f>
        <v>Architecture</v>
      </c>
      <c r="E36" s="686" t="str">
        <f>Sheet2!$M$120</f>
        <v>Australia</v>
      </c>
      <c r="F36" s="673" t="str">
        <f>IF(LOWER(Sheet2!$Q$120)="v","Vacant",IF(LOWER(Sheet2!$Q$120)="pause","Paused",IF(LOWER(Sheet2!$Q$120)="cxc","Contractor","Filled")))</f>
        <v>Vacant</v>
      </c>
      <c r="G36" s="686" t="str">
        <f>IF(Sheet2!$G$120="Group Data","Data","Strategy &amp; Architecture")</f>
        <v>Strategy &amp; Architecture</v>
      </c>
      <c r="H36" s="693" t="inlineStr">
        <is>
          <t>Onshore</t>
        </is>
      </c>
      <c r="I36" s="694">
        <f>Sheet2!$AA$120</f>
        <v>231689.25</v>
      </c>
      <c r="J36" s="669">
        <f>IF($F36="Paused",0,IF($H36="Offshore",$I36*'0.3 Squad Archetypes'!$K$5,$I36)/1000000)</f>
        <v>0.23168925</v>
      </c>
      <c r="K36" s="665" t="n"/>
      <c r="L36" s="665" t="n"/>
    </row>
    <row r="37">
      <c r="B37" s="686" t="str">
        <f>Sheet2!$B$121</f>
        <v>Roger Blazey</v>
      </c>
      <c r="C37" s="692" t="str">
        <f>SUBSTITUTE(SUBSTITUTE(Sheet2!$C$121,"–","-"),"—","-")</f>
        <v>Architect (AI Innovation)</v>
      </c>
      <c r="D37" s="686" t="str">
        <f>Sheet2!$G$121</f>
        <v>Technology Strategy &amp; AI Capability</v>
      </c>
      <c r="E37" s="686" t="str">
        <f>Sheet2!$M$121</f>
        <v>Australia</v>
      </c>
      <c r="F37" s="673" t="str">
        <f>IF(LOWER(Sheet2!$Q$121)="v","Vacant",IF(LOWER(Sheet2!$Q$121)="pause","Paused",IF(LOWER(Sheet2!$Q$121)="cxc","Contractor","Filled")))</f>
        <v>Filled</v>
      </c>
      <c r="G37" s="686" t="str">
        <f>IF(Sheet2!$G$121="Group Data","Data","Strategy &amp; Architecture")</f>
        <v>Strategy &amp; Architecture</v>
      </c>
      <c r="H37" s="693" t="inlineStr">
        <is>
          <t>Onshore</t>
        </is>
      </c>
      <c r="I37" s="694">
        <f>Sheet2!$AA$121</f>
        <v>250245.75</v>
      </c>
      <c r="J37" s="669">
        <f>IF($F37="Paused",0,IF($H37="Offshore",$I37*'0.3 Squad Archetypes'!$K$5,$I37)/1000000)</f>
        <v>0.25024575</v>
      </c>
      <c r="K37" s="665" t="n"/>
      <c r="L37" s="665" t="n"/>
    </row>
    <row r="38">
      <c r="B38" s="686" t="str">
        <f>Sheet2!$B$124</f>
        <v>Sanjay Tikoo</v>
      </c>
      <c r="C38" s="692" t="str">
        <f>SUBSTITUTE(SUBSTITUTE(Sheet2!$C$124,"–","-"),"—","-")</f>
        <v>Principal, Data Architecture &amp; Governance</v>
      </c>
      <c r="D38" s="686" t="str">
        <f>Sheet2!$G$124</f>
        <v>Group Data</v>
      </c>
      <c r="E38" s="686" t="str">
        <f>Sheet2!$M$124</f>
        <v>Australia</v>
      </c>
      <c r="F38" s="673" t="str">
        <f>IF(LOWER(Sheet2!$Q$124)="v","Vacant",IF(LOWER(Sheet2!$Q$124)="pause","Paused",IF(LOWER(Sheet2!$Q$124)="cxc","Contractor","Filled")))</f>
        <v>Filled</v>
      </c>
      <c r="G38" s="686" t="str">
        <f>IF(Sheet2!$G$124="Group Data","Data","Strategy &amp; Architecture")</f>
        <v>Data</v>
      </c>
      <c r="H38" s="693" t="inlineStr">
        <is>
          <t>Onshore</t>
        </is>
      </c>
      <c r="I38" s="694">
        <f>Sheet2!$AA$124</f>
        <v>389125.0</v>
      </c>
      <c r="J38" s="669">
        <f>IF($F38="Paused",0,IF($H38="Offshore",$I38*'0.3 Squad Archetypes'!$K$5,$I38)/1000000)</f>
        <v>0.389125</v>
      </c>
      <c r="K38" s="665" t="n"/>
      <c r="L38" s="665" t="n"/>
    </row>
    <row r="39">
      <c r="B39" s="686" t="str">
        <f>Sheet2!$B$127</f>
        <v>Tim Snedden</v>
      </c>
      <c r="C39" s="692" t="str">
        <f>SUBSTITUTE(SUBSTITUTE(Sheet2!$C$127,"–","-"),"—","-")</f>
        <v>Delivery Lead</v>
      </c>
      <c r="D39" s="686" t="str">
        <f>Sheet2!$G$127</f>
        <v>Delivery, SADA</v>
      </c>
      <c r="E39" s="686" t="str">
        <f>Sheet2!$M$127</f>
        <v>NZ</v>
      </c>
      <c r="F39" s="673" t="str">
        <f>IF(LOWER(Sheet2!$Q$127)="v","Vacant",IF(LOWER(Sheet2!$Q$127)="pause","Paused",IF(LOWER(Sheet2!$Q$127)="cxc","Contractor","Filled")))</f>
        <v>Filled</v>
      </c>
      <c r="G39" s="686" t="str">
        <f>IF(Sheet2!$G$127="Group Data","Data","Strategy &amp; Architecture")</f>
        <v>Strategy &amp; Architecture</v>
      </c>
      <c r="H39" s="693" t="inlineStr">
        <is>
          <t>Onshore</t>
        </is>
      </c>
      <c r="I39" s="694">
        <f>Sheet2!$AA$127</f>
        <v>185776.56</v>
      </c>
      <c r="J39" s="669">
        <f>IF($F39="Paused",0,IF($H39="Offshore",$I39*'0.3 Squad Archetypes'!$K$5,$I39)/1000000)</f>
        <v>0.18577656</v>
      </c>
    </row>
    <row r="40">
      <c r="B40" s="686" t="str">
        <f>Sheet2!$B$133</f>
        <v>Vacant</v>
      </c>
      <c r="C40" s="692" t="str">
        <f>SUBSTITUTE(SUBSTITUTE(Sheet2!$C$133,"–","-"),"—","-")</f>
        <v>Business Analyst</v>
      </c>
      <c r="D40" s="686" t="str">
        <f>Sheet2!$G$133</f>
        <v>Delivery, SADA</v>
      </c>
      <c r="E40" s="686" t="str">
        <f>Sheet2!$M$133</f>
        <v>Australia</v>
      </c>
      <c r="F40" s="673" t="str">
        <f>IF(LOWER(Sheet2!$Q$133)="v","Vacant",IF(LOWER(Sheet2!$Q$133)="pause","Paused",IF(LOWER(Sheet2!$Q$133)="cxc","Contractor","Filled")))</f>
        <v>Vacant</v>
      </c>
      <c r="G40" s="686" t="str">
        <f>IF(Sheet2!$G$133="Group Data","Data","Strategy &amp; Architecture")</f>
        <v>Strategy &amp; Architecture</v>
      </c>
      <c r="H40" s="693" t="inlineStr">
        <is>
          <t>Onshore</t>
        </is>
      </c>
      <c r="I40" s="694">
        <f>Sheet2!$AA$133</f>
        <v>202853.25</v>
      </c>
      <c r="J40" s="669">
        <f>IF($F40="Paused",0,IF($H40="Offshore",$I40*'0.3 Squad Archetypes'!$K$5,$I40)/1000000)</f>
        <v>0.20285325</v>
      </c>
    </row>
    <row r="41">
      <c r="B41" s="686" t="str">
        <f>Sheet2!$B$134</f>
        <v>Vacant</v>
      </c>
      <c r="C41" s="692" t="str">
        <f>SUBSTITUTE(SUBSTITUTE(Sheet2!$C$134,"–","-"),"—","-")</f>
        <v>Business Analyst</v>
      </c>
      <c r="D41" s="686" t="str">
        <f>Sheet2!$G$134</f>
        <v>Delivery, SADA</v>
      </c>
      <c r="E41" s="686" t="str">
        <f>Sheet2!$M$134</f>
        <v>Australia</v>
      </c>
      <c r="F41" s="673" t="str">
        <f>IF(LOWER(Sheet2!$Q$134)="v","Vacant",IF(LOWER(Sheet2!$Q$134)="pause","Paused",IF(LOWER(Sheet2!$Q$134)="cxc","Contractor","Filled")))</f>
        <v>Paused</v>
      </c>
      <c r="G41" s="686" t="str">
        <f>IF(Sheet2!$G$134="Group Data","Data","Strategy &amp; Architecture")</f>
        <v>Strategy &amp; Architecture</v>
      </c>
      <c r="H41" s="693" t="inlineStr">
        <is>
          <t>Onshore</t>
        </is>
      </c>
      <c r="I41" s="694">
        <f>Sheet2!$AA$134</f>
        <v>202853.25</v>
      </c>
      <c r="J41" s="669">
        <f>IF($F41="Paused",0,IF($H41="Offshore",$I41*'0.3 Squad Archetypes'!$K$5,$I41)/1000000)</f>
        <v>0.0</v>
      </c>
    </row>
    <row r="42">
      <c r="B42" s="686" t="str">
        <f>Sheet2!$B$141</f>
        <v>Vacant</v>
      </c>
      <c r="C42" s="692" t="str">
        <f>SUBSTITUTE(SUBSTITUTE(Sheet2!$C$141,"–","-"),"—","-")</f>
        <v>Data Governance Lead</v>
      </c>
      <c r="D42" s="686" t="str">
        <f>Sheet2!$G$141</f>
        <v>Group Data</v>
      </c>
      <c r="E42" s="686" t="str">
        <f>Sheet2!$M$141</f>
        <v>australia</v>
      </c>
      <c r="F42" s="673" t="str">
        <f>IF(LOWER(Sheet2!$Q$141)="v","Vacant",IF(LOWER(Sheet2!$Q$141)="pause","Paused",IF(LOWER(Sheet2!$Q$141)="cxc","Contractor","Filled")))</f>
        <v>Vacant</v>
      </c>
      <c r="G42" s="686" t="str">
        <f>IF(Sheet2!$G$141="Group Data","Data","Strategy &amp; Architecture")</f>
        <v>Data</v>
      </c>
      <c r="H42" s="693" t="inlineStr">
        <is>
          <t>Onshore</t>
        </is>
      </c>
      <c r="I42" s="694">
        <f>Sheet2!$AA$141</f>
        <v>389606.10000000003</v>
      </c>
      <c r="J42" s="669">
        <f>IF($F42="Paused",0,IF($H42="Offshore",$I42*'0.3 Squad Archetypes'!$K$5,$I42)/1000000)</f>
        <v>0.3896061</v>
      </c>
    </row>
    <row r="43">
      <c r="B43" s="686" t="str">
        <f>Sheet2!$B$142</f>
        <v>Vacant</v>
      </c>
      <c r="C43" s="692" t="str">
        <f>SUBSTITUTE(SUBSTITUTE(Sheet2!$C$142,"–","-"),"—","-")</f>
        <v>Head of Architecture</v>
      </c>
      <c r="D43" s="686" t="str">
        <f>Sheet2!$G$142</f>
        <v>Architecture</v>
      </c>
      <c r="E43" s="686" t="str">
        <f>Sheet2!$M$142</f>
        <v>Australia</v>
      </c>
      <c r="F43" s="673" t="str">
        <f>IF(LOWER(Sheet2!$Q$142)="v","Vacant",IF(LOWER(Sheet2!$Q$142)="pause","Paused",IF(LOWER(Sheet2!$Q$142)="cxc","Contractor","Filled")))</f>
        <v>Vacant</v>
      </c>
      <c r="G43" s="686" t="str">
        <f>IF(Sheet2!$G$142="Group Data","Data","Strategy &amp; Architecture")</f>
        <v>Strategy &amp; Architecture</v>
      </c>
      <c r="H43" s="693" t="inlineStr">
        <is>
          <t>Onshore</t>
        </is>
      </c>
      <c r="I43" s="694">
        <f>Sheet2!$AA$142</f>
        <v>334972.95</v>
      </c>
      <c r="J43" s="669">
        <f>IF($F43="Paused",0,IF($H43="Offshore",$I43*'0.3 Squad Archetypes'!$K$5,$I43)/1000000)</f>
        <v>0.33497295</v>
      </c>
    </row>
    <row r="44">
      <c r="B44" s="686" t="str">
        <f>Sheet2!$B$143</f>
        <v>Vacant</v>
      </c>
      <c r="C44" s="692" t="str">
        <f>SUBSTITUTE(SUBSTITUTE(Sheet2!$C$143,"–","-"),"—","-")</f>
        <v>Head of Technology Strategy &amp; AI Capability</v>
      </c>
      <c r="D44" s="686" t="str">
        <f>Sheet2!$G$143</f>
        <v>Technology Strategy &amp; AI Capability</v>
      </c>
      <c r="E44" s="686" t="str">
        <f>Sheet2!$M$143</f>
        <v>Australia</v>
      </c>
      <c r="F44" s="673" t="str">
        <f>IF(LOWER(Sheet2!$Q$143)="v","Vacant",IF(LOWER(Sheet2!$Q$143)="pause","Paused",IF(LOWER(Sheet2!$Q$143)="cxc","Contractor","Filled")))</f>
        <v>Vacant</v>
      </c>
      <c r="G44" s="686" t="str">
        <f>IF(Sheet2!$G$143="Group Data","Data","Strategy &amp; Architecture")</f>
        <v>Strategy &amp; Architecture</v>
      </c>
      <c r="H44" s="693" t="inlineStr">
        <is>
          <t>Onshore</t>
        </is>
      </c>
      <c r="I44" s="694">
        <f>Sheet2!$AA$143</f>
        <v>333020.25</v>
      </c>
      <c r="J44" s="669">
        <f>IF($F44="Paused",0,IF($H44="Offshore",$I44*'0.3 Squad Archetypes'!$K$5,$I44)/1000000)</f>
        <v>0.33302025</v>
      </c>
    </row>
    <row r="45">
      <c r="B45" s="686" t="str">
        <f>Sheet2!$B$144</f>
        <v>Vacant</v>
      </c>
      <c r="C45" s="692" t="str">
        <f>SUBSTITUTE(SUBSTITUTE(Sheet2!$C$144,"–","-"),"—","-")</f>
        <v>Senior Communications Advisor</v>
      </c>
      <c r="D45" s="686" t="str">
        <f>Sheet2!$G$144</f>
        <v>na</v>
      </c>
      <c r="E45" s="686" t="str">
        <f>Sheet2!$M$144</f>
        <v>Australia</v>
      </c>
      <c r="F45" s="673" t="str">
        <f>IF(LOWER(Sheet2!$Q$144)="v","Vacant",IF(LOWER(Sheet2!$Q$144)="pause","Paused",IF(LOWER(Sheet2!$Q$144)="cxc","Contractor","Filled")))</f>
        <v>Vacant</v>
      </c>
      <c r="G45" s="686" t="str">
        <f>IF(Sheet2!$G$144="Group Data","Data","Strategy &amp; Architecture")</f>
        <v>Strategy &amp; Architecture</v>
      </c>
      <c r="H45" s="693" t="inlineStr">
        <is>
          <t>Onshore</t>
        </is>
      </c>
      <c r="I45" s="694">
        <f>Sheet2!$AA$144</f>
        <v>186900.0</v>
      </c>
      <c r="J45" s="669">
        <f>IF($F45="Paused",0,IF($H45="Offshore",$I45*'0.3 Squad Archetypes'!$K$5,$I45)/1000000)</f>
        <v>0.1869</v>
      </c>
    </row>
    <row r="46">
      <c r="B46" s="686" t="str">
        <f>Sheet2!$B$145</f>
        <v>Vacant</v>
      </c>
      <c r="C46" s="692" t="str">
        <f>SUBSTITUTE(SUBSTITUTE(Sheet2!$C$145,"–","-"),"—","-")</f>
        <v>Enterprise Data Architect</v>
      </c>
      <c r="D46" s="686" t="str">
        <f>Sheet2!$G$145</f>
        <v>Group Data</v>
      </c>
      <c r="E46" s="686" t="str">
        <f>Sheet2!$M$145</f>
        <v>Australia</v>
      </c>
      <c r="F46" s="673" t="str">
        <f>IF(LOWER(Sheet2!$Q$145)="v","Vacant",IF(LOWER(Sheet2!$Q$145)="pause","Paused",IF(LOWER(Sheet2!$Q$145)="cxc","Contractor","Filled")))</f>
        <v>Paused</v>
      </c>
      <c r="G46" s="686" t="str">
        <f>IF(Sheet2!$G$145="Group Data","Data","Strategy &amp; Architecture")</f>
        <v>Data</v>
      </c>
      <c r="H46" s="693" t="inlineStr">
        <is>
          <t>Onshore</t>
        </is>
      </c>
      <c r="I46" s="694">
        <f>Sheet2!$AA$145</f>
        <v>275810.25</v>
      </c>
      <c r="J46" s="669">
        <f>IF($F46="Paused",0,IF($H46="Offshore",$I46*'0.3 Squad Archetypes'!$K$5,$I46)/1000000)</f>
        <v>0.0</v>
      </c>
    </row>
    <row r="47">
      <c r="B47" s="686" t="str">
        <f>Sheet2!$B$146</f>
        <v>Vacant</v>
      </c>
      <c r="C47" s="692" t="str">
        <f>SUBSTITUTE(SUBSTITUTE(Sheet2!$C$146,"–","-"),"—","-")</f>
        <v>AI Capability Lead</v>
      </c>
      <c r="D47" s="686" t="str">
        <f>Sheet2!$G$146</f>
        <v>Technology Strategy &amp; AI Capability</v>
      </c>
      <c r="E47" s="686" t="str">
        <f>Sheet2!$M$146</f>
        <v>Australia</v>
      </c>
      <c r="F47" s="673" t="str">
        <f>IF(LOWER(Sheet2!$Q$146)="v","Vacant",IF(LOWER(Sheet2!$Q$146)="pause","Paused",IF(LOWER(Sheet2!$Q$146)="cxc","Contractor","Filled")))</f>
        <v>Vacant</v>
      </c>
      <c r="G47" s="686" t="str">
        <f>IF(Sheet2!$G$146="Group Data","Data","Strategy &amp; Architecture")</f>
        <v>Strategy &amp; Architecture</v>
      </c>
      <c r="H47" s="693" t="inlineStr">
        <is>
          <t>Onshore</t>
        </is>
      </c>
      <c r="I47" s="694">
        <f>Sheet2!$AA$146</f>
        <v>275810.25</v>
      </c>
      <c r="J47" s="669">
        <f>IF($F47="Paused",0,IF($H47="Offshore",$I47*'0.3 Squad Archetypes'!$K$5,$I47)/1000000)</f>
        <v>0.27581025</v>
      </c>
    </row>
    <row r="48">
      <c r="B48" s="686" t="str">
        <f>Sheet2!$B$147</f>
        <v>Vacant</v>
      </c>
      <c r="C48" s="692" t="str">
        <f>SUBSTITUTE(SUBSTITUTE(Sheet2!$C$147,"–","-"),"—","-")</f>
        <v>Enterprise Process Lead</v>
      </c>
      <c r="D48" s="686" t="str">
        <f>Sheet2!$G$147</f>
        <v>Technology Strategy &amp; AI Capability</v>
      </c>
      <c r="E48" s="686" t="str">
        <f>Sheet2!$M$147</f>
        <v>Australia</v>
      </c>
      <c r="F48" s="673" t="str">
        <f>IF(LOWER(Sheet2!$Q$147)="v","Vacant",IF(LOWER(Sheet2!$Q$147)="pause","Paused",IF(LOWER(Sheet2!$Q$147)="cxc","Contractor","Filled")))</f>
        <v>Vacant</v>
      </c>
      <c r="G48" s="686" t="str">
        <f>IF(Sheet2!$G$147="Group Data","Data","Strategy &amp; Architecture")</f>
        <v>Strategy &amp; Architecture</v>
      </c>
      <c r="H48" s="693" t="inlineStr">
        <is>
          <t>Onshore</t>
        </is>
      </c>
      <c r="I48" s="694">
        <f>Sheet2!$AA$147</f>
        <v>202853.25</v>
      </c>
      <c r="J48" s="669">
        <f>IF($F48="Paused",0,IF($H48="Offshore",$I48*'0.3 Squad Archetypes'!$K$5,$I48)/1000000)</f>
        <v>0.20285325</v>
      </c>
    </row>
    <row r="49">
      <c r="B49" s="686" t="str">
        <f>Sheet2!$B$148</f>
        <v>Vacant</v>
      </c>
      <c r="C49" s="692" t="str">
        <f>SUBSTITUTE(SUBSTITUTE(Sheet2!$C$148,"–","-"),"—","-")</f>
        <v>EnterpriseProcess Analyst</v>
      </c>
      <c r="D49" s="686" t="str">
        <f>Sheet2!$G$148</f>
        <v>Technology Strategy &amp; AI Capability</v>
      </c>
      <c r="E49" s="686" t="str">
        <f>Sheet2!$M$148</f>
        <v>Australia</v>
      </c>
      <c r="F49" s="673" t="str">
        <f>IF(LOWER(Sheet2!$Q$148)="v","Vacant",IF(LOWER(Sheet2!$Q$148)="pause","Paused",IF(LOWER(Sheet2!$Q$148)="cxc","Contractor","Filled")))</f>
        <v>Vacant</v>
      </c>
      <c r="G49" s="686" t="str">
        <f>IF(Sheet2!$G$148="Group Data","Data","Strategy &amp; Architecture")</f>
        <v>Strategy &amp; Architecture</v>
      </c>
      <c r="H49" s="693" t="inlineStr">
        <is>
          <t>Onshore</t>
        </is>
      </c>
      <c r="I49" s="694">
        <f>Sheet2!$AA$148</f>
        <v>170489.75</v>
      </c>
      <c r="J49" s="669">
        <f>IF($F49="Paused",0,IF($H49="Offshore",$I49*'0.3 Squad Archetypes'!$K$5,$I49)/1000000)</f>
        <v>0.17048975</v>
      </c>
    </row>
    <row r="50">
      <c r="B50" s="686" t="str">
        <f>Sheet2!$B$149</f>
        <v>Vacant</v>
      </c>
      <c r="C50" s="692" t="str">
        <f>SUBSTITUTE(SUBSTITUTE(Sheet2!$C$149,"–","-"),"—","-")</f>
        <v>Strategy Analyst</v>
      </c>
      <c r="D50" s="686" t="str">
        <f>Sheet2!$G$149</f>
        <v>Technology Strategy &amp; AI Capability</v>
      </c>
      <c r="E50" s="686" t="str">
        <f>Sheet2!$M$149</f>
        <v>Australia</v>
      </c>
      <c r="F50" s="673" t="str">
        <f>IF(LOWER(Sheet2!$Q$149)="v","Vacant",IF(LOWER(Sheet2!$Q$149)="pause","Paused",IF(LOWER(Sheet2!$Q$149)="cxc","Contractor","Filled")))</f>
        <v>Vacant</v>
      </c>
      <c r="G50" s="686" t="str">
        <f>IF(Sheet2!$G$149="Group Data","Data","Strategy &amp; Architecture")</f>
        <v>Strategy &amp; Architecture</v>
      </c>
      <c r="H50" s="693" t="inlineStr">
        <is>
          <t>Onshore</t>
        </is>
      </c>
      <c r="I50" s="694">
        <f>Sheet2!$AA$149</f>
        <v>170489.75</v>
      </c>
      <c r="J50" s="669">
        <f>IF($F50="Paused",0,IF($H50="Offshore",$I50*'0.3 Squad Archetypes'!$K$5,$I50)/1000000)</f>
        <v>0.17048975</v>
      </c>
    </row>
    <row r="51">
      <c r="B51" s="686" t="inlineStr">
        <is>
          <t>Check - roles listed vs counted (must be 0)</t>
        </is>
      </c>
      <c r="C51" s="671">
        <f>COUNTA(B22:B50)-C8</f>
        <v>0.0</v>
      </c>
    </row>
    <row r="52"/>
    <row r="53">
      <c r="B53" s="695" t="inlineStr">
        <is>
          <t>Squad-based SA&amp;D roles sit in their portfolio squads (1.3 / 4.3). Leadership roles sit on 2.7 Squad Detail. Planned spend excludes Paused roles - their cost is the memo line above.</t>
        </is>
      </c>
    </row>
    <row r="54">
      <c r="B54" s="665" t="n"/>
      <c r="C54" s="665" t="n"/>
      <c r="D54" s="665" t="n"/>
      <c r="E54" s="665" t="n"/>
      <c r="F54" s="665" t="n"/>
      <c r="G54" s="665" t="n"/>
      <c r="H54" s="665" t="n"/>
      <c r="I54" s="665" t="n"/>
      <c r="J54" s="665" t="n"/>
      <c r="K54" s="665" t="n"/>
      <c r="L54" s="665" t="n"/>
    </row>
    <row r="55">
      <c r="B55" s="665" t="n"/>
      <c r="C55" s="665" t="n"/>
      <c r="D55" s="665" t="n"/>
      <c r="E55" s="665" t="n"/>
      <c r="F55" s="665" t="n"/>
      <c r="G55" s="665" t="n"/>
      <c r="H55" s="665" t="n"/>
      <c r="I55" s="665" t="n"/>
      <c r="J55" s="665" t="n"/>
      <c r="K55" s="665" t="n"/>
      <c r="L55" s="665" t="n"/>
    </row>
    <row r="56">
      <c r="B56" s="665" t="n"/>
      <c r="C56" s="665" t="n"/>
      <c r="D56" s="665" t="n"/>
      <c r="E56" s="665" t="n"/>
      <c r="F56" s="665" t="n"/>
      <c r="G56" s="665" t="n"/>
      <c r="H56" s="665" t="n"/>
      <c r="I56" s="665" t="n"/>
      <c r="J56" s="665" t="n"/>
      <c r="K56" s="665" t="n"/>
      <c r="L56" s="665" t="n"/>
    </row>
    <row r="57">
      <c r="B57" s="665" t="n"/>
      <c r="C57" s="665" t="n"/>
      <c r="D57" s="665" t="n"/>
      <c r="E57" s="665" t="n"/>
      <c r="F57" s="665" t="n"/>
      <c r="G57" s="665" t="n"/>
      <c r="H57" s="665" t="n"/>
      <c r="I57" s="665" t="n"/>
      <c r="J57" s="665" t="n"/>
      <c r="K57" s="665" t="n"/>
      <c r="L57" s="665" t="n"/>
    </row>
    <row r="58">
      <c r="B58" s="665" t="n"/>
      <c r="C58" s="665" t="n"/>
      <c r="D58" s="665" t="n"/>
      <c r="E58" s="665" t="n"/>
      <c r="F58" s="665" t="n"/>
      <c r="G58" s="665" t="n"/>
      <c r="H58" s="665" t="n"/>
      <c r="I58" s="665" t="n"/>
      <c r="J58" s="665" t="n"/>
      <c r="K58" s="665" t="n"/>
      <c r="L58" s="665" t="n"/>
    </row>
    <row r="59">
      <c r="B59" s="665" t="n"/>
      <c r="C59" s="665" t="n"/>
      <c r="D59" s="665" t="n"/>
      <c r="E59" s="665" t="n"/>
      <c r="F59" s="665" t="n"/>
      <c r="G59" s="665" t="n"/>
      <c r="H59" s="665" t="n"/>
      <c r="I59" s="665" t="n"/>
      <c r="J59" s="665" t="n"/>
      <c r="K59" s="665" t="n"/>
      <c r="L59" s="665" t="n"/>
    </row>
    <row r="60">
      <c r="B60" s="665" t="n"/>
      <c r="C60" s="665" t="n"/>
      <c r="D60" s="665" t="n"/>
      <c r="E60" s="665" t="n"/>
      <c r="F60" s="665" t="n"/>
      <c r="G60" s="665" t="n"/>
      <c r="H60" s="665" t="n"/>
      <c r="I60" s="665" t="n"/>
      <c r="J60" s="665" t="n"/>
      <c r="K60" s="665" t="n"/>
      <c r="L60" s="665" t="n"/>
    </row>
  </sheetData>
  <dataValidations count="1">
    <dataValidation sqref="H22:H50" showDropDown="0" showInputMessage="0" showErrorMessage="1" allowBlank="0" type="list">
      <formula1>"Onshore,Offshore"</formula1>
    </dataValidation>
  </dataValidations>
  <pageMargins left="0.75" right="0.75" top="1" bottom="1" header="0.5" footer="0.5"/>
</worksheet>
</file>

<file path=xl/worksheets/sheet23.xml><?xml version="1.0" encoding="utf-8"?>
<worksheet xmlns="http://schemas.openxmlformats.org/spreadsheetml/2006/main">
  <sheetPr>
    <tabColor rgb="00002F6C"/>
    <outlinePr summaryBelow="1" summaryRight="1"/>
    <pageSetUpPr/>
  </sheetPr>
  <dimension ref="A1:L80"/>
  <sheetViews>
    <sheetView showGridLines="0" zoomScale="60" zoomScaleNormal="60" workbookViewId="0">
      <selection activeCell="H22" sqref="H22"/>
    </sheetView>
  </sheetViews>
  <sheetFormatPr baseColWidth="8" defaultRowHeight="14.5" outlineLevelCol="0"/>
  <cols>
    <col width="3" customWidth="1" style="506" min="1" max="1"/>
    <col width="62.90625" bestFit="1" customWidth="1" style="506" min="2" max="2"/>
    <col width="42" customWidth="1" style="506" min="3" max="3"/>
    <col width="26" customWidth="1" style="506" min="4" max="4"/>
    <col width="10" customWidth="1" style="506" min="5" max="5"/>
    <col width="9" customWidth="1" style="506" min="6" max="6"/>
    <col width="20" customWidth="1" style="506" min="7" max="7"/>
    <col width="11" customWidth="1" style="506" min="8" max="8"/>
    <col width="14" bestFit="1" customWidth="1" style="506" min="9" max="9"/>
    <col width="13.26953125" bestFit="1" customWidth="1" style="506" min="10" max="10"/>
    <col width="46" customWidth="1" style="506" min="11" max="11"/>
  </cols>
  <sheetData>
    <row r="1"/>
    <row r="2" ht="21" customHeight="1" s="506">
      <c r="B2" s="569" t="inlineStr">
        <is>
          <t>Cyber, Risk &amp; Service Operations roles and funding</t>
        </is>
      </c>
    </row>
    <row r="3"/>
    <row r="4">
      <c r="B4" s="443" t="inlineStr">
        <is>
          <t>Summary</t>
        </is>
      </c>
      <c r="C4" s="444" t="n"/>
      <c r="D4" s="444" t="n"/>
      <c r="E4" s="444" t="n"/>
      <c r="F4" s="444" t="n"/>
      <c r="G4" s="444" t="n"/>
      <c r="H4" s="444" t="n"/>
      <c r="I4" s="444" t="n"/>
      <c r="J4" s="444" t="n"/>
    </row>
    <row r="5">
      <c r="B5" s="438" t="inlineStr">
        <is>
          <t>Category</t>
        </is>
      </c>
      <c r="C5" s="438" t="inlineStr">
        <is>
          <t>Roles</t>
        </is>
      </c>
      <c r="D5" s="438" t="inlineStr">
        <is>
          <t>Filled</t>
        </is>
      </c>
      <c r="E5" s="438" t="inlineStr">
        <is>
          <t>Vacant</t>
        </is>
      </c>
      <c r="F5" s="438" t="inlineStr">
        <is>
          <t>Planned spend ($m)</t>
        </is>
      </c>
      <c r="G5" s="438" t="inlineStr">
        <is>
          <t>Budget to draw down ($m)</t>
        </is>
      </c>
      <c r="H5" s="438" t="inlineStr">
        <is>
          <t>Left to fund ($m)</t>
        </is>
      </c>
    </row>
    <row r="6">
      <c r="B6" s="668" t="inlineStr">
        <is>
          <t>Cyber &amp; Risk</t>
        </is>
      </c>
      <c r="C6" s="671">
        <f>COUNTIF($G$19:$G$70,$B6)</f>
        <v>28.0</v>
      </c>
      <c r="D6" s="671">
        <f>COUNTIFS($G$19:$G$70,$B6,$F$19:$F$70,"Filled")</f>
        <v>25.0</v>
      </c>
      <c r="E6" s="671">
        <f>COUNTIFS($G$19:$G$70,$B6,$F$19:$F$70,"Vacant")</f>
        <v>3.0</v>
      </c>
      <c r="F6" s="669">
        <f>SUMIF($G$19:$G$70,$B6,$J$19:$J$70)</f>
        <v>6.5289684139999995</v>
      </c>
      <c r="G6" s="430" t="n"/>
      <c r="H6" s="445" t="n"/>
    </row>
    <row r="7">
      <c r="B7" s="668" t="inlineStr">
        <is>
          <t>Service Operations</t>
        </is>
      </c>
      <c r="C7" s="671">
        <f>COUNTIF($G$19:$G$70,$B7)</f>
        <v>24.0</v>
      </c>
      <c r="D7" s="671">
        <f>COUNTIFS($G$19:$G$70,$B7,$F$19:$F$70,"Filled")</f>
        <v>17.0</v>
      </c>
      <c r="E7" s="671">
        <f>COUNTIFS($G$19:$G$70,$B7,$F$19:$F$70,"Vacant")</f>
        <v>7.0</v>
      </c>
      <c r="F7" s="669">
        <f>SUMIF($G$19:$G$70,$B7,$J$19:$J$70)</f>
        <v>4.38702063</v>
      </c>
      <c r="G7" s="430" t="n"/>
      <c r="H7" s="445" t="n"/>
    </row>
    <row r="8">
      <c r="B8" s="431" t="inlineStr">
        <is>
          <t>Total</t>
        </is>
      </c>
      <c r="C8" s="447">
        <f>SUM(C6:C7)</f>
        <v>52.0</v>
      </c>
      <c r="D8" s="447">
        <f>SUM(D6:D7)</f>
        <v>42.0</v>
      </c>
      <c r="E8" s="447">
        <f>SUM(E6:E7)</f>
        <v>10.0</v>
      </c>
      <c r="F8" s="432">
        <f>SUM(F6:F7)</f>
        <v>10.915989044</v>
      </c>
      <c r="G8" s="432">
        <f>'0.2 Data Config'!$E$23</f>
        <v>3.5</v>
      </c>
      <c r="H8" s="432">
        <f>MAX(0,F8-G8)</f>
        <v>7.415989044</v>
      </c>
    </row>
    <row r="9"/>
    <row r="10">
      <c r="B10" s="492" t="inlineStr">
        <is>
          <t>TDD Cyber people budget - Data Config ($m)</t>
        </is>
      </c>
      <c r="C10" s="497">
        <f>'0.2 Data Config'!$E$23</f>
        <v>3.5</v>
      </c>
      <c r="E10" s="686" t="inlineStr">
        <is>
          <t>Cost - AU and other funded ($m)</t>
        </is>
      </c>
      <c r="F10" s="669">
        <f>SUMIF($E$19:$E$70,"&lt;&gt;NZ",$J$19:$J$70)</f>
        <v>9.8579918</v>
      </c>
    </row>
    <row r="11">
      <c r="B11" s="492" t="inlineStr">
        <is>
          <t>Cyber CapEx - Monitoring, tracked separately ($m)</t>
        </is>
      </c>
      <c r="C11" s="497">
        <f>'1.11 TDD Cyber'!$H$16</f>
        <v>0.5</v>
      </c>
      <c r="E11" s="686" t="inlineStr">
        <is>
          <t>Cost - NZ funded ($m)</t>
        </is>
      </c>
      <c r="F11" s="669">
        <f>SUMIF($E$19:$E$70,"NZ",$J$19:$J$70)</f>
        <v>1.057997244</v>
      </c>
    </row>
    <row r="12">
      <c r="B12" s="492" t="inlineStr">
        <is>
          <t>Planned spend - all cyber roles ($m)</t>
        </is>
      </c>
      <c r="C12" s="497">
        <f>F8</f>
        <v>10.915989044</v>
      </c>
    </row>
    <row r="13">
      <c r="B13" s="492" t="inlineStr">
        <is>
          <t>Left to fund - roles vs people budget ($m)</t>
        </is>
      </c>
      <c r="C13" s="497">
        <f>H8</f>
        <v>7.415989044</v>
      </c>
    </row>
    <row r="14">
      <c r="B14" s="492" t="inlineStr">
        <is>
          <t>Portfolio + platform overheads charged on 1.11 ($m)</t>
        </is>
      </c>
      <c r="C14" s="497">
        <f>'1.11 TDD Cyber'!$C$6+'1.11 TDD Cyber'!$C$7</f>
        <v>0.9145000000000001</v>
      </c>
    </row>
    <row r="15">
      <c r="B15" s="492" t="inlineStr">
        <is>
          <t>Total to fund - ties to 1.11 TDD Cyber ($m)</t>
        </is>
      </c>
      <c r="C15" s="497">
        <f>C13+C14</f>
        <v>8.330489044</v>
      </c>
    </row>
    <row r="16"/>
    <row r="17">
      <c r="B17" s="443" t="inlineStr">
        <is>
          <t>Roles</t>
        </is>
      </c>
      <c r="C17" s="444" t="n"/>
      <c r="D17" s="444" t="n"/>
      <c r="E17" s="444" t="n"/>
      <c r="F17" s="444" t="n"/>
      <c r="G17" s="444" t="n"/>
      <c r="H17" s="444" t="n"/>
      <c r="I17" s="444" t="n"/>
      <c r="J17" s="444" t="n"/>
    </row>
    <row r="18">
      <c r="B18" s="667" t="inlineStr">
        <is>
          <t>Name</t>
        </is>
      </c>
      <c r="C18" s="667" t="inlineStr">
        <is>
          <t>Position Title</t>
        </is>
      </c>
      <c r="D18" s="667" t="inlineStr">
        <is>
          <t>Department</t>
        </is>
      </c>
      <c r="E18" s="667" t="inlineStr">
        <is>
          <t>Country</t>
        </is>
      </c>
      <c r="F18" s="667" t="inlineStr">
        <is>
          <t>Status</t>
        </is>
      </c>
      <c r="G18" s="667" t="inlineStr">
        <is>
          <t>Category</t>
        </is>
      </c>
      <c r="H18" s="667" t="inlineStr">
        <is>
          <t>On/Off</t>
        </is>
      </c>
      <c r="I18" s="667" t="inlineStr">
        <is>
          <t>Full Cost AUD ($)</t>
        </is>
      </c>
      <c r="J18" s="667" t="inlineStr">
        <is>
          <t>Model cost ($m)</t>
        </is>
      </c>
    </row>
    <row r="19">
      <c r="B19" s="686" t="str">
        <f>Sheet2!$B$2</f>
        <v>Ashley Mueller</v>
      </c>
      <c r="C19" s="692" t="str">
        <f>SUBSTITUTE(SUBSTITUTE(Sheet2!$C$2,"–","-"),"—","-")</f>
        <v>Lead - Service Assurance</v>
      </c>
      <c r="D19" s="686" t="str">
        <f>Sheet2!$G$2</f>
        <v>Service Op &amp; Assurance</v>
      </c>
      <c r="E19" s="686" t="str">
        <f>Sheet2!$M$2</f>
        <v>NZ</v>
      </c>
      <c r="F19" s="673" t="str">
        <f>IF(LOWER(Sheet2!$Q$2)="v","Vacant",IF(LOWER(Sheet2!$Q$2)="pause","Paused",IF(LOWER(Sheet2!$Q$2)="cxc","Contractor","Filled")))</f>
        <v>Filled</v>
      </c>
      <c r="G19" s="686" t="str">
        <f>IF(Sheet2!$G$2="Service Op &amp; Assurance","Service Operations","Cyber &amp; Risk")</f>
        <v>Service Operations</v>
      </c>
      <c r="H19" s="693" t="inlineStr">
        <is>
          <t>Onshore</t>
        </is>
      </c>
      <c r="I19" s="694">
        <f>Sheet2!$AA$2</f>
        <v>189974.796</v>
      </c>
      <c r="J19" s="669">
        <f>IF($H19="Offshore",$I19*'0.3 Squad Archetypes'!$K$5,$I19)/1000000</f>
        <v>0.189974796</v>
      </c>
      <c r="K19" s="665" t="n"/>
      <c r="L19" s="665" t="n"/>
    </row>
    <row r="20">
      <c r="B20" s="686" t="str">
        <f>Sheet2!$B$3</f>
        <v>Belinda Hoskens</v>
      </c>
      <c r="C20" s="692" t="str">
        <f>SUBSTITUTE(SUBSTITUTE(Sheet2!$C$3,"–","-"),"—","-")</f>
        <v>Technology Support Engineer</v>
      </c>
      <c r="D20" s="686" t="str">
        <f>Sheet2!$G$3</f>
        <v>Service Op &amp; Assurance</v>
      </c>
      <c r="E20" s="686" t="str">
        <f>Sheet2!$M$3</f>
        <v>Australia</v>
      </c>
      <c r="F20" s="673" t="str">
        <f>IF(LOWER(Sheet2!$Q$3)="v","Vacant",IF(LOWER(Sheet2!$Q$3)="pause","Paused",IF(LOWER(Sheet2!$Q$3)="cxc","Contractor","Filled")))</f>
        <v>Filled</v>
      </c>
      <c r="G20" s="686" t="str">
        <f>IF(Sheet2!$G$3="Service Op &amp; Assurance","Service Operations","Cyber &amp; Risk")</f>
        <v>Service Operations</v>
      </c>
      <c r="H20" s="693" t="inlineStr">
        <is>
          <t>Onshore</t>
        </is>
      </c>
      <c r="I20" s="694">
        <f>Sheet2!$AA$3</f>
        <v>162139.5</v>
      </c>
      <c r="J20" s="669">
        <f>IF($H20="Offshore",$I20*'0.3 Squad Archetypes'!$K$5,$I20)/1000000</f>
        <v>0.1621395</v>
      </c>
      <c r="K20" s="665" t="n"/>
      <c r="L20" s="665" t="n"/>
    </row>
    <row r="21">
      <c r="B21" s="686" t="str">
        <f>Sheet2!$B$4</f>
        <v>Brian Gates</v>
      </c>
      <c r="C21" s="692" t="str">
        <f>SUBSTITUTE(SUBSTITUTE(Sheet2!$C$4,"–","-"),"—","-")</f>
        <v>Manager Risk &amp; Resilience</v>
      </c>
      <c r="D21" s="686" t="str">
        <f>Sheet2!$G$4</f>
        <v>Cyber Risk</v>
      </c>
      <c r="E21" s="686" t="str">
        <f>Sheet2!$M$4</f>
        <v>Australia</v>
      </c>
      <c r="F21" s="673" t="str">
        <f>IF(LOWER(Sheet2!$Q$4)="v","Vacant",IF(LOWER(Sheet2!$Q$4)="pause","Paused",IF(LOWER(Sheet2!$Q$4)="cxc","Contractor","Filled")))</f>
        <v>Filled</v>
      </c>
      <c r="G21" s="686" t="str">
        <f>IF(Sheet2!$G$4="Service Op &amp; Assurance","Service Operations","Cyber &amp; Risk")</f>
        <v>Cyber &amp; Risk</v>
      </c>
      <c r="H21" s="693" t="inlineStr">
        <is>
          <t>Onshore</t>
        </is>
      </c>
      <c r="I21" s="694">
        <f>Sheet2!$AA$4</f>
        <v>287043.2</v>
      </c>
      <c r="J21" s="669">
        <f>IF($H21="Offshore",$I21*'0.3 Squad Archetypes'!$K$5,$I21)/1000000</f>
        <v>0.2870432</v>
      </c>
      <c r="K21" s="665" t="n"/>
      <c r="L21" s="665" t="n"/>
    </row>
    <row r="22">
      <c r="B22" s="686" t="str">
        <f>Sheet2!$B$5</f>
        <v>Cameron Watman</v>
      </c>
      <c r="C22" s="692" t="str">
        <f>SUBSTITUTE(SUBSTITUTE(Sheet2!$C$5,"–","-"),"—","-")</f>
        <v>Engineer - IDAM</v>
      </c>
      <c r="D22" s="686" t="str">
        <f>Sheet2!$G$5</f>
        <v>Cyber Strat &amp; Tech</v>
      </c>
      <c r="E22" s="686" t="str">
        <f>Sheet2!$M$5</f>
        <v>Australia</v>
      </c>
      <c r="F22" s="673" t="str">
        <f>IF(LOWER(Sheet2!$Q$5)="v","Vacant",IF(LOWER(Sheet2!$Q$5)="pause","Paused",IF(LOWER(Sheet2!$Q$5)="cxc","Contractor","Filled")))</f>
        <v>Filled</v>
      </c>
      <c r="G22" s="686" t="str">
        <f>IF(Sheet2!$G$5="Service Op &amp; Assurance","Service Operations","Cyber &amp; Risk")</f>
        <v>Cyber &amp; Risk</v>
      </c>
      <c r="H22" s="693" t="inlineStr">
        <is>
          <t>Onshore</t>
        </is>
      </c>
      <c r="I22" s="694">
        <f>Sheet2!$AA$5</f>
        <v>173132.9</v>
      </c>
      <c r="J22" s="669">
        <f>IF($H22="Offshore",$I22*'0.3 Squad Archetypes'!$K$5,$I22)/1000000</f>
        <v>0.1731329</v>
      </c>
      <c r="K22" s="665" t="n"/>
      <c r="L22" s="665" t="n"/>
    </row>
    <row r="23">
      <c r="B23" s="686" t="str">
        <f>Sheet2!$B$6</f>
        <v>Catherine Gire</v>
      </c>
      <c r="C23" s="692" t="str">
        <f>SUBSTITUTE(SUBSTITUTE(Sheet2!$C$6,"–","-"),"—","-")</f>
        <v>Cyber Technical Business Analyst</v>
      </c>
      <c r="D23" s="686" t="str">
        <f>Sheet2!$G$6</f>
        <v>Cyber Strat &amp; Tech</v>
      </c>
      <c r="E23" s="686" t="str">
        <f>Sheet2!$M$6</f>
        <v>Australia</v>
      </c>
      <c r="F23" s="673" t="str">
        <f>IF(LOWER(Sheet2!$Q$6)="v","Vacant",IF(LOWER(Sheet2!$Q$6)="pause","Paused",IF(LOWER(Sheet2!$Q$6)="cxc","Contractor","Filled")))</f>
        <v>Filled</v>
      </c>
      <c r="G23" s="686" t="str">
        <f>IF(Sheet2!$G$6="Service Op &amp; Assurance","Service Operations","Cyber &amp; Risk")</f>
        <v>Cyber &amp; Risk</v>
      </c>
      <c r="H23" s="693" t="inlineStr">
        <is>
          <t>Onshore</t>
        </is>
      </c>
      <c r="I23" s="694">
        <f>Sheet2!$AA$6</f>
        <v>227163.6</v>
      </c>
      <c r="J23" s="669">
        <f>IF($H23="Offshore",$I23*'0.3 Squad Archetypes'!$K$5,$I23)/1000000</f>
        <v>0.2271636</v>
      </c>
      <c r="K23" s="665" t="n"/>
      <c r="L23" s="665" t="n"/>
    </row>
    <row r="24">
      <c r="B24" s="686" t="str">
        <f>Sheet2!$B$7</f>
        <v>Chris Lyons</v>
      </c>
      <c r="C24" s="692" t="str">
        <f>SUBSTITUTE(SUBSTITUTE(Sheet2!$C$7,"–","-"),"—","-")</f>
        <v>Cyber Security Architect</v>
      </c>
      <c r="D24" s="686" t="str">
        <f>Sheet2!$G$7</f>
        <v>Cyber Strat &amp; Tech</v>
      </c>
      <c r="E24" s="686" t="str">
        <f>Sheet2!$M$7</f>
        <v>Australia</v>
      </c>
      <c r="F24" s="673" t="str">
        <f>IF(LOWER(Sheet2!$Q$7)="v","Vacant",IF(LOWER(Sheet2!$Q$7)="pause","Paused",IF(LOWER(Sheet2!$Q$7)="cxc","Contractor","Filled")))</f>
        <v>Filled</v>
      </c>
      <c r="G24" s="686" t="str">
        <f>IF(Sheet2!$G$7="Service Op &amp; Assurance","Service Operations","Cyber &amp; Risk")</f>
        <v>Cyber &amp; Risk</v>
      </c>
      <c r="H24" s="693" t="inlineStr">
        <is>
          <t>Onshore</t>
        </is>
      </c>
      <c r="I24" s="694">
        <f>Sheet2!$AA$7</f>
        <v>283353.75</v>
      </c>
      <c r="J24" s="669">
        <f>IF($H24="Offshore",$I24*'0.3 Squad Archetypes'!$K$5,$I24)/1000000</f>
        <v>0.28335375</v>
      </c>
      <c r="K24" s="665" t="n"/>
      <c r="L24" s="665" t="n"/>
    </row>
    <row r="25">
      <c r="B25" s="686" t="str">
        <f>Sheet2!$B$8</f>
        <v>Chris Rojas</v>
      </c>
      <c r="C25" s="692" t="str">
        <f>SUBSTITUTE(SUBSTITUTE(Sheet2!$C$8,"–","-"),"—","-")</f>
        <v>Manager, Customer Support Operations</v>
      </c>
      <c r="D25" s="686" t="str">
        <f>Sheet2!$G$8</f>
        <v>Service Op &amp; Assurance</v>
      </c>
      <c r="E25" s="686" t="str">
        <f>Sheet2!$M$8</f>
        <v>Australia</v>
      </c>
      <c r="F25" s="673" t="str">
        <f>IF(LOWER(Sheet2!$Q$8)="v","Vacant",IF(LOWER(Sheet2!$Q$8)="pause","Paused",IF(LOWER(Sheet2!$Q$8)="cxc","Contractor","Filled")))</f>
        <v>Filled</v>
      </c>
      <c r="G25" s="686" t="str">
        <f>IF(Sheet2!$G$8="Service Op &amp; Assurance","Service Operations","Cyber &amp; Risk")</f>
        <v>Service Operations</v>
      </c>
      <c r="H25" s="693" t="inlineStr">
        <is>
          <t>Onshore</t>
        </is>
      </c>
      <c r="I25" s="694">
        <f>Sheet2!$AA$8</f>
        <v>243303.75</v>
      </c>
      <c r="J25" s="669">
        <f>IF($H25="Offshore",$I25*'0.3 Squad Archetypes'!$K$5,$I25)/1000000</f>
        <v>0.24330375</v>
      </c>
      <c r="K25" s="665" t="n"/>
      <c r="L25" s="665" t="n"/>
    </row>
    <row r="26">
      <c r="B26" s="686" t="str">
        <f>Sheet2!$B$9</f>
        <v>Dan Balsamo</v>
      </c>
      <c r="C26" s="692" t="str">
        <f>SUBSTITUTE(SUBSTITUTE(Sheet2!$C$9,"–","-"),"—","-")</f>
        <v>Senior Cyber Project Manager</v>
      </c>
      <c r="D26" s="686" t="str">
        <f>Sheet2!$G$9</f>
        <v>Cyber Strat &amp; Tech</v>
      </c>
      <c r="E26" s="686" t="str">
        <f>Sheet2!$M$9</f>
        <v>Australia</v>
      </c>
      <c r="F26" s="673" t="str">
        <f>IF(LOWER(Sheet2!$Q$9)="v","Vacant",IF(LOWER(Sheet2!$Q$9)="pause","Paused",IF(LOWER(Sheet2!$Q$9)="cxc","Contractor","Filled")))</f>
        <v>Filled</v>
      </c>
      <c r="G26" s="686" t="str">
        <f>IF(Sheet2!$G$9="Service Op &amp; Assurance","Service Operations","Cyber &amp; Risk")</f>
        <v>Cyber &amp; Risk</v>
      </c>
      <c r="H26" s="693" t="inlineStr">
        <is>
          <t>Onshore</t>
        </is>
      </c>
      <c r="I26" s="694">
        <f>Sheet2!$AA$9</f>
        <v>258576.15</v>
      </c>
      <c r="J26" s="669">
        <f>IF($H26="Offshore",$I26*'0.3 Squad Archetypes'!$K$5,$I26)/1000000</f>
        <v>0.25857615</v>
      </c>
      <c r="K26" s="665" t="n"/>
      <c r="L26" s="665" t="n"/>
    </row>
    <row r="27">
      <c r="B27" s="686" t="str">
        <f>Sheet2!$B$10</f>
        <v>Daniel Jolley</v>
      </c>
      <c r="C27" s="692" t="str">
        <f>SUBSTITUTE(SUBSTITUTE(Sheet2!$C$10,"–","-"),"—","-")</f>
        <v>Tech Support Technician</v>
      </c>
      <c r="D27" s="686" t="str">
        <f>Sheet2!$G$10</f>
        <v>Service Op &amp; Assurance</v>
      </c>
      <c r="E27" s="686" t="str">
        <f>Sheet2!$M$10</f>
        <v>Australia</v>
      </c>
      <c r="F27" s="673" t="str">
        <f>IF(LOWER(Sheet2!$Q$10)="v","Vacant",IF(LOWER(Sheet2!$Q$10)="pause","Paused",IF(LOWER(Sheet2!$Q$10)="cxc","Contractor","Filled")))</f>
        <v>Filled</v>
      </c>
      <c r="G27" s="686" t="str">
        <f>IF(Sheet2!$G$10="Service Op &amp; Assurance","Service Operations","Cyber &amp; Risk")</f>
        <v>Service Operations</v>
      </c>
      <c r="H27" s="693" t="inlineStr">
        <is>
          <t>Onshore</t>
        </is>
      </c>
      <c r="I27" s="694">
        <f>Sheet2!$AA$10</f>
        <v>115851.5</v>
      </c>
      <c r="J27" s="669">
        <f>IF($H27="Offshore",$I27*'0.3 Squad Archetypes'!$K$5,$I27)/1000000</f>
        <v>0.1158515</v>
      </c>
      <c r="K27" s="665" t="n"/>
      <c r="L27" s="665" t="n"/>
    </row>
    <row r="28">
      <c r="B28" s="686" t="str">
        <f>Sheet2!$B$11</f>
        <v>Darren Koller</v>
      </c>
      <c r="C28" s="692" t="str">
        <f>SUBSTITUTE(SUBSTITUTE(Sheet2!$C$11,"–","-"),"—","-")</f>
        <v>Manager, Service Management &amp; Major Incident Mgmt Lead</v>
      </c>
      <c r="D28" s="686" t="str">
        <f>Sheet2!$G$11</f>
        <v>Service Op &amp; Assurance</v>
      </c>
      <c r="E28" s="686" t="str">
        <f>Sheet2!$M$11</f>
        <v>Australia</v>
      </c>
      <c r="F28" s="673" t="str">
        <f>IF(LOWER(Sheet2!$Q$11)="v","Vacant",IF(LOWER(Sheet2!$Q$11)="pause","Paused",IF(LOWER(Sheet2!$Q$11)="cxc","Contractor","Filled")))</f>
        <v>Filled</v>
      </c>
      <c r="G28" s="686" t="str">
        <f>IF(Sheet2!$G$11="Service Op &amp; Assurance","Service Operations","Cyber &amp; Risk")</f>
        <v>Service Operations</v>
      </c>
      <c r="H28" s="693" t="inlineStr">
        <is>
          <t>Onshore</t>
        </is>
      </c>
      <c r="I28" s="694">
        <f>Sheet2!$AA$11</f>
        <v>274943.25</v>
      </c>
      <c r="J28" s="669">
        <f>IF($H28="Offshore",$I28*'0.3 Squad Archetypes'!$K$5,$I28)/1000000</f>
        <v>0.27494325</v>
      </c>
      <c r="K28" s="665" t="n"/>
      <c r="L28" s="665" t="n"/>
    </row>
    <row r="29">
      <c r="B29" s="686" t="str">
        <f>Sheet2!$B$12</f>
        <v>Darshan Suvama</v>
      </c>
      <c r="C29" s="692" t="str">
        <f>SUBSTITUTE(SUBSTITUTE(Sheet2!$C$12,"–","-"),"—","-")</f>
        <v>Cyber Offensive Security Lead</v>
      </c>
      <c r="D29" s="686" t="str">
        <f>Sheet2!$G$12</f>
        <v>Cyber Strat &amp; Tech</v>
      </c>
      <c r="E29" s="686" t="str">
        <f>Sheet2!$M$12</f>
        <v>Australia</v>
      </c>
      <c r="F29" s="673" t="str">
        <f>IF(LOWER(Sheet2!$Q$12)="v","Vacant",IF(LOWER(Sheet2!$Q$12)="pause","Paused",IF(LOWER(Sheet2!$Q$12)="cxc","Contractor","Filled")))</f>
        <v>Filled</v>
      </c>
      <c r="G29" s="686" t="str">
        <f>IF(Sheet2!$G$12="Service Op &amp; Assurance","Service Operations","Cyber &amp; Risk")</f>
        <v>Cyber &amp; Risk</v>
      </c>
      <c r="H29" s="693" t="inlineStr">
        <is>
          <t>Onshore</t>
        </is>
      </c>
      <c r="I29" s="694">
        <f>Sheet2!$AA$12</f>
        <v>285342.89999999997</v>
      </c>
      <c r="J29" s="669">
        <f>IF($H29="Offshore",$I29*'0.3 Squad Archetypes'!$K$5,$I29)/1000000</f>
        <v>0.28534289999999995</v>
      </c>
      <c r="K29" s="665" t="n"/>
      <c r="L29" s="665" t="n"/>
    </row>
    <row r="30">
      <c r="B30" s="686" t="str">
        <f>Sheet2!$B$13</f>
        <v>Diya Thomas</v>
      </c>
      <c r="C30" s="692" t="str">
        <f>SUBSTITUTE(SUBSTITUTE(Sheet2!$C$13,"–","-"),"—","-")</f>
        <v>Manager Cyber Security GRC</v>
      </c>
      <c r="D30" s="686" t="str">
        <f>Sheet2!$G$13</f>
        <v>Cyber GRC</v>
      </c>
      <c r="E30" s="686" t="str">
        <f>Sheet2!$M$13</f>
        <v>Australia</v>
      </c>
      <c r="F30" s="673" t="str">
        <f>IF(LOWER(Sheet2!$Q$13)="v","Vacant",IF(LOWER(Sheet2!$Q$13)="pause","Paused",IF(LOWER(Sheet2!$Q$13)="cxc","Contractor","Filled")))</f>
        <v>Filled</v>
      </c>
      <c r="G30" s="686" t="str">
        <f>IF(Sheet2!$G$13="Service Op &amp; Assurance","Service Operations","Cyber &amp; Risk")</f>
        <v>Cyber &amp; Risk</v>
      </c>
      <c r="H30" s="693" t="inlineStr">
        <is>
          <t>Onshore</t>
        </is>
      </c>
      <c r="I30" s="694">
        <f>Sheet2!$AA$13</f>
        <v>287043.2</v>
      </c>
      <c r="J30" s="669">
        <f>IF($H30="Offshore",$I30*'0.3 Squad Archetypes'!$K$5,$I30)/1000000</f>
        <v>0.2870432</v>
      </c>
      <c r="K30" s="665" t="n"/>
      <c r="L30" s="665" t="n"/>
    </row>
    <row r="31">
      <c r="B31" s="686" t="str">
        <f>Sheet2!$B$14</f>
        <v>Ethan Lamhert (FT)</v>
      </c>
      <c r="C31" s="692" t="str">
        <f>SUBSTITUTE(SUBSTITUTE(Sheet2!$C$14,"–","-"),"—","-")</f>
        <v>Tech Support Technician</v>
      </c>
      <c r="D31" s="686" t="str">
        <f>Sheet2!$G$14</f>
        <v>Service Op &amp; Assurance</v>
      </c>
      <c r="E31" s="686" t="str">
        <f>Sheet2!$M$14</f>
        <v>NZ</v>
      </c>
      <c r="F31" s="673" t="str">
        <f>IF(LOWER(Sheet2!$Q$14)="v","Vacant",IF(LOWER(Sheet2!$Q$14)="pause","Paused",IF(LOWER(Sheet2!$Q$14)="cxc","Contractor","Filled")))</f>
        <v>Filled</v>
      </c>
      <c r="G31" s="686" t="str">
        <f>IF(Sheet2!$G$14="Service Op &amp; Assurance","Service Operations","Cyber &amp; Risk")</f>
        <v>Service Operations</v>
      </c>
      <c r="H31" s="693" t="inlineStr">
        <is>
          <t>Onshore</t>
        </is>
      </c>
      <c r="I31" s="694">
        <f>Sheet2!$AA$14</f>
        <v>89758.00000000001</v>
      </c>
      <c r="J31" s="669">
        <f>IF($H31="Offshore",$I31*'0.3 Squad Archetypes'!$K$5,$I31)/1000000</f>
        <v>0.08975800000000002</v>
      </c>
      <c r="K31" s="665" t="n"/>
      <c r="L31" s="665" t="n"/>
    </row>
    <row r="32">
      <c r="B32" s="686" t="str">
        <f>Sheet2!$B$15</f>
        <v>Iwan Wibisono</v>
      </c>
      <c r="C32" s="692" t="str">
        <f>SUBSTITUTE(SUBSTITUTE(Sheet2!$C$15,"–","-"),"—","-")</f>
        <v>Engineer - IDAM</v>
      </c>
      <c r="D32" s="686" t="str">
        <f>Sheet2!$G$15</f>
        <v>Cyber Strat &amp; Tech</v>
      </c>
      <c r="E32" s="686" t="str">
        <f>Sheet2!$M$15</f>
        <v>Australia</v>
      </c>
      <c r="F32" s="673" t="str">
        <f>IF(LOWER(Sheet2!$Q$15)="v","Vacant",IF(LOWER(Sheet2!$Q$15)="pause","Paused",IF(LOWER(Sheet2!$Q$15)="cxc","Contractor","Filled")))</f>
        <v>Filled</v>
      </c>
      <c r="G32" s="686" t="str">
        <f>IF(Sheet2!$G$15="Service Op &amp; Assurance","Service Operations","Cyber &amp; Risk")</f>
        <v>Cyber &amp; Risk</v>
      </c>
      <c r="H32" s="693" t="inlineStr">
        <is>
          <t>Onshore</t>
        </is>
      </c>
      <c r="I32" s="694">
        <f>Sheet2!$AA$15</f>
        <v>215682.6</v>
      </c>
      <c r="J32" s="669">
        <f>IF($H32="Offshore",$I32*'0.3 Squad Archetypes'!$K$5,$I32)/1000000</f>
        <v>0.2156826</v>
      </c>
      <c r="K32" s="665" t="n"/>
      <c r="L32" s="665" t="n"/>
    </row>
    <row r="33">
      <c r="B33" s="686" t="str">
        <f>Sheet2!$B$16</f>
        <v>Jack Jenkins</v>
      </c>
      <c r="C33" s="692" t="str">
        <f>SUBSTITUTE(SUBSTITUTE(Sheet2!$C$16,"–","-"),"—","-")</f>
        <v>Asset Analyst</v>
      </c>
      <c r="D33" s="686" t="str">
        <f>Sheet2!$G$16</f>
        <v>Service Op &amp; Assurance</v>
      </c>
      <c r="E33" s="686" t="str">
        <f>Sheet2!$M$16</f>
        <v>Australia</v>
      </c>
      <c r="F33" s="673" t="str">
        <f>IF(LOWER(Sheet2!$Q$16)="v","Vacant",IF(LOWER(Sheet2!$Q$16)="pause","Paused",IF(LOWER(Sheet2!$Q$16)="cxc","Contractor","Filled")))</f>
        <v>Filled</v>
      </c>
      <c r="G33" s="686" t="str">
        <f>IF(Sheet2!$G$16="Service Op &amp; Assurance","Service Operations","Cyber &amp; Risk")</f>
        <v>Service Operations</v>
      </c>
      <c r="H33" s="693" t="inlineStr">
        <is>
          <t>Onshore</t>
        </is>
      </c>
      <c r="I33" s="694">
        <f>Sheet2!$AA$16</f>
        <v>139008.65</v>
      </c>
      <c r="J33" s="669">
        <f>IF($H33="Offshore",$I33*'0.3 Squad Archetypes'!$K$5,$I33)/1000000</f>
        <v>0.13900864999999998</v>
      </c>
      <c r="K33" s="665" t="n"/>
      <c r="L33" s="665" t="n"/>
    </row>
    <row r="34">
      <c r="B34" s="686" t="str">
        <f>Sheet2!$B$17</f>
        <v>James Byrne</v>
      </c>
      <c r="C34" s="692" t="str">
        <f>SUBSTITUTE(SUBSTITUTE(Sheet2!$C$17,"–","-"),"—","-")</f>
        <v>Head of Cyber Strategy &amp; Technology</v>
      </c>
      <c r="D34" s="686" t="str">
        <f>Sheet2!$G$17</f>
        <v>Cyber Strat &amp; Tech</v>
      </c>
      <c r="E34" s="686" t="str">
        <f>Sheet2!$M$17</f>
        <v>Australia</v>
      </c>
      <c r="F34" s="673" t="str">
        <f>IF(LOWER(Sheet2!$Q$17)="v","Vacant",IF(LOWER(Sheet2!$Q$17)="pause","Paused",IF(LOWER(Sheet2!$Q$17)="cxc","Contractor","Filled")))</f>
        <v>Filled</v>
      </c>
      <c r="G34" s="686" t="str">
        <f>IF(Sheet2!$G$17="Service Op &amp; Assurance","Service Operations","Cyber &amp; Risk")</f>
        <v>Cyber &amp; Risk</v>
      </c>
      <c r="H34" s="693" t="inlineStr">
        <is>
          <t>Onshore</t>
        </is>
      </c>
      <c r="I34" s="694">
        <f>Sheet2!$AA$17</f>
        <v>382587.7</v>
      </c>
      <c r="J34" s="669">
        <f>IF($H34="Offshore",$I34*'0.3 Squad Archetypes'!$K$5,$I34)/1000000</f>
        <v>0.38258770000000003</v>
      </c>
      <c r="K34" s="665" t="n"/>
      <c r="L34" s="665" t="n"/>
    </row>
    <row r="35">
      <c r="B35" s="686" t="str">
        <f>Sheet2!$B$18</f>
        <v>Jas Mann</v>
      </c>
      <c r="C35" s="692" t="str">
        <f>SUBSTITUTE(SUBSTITUTE(Sheet2!$C$18,"–","-"),"—","-")</f>
        <v>Technology Support Engineer</v>
      </c>
      <c r="D35" s="686" t="str">
        <f>Sheet2!$G$18</f>
        <v>Service Op &amp; Assurance</v>
      </c>
      <c r="E35" s="686" t="str">
        <f>Sheet2!$M$18</f>
        <v>Australia</v>
      </c>
      <c r="F35" s="673" t="str">
        <f>IF(LOWER(Sheet2!$Q$18)="v","Vacant",IF(LOWER(Sheet2!$Q$18)="pause","Paused",IF(LOWER(Sheet2!$Q$18)="cxc","Contractor","Filled")))</f>
        <v>Filled</v>
      </c>
      <c r="G35" s="686" t="str">
        <f>IF(Sheet2!$G$18="Service Op &amp; Assurance","Service Operations","Cyber &amp; Risk")</f>
        <v>Service Operations</v>
      </c>
      <c r="H35" s="693" t="inlineStr">
        <is>
          <t>Onshore</t>
        </is>
      </c>
      <c r="I35" s="694">
        <f>Sheet2!$AA$18</f>
        <v>146885.5</v>
      </c>
      <c r="J35" s="669">
        <f>IF($H35="Offshore",$I35*'0.3 Squad Archetypes'!$K$5,$I35)/1000000</f>
        <v>0.1468855</v>
      </c>
      <c r="K35" s="665" t="n"/>
      <c r="L35" s="665" t="n"/>
    </row>
    <row r="36">
      <c r="B36" s="686" t="str">
        <f>Sheet2!$B$19</f>
        <v>Joe Nahma</v>
      </c>
      <c r="C36" s="692" t="str">
        <f>SUBSTITUTE(SUBSTITUTE(Sheet2!$C$19,"–","-"),"—","-")</f>
        <v>Manager Identity &amp; Access Management</v>
      </c>
      <c r="D36" s="686" t="str">
        <f>Sheet2!$G$19</f>
        <v>Cyber Strat &amp; Tech</v>
      </c>
      <c r="E36" s="686" t="str">
        <f>Sheet2!$M$19</f>
        <v>Australia</v>
      </c>
      <c r="F36" s="673" t="str">
        <f>IF(LOWER(Sheet2!$Q$19)="v","Vacant",IF(LOWER(Sheet2!$Q$19)="pause","Paused",IF(LOWER(Sheet2!$Q$19)="cxc","Contractor","Filled")))</f>
        <v>Filled</v>
      </c>
      <c r="G36" s="686" t="str">
        <f>IF(Sheet2!$G$19="Service Op &amp; Assurance","Service Operations","Cyber &amp; Risk")</f>
        <v>Cyber &amp; Risk</v>
      </c>
      <c r="H36" s="693" t="inlineStr">
        <is>
          <t>Onshore</t>
        </is>
      </c>
      <c r="I36" s="694">
        <f>Sheet2!$AA$19</f>
        <v>258709.65</v>
      </c>
      <c r="J36" s="669">
        <f>IF($H36="Offshore",$I36*'0.3 Squad Archetypes'!$K$5,$I36)/1000000</f>
        <v>0.25870965</v>
      </c>
      <c r="K36" s="665" t="n"/>
      <c r="L36" s="665" t="n"/>
    </row>
    <row r="37">
      <c r="B37" s="686" t="str">
        <f>Sheet2!$B$20</f>
        <v>Kaaviya Salai Manimudian</v>
      </c>
      <c r="C37" s="692" t="str">
        <f>SUBSTITUTE(SUBSTITUTE(Sheet2!$C$20,"–","-"),"—","-")</f>
        <v>Graduate</v>
      </c>
      <c r="D37" s="686" t="str">
        <f>Sheet2!$G$20</f>
        <v>Service Op &amp; Assurance</v>
      </c>
      <c r="E37" s="686" t="str">
        <f>Sheet2!$M$20</f>
        <v>Australia</v>
      </c>
      <c r="F37" s="673" t="str">
        <f>IF(LOWER(Sheet2!$Q$20)="v","Vacant",IF(LOWER(Sheet2!$Q$20)="pause","Paused",IF(LOWER(Sheet2!$Q$20)="cxc","Contractor","Filled")))</f>
        <v>Filled</v>
      </c>
      <c r="G37" s="686" t="str">
        <f>IF(Sheet2!$G$20="Service Op &amp; Assurance","Service Operations","Cyber &amp; Risk")</f>
        <v>Service Operations</v>
      </c>
      <c r="H37" s="693" t="inlineStr">
        <is>
          <t>Onshore</t>
        </is>
      </c>
      <c r="I37" s="694">
        <f>Sheet2!$AA$20</f>
        <v>110075.0</v>
      </c>
      <c r="J37" s="669">
        <f>IF($H37="Offshore",$I37*'0.3 Squad Archetypes'!$K$5,$I37)/1000000</f>
        <v>0.110075</v>
      </c>
      <c r="K37" s="665" t="n"/>
      <c r="L37" s="665" t="n"/>
    </row>
    <row r="38">
      <c r="B38" s="686" t="str">
        <f>Sheet2!$B$21</f>
        <v>Kevin Sheerin</v>
      </c>
      <c r="C38" s="692" t="str">
        <f>SUBSTITUTE(SUBSTITUTE(Sheet2!$C$21,"–","-"),"—","-")</f>
        <v>Cyber Architecture Lead</v>
      </c>
      <c r="D38" s="686" t="str">
        <f>Sheet2!$G$21</f>
        <v>Cyber Strat &amp; Tech</v>
      </c>
      <c r="E38" s="686" t="str">
        <f>Sheet2!$M$21</f>
        <v>Australia</v>
      </c>
      <c r="F38" s="673" t="str">
        <f>IF(LOWER(Sheet2!$Q$21)="v","Vacant",IF(LOWER(Sheet2!$Q$21)="pause","Paused",IF(LOWER(Sheet2!$Q$21)="cxc","Contractor","Filled")))</f>
        <v>Filled</v>
      </c>
      <c r="G38" s="686" t="str">
        <f>IF(Sheet2!$G$21="Service Op &amp; Assurance","Service Operations","Cyber &amp; Risk")</f>
        <v>Cyber &amp; Risk</v>
      </c>
      <c r="H38" s="693" t="inlineStr">
        <is>
          <t>Onshore</t>
        </is>
      </c>
      <c r="I38" s="694">
        <f>Sheet2!$AA$21</f>
        <v>284982.45</v>
      </c>
      <c r="J38" s="669">
        <f>IF($H38="Offshore",$I38*'0.3 Squad Archetypes'!$K$5,$I38)/1000000</f>
        <v>0.28498245</v>
      </c>
      <c r="K38" s="665" t="n"/>
      <c r="L38" s="665" t="n"/>
    </row>
    <row r="39">
      <c r="B39" s="686" t="str">
        <f>Sheet2!$B$22</f>
        <v>Lisa Ng</v>
      </c>
      <c r="C39" s="692" t="str">
        <f>SUBSTITUTE(SUBSTITUTE(Sheet2!$C$22,"–","-"),"—","-")</f>
        <v>Cyber Security Analyst</v>
      </c>
      <c r="D39" s="686" t="str">
        <f>Sheet2!$G$22</f>
        <v>Cyber Sec Ops</v>
      </c>
      <c r="E39" s="686" t="str">
        <f>Sheet2!$M$22</f>
        <v>NZ</v>
      </c>
      <c r="F39" s="673" t="str">
        <f>IF(LOWER(Sheet2!$Q$22)="v","Vacant",IF(LOWER(Sheet2!$Q$22)="pause","Paused",IF(LOWER(Sheet2!$Q$22)="cxc","Contractor","Filled")))</f>
        <v>Filled</v>
      </c>
      <c r="G39" s="686" t="str">
        <f>IF(Sheet2!$G$22="Service Op &amp; Assurance","Service Operations","Cyber &amp; Risk")</f>
        <v>Cyber &amp; Risk</v>
      </c>
      <c r="H39" s="693" t="inlineStr">
        <is>
          <t>Onshore</t>
        </is>
      </c>
      <c r="I39" s="694">
        <f>Sheet2!$AA$22</f>
        <v>147800.064</v>
      </c>
      <c r="J39" s="669">
        <f>IF($H39="Offshore",$I39*'0.3 Squad Archetypes'!$K$5,$I39)/1000000</f>
        <v>0.147800064</v>
      </c>
      <c r="K39" s="665" t="n"/>
      <c r="L39" s="665" t="n"/>
    </row>
    <row r="40">
      <c r="B40" s="686" t="str">
        <f>Sheet2!$B$23</f>
        <v>Lynda Niewidok</v>
      </c>
      <c r="C40" s="692" t="str">
        <f>SUBSTITUTE(SUBSTITUTE(Sheet2!$C$23,"–","-"),"—","-")</f>
        <v>Lead - Service Desk</v>
      </c>
      <c r="D40" s="686" t="str">
        <f>Sheet2!$G$23</f>
        <v>Service Op &amp; Assurance</v>
      </c>
      <c r="E40" s="686" t="str">
        <f>Sheet2!$M$23</f>
        <v>Australia</v>
      </c>
      <c r="F40" s="673" t="str">
        <f>IF(LOWER(Sheet2!$Q$23)="v","Vacant",IF(LOWER(Sheet2!$Q$23)="pause","Paused",IF(LOWER(Sheet2!$Q$23)="cxc","Contractor","Filled")))</f>
        <v>Filled</v>
      </c>
      <c r="G40" s="686" t="str">
        <f>IF(Sheet2!$G$23="Service Op &amp; Assurance","Service Operations","Cyber &amp; Risk")</f>
        <v>Service Operations</v>
      </c>
      <c r="H40" s="693" t="inlineStr">
        <is>
          <t>Onshore</t>
        </is>
      </c>
      <c r="I40" s="694">
        <f>Sheet2!$AA$23</f>
        <v>203988.0</v>
      </c>
      <c r="J40" s="669">
        <f>IF($H40="Offshore",$I40*'0.3 Squad Archetypes'!$K$5,$I40)/1000000</f>
        <v>0.203988</v>
      </c>
      <c r="K40" s="665" t="n"/>
      <c r="L40" s="665" t="n"/>
    </row>
    <row r="41">
      <c r="B41" s="686" t="str">
        <f>Sheet2!$B$24</f>
        <v>Mark Pearson</v>
      </c>
      <c r="C41" s="692" t="str">
        <f>SUBSTITUTE(SUBSTITUTE(Sheet2!$C$24,"–","-"),"—","-")</f>
        <v>Lead - Technology Support</v>
      </c>
      <c r="D41" s="686" t="str">
        <f>Sheet2!$G$24</f>
        <v>Service Op &amp; Assurance</v>
      </c>
      <c r="E41" s="686" t="str">
        <f>Sheet2!$M$24</f>
        <v>Australia</v>
      </c>
      <c r="F41" s="673" t="str">
        <f>IF(LOWER(Sheet2!$Q$24)="v","Vacant",IF(LOWER(Sheet2!$Q$24)="pause","Paused",IF(LOWER(Sheet2!$Q$24)="cxc","Contractor","Filled")))</f>
        <v>Filled</v>
      </c>
      <c r="G41" s="686" t="str">
        <f>IF(Sheet2!$G$24="Service Op &amp; Assurance","Service Operations","Cyber &amp; Risk")</f>
        <v>Service Operations</v>
      </c>
      <c r="H41" s="693" t="inlineStr">
        <is>
          <t>Onshore</t>
        </is>
      </c>
      <c r="I41" s="694">
        <f>Sheet2!$AA$24</f>
        <v>203841.15</v>
      </c>
      <c r="J41" s="669">
        <f>IF($H41="Offshore",$I41*'0.3 Squad Archetypes'!$K$5,$I41)/1000000</f>
        <v>0.20384115</v>
      </c>
      <c r="K41" s="665" t="n"/>
      <c r="L41" s="665" t="n"/>
    </row>
    <row r="42">
      <c r="B42" s="686" t="str">
        <f>Sheet2!$B$25</f>
        <v>Mary-Grace Rivera</v>
      </c>
      <c r="C42" s="692" t="str">
        <f>SUBSTITUTE(SUBSTITUTE(Sheet2!$C$25,"–","-"),"—","-")</f>
        <v>Lead, Service Management</v>
      </c>
      <c r="D42" s="686" t="str">
        <f>Sheet2!$G$25</f>
        <v>Service Op &amp; Assurance</v>
      </c>
      <c r="E42" s="686" t="str">
        <f>Sheet2!$M$25</f>
        <v>Australia</v>
      </c>
      <c r="F42" s="673" t="str">
        <f>IF(LOWER(Sheet2!$Q$25)="v","Vacant",IF(LOWER(Sheet2!$Q$25)="pause","Paused",IF(LOWER(Sheet2!$Q$25)="cxc","Contractor","Filled")))</f>
        <v>Filled</v>
      </c>
      <c r="G42" s="686" t="str">
        <f>IF(Sheet2!$G$25="Service Op &amp; Assurance","Service Operations","Cyber &amp; Risk")</f>
        <v>Service Operations</v>
      </c>
      <c r="H42" s="693" t="inlineStr">
        <is>
          <t>Onshore</t>
        </is>
      </c>
      <c r="I42" s="694">
        <f>Sheet2!$AA$25</f>
        <v>180970.3</v>
      </c>
      <c r="J42" s="669">
        <f>IF($H42="Offshore",$I42*'0.3 Squad Archetypes'!$K$5,$I42)/1000000</f>
        <v>0.1809703</v>
      </c>
      <c r="K42" s="665" t="n"/>
      <c r="L42" s="665" t="n"/>
    </row>
    <row r="43">
      <c r="B43" s="686" t="str">
        <f>Sheet2!$B$26</f>
        <v>Mick Collins</v>
      </c>
      <c r="C43" s="692" t="str">
        <f>SUBSTITUTE(SUBSTITUTE(Sheet2!$C$26,"–","-"),"—","-")</f>
        <v>Manager, Service Performance &amp; Assurance</v>
      </c>
      <c r="D43" s="686" t="str">
        <f>Sheet2!$G$26</f>
        <v>Service Op &amp; Assurance</v>
      </c>
      <c r="E43" s="686" t="str">
        <f>Sheet2!$M$26</f>
        <v>Australia</v>
      </c>
      <c r="F43" s="673" t="str">
        <f>IF(LOWER(Sheet2!$Q$26)="v","Vacant",IF(LOWER(Sheet2!$Q$26)="pause","Paused",IF(LOWER(Sheet2!$Q$26)="cxc","Contractor","Filled")))</f>
        <v>Filled</v>
      </c>
      <c r="G43" s="686" t="str">
        <f>IF(Sheet2!$G$26="Service Op &amp; Assurance","Service Operations","Cyber &amp; Risk")</f>
        <v>Service Operations</v>
      </c>
      <c r="H43" s="693" t="inlineStr">
        <is>
          <t>Onshore</t>
        </is>
      </c>
      <c r="I43" s="694">
        <f>Sheet2!$AA$26</f>
        <v>272070.45</v>
      </c>
      <c r="J43" s="669">
        <f>IF($H43="Offshore",$I43*'0.3 Squad Archetypes'!$K$5,$I43)/1000000</f>
        <v>0.27207045</v>
      </c>
      <c r="K43" s="665" t="n"/>
      <c r="L43" s="665" t="n"/>
    </row>
    <row r="44">
      <c r="B44" s="686" t="str">
        <f>Sheet2!$B$27</f>
        <v>Nischal Bhusal</v>
      </c>
      <c r="C44" s="692" t="str">
        <f>SUBSTITUTE(SUBSTITUTE(Sheet2!$C$27,"–","-"),"—","-")</f>
        <v>Cyber Security Analyst</v>
      </c>
      <c r="D44" s="686" t="str">
        <f>Sheet2!$G$27</f>
        <v>Cyber Sec Ops</v>
      </c>
      <c r="E44" s="686" t="str">
        <f>Sheet2!$M$27</f>
        <v>Australia</v>
      </c>
      <c r="F44" s="673" t="str">
        <f>IF(LOWER(Sheet2!$Q$27)="v","Vacant",IF(LOWER(Sheet2!$Q$27)="pause","Paused",IF(LOWER(Sheet2!$Q$27)="cxc","Contractor","Filled")))</f>
        <v>Filled</v>
      </c>
      <c r="G44" s="686" t="str">
        <f>IF(Sheet2!$G$27="Service Op &amp; Assurance","Service Operations","Cyber &amp; Risk")</f>
        <v>Cyber &amp; Risk</v>
      </c>
      <c r="H44" s="693" t="inlineStr">
        <is>
          <t>Onshore</t>
        </is>
      </c>
      <c r="I44" s="694">
        <f>Sheet2!$AA$27</f>
        <v>215629.19999999998</v>
      </c>
      <c r="J44" s="669">
        <f>IF($H44="Offshore",$I44*'0.3 Squad Archetypes'!$K$5,$I44)/1000000</f>
        <v>0.2156292</v>
      </c>
      <c r="K44" s="665" t="n"/>
      <c r="L44" s="665" t="n"/>
    </row>
    <row r="45">
      <c r="B45" s="686" t="str">
        <f>Sheet2!$B$28</f>
        <v>Pooja Kuperkar</v>
      </c>
      <c r="C45" s="692" t="str">
        <f>SUBSTITUTE(SUBSTITUTE(Sheet2!$C$28,"–","-"),"—","-")</f>
        <v>Cyber GRC Analyst</v>
      </c>
      <c r="D45" s="686" t="str">
        <f>Sheet2!$G$28</f>
        <v>Cyber GRC</v>
      </c>
      <c r="E45" s="686" t="str">
        <f>Sheet2!$M$28</f>
        <v>Australia</v>
      </c>
      <c r="F45" s="673" t="str">
        <f>IF(LOWER(Sheet2!$Q$28)="v","Vacant",IF(LOWER(Sheet2!$Q$28)="pause","Paused",IF(LOWER(Sheet2!$Q$28)="cxc","Contractor","Filled")))</f>
        <v>Filled</v>
      </c>
      <c r="G45" s="686" t="str">
        <f>IF(Sheet2!$G$28="Service Op &amp; Assurance","Service Operations","Cyber &amp; Risk")</f>
        <v>Cyber &amp; Risk</v>
      </c>
      <c r="H45" s="693" t="inlineStr">
        <is>
          <t>Onshore</t>
        </is>
      </c>
      <c r="I45" s="694">
        <f>Sheet2!$AA$28</f>
        <v>203440.65</v>
      </c>
      <c r="J45" s="669">
        <f>IF($H45="Offshore",$I45*'0.3 Squad Archetypes'!$K$5,$I45)/1000000</f>
        <v>0.20344065</v>
      </c>
      <c r="K45" s="665" t="n"/>
      <c r="L45" s="665" t="n"/>
    </row>
    <row r="46">
      <c r="B46" s="686" t="str">
        <f>Sheet2!$B$29</f>
        <v>Prashanth Chandran</v>
      </c>
      <c r="C46" s="692" t="str">
        <f>SUBSTITUTE(SUBSTITUTE(Sheet2!$C$29,"–","-"),"—","-")</f>
        <v>Senior Cyber GRC Specialist</v>
      </c>
      <c r="D46" s="686" t="str">
        <f>Sheet2!$G$29</f>
        <v>Cyber GRC</v>
      </c>
      <c r="E46" s="686" t="str">
        <f>Sheet2!$M$29</f>
        <v>Australia</v>
      </c>
      <c r="F46" s="673" t="str">
        <f>IF(LOWER(Sheet2!$Q$29)="v","Vacant",IF(LOWER(Sheet2!$Q$29)="pause","Paused",IF(LOWER(Sheet2!$Q$29)="cxc","Contractor","Filled")))</f>
        <v>Filled</v>
      </c>
      <c r="G46" s="686" t="str">
        <f>IF(Sheet2!$G$29="Service Op &amp; Assurance","Service Operations","Cyber &amp; Risk")</f>
        <v>Cyber &amp; Risk</v>
      </c>
      <c r="H46" s="693" t="inlineStr">
        <is>
          <t>Onshore</t>
        </is>
      </c>
      <c r="I46" s="694">
        <f>Sheet2!$AA$29</f>
        <v>220275.0</v>
      </c>
      <c r="J46" s="669">
        <f>IF($H46="Offshore",$I46*'0.3 Squad Archetypes'!$K$5,$I46)/1000000</f>
        <v>0.220275</v>
      </c>
      <c r="K46" s="665" t="n"/>
      <c r="L46" s="665" t="n"/>
    </row>
    <row r="47">
      <c r="B47" s="686" t="str">
        <f>Sheet2!$B$30</f>
        <v>Rahul Sahni</v>
      </c>
      <c r="C47" s="692" t="str">
        <f>SUBSTITUTE(SUBSTITUTE(Sheet2!$C$30,"–","-"),"—","-")</f>
        <v>Cyber Security Architect</v>
      </c>
      <c r="D47" s="686" t="str">
        <f>Sheet2!$G$30</f>
        <v>Cyber Strat &amp; Tech</v>
      </c>
      <c r="E47" s="686" t="str">
        <f>Sheet2!$M$30</f>
        <v>Australia</v>
      </c>
      <c r="F47" s="673" t="str">
        <f>IF(LOWER(Sheet2!$Q$30)="v","Vacant",IF(LOWER(Sheet2!$Q$30)="pause","Paused",IF(LOWER(Sheet2!$Q$30)="cxc","Contractor","Filled")))</f>
        <v>Filled</v>
      </c>
      <c r="G47" s="686" t="str">
        <f>IF(Sheet2!$G$30="Service Op &amp; Assurance","Service Operations","Cyber &amp; Risk")</f>
        <v>Cyber &amp; Risk</v>
      </c>
      <c r="H47" s="693" t="inlineStr">
        <is>
          <t>Onshore</t>
        </is>
      </c>
      <c r="I47" s="694">
        <f>Sheet2!$AA$30</f>
        <v>226282.5</v>
      </c>
      <c r="J47" s="669">
        <f>IF($H47="Offshore",$I47*'0.3 Squad Archetypes'!$K$5,$I47)/1000000</f>
        <v>0.2262825</v>
      </c>
      <c r="K47" s="665" t="n"/>
      <c r="L47" s="665" t="n"/>
    </row>
    <row r="48">
      <c r="B48" s="686" t="str">
        <f>Sheet2!$B$31</f>
        <v>Rajini Onteddu Reddy</v>
      </c>
      <c r="C48" s="692" t="str">
        <f>SUBSTITUTE(SUBSTITUTE(Sheet2!$C$31,"–","-"),"—","-")</f>
        <v>Head of Service Operations &amp; Assurance</v>
      </c>
      <c r="D48" s="686" t="str">
        <f>Sheet2!$G$31</f>
        <v>Service Op &amp; Assurance</v>
      </c>
      <c r="E48" s="686" t="str">
        <f>Sheet2!$M$31</f>
        <v>Australia</v>
      </c>
      <c r="F48" s="673" t="str">
        <f>IF(LOWER(Sheet2!$Q$31)="v","Vacant",IF(LOWER(Sheet2!$Q$31)="pause","Paused",IF(LOWER(Sheet2!$Q$31)="cxc","Contractor","Filled")))</f>
        <v>Filled</v>
      </c>
      <c r="G48" s="686" t="str">
        <f>IF(Sheet2!$G$31="Service Op &amp; Assurance","Service Operations","Cyber &amp; Risk")</f>
        <v>Service Operations</v>
      </c>
      <c r="H48" s="693" t="inlineStr">
        <is>
          <t>Onshore</t>
        </is>
      </c>
      <c r="I48" s="694">
        <f>Sheet2!$AA$31</f>
        <v>400671.4</v>
      </c>
      <c r="J48" s="669">
        <f>IF($H48="Offshore",$I48*'0.3 Squad Archetypes'!$K$5,$I48)/1000000</f>
        <v>0.4006714</v>
      </c>
      <c r="K48" s="665" t="n"/>
      <c r="L48" s="665" t="n"/>
    </row>
    <row r="49">
      <c r="B49" s="686" t="str">
        <f>Sheet2!$B$32</f>
        <v>Raymond Cheung</v>
      </c>
      <c r="C49" s="692" t="str">
        <f>SUBSTITUTE(SUBSTITUTE(Sheet2!$C$32,"–","-"),"—","-")</f>
        <v>Engineer - IDAM</v>
      </c>
      <c r="D49" s="686" t="str">
        <f>Sheet2!$G$32</f>
        <v>Cyber Strat &amp; Tech</v>
      </c>
      <c r="E49" s="686" t="str">
        <f>Sheet2!$M$32</f>
        <v>Australia</v>
      </c>
      <c r="F49" s="673" t="str">
        <f>IF(LOWER(Sheet2!$Q$32)="v","Vacant",IF(LOWER(Sheet2!$Q$32)="pause","Paused",IF(LOWER(Sheet2!$Q$32)="cxc","Contractor","Filled")))</f>
        <v>Filled</v>
      </c>
      <c r="G49" s="686" t="str">
        <f>IF(Sheet2!$G$32="Service Op &amp; Assurance","Service Operations","Cyber &amp; Risk")</f>
        <v>Cyber &amp; Risk</v>
      </c>
      <c r="H49" s="693" t="inlineStr">
        <is>
          <t>Onshore</t>
        </is>
      </c>
      <c r="I49" s="694">
        <f>Sheet2!$AA$32</f>
        <v>190675.0</v>
      </c>
      <c r="J49" s="669">
        <f>IF($H49="Offshore",$I49*'0.3 Squad Archetypes'!$K$5,$I49)/1000000</f>
        <v>0.190675</v>
      </c>
      <c r="K49" s="665" t="n"/>
      <c r="L49" s="665" t="n"/>
    </row>
    <row r="50">
      <c r="B50" s="686" t="str">
        <f>Sheet2!$B$33</f>
        <v>Remya Pookat</v>
      </c>
      <c r="C50" s="692" t="str">
        <f>SUBSTITUTE(SUBSTITUTE(Sheet2!$C$33,"–","-"),"—","-")</f>
        <v>Lead - Change &amp; Release Management</v>
      </c>
      <c r="D50" s="686" t="str">
        <f>Sheet2!$G$33</f>
        <v>Service Op &amp; Assurance</v>
      </c>
      <c r="E50" s="686" t="str">
        <f>Sheet2!$M$33</f>
        <v>Australia</v>
      </c>
      <c r="F50" s="673" t="str">
        <f>IF(LOWER(Sheet2!$Q$33)="v","Vacant",IF(LOWER(Sheet2!$Q$33)="pause","Paused",IF(LOWER(Sheet2!$Q$33)="cxc","Contractor","Filled")))</f>
        <v>Filled</v>
      </c>
      <c r="G50" s="686" t="str">
        <f>IF(Sheet2!$G$33="Service Op &amp; Assurance","Service Operations","Cyber &amp; Risk")</f>
        <v>Service Operations</v>
      </c>
      <c r="H50" s="693" t="inlineStr">
        <is>
          <t>Onshore</t>
        </is>
      </c>
      <c r="I50" s="694">
        <f>Sheet2!$AA$33</f>
        <v>220875.75</v>
      </c>
      <c r="J50" s="669">
        <f>IF($H50="Offshore",$I50*'0.3 Squad Archetypes'!$K$5,$I50)/1000000</f>
        <v>0.22087575</v>
      </c>
      <c r="K50" s="665" t="n"/>
      <c r="L50" s="665" t="n"/>
    </row>
    <row r="51">
      <c r="B51" s="686" t="str">
        <f>Sheet2!$B$34</f>
        <v>Ritika Salaria</v>
      </c>
      <c r="C51" s="692" t="str">
        <f>SUBSTITUTE(SUBSTITUTE(Sheet2!$C$34,"–","-"),"—","-")</f>
        <v>Configuration Analyst</v>
      </c>
      <c r="D51" s="686" t="str">
        <f>Sheet2!$G$34</f>
        <v>Service Op &amp; Assurance</v>
      </c>
      <c r="E51" s="686" t="str">
        <f>Sheet2!$M$34</f>
        <v>Australia</v>
      </c>
      <c r="F51" s="673" t="str">
        <f>IF(LOWER(Sheet2!$Q$34)="v","Vacant",IF(LOWER(Sheet2!$Q$34)="pause","Paused",IF(LOWER(Sheet2!$Q$34)="cxc","Contractor","Filled")))</f>
        <v>Filled</v>
      </c>
      <c r="G51" s="686" t="str">
        <f>IF(Sheet2!$G$34="Service Op &amp; Assurance","Service Operations","Cyber &amp; Risk")</f>
        <v>Service Operations</v>
      </c>
      <c r="H51" s="693" t="inlineStr">
        <is>
          <t>Onshore</t>
        </is>
      </c>
      <c r="I51" s="694">
        <f>Sheet2!$AA$34</f>
        <v>173106.6</v>
      </c>
      <c r="J51" s="669">
        <f>IF($H51="Offshore",$I51*'0.3 Squad Archetypes'!$K$5,$I51)/1000000</f>
        <v>0.1731066</v>
      </c>
      <c r="K51" s="665" t="n"/>
      <c r="L51" s="665" t="n"/>
    </row>
    <row r="52">
      <c r="B52" s="686" t="str">
        <f>Sheet2!$B$35</f>
        <v>Sameer Pattanaik</v>
      </c>
      <c r="C52" s="692" t="str">
        <f>SUBSTITUTE(SUBSTITUTE(Sheet2!$C$35,"–","-"),"—","-")</f>
        <v>Cyber Security Operations Lead</v>
      </c>
      <c r="D52" s="686" t="str">
        <f>Sheet2!$G$35</f>
        <v>Cyber Sec Ops</v>
      </c>
      <c r="E52" s="686" t="str">
        <f>Sheet2!$M$35</f>
        <v>NZ</v>
      </c>
      <c r="F52" s="673" t="str">
        <f>IF(LOWER(Sheet2!$Q$35)="v","Vacant",IF(LOWER(Sheet2!$Q$35)="pause","Paused",IF(LOWER(Sheet2!$Q$35)="cxc","Contractor","Filled")))</f>
        <v>Filled</v>
      </c>
      <c r="G52" s="686" t="str">
        <f>IF(Sheet2!$G$35="Service Op &amp; Assurance","Service Operations","Cyber &amp; Risk")</f>
        <v>Cyber &amp; Risk</v>
      </c>
      <c r="H52" s="693" t="inlineStr">
        <is>
          <t>Onshore</t>
        </is>
      </c>
      <c r="I52" s="694">
        <f>Sheet2!$AA$35</f>
        <v>212878.38</v>
      </c>
      <c r="J52" s="669">
        <f>IF($H52="Offshore",$I52*'0.3 Squad Archetypes'!$K$5,$I52)/1000000</f>
        <v>0.21287838</v>
      </c>
      <c r="K52" s="665" t="n"/>
      <c r="L52" s="665" t="n"/>
    </row>
    <row r="53">
      <c r="B53" s="686" t="str">
        <f>Sheet2!$B$36</f>
        <v>Shomiya Shayal</v>
      </c>
      <c r="C53" s="692" t="str">
        <f>SUBSTITUTE(SUBSTITUTE(Sheet2!$C$36,"–","-"),"—","-")</f>
        <v>Risk &amp; Resilience Lead</v>
      </c>
      <c r="D53" s="686" t="str">
        <f>Sheet2!$G$36</f>
        <v>Cyber Risk</v>
      </c>
      <c r="E53" s="686" t="str">
        <f>Sheet2!$M$36</f>
        <v>NZ</v>
      </c>
      <c r="F53" s="673" t="str">
        <f>IF(LOWER(Sheet2!$Q$36)="v","Vacant",IF(LOWER(Sheet2!$Q$36)="pause","Paused",IF(LOWER(Sheet2!$Q$36)="cxc","Contractor","Filled")))</f>
        <v>Filled</v>
      </c>
      <c r="G53" s="686" t="str">
        <f>IF(Sheet2!$G$36="Service Op &amp; Assurance","Service Operations","Cyber &amp; Risk")</f>
        <v>Cyber &amp; Risk</v>
      </c>
      <c r="H53" s="693" t="inlineStr">
        <is>
          <t>Onshore</t>
        </is>
      </c>
      <c r="I53" s="694">
        <f>Sheet2!$AA$36</f>
        <v>188515.03199999998</v>
      </c>
      <c r="J53" s="669">
        <f>IF($H53="Offshore",$I53*'0.3 Squad Archetypes'!$K$5,$I53)/1000000</f>
        <v>0.18851503199999997</v>
      </c>
      <c r="K53" s="665" t="n"/>
      <c r="L53" s="665" t="n"/>
    </row>
    <row r="54">
      <c r="B54" s="686" t="str">
        <f>Sheet2!$B$37</f>
        <v>Shruti Manchanda</v>
      </c>
      <c r="C54" s="692" t="str">
        <f>SUBSTITUTE(SUBSTITUTE(Sheet2!$C$37,"–","-"),"—","-")</f>
        <v>Cyber GRC Analyst</v>
      </c>
      <c r="D54" s="686" t="str">
        <f>Sheet2!$G$37</f>
        <v>Cyber GRC</v>
      </c>
      <c r="E54" s="686" t="str">
        <f>Sheet2!$M$37</f>
        <v>Australia</v>
      </c>
      <c r="F54" s="673" t="str">
        <f>IF(LOWER(Sheet2!$Q$37)="v","Vacant",IF(LOWER(Sheet2!$Q$37)="pause","Paused",IF(LOWER(Sheet2!$Q$37)="cxc","Contractor","Filled")))</f>
        <v>Filled</v>
      </c>
      <c r="G54" s="686" t="str">
        <f>IF(Sheet2!$G$37="Service Op &amp; Assurance","Service Operations","Cyber &amp; Risk")</f>
        <v>Cyber &amp; Risk</v>
      </c>
      <c r="H54" s="693" t="inlineStr">
        <is>
          <t>Onshore</t>
        </is>
      </c>
      <c r="I54" s="694">
        <f>Sheet2!$AA$37</f>
        <v>228885.75</v>
      </c>
      <c r="J54" s="669">
        <f>IF($H54="Offshore",$I54*'0.3 Squad Archetypes'!$K$5,$I54)/1000000</f>
        <v>0.22888575</v>
      </c>
      <c r="K54" s="665" t="n"/>
      <c r="L54" s="665" t="n"/>
    </row>
    <row r="55">
      <c r="B55" s="686" t="str">
        <f>Sheet2!$B$38</f>
        <v>Spoilagi Bhutwala</v>
      </c>
      <c r="C55" s="692" t="str">
        <f>SUBSTITUTE(SUBSTITUTE(Sheet2!$C$38,"–","-"),"—","-")</f>
        <v>Tech Support Technician</v>
      </c>
      <c r="D55" s="686" t="str">
        <f>Sheet2!$G$38</f>
        <v>Service Op &amp; Assurance</v>
      </c>
      <c r="E55" s="686" t="str">
        <f>Sheet2!$M$38</f>
        <v>NZ</v>
      </c>
      <c r="F55" s="673" t="str">
        <f>IF(LOWER(Sheet2!$Q$38)="v","Vacant",IF(LOWER(Sheet2!$Q$38)="pause","Paused",IF(LOWER(Sheet2!$Q$38)="cxc","Contractor","Filled")))</f>
        <v>Filled</v>
      </c>
      <c r="G55" s="686" t="str">
        <f>IF(Sheet2!$G$38="Service Op &amp; Assurance","Service Operations","Cyber &amp; Risk")</f>
        <v>Service Operations</v>
      </c>
      <c r="H55" s="693" t="inlineStr">
        <is>
          <t>Onshore</t>
        </is>
      </c>
      <c r="I55" s="694">
        <f>Sheet2!$AA$38</f>
        <v>97237.78400000001</v>
      </c>
      <c r="J55" s="669">
        <f>IF($H55="Offshore",$I55*'0.3 Squad Archetypes'!$K$5,$I55)/1000000</f>
        <v>0.09723778400000001</v>
      </c>
      <c r="K55" s="665" t="n"/>
      <c r="L55" s="665" t="n"/>
    </row>
    <row r="56">
      <c r="B56" s="686" t="str">
        <f>Sheet2!$B$39</f>
        <v>Stafford Dowling</v>
      </c>
      <c r="C56" s="692" t="str">
        <f>SUBSTITUTE(SUBSTITUTE(Sheet2!$C$39,"–","-"),"—","-")</f>
        <v>Cyber Security Analyst</v>
      </c>
      <c r="D56" s="686" t="str">
        <f>Sheet2!$G$39</f>
        <v>Cyber Sec Ops</v>
      </c>
      <c r="E56" s="686" t="str">
        <f>Sheet2!$M$39</f>
        <v>Australia</v>
      </c>
      <c r="F56" s="673" t="str">
        <f>IF(LOWER(Sheet2!$Q$39)="v","Vacant",IF(LOWER(Sheet2!$Q$39)="pause","Paused",IF(LOWER(Sheet2!$Q$39)="cxc","Contractor","Filled")))</f>
        <v>Filled</v>
      </c>
      <c r="G56" s="686" t="str">
        <f>IF(Sheet2!$G$39="Service Op &amp; Assurance","Service Operations","Cyber &amp; Risk")</f>
        <v>Cyber &amp; Risk</v>
      </c>
      <c r="H56" s="693" t="inlineStr">
        <is>
          <t>Onshore</t>
        </is>
      </c>
      <c r="I56" s="694">
        <f>Sheet2!$AA$39</f>
        <v>218713.05</v>
      </c>
      <c r="J56" s="669">
        <f>IF($H56="Offshore",$I56*'0.3 Squad Archetypes'!$K$5,$I56)/1000000</f>
        <v>0.21871305</v>
      </c>
      <c r="K56" s="665" t="n"/>
      <c r="L56" s="665" t="n"/>
    </row>
    <row r="57">
      <c r="B57" s="686" t="str">
        <f>Sheet2!$B$40</f>
        <v>Steven Atcheson</v>
      </c>
      <c r="C57" s="692" t="str">
        <f>SUBSTITUTE(SUBSTITUTE(Sheet2!$C$40,"–","-"),"—","-")</f>
        <v>Manager Cyber Security Operations</v>
      </c>
      <c r="D57" s="686" t="str">
        <f>Sheet2!$G$40</f>
        <v>Cyber Sec Ops</v>
      </c>
      <c r="E57" s="686" t="str">
        <f>Sheet2!$M$40</f>
        <v>Australia</v>
      </c>
      <c r="F57" s="673" t="str">
        <f>IF(LOWER(Sheet2!$Q$40)="v","Vacant",IF(LOWER(Sheet2!$Q$40)="pause","Paused",IF(LOWER(Sheet2!$Q$40)="cxc","Contractor","Filled")))</f>
        <v>Filled</v>
      </c>
      <c r="G57" s="686" t="str">
        <f>IF(Sheet2!$G$40="Service Op &amp; Assurance","Service Operations","Cyber &amp; Risk")</f>
        <v>Cyber &amp; Risk</v>
      </c>
      <c r="H57" s="693" t="inlineStr">
        <is>
          <t>Onshore</t>
        </is>
      </c>
      <c r="I57" s="694">
        <f>Sheet2!$AA$40</f>
        <v>316568.65</v>
      </c>
      <c r="J57" s="669">
        <f>IF($H57="Offshore",$I57*'0.3 Squad Archetypes'!$K$5,$I57)/1000000</f>
        <v>0.31656865</v>
      </c>
      <c r="K57" s="665" t="n"/>
      <c r="L57" s="665" t="n"/>
    </row>
    <row r="58">
      <c r="B58" s="686" t="str">
        <f>Sheet2!$B$41</f>
        <v>Tony Keeler</v>
      </c>
      <c r="C58" s="692" t="str">
        <f>SUBSTITUTE(SUBSTITUTE(Sheet2!$C$41,"–","-"),"—","-")</f>
        <v>Cyber Business Analyst</v>
      </c>
      <c r="D58" s="686" t="str">
        <f>Sheet2!$G$41</f>
        <v>Cyber Strat &amp; Tech</v>
      </c>
      <c r="E58" s="686" t="str">
        <f>Sheet2!$M$41</f>
        <v>Australia</v>
      </c>
      <c r="F58" s="673" t="str">
        <f>IF(LOWER(Sheet2!$Q$41)="v","Vacant",IF(LOWER(Sheet2!$Q$41)="pause","Paused",IF(LOWER(Sheet2!$Q$41)="cxc","Contractor","Filled")))</f>
        <v>Filled</v>
      </c>
      <c r="G58" s="686" t="str">
        <f>IF(Sheet2!$G$41="Service Op &amp; Assurance","Service Operations","Cyber &amp; Risk")</f>
        <v>Cyber &amp; Risk</v>
      </c>
      <c r="H58" s="693" t="inlineStr">
        <is>
          <t>Onshore</t>
        </is>
      </c>
      <c r="I58" s="694">
        <f>Sheet2!$AA$41</f>
        <v>213600.0</v>
      </c>
      <c r="J58" s="669">
        <f>IF($H58="Offshore",$I58*'0.3 Squad Archetypes'!$K$5,$I58)/1000000</f>
        <v>0.2136</v>
      </c>
      <c r="K58" s="665" t="n"/>
      <c r="L58" s="665" t="n"/>
    </row>
    <row r="59">
      <c r="B59" s="686" t="str">
        <f>Sheet2!$B$42</f>
        <v>Vacant</v>
      </c>
      <c r="C59" s="692" t="str">
        <f>SUBSTITUTE(SUBSTITUTE(Sheet2!$C$42,"–","-"),"—","-")</f>
        <v>Lead - Problem Management</v>
      </c>
      <c r="D59" s="686" t="str">
        <f>Sheet2!$G$42</f>
        <v>Service Op &amp; Assurance</v>
      </c>
      <c r="E59" s="686" t="str">
        <f>Sheet2!$M$42</f>
        <v>Australia</v>
      </c>
      <c r="F59" s="673" t="str">
        <f>IF(LOWER(Sheet2!$Q$42)="v","Vacant",IF(LOWER(Sheet2!$Q$42)="pause","Paused",IF(LOWER(Sheet2!$Q$42)="cxc","Contractor","Filled")))</f>
        <v>Vacant</v>
      </c>
      <c r="G59" s="686" t="str">
        <f>IF(Sheet2!$G$42="Service Op &amp; Assurance","Service Operations","Cyber &amp; Risk")</f>
        <v>Service Operations</v>
      </c>
      <c r="H59" s="693" t="inlineStr">
        <is>
          <t>Onshore</t>
        </is>
      </c>
      <c r="I59" s="694">
        <f>Sheet2!$AA$42</f>
        <v>170489.75</v>
      </c>
      <c r="J59" s="669">
        <f>IF($H59="Offshore",$I59*'0.3 Squad Archetypes'!$K$5,$I59)/1000000</f>
        <v>0.17048975</v>
      </c>
      <c r="K59" s="665" t="n"/>
      <c r="L59" s="665" t="n"/>
    </row>
    <row r="60">
      <c r="B60" s="686" t="str">
        <f>Sheet2!$B$43</f>
        <v>Vacant</v>
      </c>
      <c r="C60" s="692" t="str">
        <f>SUBSTITUTE(SUBSTITUTE(Sheet2!$C$43,"–","-"),"—","-")</f>
        <v>Cyber Architect (backfill for EGI Secondment)</v>
      </c>
      <c r="D60" s="686" t="str">
        <f>Sheet2!$G$43</f>
        <v>Cyber Strat &amp; Tech</v>
      </c>
      <c r="E60" s="686" t="str">
        <f>Sheet2!$M$43</f>
        <v>Australia</v>
      </c>
      <c r="F60" s="673" t="str">
        <f>IF(LOWER(Sheet2!$Q$43)="v","Vacant",IF(LOWER(Sheet2!$Q$43)="pause","Paused",IF(LOWER(Sheet2!$Q$43)="cxc","Contractor","Filled")))</f>
        <v>Vacant</v>
      </c>
      <c r="G60" s="686" t="str">
        <f>IF(Sheet2!$G$43="Service Op &amp; Assurance","Service Operations","Cyber &amp; Risk")</f>
        <v>Cyber &amp; Risk</v>
      </c>
      <c r="H60" s="693" t="inlineStr">
        <is>
          <t>Onshore</t>
        </is>
      </c>
      <c r="I60" s="694">
        <f>Sheet2!$AA$43</f>
        <v>213600.0</v>
      </c>
      <c r="J60" s="669">
        <f>IF($H60="Offshore",$I60*'0.3 Squad Archetypes'!$K$5,$I60)/1000000</f>
        <v>0.2136</v>
      </c>
      <c r="K60" s="665" t="n"/>
      <c r="L60" s="665" t="n"/>
    </row>
    <row r="61">
      <c r="B61" s="686" t="str">
        <f>Sheet2!$B$44</f>
        <v>Vacant</v>
      </c>
      <c r="C61" s="692" t="str">
        <f>SUBSTITUTE(SUBSTITUTE(Sheet2!$C$44,"–","-"),"—","-")</f>
        <v>Lead - Asset &amp; Configuration</v>
      </c>
      <c r="D61" s="686" t="str">
        <f>Sheet2!$G$44</f>
        <v>Service Op &amp; Assurance</v>
      </c>
      <c r="E61" s="686" t="str">
        <f>Sheet2!$M$44</f>
        <v>Australia</v>
      </c>
      <c r="F61" s="673" t="str">
        <f>IF(LOWER(Sheet2!$Q$44)="v","Vacant",IF(LOWER(Sheet2!$Q$44)="pause","Paused",IF(LOWER(Sheet2!$Q$44)="cxc","Contractor","Filled")))</f>
        <v>Vacant</v>
      </c>
      <c r="G61" s="686" t="str">
        <f>IF(Sheet2!$G$44="Service Op &amp; Assurance","Service Operations","Cyber &amp; Risk")</f>
        <v>Service Operations</v>
      </c>
      <c r="H61" s="693" t="inlineStr">
        <is>
          <t>Onshore</t>
        </is>
      </c>
      <c r="I61" s="694">
        <f>Sheet2!$AA$44</f>
        <v>202853.25</v>
      </c>
      <c r="J61" s="669">
        <f>IF($H61="Offshore",$I61*'0.3 Squad Archetypes'!$K$5,$I61)/1000000</f>
        <v>0.20285325</v>
      </c>
      <c r="K61" s="665" t="n"/>
      <c r="L61" s="665" t="n"/>
    </row>
    <row r="62">
      <c r="B62" s="686" t="str">
        <f>Sheet2!$B$45</f>
        <v>Vacant</v>
      </c>
      <c r="C62" s="692" t="str">
        <f>SUBSTITUTE(SUBSTITUTE(Sheet2!$C$45,"–","-"),"—","-")</f>
        <v>Lead - Service Performance &amp; Insights</v>
      </c>
      <c r="D62" s="686" t="str">
        <f>Sheet2!$G$45</f>
        <v>Service Op &amp; Assurance</v>
      </c>
      <c r="E62" s="686" t="str">
        <f>Sheet2!$M$45</f>
        <v>Australia</v>
      </c>
      <c r="F62" s="673" t="str">
        <f>IF(LOWER(Sheet2!$Q$45)="v","Vacant",IF(LOWER(Sheet2!$Q$45)="pause","Paused",IF(LOWER(Sheet2!$Q$45)="cxc","Contractor","Filled")))</f>
        <v>Vacant</v>
      </c>
      <c r="G62" s="686" t="str">
        <f>IF(Sheet2!$G$45="Service Op &amp; Assurance","Service Operations","Cyber &amp; Risk")</f>
        <v>Service Operations</v>
      </c>
      <c r="H62" s="693" t="inlineStr">
        <is>
          <t>Onshore</t>
        </is>
      </c>
      <c r="I62" s="694">
        <f>Sheet2!$AA$45</f>
        <v>202853.25</v>
      </c>
      <c r="J62" s="669">
        <f>IF($H62="Offshore",$I62*'0.3 Squad Archetypes'!$K$5,$I62)/1000000</f>
        <v>0.20285325</v>
      </c>
      <c r="K62" s="665" t="n"/>
      <c r="L62" s="665" t="n"/>
    </row>
    <row r="63">
      <c r="B63" s="686" t="str">
        <f>Sheet2!$B$46</f>
        <v>Vacant</v>
      </c>
      <c r="C63" s="692" t="str">
        <f>SUBSTITUTE(SUBSTITUTE(Sheet2!$C$46,"–","-"),"—","-")</f>
        <v>Operations Analyst</v>
      </c>
      <c r="D63" s="686" t="str">
        <f>Sheet2!$G$46</f>
        <v>Service Op &amp; Assurance</v>
      </c>
      <c r="E63" s="686" t="str">
        <f>Sheet2!$M$46</f>
        <v>Australia</v>
      </c>
      <c r="F63" s="673" t="str">
        <f>IF(LOWER(Sheet2!$Q$46)="v","Vacant",IF(LOWER(Sheet2!$Q$46)="pause","Paused",IF(LOWER(Sheet2!$Q$46)="cxc","Contractor","Filled")))</f>
        <v>Vacant</v>
      </c>
      <c r="G63" s="686" t="str">
        <f>IF(Sheet2!$G$46="Service Op &amp; Assurance","Service Operations","Cyber &amp; Risk")</f>
        <v>Service Operations</v>
      </c>
      <c r="H63" s="693" t="inlineStr">
        <is>
          <t>Onshore</t>
        </is>
      </c>
      <c r="I63" s="694">
        <f>Sheet2!$AA$46</f>
        <v>170489.75</v>
      </c>
      <c r="J63" s="669">
        <f>IF($H63="Offshore",$I63*'0.3 Squad Archetypes'!$K$5,$I63)/1000000</f>
        <v>0.17048975</v>
      </c>
      <c r="K63" s="665" t="n"/>
      <c r="L63" s="665" t="n"/>
    </row>
    <row r="64">
      <c r="B64" s="686" t="str">
        <f>Sheet2!$B$47</f>
        <v>Vacant</v>
      </c>
      <c r="C64" s="692" t="str">
        <f>SUBSTITUTE(SUBSTITUTE(Sheet2!$C$47,"–","-"),"—","-")</f>
        <v>Operations Analyst</v>
      </c>
      <c r="D64" s="686" t="str">
        <f>Sheet2!$G$47</f>
        <v>Service Op &amp; Assurance</v>
      </c>
      <c r="E64" s="686" t="str">
        <f>Sheet2!$M$47</f>
        <v>Australia</v>
      </c>
      <c r="F64" s="673" t="str">
        <f>IF(LOWER(Sheet2!$Q$47)="v","Vacant",IF(LOWER(Sheet2!$Q$47)="pause","Paused",IF(LOWER(Sheet2!$Q$47)="cxc","Contractor","Filled")))</f>
        <v>Vacant</v>
      </c>
      <c r="G64" s="686" t="str">
        <f>IF(Sheet2!$G$47="Service Op &amp; Assurance","Service Operations","Cyber &amp; Risk")</f>
        <v>Service Operations</v>
      </c>
      <c r="H64" s="693" t="inlineStr">
        <is>
          <t>Onshore</t>
        </is>
      </c>
      <c r="I64" s="694">
        <f>Sheet2!$AA$47</f>
        <v>170489.75</v>
      </c>
      <c r="J64" s="669">
        <f>IF($H64="Offshore",$I64*'0.3 Squad Archetypes'!$K$5,$I64)/1000000</f>
        <v>0.17048975</v>
      </c>
      <c r="K64" s="665" t="n"/>
      <c r="L64" s="665" t="n"/>
    </row>
    <row r="65">
      <c r="B65" s="686" t="str">
        <f>Sheet2!$B$48</f>
        <v>Vacant </v>
      </c>
      <c r="C65" s="692" t="str">
        <f>SUBSTITUTE(SUBSTITUTE(Sheet2!$C$48,"–","-"),"—","-")</f>
        <v>Data Risk Analyst</v>
      </c>
      <c r="D65" s="686" t="str">
        <f>Sheet2!$G$48</f>
        <v>Cyber Risk</v>
      </c>
      <c r="E65" s="686" t="str">
        <f>Sheet2!$M$48</f>
        <v>Australia</v>
      </c>
      <c r="F65" s="673" t="str">
        <f>IF(LOWER(Sheet2!$Q$48)="v","Vacant",IF(LOWER(Sheet2!$Q$48)="pause","Paused",IF(LOWER(Sheet2!$Q$48)="cxc","Contractor","Filled")))</f>
        <v>Vacant</v>
      </c>
      <c r="G65" s="686" t="str">
        <f>IF(Sheet2!$G$48="Service Op &amp; Assurance","Service Operations","Cyber &amp; Risk")</f>
        <v>Cyber &amp; Risk</v>
      </c>
      <c r="H65" s="693" t="inlineStr">
        <is>
          <t>Onshore</t>
        </is>
      </c>
      <c r="I65" s="694">
        <f>Sheet2!$AA$48</f>
        <v>170489.75</v>
      </c>
      <c r="J65" s="669">
        <f>IF($H65="Offshore",$I65*'0.3 Squad Archetypes'!$K$5,$I65)/1000000</f>
        <v>0.17048975</v>
      </c>
      <c r="K65" s="665" t="n"/>
      <c r="L65" s="665" t="n"/>
    </row>
    <row r="66">
      <c r="B66" s="686" t="str">
        <f>Sheet2!$B$49</f>
        <v>Vacant </v>
      </c>
      <c r="C66" s="692" t="str">
        <f>SUBSTITUTE(SUBSTITUTE(Sheet2!$C$49,"–","-"),"—","-")</f>
        <v>Data Risk Analyst</v>
      </c>
      <c r="D66" s="686" t="str">
        <f>Sheet2!$G$49</f>
        <v>Cyber Risk</v>
      </c>
      <c r="E66" s="686" t="str">
        <f>Sheet2!$M$49</f>
        <v>Australia</v>
      </c>
      <c r="F66" s="673" t="str">
        <f>IF(LOWER(Sheet2!$Q$49)="v","Vacant",IF(LOWER(Sheet2!$Q$49)="pause","Paused",IF(LOWER(Sheet2!$Q$49)="cxc","Contractor","Filled")))</f>
        <v>Vacant</v>
      </c>
      <c r="G66" s="686" t="str">
        <f>IF(Sheet2!$G$49="Service Op &amp; Assurance","Service Operations","Cyber &amp; Risk")</f>
        <v>Cyber &amp; Risk</v>
      </c>
      <c r="H66" s="693" t="inlineStr">
        <is>
          <t>Onshore</t>
        </is>
      </c>
      <c r="I66" s="694">
        <f>Sheet2!$AA$49</f>
        <v>170489.75</v>
      </c>
      <c r="J66" s="669">
        <f>IF($H66="Offshore",$I66*'0.3 Squad Archetypes'!$K$5,$I66)/1000000</f>
        <v>0.17048975</v>
      </c>
      <c r="K66" s="665" t="n"/>
      <c r="L66" s="665" t="n"/>
    </row>
    <row r="67">
      <c r="B67" s="686" t="str">
        <f>Sheet2!$B$50</f>
        <v>Vacant  (AKL )</v>
      </c>
      <c r="C67" s="692" t="str">
        <f>SUBSTITUTE(SUBSTITUTE(Sheet2!$C$50,"–","-"),"—","-")</f>
        <v>Tech Support Technician</v>
      </c>
      <c r="D67" s="686" t="str">
        <f>Sheet2!$G$50</f>
        <v>Service Op &amp; Assurance</v>
      </c>
      <c r="E67" s="686" t="str">
        <f>Sheet2!$M$50</f>
        <v>Australia</v>
      </c>
      <c r="F67" s="673" t="str">
        <f>IF(LOWER(Sheet2!$Q$50)="v","Vacant",IF(LOWER(Sheet2!$Q$50)="pause","Paused",IF(LOWER(Sheet2!$Q$50)="cxc","Contractor","Filled")))</f>
        <v>Vacant</v>
      </c>
      <c r="G67" s="686" t="str">
        <f>IF(Sheet2!$G$50="Service Op &amp; Assurance","Service Operations","Cyber &amp; Risk")</f>
        <v>Service Operations</v>
      </c>
      <c r="H67" s="693" t="inlineStr">
        <is>
          <t>Onshore</t>
        </is>
      </c>
      <c r="I67" s="694">
        <f>Sheet2!$AA$50</f>
        <v>122571.75</v>
      </c>
      <c r="J67" s="669">
        <f>IF($H67="Offshore",$I67*'0.3 Squad Archetypes'!$K$5,$I67)/1000000</f>
        <v>0.12257175</v>
      </c>
      <c r="K67" s="665" t="n"/>
      <c r="L67" s="665" t="n"/>
    </row>
    <row r="68">
      <c r="B68" s="686" t="str">
        <f>Sheet2!$B$51</f>
        <v>Vacant (SYD)</v>
      </c>
      <c r="C68" s="692" t="str">
        <f>SUBSTITUTE(SUBSTITUTE(Sheet2!$C$51,"–","-"),"—","-")</f>
        <v>Tech Support Technician</v>
      </c>
      <c r="D68" s="686" t="str">
        <f>Sheet2!$G$51</f>
        <v>Service Op &amp; Assurance</v>
      </c>
      <c r="E68" s="686" t="str">
        <f>Sheet2!$M$51</f>
        <v>Australia</v>
      </c>
      <c r="F68" s="673" t="str">
        <f>IF(LOWER(Sheet2!$Q$51)="v","Vacant",IF(LOWER(Sheet2!$Q$51)="pause","Paused",IF(LOWER(Sheet2!$Q$51)="cxc","Contractor","Filled")))</f>
        <v>Vacant</v>
      </c>
      <c r="G68" s="686" t="str">
        <f>IF(Sheet2!$G$51="Service Op &amp; Assurance","Service Operations","Cyber &amp; Risk")</f>
        <v>Service Operations</v>
      </c>
      <c r="H68" s="693" t="inlineStr">
        <is>
          <t>Onshore</t>
        </is>
      </c>
      <c r="I68" s="694">
        <f>Sheet2!$AA$51</f>
        <v>122571.75</v>
      </c>
      <c r="J68" s="669">
        <f>IF($H68="Offshore",$I68*'0.3 Squad Archetypes'!$K$5,$I68)/1000000</f>
        <v>0.12257175</v>
      </c>
      <c r="K68" s="665" t="n"/>
      <c r="L68" s="665" t="n"/>
    </row>
    <row r="69">
      <c r="B69" s="686" t="str">
        <f>Sheet2!$B$52</f>
        <v>Vanessa Castro</v>
      </c>
      <c r="C69" s="692" t="str">
        <f>SUBSTITUTE(SUBSTITUTE(Sheet2!$C$52,"–","-"),"—","-")</f>
        <v>Cyber GRC Analyst</v>
      </c>
      <c r="D69" s="686" t="str">
        <f>Sheet2!$G$52</f>
        <v>Cyber GRC</v>
      </c>
      <c r="E69" s="686" t="str">
        <f>Sheet2!$M$52</f>
        <v>NZ</v>
      </c>
      <c r="F69" s="673" t="str">
        <f>IF(LOWER(Sheet2!$Q$52)="v","Vacant",IF(LOWER(Sheet2!$Q$52)="pause","Paused",IF(LOWER(Sheet2!$Q$52)="cxc","Contractor","Filled")))</f>
        <v>Filled</v>
      </c>
      <c r="G69" s="686" t="str">
        <f>IF(Sheet2!$G$52="Service Op &amp; Assurance","Service Operations","Cyber &amp; Risk")</f>
        <v>Cyber &amp; Risk</v>
      </c>
      <c r="H69" s="693" t="inlineStr">
        <is>
          <t>Onshore</t>
        </is>
      </c>
      <c r="I69" s="694">
        <f>Sheet2!$AA$52</f>
        <v>131833.18800000002</v>
      </c>
      <c r="J69" s="669">
        <f>IF($H69="Offshore",$I69*'0.3 Squad Archetypes'!$K$5,$I69)/1000000</f>
        <v>0.13183318800000002</v>
      </c>
      <c r="K69" s="665" t="n"/>
      <c r="L69" s="665" t="n"/>
    </row>
    <row r="70">
      <c r="B70" s="686" t="str">
        <f>Sheet2!$B$53</f>
        <v>Vivienne Vasak</v>
      </c>
      <c r="C70" s="692" t="str">
        <f>SUBSTITUTE(SUBSTITUTE(Sheet2!$C$53,"–","-"),"—","-")</f>
        <v>Portfolio Manager Cyber Security</v>
      </c>
      <c r="D70" s="686" t="str">
        <f>Sheet2!$G$53</f>
        <v>Cyber Strat &amp; Tech</v>
      </c>
      <c r="E70" s="686" t="str">
        <f>Sheet2!$M$53</f>
        <v>Australia</v>
      </c>
      <c r="F70" s="673" t="str">
        <f>IF(LOWER(Sheet2!$Q$53)="v","Vacant",IF(LOWER(Sheet2!$Q$53)="pause","Paused",IF(LOWER(Sheet2!$Q$53)="cxc","Contractor","Filled")))</f>
        <v>Filled</v>
      </c>
      <c r="G70" s="686" t="str">
        <f>IF(Sheet2!$G$53="Service Op &amp; Assurance","Service Operations","Cyber &amp; Risk")</f>
        <v>Cyber &amp; Risk</v>
      </c>
      <c r="H70" s="693" t="inlineStr">
        <is>
          <t>Onshore</t>
        </is>
      </c>
      <c r="I70" s="694">
        <f>Sheet2!$AA$53</f>
        <v>315674.35</v>
      </c>
      <c r="J70" s="669">
        <f>IF($H70="Offshore",$I70*'0.3 Squad Archetypes'!$K$5,$I70)/1000000</f>
        <v>0.31567435</v>
      </c>
      <c r="K70" s="665" t="n"/>
      <c r="L70" s="665" t="n"/>
    </row>
    <row r="71">
      <c r="B71" s="686" t="inlineStr">
        <is>
          <t>Check - roles listed vs counted (must be 0)</t>
        </is>
      </c>
      <c r="C71" s="671">
        <f>COUNTA(B19:B70)-C8</f>
        <v>0.0</v>
      </c>
      <c r="D71" s="665" t="n"/>
      <c r="E71" s="665" t="n"/>
      <c r="F71" s="665" t="n"/>
      <c r="G71" s="665" t="n"/>
      <c r="H71" s="665" t="n"/>
      <c r="I71" s="665" t="n"/>
      <c r="J71" s="665" t="n"/>
      <c r="K71" s="665" t="n"/>
      <c r="L71" s="665" t="n"/>
    </row>
    <row r="72">
      <c r="B72" s="665" t="n"/>
      <c r="C72" s="665" t="n"/>
      <c r="D72" s="665" t="n"/>
      <c r="E72" s="665" t="n"/>
      <c r="F72" s="665" t="n"/>
      <c r="G72" s="665" t="n"/>
      <c r="H72" s="665" t="n"/>
      <c r="I72" s="665" t="n"/>
      <c r="J72" s="665" t="n"/>
      <c r="K72" s="665" t="n"/>
      <c r="L72" s="665" t="n"/>
    </row>
    <row r="73">
      <c r="B73" s="678" t="inlineStr">
        <is>
          <t>Roles and costs come straight from Sheet2 (updated cyber, risk and operations roster).</t>
        </is>
      </c>
      <c r="C73" s="665" t="n"/>
      <c r="D73" s="665" t="n"/>
      <c r="E73" s="665" t="n"/>
      <c r="F73" s="665" t="n"/>
      <c r="G73" s="665" t="n"/>
      <c r="H73" s="665" t="n"/>
      <c r="I73" s="665" t="n"/>
      <c r="J73" s="665" t="n"/>
      <c r="K73" s="665" t="n"/>
      <c r="L73" s="665" t="n"/>
    </row>
    <row r="74">
      <c r="B74" s="665" t="n"/>
      <c r="C74" s="665" t="n"/>
      <c r="D74" s="665" t="n"/>
      <c r="E74" s="665" t="n"/>
      <c r="F74" s="665" t="n"/>
      <c r="G74" s="665" t="n"/>
      <c r="H74" s="665" t="n"/>
      <c r="I74" s="665" t="n"/>
      <c r="J74" s="665" t="n"/>
      <c r="K74" s="665" t="n"/>
      <c r="L74" s="665" t="n"/>
    </row>
    <row r="75">
      <c r="B75" s="665" t="n"/>
      <c r="C75" s="665" t="n"/>
      <c r="D75" s="665" t="n"/>
      <c r="E75" s="665" t="n"/>
      <c r="F75" s="665" t="n"/>
      <c r="G75" s="665" t="n"/>
      <c r="H75" s="665" t="n"/>
      <c r="I75" s="665" t="n"/>
      <c r="J75" s="665" t="n"/>
      <c r="K75" s="665" t="n"/>
      <c r="L75" s="665" t="n"/>
    </row>
    <row r="76">
      <c r="B76" s="665" t="n"/>
      <c r="C76" s="665" t="n"/>
      <c r="D76" s="665" t="n"/>
      <c r="E76" s="665" t="n"/>
      <c r="F76" s="665" t="n"/>
      <c r="G76" s="665" t="n"/>
      <c r="H76" s="665" t="n"/>
      <c r="I76" s="665" t="n"/>
      <c r="J76" s="665" t="n"/>
      <c r="K76" s="665" t="n"/>
      <c r="L76" s="665" t="n"/>
    </row>
    <row r="77">
      <c r="B77" s="665" t="n"/>
      <c r="C77" s="665" t="n"/>
      <c r="D77" s="665" t="n"/>
      <c r="E77" s="665" t="n"/>
      <c r="F77" s="665" t="n"/>
      <c r="G77" s="665" t="n"/>
      <c r="H77" s="665" t="n"/>
      <c r="I77" s="665" t="n"/>
      <c r="J77" s="665" t="n"/>
      <c r="K77" s="665" t="n"/>
      <c r="L77" s="665" t="n"/>
    </row>
    <row r="78">
      <c r="B78" s="665" t="n"/>
      <c r="C78" s="665" t="n"/>
      <c r="D78" s="665" t="n"/>
      <c r="E78" s="665" t="n"/>
      <c r="F78" s="665" t="n"/>
      <c r="G78" s="665" t="n"/>
      <c r="H78" s="665" t="n"/>
      <c r="I78" s="665" t="n"/>
      <c r="J78" s="665" t="n"/>
      <c r="K78" s="665" t="n"/>
      <c r="L78" s="665" t="n"/>
    </row>
    <row r="79">
      <c r="B79" s="665" t="n"/>
      <c r="C79" s="665" t="n"/>
      <c r="D79" s="665" t="n"/>
      <c r="E79" s="665" t="n"/>
      <c r="F79" s="665" t="n"/>
      <c r="G79" s="665" t="n"/>
      <c r="H79" s="665" t="n"/>
      <c r="I79" s="665" t="n"/>
      <c r="J79" s="665" t="n"/>
      <c r="K79" s="665" t="n"/>
      <c r="L79" s="665" t="n"/>
    </row>
    <row r="80">
      <c r="B80" s="665" t="n"/>
      <c r="C80" s="665" t="n"/>
      <c r="D80" s="665" t="n"/>
      <c r="E80" s="665" t="n"/>
      <c r="F80" s="665" t="n"/>
      <c r="G80" s="665" t="n"/>
      <c r="H80" s="665" t="n"/>
      <c r="I80" s="665" t="n"/>
      <c r="J80" s="665" t="n"/>
      <c r="K80" s="665" t="n"/>
      <c r="L80" s="665" t="n"/>
    </row>
  </sheetData>
  <dataValidations count="1">
    <dataValidation sqref="H19:H70" showDropDown="0" showInputMessage="0" showErrorMessage="1" allowBlank="0" type="list">
      <formula1>"Onshore,Offshore"</formula1>
    </dataValidation>
  </dataValidations>
  <pageMargins left="0.75" right="0.75" top="1" bottom="1" header="0.5" footer="0.5"/>
</worksheet>
</file>

<file path=xl/worksheets/sheet24.xml><?xml version="1.0" encoding="utf-8"?>
<worksheet xmlns="http://schemas.openxmlformats.org/spreadsheetml/2006/main">
  <sheetPr>
    <tabColor rgb="00002F6C"/>
    <outlinePr summaryBelow="1" summaryRight="1"/>
    <pageSetUpPr/>
  </sheetPr>
  <dimension ref="A1:L32"/>
  <sheetViews>
    <sheetView showGridLines="0" zoomScaleNormal="100" workbookViewId="0">
      <selection activeCell="I16" sqref="I16"/>
    </sheetView>
  </sheetViews>
  <sheetFormatPr baseColWidth="8" defaultColWidth="8.54296875" defaultRowHeight="14.5" outlineLevelCol="0"/>
  <cols>
    <col width="34" customWidth="1" style="506" min="2" max="2"/>
    <col width="22" customWidth="1" style="506" min="3" max="3"/>
    <col width="20" customWidth="1" style="506" min="4" max="4"/>
    <col width="16" customWidth="1" style="506" min="5" max="6"/>
    <col width="12.1796875" bestFit="1" customWidth="1" style="506" min="7" max="7"/>
    <col width="30.54296875" bestFit="1" customWidth="1" style="506" min="11" max="11"/>
  </cols>
  <sheetData>
    <row r="1"/>
    <row r="2" ht="21" customHeight="1" s="506">
      <c r="B2" s="199" t="inlineStr">
        <is>
          <t>COE Budget View</t>
        </is>
      </c>
    </row>
    <row r="3">
      <c r="B3" t="inlineStr">
        <is>
          <t>Roll-up only - edit budgets on 0.2 Data Config, rosters on Sheet2. Detail on 2.1 / 2.2 / 2.3.</t>
        </is>
      </c>
    </row>
    <row r="4"/>
    <row r="5"/>
    <row r="6">
      <c r="B6" s="508" t="inlineStr">
        <is>
          <t>COE Budgets</t>
        </is>
      </c>
      <c r="C6" s="509" t="n"/>
      <c r="D6" s="509" t="n"/>
      <c r="E6" s="510" t="n"/>
    </row>
    <row r="7">
      <c r="B7" s="5" t="inlineStr">
        <is>
          <t>COE</t>
        </is>
      </c>
      <c r="C7" s="480" t="inlineStr">
        <is>
          <t>TDD Lights On Budget ($m)</t>
        </is>
      </c>
      <c r="D7" s="480" t="inlineStr">
        <is>
          <t>Planned spend ($m)</t>
        </is>
      </c>
      <c r="E7" s="480" t="inlineStr">
        <is>
          <t>Budget to draw down ($m)</t>
        </is>
      </c>
      <c r="F7" s="480" t="inlineStr">
        <is>
          <t>Left to fund ($m)</t>
        </is>
      </c>
      <c r="G7" s="480" t="inlineStr">
        <is>
          <t>Total cost ($m)</t>
        </is>
      </c>
      <c r="K7" t="inlineStr">
        <is>
          <t>Other Architecture</t>
        </is>
      </c>
      <c r="L7" t="n">
        <v>1.1</v>
      </c>
    </row>
    <row r="8">
      <c r="B8" s="8" t="inlineStr">
        <is>
          <t>COE - Strategy Architecture</t>
        </is>
      </c>
      <c r="C8" s="202">
        <f>'0.2 Data Config'!$E$6</f>
        <v>2.0</v>
      </c>
      <c r="D8" s="436">
        <f>'2.2 SA&amp;D'!$G$6</f>
        <v>4.320560996</v>
      </c>
      <c r="E8" s="303">
        <f>'0.2 Data Config'!$E$6+COUNTA('2.5 Group Summary'!$B$6:$B$16)*'0.2 Data Config'!$L$8</f>
        <v>3.54</v>
      </c>
      <c r="F8" s="202">
        <f>'2.2 SA&amp;D'!$I$6</f>
        <v>0.7805609960000002</v>
      </c>
      <c r="G8" s="202">
        <f>D8</f>
        <v>4.320560996</v>
      </c>
      <c r="K8" t="inlineStr">
        <is>
          <t>Domain Architects are an overhead</t>
        </is>
      </c>
      <c r="L8" t="n">
        <v>-1.1</v>
      </c>
    </row>
    <row r="9">
      <c r="B9" s="8" t="inlineStr">
        <is>
          <t>COE - Cyber, Risk &amp; Service Ops (rolled into 1.11 TDD Cyber)</t>
        </is>
      </c>
      <c r="C9" s="202">
        <f>'0.2 Data Config'!$E$7</f>
        <v>0.0</v>
      </c>
      <c r="D9" s="303">
        <f>0</f>
        <v>0.0</v>
      </c>
      <c r="E9" s="303">
        <f>0</f>
        <v>0.0</v>
      </c>
      <c r="F9" s="202">
        <f>D9-E9</f>
        <v>0.0</v>
      </c>
      <c r="G9" s="202">
        <f>D9</f>
        <v>0.0</v>
      </c>
      <c r="K9" t="inlineStr">
        <is>
          <t xml:space="preserve">Strategy </t>
        </is>
      </c>
      <c r="L9" t="n">
        <v>1.7</v>
      </c>
    </row>
    <row r="10">
      <c r="B10" s="8" t="inlineStr">
        <is>
          <t>COE - Transformation</t>
        </is>
      </c>
      <c r="C10" s="202">
        <f>'0.2 Data Config'!$E$8</f>
        <v>2.0</v>
      </c>
      <c r="D10" s="436">
        <f>'2.1 BP&amp;T'!$F$7</f>
        <v>3.10799923</v>
      </c>
      <c r="E10" s="303">
        <f>'0.2 Data Config'!$E$8</f>
        <v>2.0</v>
      </c>
      <c r="F10" s="202">
        <f>'2.1 BP&amp;T'!$H$7</f>
        <v>1.10799923</v>
      </c>
      <c r="G10" s="202">
        <f>D10</f>
        <v>3.10799923</v>
      </c>
    </row>
    <row r="11">
      <c r="B11" s="8" t="inlineStr">
        <is>
          <t>COE - Business Partnering</t>
        </is>
      </c>
      <c r="C11" s="202">
        <f>'0.2 Data Config'!$E$9</f>
        <v>2.0</v>
      </c>
      <c r="D11" s="436">
        <f>'2.1 BP&amp;T'!$F$6</f>
        <v>3.2925625919999995</v>
      </c>
      <c r="E11" s="303">
        <f>'0.2 Data Config'!$E$9+COUNTA('2.5 Group Summary'!$B$6:$B$16)*'0.2 Data Config'!$L$7</f>
        <v>3.8920000000000003</v>
      </c>
      <c r="F11" s="202">
        <f>'2.1 BP&amp;T'!$H$6</f>
        <v>0.0</v>
      </c>
      <c r="G11" s="202">
        <f>D11</f>
        <v>3.2925625919999995</v>
      </c>
      <c r="K11" t="inlineStr">
        <is>
          <t>Data</t>
        </is>
      </c>
      <c r="L11" t="n">
        <v>2.2</v>
      </c>
    </row>
    <row r="12">
      <c r="B12" s="8" t="inlineStr">
        <is>
          <t>COE - Data</t>
        </is>
      </c>
      <c r="C12" s="202">
        <f>'0.2 Data Config'!$E$10</f>
        <v>2.0</v>
      </c>
      <c r="D12" s="436">
        <f>'2.2 SA&amp;D'!$G$7</f>
        <v>2.232736616</v>
      </c>
      <c r="E12" s="303">
        <f>'0.2 Data Config'!$E$10</f>
        <v>2.0</v>
      </c>
      <c r="F12" s="202">
        <f>'2.2 SA&amp;D'!$I$7</f>
        <v>0.23273661599999995</v>
      </c>
      <c r="G12" s="202">
        <f>D12</f>
        <v>2.232736616</v>
      </c>
    </row>
    <row r="13">
      <c r="B13" s="203" t="inlineStr">
        <is>
          <t>Total</t>
        </is>
      </c>
      <c r="C13" s="204">
        <f>SUM(C8:C12)</f>
        <v>8.0</v>
      </c>
      <c r="D13" s="204">
        <f>SUM(D8:D12)</f>
        <v>12.953859434</v>
      </c>
      <c r="E13" s="204">
        <f>SUM(E8:E12)</f>
        <v>11.432</v>
      </c>
      <c r="F13" s="204">
        <f>SUM(F8:F12)</f>
        <v>2.121296842</v>
      </c>
      <c r="G13" s="204">
        <f>SUM(G8:G12)</f>
        <v>12.953859434</v>
      </c>
    </row>
    <row r="14"/>
    <row r="15"/>
    <row r="16">
      <c r="B16" s="508" t="inlineStr">
        <is>
          <t>TDD Corporate funding pool ($m)</t>
        </is>
      </c>
      <c r="C16" s="509" t="n"/>
      <c r="D16" s="509" t="n"/>
      <c r="E16" s="510" t="n"/>
    </row>
    <row r="17">
      <c r="B17" s="5" t="inlineStr">
        <is>
          <t>Funding line</t>
        </is>
      </c>
      <c r="C17" s="480" t="inlineStr">
        <is>
          <t>Pool ($m)</t>
        </is>
      </c>
      <c r="D17" s="480" t="inlineStr">
        <is>
          <t>Drawn ($m)</t>
        </is>
      </c>
      <c r="E17" s="480" t="inlineStr">
        <is>
          <t>Remaining ($m)</t>
        </is>
      </c>
    </row>
    <row r="18">
      <c r="B18" s="8" t="inlineStr">
        <is>
          <t>OpEx Initiatives</t>
        </is>
      </c>
      <c r="C18" s="202">
        <f>'0.1 Budget Table (Fin)'!$N$5</f>
        <v>3.0</v>
      </c>
      <c r="D18" s="216" t="n">
        <v>0</v>
      </c>
      <c r="E18" s="202">
        <f>C18-D18</f>
        <v>3.0</v>
      </c>
    </row>
    <row r="19">
      <c r="B19" s="8" t="inlineStr">
        <is>
          <t>Significant Items</t>
        </is>
      </c>
      <c r="C19" s="202">
        <f>'0.1 Budget Table (Fin)'!$O$5</f>
        <v>20.2</v>
      </c>
      <c r="D19" s="202">
        <f>'1.3 Enterprise Data'!$I$13+'1.4 TDD Group Functions'!$I$13+'1.11 TDD Cyber'!$I$13</f>
        <v>0.0</v>
      </c>
      <c r="E19" s="202">
        <f>C19-D19</f>
        <v>20.2</v>
      </c>
    </row>
    <row r="20">
      <c r="B20" s="8" t="inlineStr">
        <is>
          <t>CapEx</t>
        </is>
      </c>
      <c r="C20" s="202">
        <f>'0.1 Budget Table (Fin)'!$P$5</f>
        <v>4.9</v>
      </c>
      <c r="D20" s="202">
        <f>'1.9 Commercial Fuels'!$I$15</f>
        <v>0.0</v>
      </c>
      <c r="E20" s="202">
        <f>C20-D20</f>
        <v>4.9</v>
      </c>
    </row>
    <row r="21">
      <c r="B21" s="203" t="inlineStr">
        <is>
          <t>Total</t>
        </is>
      </c>
      <c r="C21" s="204">
        <f>SUM(C18:C20)</f>
        <v>28.1</v>
      </c>
      <c r="D21" s="204">
        <f>SUM(D18:D20)</f>
        <v>0.0</v>
      </c>
      <c r="E21" s="204">
        <f>SUM(E18:E20)</f>
        <v>28.1</v>
      </c>
    </row>
    <row r="22"/>
    <row r="23">
      <c r="B23" s="678" t="inlineStr">
        <is>
          <t>Every COE role is now mapped on 2.1, 2.2 or 2.3 from the updated rosters on Sheet2 - no unspecified roles remain.</t>
        </is>
      </c>
      <c r="C23" s="665" t="n"/>
      <c r="D23" s="665" t="n"/>
      <c r="E23" s="665" t="n"/>
      <c r="F23" s="665" t="n"/>
      <c r="G23" s="665" t="n"/>
      <c r="H23" s="665" t="n"/>
      <c r="I23" s="665" t="n"/>
      <c r="J23" s="665" t="n"/>
    </row>
    <row r="24">
      <c r="B24" s="681" t="n"/>
      <c r="C24" s="681" t="n"/>
      <c r="D24" s="681" t="n"/>
      <c r="E24" s="681" t="n"/>
      <c r="F24" s="681" t="n"/>
      <c r="G24" s="665" t="n"/>
      <c r="H24" s="665" t="n"/>
      <c r="I24" s="665" t="n"/>
      <c r="J24" s="665" t="n"/>
    </row>
    <row r="25">
      <c r="B25" s="676" t="n"/>
      <c r="C25" s="676" t="n"/>
      <c r="D25" s="676" t="n"/>
      <c r="E25" s="681" t="n"/>
      <c r="F25" s="682" t="n"/>
      <c r="G25" s="665" t="n"/>
      <c r="H25" s="665" t="n"/>
      <c r="I25" s="665" t="n"/>
      <c r="J25" s="665" t="n"/>
    </row>
    <row r="26">
      <c r="B26" s="676" t="n"/>
      <c r="C26" s="676" t="n"/>
      <c r="D26" s="676" t="n"/>
      <c r="E26" s="681" t="n"/>
      <c r="F26" s="682" t="n"/>
      <c r="G26" s="665" t="n"/>
      <c r="H26" s="665" t="n"/>
      <c r="I26" s="665" t="n"/>
      <c r="J26" s="665" t="n"/>
    </row>
    <row r="27">
      <c r="B27" s="676" t="n"/>
      <c r="C27" s="676" t="n"/>
      <c r="D27" s="676" t="n"/>
      <c r="E27" s="681" t="n"/>
      <c r="F27" s="682" t="n"/>
      <c r="G27" s="665" t="n"/>
      <c r="H27" s="665" t="n"/>
      <c r="I27" s="665" t="n"/>
      <c r="J27" s="665" t="n"/>
    </row>
    <row r="28">
      <c r="B28" s="676" t="n"/>
      <c r="C28" s="676" t="n"/>
      <c r="D28" s="676" t="n"/>
      <c r="E28" s="681" t="n"/>
      <c r="F28" s="682" t="n"/>
      <c r="G28" s="665" t="n"/>
      <c r="H28" s="665" t="n"/>
      <c r="I28" s="665" t="n"/>
      <c r="J28" s="665" t="n"/>
    </row>
    <row r="29">
      <c r="B29" s="676" t="n"/>
      <c r="C29" s="676" t="n"/>
      <c r="D29" s="676" t="n"/>
      <c r="E29" s="681" t="n"/>
      <c r="F29" s="682" t="n"/>
      <c r="G29" s="665" t="n"/>
      <c r="H29" s="665" t="n"/>
      <c r="I29" s="665" t="n"/>
      <c r="J29" s="665" t="n"/>
    </row>
    <row r="30">
      <c r="B30" s="676" t="n"/>
      <c r="C30" s="676" t="n"/>
      <c r="D30" s="676" t="n"/>
      <c r="E30" s="681" t="n"/>
      <c r="F30" s="682" t="n"/>
      <c r="G30" s="665" t="n"/>
      <c r="H30" s="665" t="n"/>
      <c r="I30" s="665" t="n"/>
      <c r="J30" s="665" t="n"/>
    </row>
    <row r="31">
      <c r="B31" s="676" t="n"/>
      <c r="C31" s="676" t="n"/>
      <c r="D31" s="676" t="n"/>
      <c r="E31" s="681" t="n"/>
      <c r="F31" s="682" t="n"/>
      <c r="G31" s="665" t="n"/>
      <c r="H31" s="665" t="n"/>
      <c r="I31" s="665" t="n"/>
      <c r="J31" s="665" t="n"/>
    </row>
    <row r="32">
      <c r="B32" s="676" t="n"/>
      <c r="C32" s="665" t="n"/>
      <c r="D32" s="665" t="n"/>
      <c r="E32" s="665" t="n"/>
      <c r="F32" s="682" t="n"/>
      <c r="G32" s="665" t="n"/>
      <c r="H32" s="665" t="n"/>
      <c r="I32" s="665" t="n"/>
      <c r="J32" s="665" t="n"/>
    </row>
  </sheetData>
  <mergeCells count="1">
    <mergeCell ref="B6:E6"/>
  </mergeCells>
  <pageMargins left="0.75" right="0.75" top="1" bottom="1" header="0.511811023622047" footer="0.511811023622047"/>
  <pageSetup orientation="portrait" paperSize="9" horizontalDpi="300" verticalDpi="300"/>
</worksheet>
</file>

<file path=xl/worksheets/sheet25.xml><?xml version="1.0" encoding="utf-8"?>
<worksheet xmlns="http://schemas.openxmlformats.org/spreadsheetml/2006/main">
  <sheetPr>
    <tabColor rgb="00002F6C"/>
    <outlinePr summaryBelow="1" summaryRight="1"/>
    <pageSetUpPr/>
  </sheetPr>
  <dimension ref="A1:K46"/>
  <sheetViews>
    <sheetView showGridLines="0" zoomScale="70" zoomScaleNormal="70" workbookViewId="0">
      <selection activeCell="J42" sqref="J42"/>
    </sheetView>
  </sheetViews>
  <sheetFormatPr baseColWidth="8" defaultColWidth="8.54296875" defaultRowHeight="14.5" outlineLevelCol="0"/>
  <cols>
    <col width="8.54296875" customWidth="1" style="506" min="1" max="1"/>
    <col width="67.7265625" bestFit="1" customWidth="1" style="506" min="2" max="2"/>
    <col width="21.54296875" customWidth="1" style="506" min="3" max="3"/>
    <col width="16" customWidth="1" style="506" min="4" max="5"/>
    <col width="5.6328125" customWidth="1" style="506" min="6" max="6"/>
    <col width="17.6328125" customWidth="1" style="506" min="7" max="7"/>
    <col width="21.6328125" customWidth="1" style="506" min="8" max="9"/>
    <col width="12.453125" customWidth="1" style="506" min="10" max="10"/>
  </cols>
  <sheetData>
    <row r="1"/>
    <row r="2" ht="21" customHeight="1" s="506">
      <c r="B2" s="199" t="inlineStr">
        <is>
          <t>TDD Summary - all portfolios</t>
        </is>
      </c>
    </row>
    <row r="3">
      <c r="B3" s="695" t="inlineStr">
        <is>
          <t>Archetype view: what the designed model costs against the TDD budgets. The actual organisation is on 2.6.</t>
        </is>
      </c>
    </row>
    <row r="4">
      <c r="B4" s="508" t="inlineStr">
        <is>
          <t>TDD Cost vs TDD Lights On budget, by portfolio</t>
        </is>
      </c>
      <c r="C4" s="509" t="n"/>
      <c r="D4" s="509" t="n"/>
      <c r="E4" s="509" t="n"/>
      <c r="F4" s="509" t="n"/>
      <c r="G4" s="509" t="n"/>
      <c r="H4" s="509" t="n"/>
      <c r="I4" s="509" t="n"/>
      <c r="J4" s="510" t="n"/>
    </row>
    <row r="5" ht="29.5" customFormat="1" customHeight="1" s="249">
      <c r="B5" s="248" t="inlineStr">
        <is>
          <t>Portfolio</t>
        </is>
      </c>
      <c r="C5" s="667" t="inlineStr">
        <is>
          <t>TDD Lights On Budget ($m)</t>
        </is>
      </c>
      <c r="D5" s="667" t="inlineStr">
        <is>
          <t>Support Cost ($m)</t>
        </is>
      </c>
      <c r="E5" s="667" t="inlineStr">
        <is>
          <t>Variance ($m) = budget - cost</t>
        </is>
      </c>
      <c r="F5" s="248" t="n"/>
      <c r="G5" s="667" t="inlineStr">
        <is>
          <t>Cost of non-TDD funding ($m)</t>
        </is>
      </c>
      <c r="H5" s="667" t="inlineStr">
        <is>
          <t>Amount that can be recharged ($m)</t>
        </is>
      </c>
      <c r="I5" s="667" t="inlineStr">
        <is>
          <t>Left to fund outside TDD ($m)</t>
        </is>
      </c>
      <c r="J5" s="667" t="inlineStr">
        <is>
          <t>Total still left to fund ($m)</t>
        </is>
      </c>
      <c r="K5" s="667" t="inlineStr">
        <is>
          <t>Total Cost ($m)</t>
        </is>
      </c>
    </row>
    <row r="6">
      <c r="B6" s="8" t="inlineStr">
        <is>
          <t>Ampol Retail</t>
        </is>
      </c>
      <c r="C6" s="9">
        <f>'1.1 Ampol Retail'!$H$5</f>
        <v>2.5</v>
      </c>
      <c r="D6" s="9">
        <f>'1.1 Ampol Retail'!$C$9</f>
        <v>5.6265</v>
      </c>
      <c r="E6" s="9">
        <f>'1.1 Ampol Retail'!$H$7</f>
        <v>-3.1265</v>
      </c>
      <c r="F6" s="204" t="n"/>
      <c r="G6" s="9">
        <f>'1.1 Ampol Retail'!$D$9</f>
        <v>4.728</v>
      </c>
      <c r="H6" s="9">
        <f>'1.1 Ampol Retail'!$I$17</f>
        <v>0.0</v>
      </c>
      <c r="I6" s="9">
        <f>'1.1 Ampol Retail'!$I$19</f>
        <v>4.728</v>
      </c>
      <c r="J6" s="669">
        <f>MAX(0,-E6)+I6</f>
        <v>7.8545</v>
      </c>
      <c r="K6" s="669">
        <f>'1.1 Ampol Retail'!$E$9</f>
        <v>10.3545</v>
      </c>
    </row>
    <row r="7">
      <c r="B7" s="8" t="inlineStr">
        <is>
          <t>Customer</t>
        </is>
      </c>
      <c r="C7" s="9">
        <f>'1.2 Customer'!$H$5</f>
        <v>6.5</v>
      </c>
      <c r="D7" s="9">
        <f>'1.2 Customer'!$C$9</f>
        <v>9.0245</v>
      </c>
      <c r="E7" s="9">
        <f>'1.2 Customer'!$H$7</f>
        <v>-2.5244999999999997</v>
      </c>
      <c r="F7" s="204" t="n"/>
      <c r="G7" s="9">
        <f>'1.2 Customer'!$D$9</f>
        <v>5.92</v>
      </c>
      <c r="H7" s="9">
        <f>'1.2 Customer'!$I$22</f>
        <v>4.0</v>
      </c>
      <c r="I7" s="9">
        <f>'1.2 Customer'!$I$24</f>
        <v>1.92</v>
      </c>
      <c r="J7" s="669">
        <f>MAX(0,-E7)+I7</f>
        <v>4.4445</v>
      </c>
      <c r="K7" s="669">
        <f>'1.2 Customer'!$E$9</f>
        <v>14.9445</v>
      </c>
    </row>
    <row r="8">
      <c r="B8" s="8" t="inlineStr">
        <is>
          <t>Enterprise Data</t>
        </is>
      </c>
      <c r="C8" s="9">
        <f>'1.3 Enterprise Data'!$H$5</f>
        <v>3.5</v>
      </c>
      <c r="D8" s="9">
        <f>'1.3 Enterprise Data'!$C$9</f>
        <v>4.1105</v>
      </c>
      <c r="E8" s="9">
        <f>'1.3 Enterprise Data'!$H$7</f>
        <v>-0.6105</v>
      </c>
      <c r="F8" s="204" t="n"/>
      <c r="G8" s="9">
        <f>'1.3 Enterprise Data'!$D$9</f>
        <v>1.9040000000000001</v>
      </c>
      <c r="H8" s="9">
        <f>'1.3 Enterprise Data'!$I$13</f>
        <v>0.0</v>
      </c>
      <c r="I8" s="9">
        <f>'1.3 Enterprise Data'!$I$14</f>
        <v>1.9040000000000001</v>
      </c>
      <c r="J8" s="669">
        <f>MAX(0,-E8)+I8</f>
        <v>2.5145</v>
      </c>
      <c r="K8" s="669">
        <f>'1.3 Enterprise Data'!$E$9</f>
        <v>6.0145</v>
      </c>
    </row>
    <row r="9">
      <c r="B9" s="8" t="inlineStr">
        <is>
          <t>TDD Group Functions</t>
        </is>
      </c>
      <c r="C9" s="9">
        <f>'1.4 TDD Group Functions'!$H$5</f>
        <v>5.5</v>
      </c>
      <c r="D9" s="9">
        <f>'1.4 TDD Group Functions'!$C$9</f>
        <v>3.6644999999999994</v>
      </c>
      <c r="E9" s="9">
        <f>'1.4 TDD Group Functions'!$H$7</f>
        <v>1.8355000000000006</v>
      </c>
      <c r="F9" s="204" t="n"/>
      <c r="G9" s="9">
        <f>'1.4 TDD Group Functions'!$D$9</f>
        <v>1.15</v>
      </c>
      <c r="H9" s="9">
        <f>'1.4 TDD Group Functions'!$I$13</f>
        <v>0.0</v>
      </c>
      <c r="I9" s="9">
        <f>'1.4 TDD Group Functions'!$I$14</f>
        <v>1.15</v>
      </c>
      <c r="J9" s="669">
        <f>MAX(0,-E9)+I9</f>
        <v>1.15</v>
      </c>
      <c r="K9" s="669">
        <f>'1.4 TDD Group Functions'!$E$9</f>
        <v>4.814499999999999</v>
      </c>
    </row>
    <row r="10">
      <c r="B10" s="8" t="inlineStr">
        <is>
          <t>P&amp;C</t>
        </is>
      </c>
      <c r="C10" s="9">
        <f>'1.5 P&amp;C'!$H$5</f>
        <v>2.0</v>
      </c>
      <c r="D10" s="9">
        <f>'1.5 P&amp;C'!$C$9</f>
        <v>1.2745000000000002</v>
      </c>
      <c r="E10" s="9">
        <f>'1.5 P&amp;C'!$H$7</f>
        <v>0.7254999999999998</v>
      </c>
      <c r="F10" s="204" t="n"/>
      <c r="G10" s="9">
        <f>'1.5 P&amp;C'!$D$9</f>
        <v>1.44</v>
      </c>
      <c r="H10" s="9">
        <f>'1.5 P&amp;C'!$I$18</f>
        <v>0.0</v>
      </c>
      <c r="I10" s="9">
        <f>'1.5 P&amp;C'!$I$20</f>
        <v>1.44</v>
      </c>
      <c r="J10" s="669">
        <f>MAX(0,-E10)+I10</f>
        <v>1.44</v>
      </c>
      <c r="K10" s="669">
        <f>'1.5 P&amp;C'!$E$9</f>
        <v>2.7145</v>
      </c>
    </row>
    <row r="11">
      <c r="B11" s="8" t="inlineStr">
        <is>
          <t>Finance</t>
        </is>
      </c>
      <c r="C11" s="9">
        <f>'1.6 Finance'!$H$5</f>
        <v>2.0</v>
      </c>
      <c r="D11" s="9">
        <f>'1.6 Finance'!$C$9</f>
        <v>1.4145</v>
      </c>
      <c r="E11" s="9">
        <f>'1.6 Finance'!$H$7</f>
        <v>0.5854999999999999</v>
      </c>
      <c r="F11" s="204" t="n"/>
      <c r="G11" s="9">
        <f>'1.6 Finance'!$D$9</f>
        <v>2.0</v>
      </c>
      <c r="H11" s="9">
        <f>'1.6 Finance'!$I$18</f>
        <v>0.0</v>
      </c>
      <c r="I11" s="9">
        <f>'1.6 Finance'!$I$20</f>
        <v>2.0</v>
      </c>
      <c r="J11" s="669">
        <f>MAX(0,-E11)+I11</f>
        <v>2.0</v>
      </c>
      <c r="K11" s="669">
        <f>'1.6 Finance'!$E$9</f>
        <v>3.4145000000000003</v>
      </c>
    </row>
    <row r="12">
      <c r="B12" s="8" t="inlineStr">
        <is>
          <t>Infrastructure</t>
        </is>
      </c>
      <c r="C12" s="9">
        <f>'1.7 Infrastructure'!$H$6</f>
        <v>2.5</v>
      </c>
      <c r="D12" s="9">
        <f>'1.7 Infrastructure'!$C$10</f>
        <v>2.5245</v>
      </c>
      <c r="E12" s="9">
        <f>'1.7 Infrastructure'!$H$8</f>
        <v>-0.02450000000000019</v>
      </c>
      <c r="F12" s="204" t="n"/>
      <c r="G12" s="9">
        <f>'1.7 Infrastructure'!$D$10</f>
        <v>2.7199999999999998</v>
      </c>
      <c r="H12" s="9">
        <f>'1.7 Infrastructure'!$I$18</f>
        <v>0.0</v>
      </c>
      <c r="I12" s="9">
        <f>'1.7 Infrastructure'!$I$20</f>
        <v>2.7199999999999998</v>
      </c>
      <c r="J12" s="669">
        <f>MAX(0,-E12)+I12</f>
        <v>2.7445</v>
      </c>
      <c r="K12" s="669">
        <f>'1.7 Infrastructure'!$E$10</f>
        <v>5.2445</v>
      </c>
    </row>
    <row r="13">
      <c r="B13" s="8" t="inlineStr">
        <is>
          <t>Energy Solutions &amp; B2B</t>
        </is>
      </c>
      <c r="C13" s="9">
        <f>'1.8 Energy Solutions &amp; B2B'!$H$5</f>
        <v>2.5</v>
      </c>
      <c r="D13" s="9">
        <f>'1.8 Energy Solutions &amp; B2B'!$C$9</f>
        <v>2.5095</v>
      </c>
      <c r="E13" s="9">
        <f>'1.8 Energy Solutions &amp; B2B'!$H$7</f>
        <v>-0.009500000000000064</v>
      </c>
      <c r="F13" s="204" t="n"/>
      <c r="G13" s="9">
        <f>'1.8 Energy Solutions &amp; B2B'!$D$9</f>
        <v>4.67</v>
      </c>
      <c r="H13" s="9">
        <f>'1.8 Energy Solutions &amp; B2B'!$I$20</f>
        <v>3.5</v>
      </c>
      <c r="I13" s="9">
        <f>'1.8 Energy Solutions &amp; B2B'!$I$22</f>
        <v>1.17</v>
      </c>
      <c r="J13" s="669">
        <f>MAX(0,-E13)+I13</f>
        <v>1.1795</v>
      </c>
      <c r="K13" s="669">
        <f>'1.8 Energy Solutions &amp; B2B'!$E$9</f>
        <v>7.1795</v>
      </c>
    </row>
    <row r="14">
      <c r="B14" s="8" t="inlineStr">
        <is>
          <t>Commercial Fuels</t>
        </is>
      </c>
      <c r="C14" s="9">
        <f>'1.9 Commercial Fuels'!$H$5</f>
        <v>2.5</v>
      </c>
      <c r="D14" s="9">
        <f>'1.9 Commercial Fuels'!$C$9</f>
        <v>2.0845</v>
      </c>
      <c r="E14" s="9">
        <f>'1.9 Commercial Fuels'!$H$7</f>
        <v>0.4155000000000002</v>
      </c>
      <c r="F14" s="204" t="n"/>
      <c r="G14" s="9">
        <f>'1.9 Commercial Fuels'!$D$9</f>
        <v>5.0600000000000005</v>
      </c>
      <c r="H14" s="9">
        <f>'1.9 Commercial Fuels'!$I$18</f>
        <v>3.0999999999999996</v>
      </c>
      <c r="I14" s="9">
        <f>'1.9 Commercial Fuels'!$I$20</f>
        <v>1.9600000000000009</v>
      </c>
      <c r="J14" s="669">
        <f>MAX(0,-E14)+I14</f>
        <v>1.9600000000000009</v>
      </c>
      <c r="K14" s="669">
        <f>'1.9 Commercial Fuels'!$E$9</f>
        <v>7.144500000000001</v>
      </c>
    </row>
    <row r="15">
      <c r="B15" s="8" t="inlineStr">
        <is>
          <t>Z Retail</t>
        </is>
      </c>
      <c r="C15" s="9">
        <f>'1.10 Z Retail'!$H$5</f>
        <v>2.5</v>
      </c>
      <c r="D15" s="9">
        <f>'1.10 Z Retail'!$C$9</f>
        <v>5.399500000000001</v>
      </c>
      <c r="E15" s="9">
        <f>'1.10 Z Retail'!$H$7</f>
        <v>-2.8995000000000006</v>
      </c>
      <c r="F15" s="204" t="n"/>
      <c r="G15" s="9">
        <f>'1.10 Z Retail'!$D$9</f>
        <v>1.0799999999999996</v>
      </c>
      <c r="H15" s="9">
        <f>'1.10 Z Retail'!$I$17</f>
        <v>1.08</v>
      </c>
      <c r="I15" s="9">
        <f>'1.10 Z Retail'!$I$19</f>
        <v>0.0</v>
      </c>
      <c r="J15" s="669">
        <f>MAX(0,-E15)+I15</f>
        <v>2.8995000000000006</v>
      </c>
      <c r="K15" s="669">
        <f>'1.10 Z Retail'!$E$9</f>
        <v>6.4795</v>
      </c>
    </row>
    <row r="16">
      <c r="B16" s="8" t="inlineStr">
        <is>
          <t>TDD Cyber</t>
        </is>
      </c>
      <c r="C16" s="9">
        <f>'1.11 TDD Cyber'!$H$5</f>
        <v>3.5</v>
      </c>
      <c r="D16" s="9">
        <f>'1.11 TDD Cyber'!$C$9</f>
        <v>11.830489044</v>
      </c>
      <c r="E16" s="9">
        <f>'1.11 TDD Cyber'!$H$7</f>
        <v>-8.330489044</v>
      </c>
      <c r="F16" s="204" t="n"/>
      <c r="G16" s="9">
        <f>'1.11 TDD Cyber'!$D$9</f>
        <v>0.0</v>
      </c>
      <c r="H16" s="9">
        <f>'1.11 TDD Cyber'!$I$13</f>
        <v>0.0</v>
      </c>
      <c r="I16" s="9">
        <f>'1.11 TDD Cyber'!$I$14</f>
        <v>0.0</v>
      </c>
      <c r="J16" s="669">
        <f>MAX(0,-E16)+I16</f>
        <v>8.330489044</v>
      </c>
      <c r="K16" s="669">
        <f>'1.11 TDD Cyber'!$E$9</f>
        <v>11.830489044</v>
      </c>
    </row>
    <row r="17">
      <c r="B17" s="203" t="inlineStr">
        <is>
          <t>Total - all portfolios</t>
        </is>
      </c>
      <c r="C17" s="204">
        <f>SUM(C6:C16)</f>
        <v>35.5</v>
      </c>
      <c r="D17" s="204">
        <f>SUM(D6:D16)</f>
        <v>49.463489044</v>
      </c>
      <c r="E17" s="204">
        <f>SUM(E6:E16)</f>
        <v>-13.963489044000001</v>
      </c>
      <c r="F17" s="204" t="n"/>
      <c r="G17" s="204">
        <f>SUM(G6:G16)</f>
        <v>30.671999999999997</v>
      </c>
      <c r="H17" s="204">
        <f>SUM(H6:H16)</f>
        <v>11.68</v>
      </c>
      <c r="I17" s="204">
        <f>SUM(I6:I16)</f>
        <v>18.992</v>
      </c>
      <c r="J17" s="685">
        <f>SUM(J6:J16)</f>
        <v>36.517489044</v>
      </c>
      <c r="K17" s="685">
        <f>SUM(K6:K16)</f>
        <v>80.135489044</v>
      </c>
    </row>
    <row r="18">
      <c r="B18" s="8" t="inlineStr">
        <is>
          <t>COE - Strategy Architecture</t>
        </is>
      </c>
      <c r="C18" s="9">
        <f>'0.2 Data Config'!$E$6</f>
        <v>2.0</v>
      </c>
      <c r="D18" s="9">
        <f>'2.4 COE Summary'!$D$8</f>
        <v>4.320560996</v>
      </c>
      <c r="E18" s="9">
        <f>C18-D18</f>
        <v>-2.320560996</v>
      </c>
      <c r="F18" s="204" t="n"/>
      <c r="G18" s="9" t="n">
        <v>0</v>
      </c>
      <c r="H18" s="9">
        <f>'2.4 COE Summary'!$E$8</f>
        <v>3.54</v>
      </c>
      <c r="I18" s="9">
        <f>'2.4 COE Summary'!$F$8</f>
        <v>0.7805609960000002</v>
      </c>
      <c r="J18" s="669">
        <f>MAX(0,-E18)+I18</f>
        <v>3.1011219920000004</v>
      </c>
      <c r="K18" s="669">
        <f>'2.4 COE Summary'!$G$8</f>
        <v>4.320560996</v>
      </c>
    </row>
    <row r="19">
      <c r="B19" s="8" t="inlineStr">
        <is>
          <t>COE - Cyber, Risk &amp; Service Ops (rolled into 1.11 TDD Cyber)</t>
        </is>
      </c>
      <c r="C19" s="9">
        <f>'0.2 Data Config'!$E$7</f>
        <v>0.0</v>
      </c>
      <c r="D19" s="9">
        <f>'2.4 COE Summary'!$D$9</f>
        <v>0.0</v>
      </c>
      <c r="E19" s="9">
        <f>C19-D19</f>
        <v>0.0</v>
      </c>
      <c r="F19" s="204" t="n"/>
      <c r="G19" s="9" t="n">
        <v>0</v>
      </c>
      <c r="H19" s="9">
        <f>'2.4 COE Summary'!$E$9</f>
        <v>0.0</v>
      </c>
      <c r="I19" s="9">
        <f>'2.4 COE Summary'!$F$9</f>
        <v>0.0</v>
      </c>
      <c r="J19" s="669">
        <f>MAX(0,-E19)+I19</f>
        <v>0.0</v>
      </c>
      <c r="K19" s="669">
        <f>'2.4 COE Summary'!$G$9</f>
        <v>0.0</v>
      </c>
    </row>
    <row r="20">
      <c r="B20" s="8" t="inlineStr">
        <is>
          <t>COE - Transformation</t>
        </is>
      </c>
      <c r="C20" s="9">
        <f>'0.2 Data Config'!$E$8</f>
        <v>2.0</v>
      </c>
      <c r="D20" s="9">
        <f>'2.4 COE Summary'!$D$10</f>
        <v>3.10799923</v>
      </c>
      <c r="E20" s="9">
        <f>C20-D20</f>
        <v>-1.10799923</v>
      </c>
      <c r="F20" s="204" t="n"/>
      <c r="G20" s="9" t="n">
        <v>0</v>
      </c>
      <c r="H20" s="9">
        <f>'2.4 COE Summary'!$E$10</f>
        <v>2.0</v>
      </c>
      <c r="I20" s="9">
        <f>'2.4 COE Summary'!$F$10</f>
        <v>1.10799923</v>
      </c>
      <c r="J20" s="669">
        <f>MAX(0,-E20)+I20</f>
        <v>2.21599846</v>
      </c>
      <c r="K20" s="669">
        <f>'2.4 COE Summary'!$G$10</f>
        <v>3.10799923</v>
      </c>
    </row>
    <row r="21">
      <c r="B21" s="8" t="inlineStr">
        <is>
          <t>COE - Business Partnering</t>
        </is>
      </c>
      <c r="C21" s="9">
        <f>'0.2 Data Config'!$E$9</f>
        <v>2.0</v>
      </c>
      <c r="D21" s="9">
        <f>'2.4 COE Summary'!$D$11</f>
        <v>3.2925625919999995</v>
      </c>
      <c r="E21" s="9">
        <f>C21-D21</f>
        <v>-1.2925625919999995</v>
      </c>
      <c r="F21" s="204" t="n"/>
      <c r="G21" s="9" t="n">
        <v>0</v>
      </c>
      <c r="H21" s="9">
        <f>'2.4 COE Summary'!$E$11</f>
        <v>3.8920000000000003</v>
      </c>
      <c r="I21" s="9">
        <f>'2.4 COE Summary'!$F$11</f>
        <v>0.0</v>
      </c>
      <c r="J21" s="669">
        <f>MAX(0,-E21)+I21</f>
        <v>1.2925625919999995</v>
      </c>
      <c r="K21" s="669">
        <f>'2.4 COE Summary'!$G$11</f>
        <v>3.2925625919999995</v>
      </c>
    </row>
    <row r="22">
      <c r="B22" s="8" t="inlineStr">
        <is>
          <t>COE - Data</t>
        </is>
      </c>
      <c r="C22" s="9">
        <f>'0.2 Data Config'!$E$10</f>
        <v>2.0</v>
      </c>
      <c r="D22" s="9">
        <f>'2.4 COE Summary'!$D$12</f>
        <v>2.232736616</v>
      </c>
      <c r="E22" s="9">
        <f>C22-D22</f>
        <v>-0.23273661599999995</v>
      </c>
      <c r="F22" s="204" t="n"/>
      <c r="G22" s="9" t="n">
        <v>0</v>
      </c>
      <c r="H22" s="9">
        <f>'2.4 COE Summary'!$E$12</f>
        <v>2.0</v>
      </c>
      <c r="I22" s="9">
        <f>'2.4 COE Summary'!$F$12</f>
        <v>0.23273661599999995</v>
      </c>
      <c r="J22" s="669">
        <f>MAX(0,-E22)+I22</f>
        <v>0.4654732319999999</v>
      </c>
      <c r="K22" s="669">
        <f>'2.4 COE Summary'!$G$12</f>
        <v>2.232736616</v>
      </c>
    </row>
    <row r="23">
      <c r="B23" s="8" t="n"/>
      <c r="C23" s="9" t="n"/>
      <c r="D23" s="9" t="n"/>
      <c r="E23" s="9" t="n"/>
      <c r="F23" s="204" t="n"/>
      <c r="G23" s="9" t="n"/>
      <c r="H23" s="9" t="n"/>
      <c r="I23" s="9" t="n"/>
      <c r="J23" s="9" t="n"/>
    </row>
    <row r="24">
      <c r="B24" s="203" t="inlineStr">
        <is>
          <t>Total - portfolios + COEs</t>
        </is>
      </c>
      <c r="C24" s="204">
        <f>SUM(C17,C18,C19,C20,C21,C22)</f>
        <v>43.5</v>
      </c>
      <c r="D24" s="204">
        <f>SUM(D17,D18,D19,D20,D21,D22)</f>
        <v>62.417348477999994</v>
      </c>
      <c r="E24" s="204">
        <f>SUM(E17,E18,E19,E20,E21,E22)</f>
        <v>-18.917348478</v>
      </c>
      <c r="F24" s="204" t="n"/>
      <c r="G24" s="204">
        <f>SUM(G17,G18,G19,G20,G21,G22)</f>
        <v>30.671999999999997</v>
      </c>
      <c r="H24" s="204">
        <f>SUM(H17,H18,H19,H20,H21,H22)</f>
        <v>23.112</v>
      </c>
      <c r="I24" s="204">
        <f>SUM(I17,I18,I19,I20,I21,I22)</f>
        <v>21.113296842000004</v>
      </c>
      <c r="J24" s="685">
        <f>SUM(J17,J18,J19,J20,J21,J22)</f>
        <v>43.59264532000001</v>
      </c>
      <c r="K24" s="685">
        <f>SUM(K17,K18,K19,K20,K21,K22)</f>
        <v>93.08934847799999</v>
      </c>
    </row>
    <row r="25">
      <c r="B25" s="492" t="inlineStr">
        <is>
          <t>Less: BP &amp; Domain Architect already funded in portfolio overheads (see 2.1)</t>
        </is>
      </c>
      <c r="J25" s="493" t="n"/>
      <c r="K25" s="689">
        <f>'2.6 Total Cost'!$C$23</f>
        <v>-3.4320000000000004</v>
      </c>
    </row>
    <row r="26">
      <c r="B26" s="431" t="inlineStr">
        <is>
          <t>Net operating model cost - ties to 2.1 Total Cost ($m)</t>
        </is>
      </c>
      <c r="J26" s="432" t="n"/>
      <c r="K26" s="689">
        <f>K24+'2.6 Total Cost'!$C$23</f>
        <v>89.65734847799999</v>
      </c>
    </row>
    <row r="27">
      <c r="B27" s="508" t="inlineStr">
        <is>
          <t>Reconciliation to Data Config TDD budget allocation</t>
        </is>
      </c>
      <c r="C27" s="509" t="n"/>
      <c r="D27" s="509" t="n"/>
      <c r="E27" s="509" t="n"/>
      <c r="F27" s="509" t="n"/>
      <c r="G27" s="509" t="n"/>
      <c r="H27" s="509" t="n"/>
      <c r="I27" s="509" t="n"/>
      <c r="J27" s="510" t="n"/>
    </row>
    <row r="28">
      <c r="B28" s="8" t="inlineStr">
        <is>
          <t>Portfolio budgets (above)</t>
        </is>
      </c>
      <c r="C28" s="9">
        <f>C17</f>
        <v>35.5</v>
      </c>
    </row>
    <row r="29">
      <c r="B29" s="8" t="inlineStr">
        <is>
          <t>COE allocations (2.4 COE Summary)</t>
        </is>
      </c>
      <c r="C29" s="202">
        <f>'2.4 COE Summary'!$C$13</f>
        <v>8.0</v>
      </c>
    </row>
    <row r="30">
      <c r="B30" s="203" t="inlineStr">
        <is>
          <t>Total allocation accounted for</t>
        </is>
      </c>
      <c r="C30" s="204">
        <f>C28+C29</f>
        <v>43.5</v>
      </c>
    </row>
    <row r="31">
      <c r="B31" s="8" t="inlineStr">
        <is>
          <t>Data Config total allocation</t>
        </is>
      </c>
      <c r="C31" s="202">
        <f>'0.2 Data Config'!$E$26</f>
        <v>43.5</v>
      </c>
    </row>
    <row r="32">
      <c r="B32" s="203" t="inlineStr">
        <is>
          <t>Check (should be 0)</t>
        </is>
      </c>
      <c r="C32" s="204">
        <f>C30-C31</f>
        <v>0.0</v>
      </c>
    </row>
    <row r="33">
      <c r="B33" s="8" t="inlineStr">
        <is>
          <t>Unallocated TDD budget (headroom)</t>
        </is>
      </c>
      <c r="C33" s="202">
        <f>'0.2 Data Config'!$E$27-'0.2 Data Config'!$E$26</f>
        <v>10.300000000000004</v>
      </c>
    </row>
    <row r="34">
      <c r="B34" s="237" t="inlineStr">
        <is>
          <t>Total TDD Lights On budget (Finance)</t>
        </is>
      </c>
      <c r="C34" s="238">
        <f>'0.2 Data Config'!$E$27</f>
        <v>53.800000000000004</v>
      </c>
    </row>
    <row r="35">
      <c r="B35" s="8" t="inlineStr">
        <is>
          <t>% of TDD budget allocated</t>
        </is>
      </c>
      <c r="C35" s="494">
        <f>C30/C34</f>
        <v>0.8085501858736058</v>
      </c>
    </row>
    <row r="36"/>
    <row r="37">
      <c r="B37" s="666" t="inlineStr">
        <is>
          <t>AU / NZ funding split - from the squad Fund toggles on the 1.x tabs</t>
        </is>
      </c>
    </row>
    <row r="38">
      <c r="B38" s="686" t="inlineStr">
        <is>
          <t>AU budget - 0.2 Data Config ($m)</t>
        </is>
      </c>
      <c r="C38" s="669">
        <f>'0.2 Data Config'!$C$27</f>
        <v>36.2</v>
      </c>
    </row>
    <row r="39">
      <c r="B39" s="686" t="inlineStr">
        <is>
          <t>AU allocated to COEs - 0.2 Data Config ($m)</t>
        </is>
      </c>
      <c r="C39" s="669">
        <f>SUM('0.2 Data Config'!$C$6:$C$10)</f>
        <v>6.0</v>
      </c>
    </row>
    <row r="40">
      <c r="B40" s="686" t="inlineStr">
        <is>
          <t>TDD squad cost - AU funded ($m)</t>
        </is>
      </c>
      <c r="C40" s="669">
        <f>'1.1 Ampol Retail'!$C$68+'1.2 Customer'!$C$56+'1.3 Enterprise Data'!$C$32+'1.4 TDD Group Functions'!$C$36+'1.5 P&amp;C'!$C$34+'1.6 Finance'!$C$34+'1.7 Infrastructure'!$C$42+'1.8 Energy Solutions &amp; B2B'!$C$38+'1.9 Commercial Fuels'!$C$42+'1.10 Z Retail'!$C$35+'1.11 TDD Cyber'!$C$29</f>
        <v>28.203989044</v>
      </c>
    </row>
    <row r="41">
      <c r="B41" s="668" t="inlineStr">
        <is>
          <t>Variance vs AU budget ($m)</t>
        </is>
      </c>
      <c r="C41" s="689">
        <f>C38-C39-C40</f>
        <v>1.9960109560000028</v>
      </c>
    </row>
    <row r="42">
      <c r="B42" s="686" t="inlineStr">
        <is>
          <t>NZ budget - 0.2 Data Config ($m)</t>
        </is>
      </c>
      <c r="C42" s="669">
        <f>'0.2 Data Config'!$D$27</f>
        <v>17.6</v>
      </c>
    </row>
    <row r="43">
      <c r="B43" s="686" t="inlineStr">
        <is>
          <t>NZ allocated to COEs - 0.2 Data Config ($m)</t>
        </is>
      </c>
      <c r="C43" s="669">
        <f>SUM('0.2 Data Config'!$D$6:$D$10)</f>
        <v>2.0</v>
      </c>
    </row>
    <row r="44">
      <c r="B44" s="686" t="inlineStr">
        <is>
          <t>TDD squad cost - NZ funded ($m)</t>
        </is>
      </c>
      <c r="C44" s="669">
        <f>'1.1 Ampol Retail'!$C$69+'1.2 Customer'!$C$57+'1.3 Enterprise Data'!$C$33+'1.4 TDD Group Functions'!$C$37+'1.5 P&amp;C'!$C$35+'1.6 Finance'!$C$35+'1.7 Infrastructure'!$C$43+'1.8 Energy Solutions &amp; B2B'!$C$39+'1.9 Commercial Fuels'!$C$43+'1.10 Z Retail'!$C$36+'1.11 TDD Cyber'!$C$30</f>
        <v>9.219999999999999</v>
      </c>
    </row>
    <row r="45">
      <c r="B45" s="668" t="inlineStr">
        <is>
          <t>Variance vs NZ budget ($m)</t>
        </is>
      </c>
      <c r="C45" s="689">
        <f>C42-C43-C44</f>
        <v>6.380000000000003</v>
      </c>
    </row>
    <row r="46">
      <c r="B46" s="695" t="inlineStr">
        <is>
          <t>Portfolio overheads and platform overheads sit inside the COE and portfolio allocations on 0.2 Data Config.</t>
        </is>
      </c>
    </row>
  </sheetData>
  <mergeCells count="1">
    <mergeCell ref="B4:J4"/>
  </mergeCells>
  <conditionalFormatting sqref="E6:E24">
    <cfRule type="cellIs" priority="5" operator="greaterThanOrEqual" dxfId="0">
      <formula>0</formula>
    </cfRule>
    <cfRule type="cellIs" priority="6" operator="lessThan" dxfId="1">
      <formula>0</formula>
    </cfRule>
  </conditionalFormatting>
  <conditionalFormatting sqref="I6:I24">
    <cfRule type="cellIs" priority="7" operator="greaterThan" dxfId="1">
      <formula>0</formula>
    </cfRule>
    <cfRule type="cellIs" priority="8" operator="lessThanOrEqual" dxfId="0">
      <formula>0</formula>
    </cfRule>
  </conditionalFormatting>
  <pageMargins left="0.75" right="0.75" top="1" bottom="1" header="0.511811023622047" footer="0.511811023622047"/>
  <pageSetup orientation="portrait" paperSize="9" horizontalDpi="300" verticalDpi="300"/>
</worksheet>
</file>

<file path=xl/worksheets/sheet26.xml><?xml version="1.0" encoding="utf-8"?>
<worksheet xmlns="http://schemas.openxmlformats.org/spreadsheetml/2006/main">
  <sheetPr>
    <tabColor rgb="00002F6C"/>
    <outlinePr summaryBelow="1" summaryRight="1"/>
    <pageSetUpPr/>
  </sheetPr>
  <dimension ref="A1:M55"/>
  <sheetViews>
    <sheetView showGridLines="0" tabSelected="1" zoomScaleNormal="100" workbookViewId="0">
      <selection activeCell="L11" sqref="L11"/>
    </sheetView>
  </sheetViews>
  <sheetFormatPr baseColWidth="8" defaultRowHeight="14.5" outlineLevelCol="0"/>
  <cols>
    <col width="3" customWidth="1" style="506" min="1" max="1"/>
    <col width="46" customWidth="1" style="506" min="2" max="2"/>
    <col width="13" bestFit="1" customWidth="1" style="506" min="3" max="3"/>
    <col width="13" bestFit="1" customWidth="1" style="506" min="4" max="4"/>
    <col width="13" bestFit="1" customWidth="1" style="506" min="5" max="5"/>
    <col width="13" customWidth="1" style="506" min="6" max="6"/>
    <col width="13" bestFit="1" customWidth="1" style="506" min="7" max="7"/>
    <col width="13" customWidth="1" style="506" min="8" max="8"/>
    <col width="13" customWidth="1" style="506" min="9" max="9"/>
    <col width="13" customWidth="1" style="506" min="10" max="10"/>
    <col width="13" customWidth="1" style="506" min="11" max="11"/>
    <col width="13" customWidth="1" style="506" min="12" max="12"/>
  </cols>
  <sheetData>
    <row r="1"/>
    <row r="2" ht="21" customHeight="1" s="506">
      <c r="B2" s="664" t="inlineStr">
        <is>
          <t>Total Cost - archetype model vs actual organisation</t>
        </is>
      </c>
      <c r="C2" s="665" t="n"/>
      <c r="D2" s="665" t="n"/>
      <c r="E2" s="665" t="n"/>
      <c r="F2" s="665" t="n"/>
      <c r="G2" s="665" t="n"/>
      <c r="H2" s="665" t="n"/>
      <c r="I2" s="665" t="n"/>
      <c r="J2" s="665" t="n"/>
      <c r="K2" s="665" t="n"/>
      <c r="L2" s="665" t="n"/>
      <c r="M2" s="665" t="n"/>
    </row>
    <row r="3">
      <c r="B3" s="665" t="n"/>
      <c r="C3" s="665" t="n"/>
      <c r="D3" s="665" t="n"/>
      <c r="E3" s="665" t="n"/>
      <c r="F3" s="665" t="n"/>
      <c r="G3" s="665" t="n"/>
      <c r="H3" s="665" t="n"/>
      <c r="I3" s="665" t="n"/>
      <c r="J3" s="665" t="n"/>
      <c r="K3" s="665" t="n"/>
      <c r="L3" s="665" t="n"/>
      <c r="M3" s="665" t="n"/>
    </row>
    <row r="4">
      <c r="B4" s="666" t="inlineStr">
        <is>
          <t>Portfolio cost in one number - squads, strategic programs, leadership and overheads</t>
        </is>
      </c>
      <c r="C4" s="665" t="n"/>
      <c r="D4" s="665" t="n"/>
      <c r="E4" s="665" t="n"/>
      <c r="F4" s="665" t="n"/>
      <c r="G4" s="665" t="n"/>
      <c r="H4" s="665" t="n"/>
      <c r="I4" s="665" t="n"/>
      <c r="J4" s="665" t="n"/>
      <c r="K4" s="665" t="n"/>
      <c r="L4" s="665" t="n"/>
      <c r="M4" s="665" t="n"/>
    </row>
    <row r="5">
      <c r="B5" s="667" t="inlineStr">
        <is>
          <t>Portfolio</t>
        </is>
      </c>
      <c r="C5" s="667" t="inlineStr">
        <is>
          <t>Archetype cost ($m)</t>
        </is>
      </c>
      <c r="D5" s="667" t="inlineStr">
        <is>
          <t>Archetype squad FTE</t>
        </is>
      </c>
      <c r="E5" s="667" t="inlineStr">
        <is>
          <t>Actual Filled ($m)</t>
        </is>
      </c>
      <c r="F5" s="667" t="inlineStr">
        <is>
          <t>Filled FTE</t>
        </is>
      </c>
      <c r="G5" s="667" t="inlineStr">
        <is>
          <t>Actual Vacant ($m)</t>
        </is>
      </c>
      <c r="H5" s="667" t="inlineStr">
        <is>
          <t>Vacant FTE</t>
        </is>
      </c>
      <c r="I5" s="667" t="inlineStr">
        <is>
          <t>Actual Total ($m)</t>
        </is>
      </c>
      <c r="J5" s="667" t="inlineStr">
        <is>
          <t>Total FTE</t>
        </is>
      </c>
      <c r="K5" s="667" t="inlineStr">
        <is>
          <t>Over/(under) archetype ($m)</t>
        </is>
      </c>
      <c r="L5" s="667" t="inlineStr">
        <is>
          <t>FTE vs archetype</t>
        </is>
      </c>
      <c r="M5" s="665" t="n"/>
    </row>
    <row r="6">
      <c r="B6" s="668" t="str">
        <f>'1.1 Ampol Retail'!$B$2</f>
        <v>Ampol Retail</v>
      </c>
      <c r="C6" s="669">
        <f>'1.1 Ampol Retail'!$E$9</f>
        <v>10.3545</v>
      </c>
      <c r="D6" s="670">
        <f>'2.7 Squad Detail'!$G$22</f>
        <v>60.5</v>
      </c>
      <c r="E6" s="669">
        <f>(SUMIFS('Added data'!$AA:$AA,'Added data'!$AC:$AC,$B6,'Added data'!$AF:$AF,"Squad",'Added data'!$AG:$AG,"Filled")+SUMIFS('Added data'!$AA:$AA,'Added data'!$AC:$AC,$B6,'Added data'!$AF:$AF,"Strategic Program",'Added data'!$AG:$AG,"Filled")+SUMIFS('Added data'!$AA:$AA,'Added data'!$AC:$AC,$B6,'Added data'!$AF:$AF,"Leadership",'Added data'!$AG:$AG,"Filled"))/1000000</f>
        <v>8.563324751</v>
      </c>
      <c r="F6" s="671">
        <f>COUNTIFS(Squads!$N:$N,$B6,Squads!$Q:$Q,"Squad",Squads!$R:$R,"Filled")+COUNTIFS(Squads!$N:$N,$B6,Squads!$Q:$Q,"Strategic Program",Squads!$R:$R,"Filled")+COUNTIFS(Squads!$N:$N,$B6,Squads!$Q:$Q,"Leadership",Squads!$R:$R,"Filled")</f>
        <v>52.0</v>
      </c>
      <c r="G6" s="669">
        <f>(SUMIFS('Added data'!$AA:$AA,'Added data'!$AC:$AC,$B6,'Added data'!$AF:$AF,"Squad",'Added data'!$AG:$AG,"Vacant")+SUMIFS('Added data'!$AA:$AA,'Added data'!$AC:$AC,$B6,'Added data'!$AF:$AF,"Strategic Program",'Added data'!$AG:$AG,"Vacant")+SUMIFS('Added data'!$AA:$AA,'Added data'!$AC:$AC,$B6,'Added data'!$AF:$AF,"Leadership",'Added data'!$AG:$AG,"Vacant"))/1000000</f>
        <v>4.020313925</v>
      </c>
      <c r="H6" s="671">
        <f>COUNTIFS(Squads!$N:$N,$B6,Squads!$Q:$Q,"Squad",Squads!$R:$R,"Vacant")+COUNTIFS(Squads!$N:$N,$B6,Squads!$Q:$Q,"Strategic Program",Squads!$R:$R,"Vacant")+COUNTIFS(Squads!$N:$N,$B6,Squads!$Q:$Q,"Leadership",Squads!$R:$R,"Vacant")</f>
        <v>28.0</v>
      </c>
      <c r="I6" s="669">
        <f>E6+G6</f>
        <v>12.583638676</v>
      </c>
      <c r="J6" s="671">
        <f>F6+H6</f>
        <v>80.0</v>
      </c>
      <c r="K6" s="669">
        <f>ROUND(I6-C6,6)</f>
        <v>2.229139</v>
      </c>
      <c r="L6" s="670">
        <f>ROUND(J6-D6,1)</f>
        <v>19.5</v>
      </c>
      <c r="M6" s="665" t="n"/>
    </row>
    <row r="7">
      <c r="B7" s="668" t="str">
        <f>'1.2 Customer'!$B$2</f>
        <v>Customer</v>
      </c>
      <c r="C7" s="669">
        <f>'1.2 Customer'!$E$9</f>
        <v>14.9445</v>
      </c>
      <c r="D7" s="670">
        <f>'2.7 Squad Detail'!$G$36</f>
        <v>61.0</v>
      </c>
      <c r="E7" s="669">
        <f>(SUMIFS('Added data'!$AA:$AA,'Added data'!$AC:$AC,$B7,'Added data'!$AF:$AF,"Squad",'Added data'!$AG:$AG,"Filled")+SUMIFS('Added data'!$AA:$AA,'Added data'!$AC:$AC,$B7,'Added data'!$AF:$AF,"Strategic Program",'Added data'!$AG:$AG,"Filled")+SUMIFS('Added data'!$AA:$AA,'Added data'!$AC:$AC,$B7,'Added data'!$AF:$AF,"Leadership",'Added data'!$AG:$AG,"Filled"))/1000000</f>
        <v>13.37082959</v>
      </c>
      <c r="F7" s="671">
        <f>COUNTIFS(Squads!$N:$N,$B7,Squads!$Q:$Q,"Squad",Squads!$R:$R,"Filled")+COUNTIFS(Squads!$N:$N,$B7,Squads!$Q:$Q,"Strategic Program",Squads!$R:$R,"Filled")+COUNTIFS(Squads!$N:$N,$B7,Squads!$Q:$Q,"Leadership",Squads!$R:$R,"Filled")</f>
        <v>69.0</v>
      </c>
      <c r="G7" s="669">
        <f>(SUMIFS('Added data'!$AA:$AA,'Added data'!$AC:$AC,$B7,'Added data'!$AF:$AF,"Squad",'Added data'!$AG:$AG,"Vacant")+SUMIFS('Added data'!$AA:$AA,'Added data'!$AC:$AC,$B7,'Added data'!$AF:$AF,"Strategic Program",'Added data'!$AG:$AG,"Vacant")+SUMIFS('Added data'!$AA:$AA,'Added data'!$AC:$AC,$B7,'Added data'!$AF:$AF,"Leadership",'Added data'!$AG:$AG,"Vacant"))/1000000</f>
        <v>3.83472715</v>
      </c>
      <c r="H7" s="671">
        <f>COUNTIFS(Squads!$N:$N,$B7,Squads!$Q:$Q,"Squad",Squads!$R:$R,"Vacant")+COUNTIFS(Squads!$N:$N,$B7,Squads!$Q:$Q,"Strategic Program",Squads!$R:$R,"Vacant")+COUNTIFS(Squads!$N:$N,$B7,Squads!$Q:$Q,"Leadership",Squads!$R:$R,"Vacant")</f>
        <v>19.0</v>
      </c>
      <c r="I7" s="669">
        <f>E7+G7</f>
        <v>17.20555674</v>
      </c>
      <c r="J7" s="671">
        <f>F7+H7</f>
        <v>88.0</v>
      </c>
      <c r="K7" s="669">
        <f>ROUND(I7-C7,6)</f>
        <v>2.261057</v>
      </c>
      <c r="L7" s="670">
        <f>ROUND(J7-D7,1)</f>
        <v>27.0</v>
      </c>
      <c r="M7" s="665" t="n"/>
    </row>
    <row r="8">
      <c r="B8" s="668" t="str">
        <f>'1.3 Enterprise Data'!$B$2</f>
        <v>Enterprise Data</v>
      </c>
      <c r="C8" s="669">
        <f>'1.3 Enterprise Data'!$E$9</f>
        <v>6.0145</v>
      </c>
      <c r="D8" s="670">
        <f>'2.7 Squad Detail'!$G$43</f>
        <v>33.0</v>
      </c>
      <c r="E8" s="669">
        <f>(SUMIFS('Added data'!$AA:$AA,'Added data'!$AC:$AC,$B8,'Added data'!$AF:$AF,"Squad",'Added data'!$AG:$AG,"Filled")+SUMIFS('Added data'!$AA:$AA,'Added data'!$AC:$AC,$B8,'Added data'!$AF:$AF,"Strategic Program",'Added data'!$AG:$AG,"Filled")+SUMIFS('Added data'!$AA:$AA,'Added data'!$AC:$AC,$B8,'Added data'!$AF:$AF,"Leadership",'Added data'!$AG:$AG,"Filled"))/1000000</f>
        <v>4.763544216</v>
      </c>
      <c r="F8" s="671">
        <f>COUNTIFS(Squads!$N:$N,$B8,Squads!$Q:$Q,"Squad",Squads!$R:$R,"Filled")+COUNTIFS(Squads!$N:$N,$B8,Squads!$Q:$Q,"Strategic Program",Squads!$R:$R,"Filled")+COUNTIFS(Squads!$N:$N,$B8,Squads!$Q:$Q,"Leadership",Squads!$R:$R,"Filled")</f>
        <v>16.0</v>
      </c>
      <c r="G8" s="669">
        <f>(SUMIFS('Added data'!$AA:$AA,'Added data'!$AC:$AC,$B8,'Added data'!$AF:$AF,"Squad",'Added data'!$AG:$AG,"Vacant")+SUMIFS('Added data'!$AA:$AA,'Added data'!$AC:$AC,$B8,'Added data'!$AF:$AF,"Strategic Program",'Added data'!$AG:$AG,"Vacant")+SUMIFS('Added data'!$AA:$AA,'Added data'!$AC:$AC,$B8,'Added data'!$AF:$AF,"Leadership",'Added data'!$AG:$AG,"Vacant"))/1000000</f>
        <v>2.16412225</v>
      </c>
      <c r="H8" s="671">
        <f>COUNTIFS(Squads!$N:$N,$B8,Squads!$Q:$Q,"Squad",Squads!$R:$R,"Vacant")+COUNTIFS(Squads!$N:$N,$B8,Squads!$Q:$Q,"Strategic Program",Squads!$R:$R,"Vacant")+COUNTIFS(Squads!$N:$N,$B8,Squads!$Q:$Q,"Leadership",Squads!$R:$R,"Vacant")</f>
        <v>14.0</v>
      </c>
      <c r="I8" s="669">
        <f>E8+G8</f>
        <v>6.927666466</v>
      </c>
      <c r="J8" s="671">
        <f>F8+H8</f>
        <v>30.0</v>
      </c>
      <c r="K8" s="669">
        <f>ROUND(I8-C8,6)</f>
        <v>0.913166</v>
      </c>
      <c r="L8" s="670">
        <f>ROUND(J8-D8,1)</f>
        <v>-3.0</v>
      </c>
      <c r="M8" s="665" t="n"/>
    </row>
    <row r="9">
      <c r="B9" s="668" t="str">
        <f>'1.4 TDD Group Functions'!$B$2</f>
        <v>TDD Group Functions</v>
      </c>
      <c r="C9" s="669">
        <f>'1.4 TDD Group Functions'!$E$9</f>
        <v>4.814499999999999</v>
      </c>
      <c r="D9" s="670">
        <f>'2.7 Squad Detail'!$G$51</f>
        <v>26.5</v>
      </c>
      <c r="E9" s="669">
        <f>(SUMIFS('Added data'!$AA:$AA,'Added data'!$AC:$AC,$B9,'Added data'!$AF:$AF,"Squad",'Added data'!$AG:$AG,"Filled")+SUMIFS('Added data'!$AA:$AA,'Added data'!$AC:$AC,$B9,'Added data'!$AF:$AF,"Strategic Program",'Added data'!$AG:$AG,"Filled")+SUMIFS('Added data'!$AA:$AA,'Added data'!$AC:$AC,$B9,'Added data'!$AF:$AF,"Leadership",'Added data'!$AG:$AG,"Filled"))/1000000</f>
        <v>6.9850174824</v>
      </c>
      <c r="F9" s="671">
        <f>COUNTIFS(Squads!$N:$N,$B9,Squads!$Q:$Q,"Squad",Squads!$R:$R,"Filled")+COUNTIFS(Squads!$N:$N,$B9,Squads!$Q:$Q,"Strategic Program",Squads!$R:$R,"Filled")+COUNTIFS(Squads!$N:$N,$B9,Squads!$Q:$Q,"Leadership",Squads!$R:$R,"Filled")</f>
        <v>31.0</v>
      </c>
      <c r="G9" s="669">
        <f>(SUMIFS('Added data'!$AA:$AA,'Added data'!$AC:$AC,$B9,'Added data'!$AF:$AF,"Squad",'Added data'!$AG:$AG,"Vacant")+SUMIFS('Added data'!$AA:$AA,'Added data'!$AC:$AC,$B9,'Added data'!$AF:$AF,"Strategic Program",'Added data'!$AG:$AG,"Vacant")+SUMIFS('Added data'!$AA:$AA,'Added data'!$AC:$AC,$B9,'Added data'!$AF:$AF,"Leadership",'Added data'!$AG:$AG,"Vacant"))/1000000</f>
        <v>3.345912</v>
      </c>
      <c r="H9" s="671">
        <f>COUNTIFS(Squads!$N:$N,$B9,Squads!$Q:$Q,"Squad",Squads!$R:$R,"Vacant")+COUNTIFS(Squads!$N:$N,$B9,Squads!$Q:$Q,"Strategic Program",Squads!$R:$R,"Vacant")+COUNTIFS(Squads!$N:$N,$B9,Squads!$Q:$Q,"Leadership",Squads!$R:$R,"Vacant")</f>
        <v>14.0</v>
      </c>
      <c r="I9" s="669">
        <f>E9+G9</f>
        <v>10.3309294824</v>
      </c>
      <c r="J9" s="671">
        <f>F9+H9</f>
        <v>45.0</v>
      </c>
      <c r="K9" s="669">
        <f>ROUND(I9-C9,6)</f>
        <v>5.516429</v>
      </c>
      <c r="L9" s="670">
        <f>ROUND(J9-D9,1)</f>
        <v>18.5</v>
      </c>
      <c r="M9" s="665" t="n"/>
    </row>
    <row r="10">
      <c r="B10" s="668" t="str">
        <f>'1.5 P&amp;C'!$B$2</f>
        <v>P&amp;C</v>
      </c>
      <c r="C10" s="669">
        <f>'1.5 P&amp;C'!$E$9</f>
        <v>2.7145</v>
      </c>
      <c r="D10" s="670">
        <f>'2.7 Squad Detail'!$G$57</f>
        <v>15.0</v>
      </c>
      <c r="E10" s="669">
        <f>(SUMIFS('Added data'!$AA:$AA,'Added data'!$AC:$AC,$B10,'Added data'!$AF:$AF,"Squad",'Added data'!$AG:$AG,"Filled")+SUMIFS('Added data'!$AA:$AA,'Added data'!$AC:$AC,$B10,'Added data'!$AF:$AF,"Strategic Program",'Added data'!$AG:$AG,"Filled")+SUMIFS('Added data'!$AA:$AA,'Added data'!$AC:$AC,$B10,'Added data'!$AF:$AF,"Leadership",'Added data'!$AG:$AG,"Filled"))/1000000</f>
        <v>2.07003598</v>
      </c>
      <c r="F10" s="671">
        <f>COUNTIFS(Squads!$N:$N,$B10,Squads!$Q:$Q,"Squad",Squads!$R:$R,"Filled")+COUNTIFS(Squads!$N:$N,$B10,Squads!$Q:$Q,"Strategic Program",Squads!$R:$R,"Filled")+COUNTIFS(Squads!$N:$N,$B10,Squads!$Q:$Q,"Leadership",Squads!$R:$R,"Filled")</f>
        <v>9.0</v>
      </c>
      <c r="G10" s="669">
        <f>(SUMIFS('Added data'!$AA:$AA,'Added data'!$AC:$AC,$B10,'Added data'!$AF:$AF,"Squad",'Added data'!$AG:$AG,"Vacant")+SUMIFS('Added data'!$AA:$AA,'Added data'!$AC:$AC,$B10,'Added data'!$AF:$AF,"Strategic Program",'Added data'!$AG:$AG,"Vacant")+SUMIFS('Added data'!$AA:$AA,'Added data'!$AC:$AC,$B10,'Added data'!$AF:$AF,"Leadership",'Added data'!$AG:$AG,"Vacant"))/1000000</f>
        <v>2.1144049</v>
      </c>
      <c r="H10" s="671">
        <f>COUNTIFS(Squads!$N:$N,$B10,Squads!$Q:$Q,"Squad",Squads!$R:$R,"Vacant")+COUNTIFS(Squads!$N:$N,$B10,Squads!$Q:$Q,"Strategic Program",Squads!$R:$R,"Vacant")+COUNTIFS(Squads!$N:$N,$B10,Squads!$Q:$Q,"Leadership",Squads!$R:$R,"Vacant")</f>
        <v>9.0</v>
      </c>
      <c r="I10" s="669">
        <f>E10+G10</f>
        <v>4.18444088</v>
      </c>
      <c r="J10" s="671">
        <f>F10+H10</f>
        <v>18.0</v>
      </c>
      <c r="K10" s="669">
        <f>ROUND(I10-C10,6)</f>
        <v>1.469941</v>
      </c>
      <c r="L10" s="670">
        <f>ROUND(J10-D10,1)</f>
        <v>3.0</v>
      </c>
      <c r="M10" s="665" t="n"/>
    </row>
    <row r="11">
      <c r="B11" s="668" t="str">
        <f>'1.6 Finance'!$B$2</f>
        <v>Finance</v>
      </c>
      <c r="C11" s="669">
        <f>'1.6 Finance'!$E$9</f>
        <v>3.4145000000000003</v>
      </c>
      <c r="D11" s="670">
        <f>'2.7 Squad Detail'!$G$63</f>
        <v>20.0</v>
      </c>
      <c r="E11" s="669">
        <f>(SUMIFS('Added data'!$AA:$AA,'Added data'!$AC:$AC,$B11,'Added data'!$AF:$AF,"Squad",'Added data'!$AG:$AG,"Filled")+SUMIFS('Added data'!$AA:$AA,'Added data'!$AC:$AC,$B11,'Added data'!$AF:$AF,"Strategic Program",'Added data'!$AG:$AG,"Filled")+SUMIFS('Added data'!$AA:$AA,'Added data'!$AC:$AC,$B11,'Added data'!$AF:$AF,"Leadership",'Added data'!$AG:$AG,"Filled"))/1000000</f>
        <v>1.6927347459999997</v>
      </c>
      <c r="F11" s="671">
        <f>COUNTIFS(Squads!$N:$N,$B11,Squads!$Q:$Q,"Squad",Squads!$R:$R,"Filled")+COUNTIFS(Squads!$N:$N,$B11,Squads!$Q:$Q,"Strategic Program",Squads!$R:$R,"Filled")+COUNTIFS(Squads!$N:$N,$B11,Squads!$Q:$Q,"Leadership",Squads!$R:$R,"Filled")</f>
        <v>8.0</v>
      </c>
      <c r="G11" s="669">
        <f>(SUMIFS('Added data'!$AA:$AA,'Added data'!$AC:$AC,$B11,'Added data'!$AF:$AF,"Squad",'Added data'!$AG:$AG,"Vacant")+SUMIFS('Added data'!$AA:$AA,'Added data'!$AC:$AC,$B11,'Added data'!$AF:$AF,"Strategic Program",'Added data'!$AG:$AG,"Vacant")+SUMIFS('Added data'!$AA:$AA,'Added data'!$AC:$AC,$B11,'Added data'!$AF:$AF,"Leadership",'Added data'!$AG:$AG,"Vacant"))/1000000</f>
        <v>1.7966813700000002</v>
      </c>
      <c r="H11" s="671">
        <f>COUNTIFS(Squads!$N:$N,$B11,Squads!$Q:$Q,"Squad",Squads!$R:$R,"Vacant")+COUNTIFS(Squads!$N:$N,$B11,Squads!$Q:$Q,"Strategic Program",Squads!$R:$R,"Vacant")+COUNTIFS(Squads!$N:$N,$B11,Squads!$Q:$Q,"Leadership",Squads!$R:$R,"Vacant")</f>
        <v>8.0</v>
      </c>
      <c r="I11" s="669">
        <f>E11+G11</f>
        <v>3.489416116</v>
      </c>
      <c r="J11" s="671">
        <f>F11+H11</f>
        <v>16.0</v>
      </c>
      <c r="K11" s="669">
        <f>ROUND(I11-C11,6)</f>
        <v>0.074916</v>
      </c>
      <c r="L11" s="670">
        <f>ROUND(J11-D11,1)</f>
        <v>-4.0</v>
      </c>
      <c r="M11" s="665" t="n"/>
    </row>
    <row r="12">
      <c r="B12" s="668" t="str">
        <f>'1.7 Infrastructure'!$B$2</f>
        <v>Infrastructure</v>
      </c>
      <c r="C12" s="669">
        <f>'1.7 Infrastructure'!$E$10</f>
        <v>5.2445</v>
      </c>
      <c r="D12" s="670">
        <f>'2.7 Squad Detail'!$G$71</f>
        <v>28.0</v>
      </c>
      <c r="E12" s="669">
        <f>(SUMIFS('Added data'!$AA:$AA,'Added data'!$AC:$AC,$B12,'Added data'!$AF:$AF,"Squad",'Added data'!$AG:$AG,"Filled")+SUMIFS('Added data'!$AA:$AA,'Added data'!$AC:$AC,$B12,'Added data'!$AF:$AF,"Strategic Program",'Added data'!$AG:$AG,"Filled")+SUMIFS('Added data'!$AA:$AA,'Added data'!$AC:$AC,$B12,'Added data'!$AF:$AF,"Leadership",'Added data'!$AG:$AG,"Filled"))/1000000</f>
        <v>5.10357679</v>
      </c>
      <c r="F12" s="671">
        <f>COUNTIFS(Squads!$N:$N,$B12,Squads!$Q:$Q,"Squad",Squads!$R:$R,"Filled")+COUNTIFS(Squads!$N:$N,$B12,Squads!$Q:$Q,"Strategic Program",Squads!$R:$R,"Filled")+COUNTIFS(Squads!$N:$N,$B12,Squads!$Q:$Q,"Leadership",Squads!$R:$R,"Filled")</f>
        <v>21.0</v>
      </c>
      <c r="G12" s="669">
        <f>(SUMIFS('Added data'!$AA:$AA,'Added data'!$AC:$AC,$B12,'Added data'!$AF:$AF,"Squad",'Added data'!$AG:$AG,"Vacant")+SUMIFS('Added data'!$AA:$AA,'Added data'!$AC:$AC,$B12,'Added data'!$AF:$AF,"Strategic Program",'Added data'!$AG:$AG,"Vacant")+SUMIFS('Added data'!$AA:$AA,'Added data'!$AC:$AC,$B12,'Added data'!$AF:$AF,"Leadership",'Added data'!$AG:$AG,"Vacant"))/1000000</f>
        <v>2.4419335</v>
      </c>
      <c r="H12" s="671">
        <f>COUNTIFS(Squads!$N:$N,$B12,Squads!$Q:$Q,"Squad",Squads!$R:$R,"Vacant")+COUNTIFS(Squads!$N:$N,$B12,Squads!$Q:$Q,"Strategic Program",Squads!$R:$R,"Vacant")+COUNTIFS(Squads!$N:$N,$B12,Squads!$Q:$Q,"Leadership",Squads!$R:$R,"Vacant")</f>
        <v>14.0</v>
      </c>
      <c r="I12" s="669">
        <f>E12+G12</f>
        <v>7.54551029</v>
      </c>
      <c r="J12" s="671">
        <f>F12+H12</f>
        <v>35.0</v>
      </c>
      <c r="K12" s="669">
        <f>ROUND(I12-C12,6)</f>
        <v>2.30101</v>
      </c>
      <c r="L12" s="670">
        <f>ROUND(J12-D12,1)</f>
        <v>7.0</v>
      </c>
      <c r="M12" s="665" t="n"/>
    </row>
    <row r="13">
      <c r="B13" s="668" t="str">
        <f>'1.8 Energy Solutions &amp; B2B'!$B$2</f>
        <v>Energy Solutions &amp; B2B</v>
      </c>
      <c r="C13" s="669">
        <f>'1.8 Energy Solutions &amp; B2B'!$E$9</f>
        <v>7.1795</v>
      </c>
      <c r="D13" s="670">
        <f>'2.7 Squad Detail'!$G$77</f>
        <v>32.0</v>
      </c>
      <c r="E13" s="669">
        <f>(SUMIFS('Added data'!$AA:$AA,'Added data'!$AC:$AC,$B13,'Added data'!$AF:$AF,"Squad",'Added data'!$AG:$AG,"Filled")+SUMIFS('Added data'!$AA:$AA,'Added data'!$AC:$AC,$B13,'Added data'!$AF:$AF,"Strategic Program",'Added data'!$AG:$AG,"Filled")+SUMIFS('Added data'!$AA:$AA,'Added data'!$AC:$AC,$B13,'Added data'!$AF:$AF,"Leadership",'Added data'!$AG:$AG,"Filled"))/1000000</f>
        <v>4.961017528</v>
      </c>
      <c r="F13" s="671">
        <f>COUNTIFS(Squads!$N:$N,$B13,Squads!$Q:$Q,"Squad",Squads!$R:$R,"Filled")+COUNTIFS(Squads!$N:$N,$B13,Squads!$Q:$Q,"Strategic Program",Squads!$R:$R,"Filled")+COUNTIFS(Squads!$N:$N,$B13,Squads!$Q:$Q,"Leadership",Squads!$R:$R,"Filled")</f>
        <v>25.0</v>
      </c>
      <c r="G13" s="669">
        <f>(SUMIFS('Added data'!$AA:$AA,'Added data'!$AC:$AC,$B13,'Added data'!$AF:$AF,"Squad",'Added data'!$AG:$AG,"Vacant")+SUMIFS('Added data'!$AA:$AA,'Added data'!$AC:$AC,$B13,'Added data'!$AF:$AF,"Strategic Program",'Added data'!$AG:$AG,"Vacant")+SUMIFS('Added data'!$AA:$AA,'Added data'!$AC:$AC,$B13,'Added data'!$AF:$AF,"Leadership",'Added data'!$AG:$AG,"Vacant"))/1000000</f>
        <v>1.826412</v>
      </c>
      <c r="H13" s="671">
        <f>COUNTIFS(Squads!$N:$N,$B13,Squads!$Q:$Q,"Squad",Squads!$R:$R,"Vacant")+COUNTIFS(Squads!$N:$N,$B13,Squads!$Q:$Q,"Strategic Program",Squads!$R:$R,"Vacant")+COUNTIFS(Squads!$N:$N,$B13,Squads!$Q:$Q,"Leadership",Squads!$R:$R,"Vacant")</f>
        <v>12.0</v>
      </c>
      <c r="I13" s="669">
        <f>E13+G13</f>
        <v>6.7874295280000005</v>
      </c>
      <c r="J13" s="671">
        <f>F13+H13</f>
        <v>37.0</v>
      </c>
      <c r="K13" s="669">
        <f>ROUND(I13-C13,6)</f>
        <v>-0.39207</v>
      </c>
      <c r="L13" s="670">
        <f>ROUND(J13-D13,1)</f>
        <v>5.0</v>
      </c>
      <c r="M13" s="665" t="n"/>
    </row>
    <row r="14">
      <c r="B14" s="668" t="str">
        <f>'1.9 Commercial Fuels'!$B$2</f>
        <v>Commercial Fuels</v>
      </c>
      <c r="C14" s="669">
        <f>'1.9 Commercial Fuels'!$E$9</f>
        <v>7.144500000000001</v>
      </c>
      <c r="D14" s="670">
        <f>'2.7 Squad Detail'!$G$85</f>
        <v>25.5</v>
      </c>
      <c r="E14" s="669">
        <f>(SUMIFS('Added data'!$AA:$AA,'Added data'!$AC:$AC,$B14,'Added data'!$AF:$AF,"Squad",'Added data'!$AG:$AG,"Filled")+SUMIFS('Added data'!$AA:$AA,'Added data'!$AC:$AC,$B14,'Added data'!$AF:$AF,"Strategic Program",'Added data'!$AG:$AG,"Filled")+SUMIFS('Added data'!$AA:$AA,'Added data'!$AC:$AC,$B14,'Added data'!$AF:$AF,"Leadership",'Added data'!$AG:$AG,"Filled"))/1000000</f>
        <v>8.483902728699999</v>
      </c>
      <c r="F14" s="671">
        <f>COUNTIFS(Squads!$N:$N,$B14,Squads!$Q:$Q,"Squad",Squads!$R:$R,"Filled")+COUNTIFS(Squads!$N:$N,$B14,Squads!$Q:$Q,"Strategic Program",Squads!$R:$R,"Filled")+COUNTIFS(Squads!$N:$N,$B14,Squads!$Q:$Q,"Leadership",Squads!$R:$R,"Filled")</f>
        <v>32.0</v>
      </c>
      <c r="G14" s="669">
        <f>(SUMIFS('Added data'!$AA:$AA,'Added data'!$AC:$AC,$B14,'Added data'!$AF:$AF,"Squad",'Added data'!$AG:$AG,"Vacant")+SUMIFS('Added data'!$AA:$AA,'Added data'!$AC:$AC,$B14,'Added data'!$AF:$AF,"Strategic Program",'Added data'!$AG:$AG,"Vacant")+SUMIFS('Added data'!$AA:$AA,'Added data'!$AC:$AC,$B14,'Added data'!$AF:$AF,"Leadership",'Added data'!$AG:$AG,"Vacant"))/1000000</f>
        <v>1.713767</v>
      </c>
      <c r="H14" s="671">
        <f>COUNTIFS(Squads!$N:$N,$B14,Squads!$Q:$Q,"Squad",Squads!$R:$R,"Vacant")+COUNTIFS(Squads!$N:$N,$B14,Squads!$Q:$Q,"Strategic Program",Squads!$R:$R,"Vacant")+COUNTIFS(Squads!$N:$N,$B14,Squads!$Q:$Q,"Leadership",Squads!$R:$R,"Vacant")</f>
        <v>8.0</v>
      </c>
      <c r="I14" s="669">
        <f>E14+G14</f>
        <v>10.1976697287</v>
      </c>
      <c r="J14" s="671">
        <f>F14+H14</f>
        <v>40.0</v>
      </c>
      <c r="K14" s="669">
        <f>ROUND(I14-C14,6)</f>
        <v>3.05317</v>
      </c>
      <c r="L14" s="670">
        <f>ROUND(J14-D14,1)</f>
        <v>14.5</v>
      </c>
      <c r="M14" s="665" t="n"/>
    </row>
    <row r="15">
      <c r="B15" s="668" t="str">
        <f>'1.10 Z Retail'!$B$2</f>
        <v>Z Retail</v>
      </c>
      <c r="C15" s="669">
        <f>'1.10 Z Retail'!$E$9</f>
        <v>6.4795</v>
      </c>
      <c r="D15" s="670">
        <f>'2.7 Squad Detail'!$G$91</f>
        <v>27.0</v>
      </c>
      <c r="E15" s="669">
        <f>(SUMIFS('Added data'!$AA:$AA,'Added data'!$AC:$AC,$B15,'Added data'!$AF:$AF,"Squad",'Added data'!$AG:$AG,"Filled")+SUMIFS('Added data'!$AA:$AA,'Added data'!$AC:$AC,$B15,'Added data'!$AF:$AF,"Strategic Program",'Added data'!$AG:$AG,"Filled")+SUMIFS('Added data'!$AA:$AA,'Added data'!$AC:$AC,$B15,'Added data'!$AF:$AF,"Leadership",'Added data'!$AG:$AG,"Filled"))/1000000</f>
        <v>3.8550337600000004</v>
      </c>
      <c r="F15" s="671">
        <f>COUNTIFS(Squads!$N:$N,$B15,Squads!$Q:$Q,"Squad",Squads!$R:$R,"Filled")+COUNTIFS(Squads!$N:$N,$B15,Squads!$Q:$Q,"Strategic Program",Squads!$R:$R,"Filled")+COUNTIFS(Squads!$N:$N,$B15,Squads!$Q:$Q,"Leadership",Squads!$R:$R,"Filled")</f>
        <v>23.0</v>
      </c>
      <c r="G15" s="669">
        <f>(SUMIFS('Added data'!$AA:$AA,'Added data'!$AC:$AC,$B15,'Added data'!$AF:$AF,"Squad",'Added data'!$AG:$AG,"Vacant")+SUMIFS('Added data'!$AA:$AA,'Added data'!$AC:$AC,$B15,'Added data'!$AF:$AF,"Strategic Program",'Added data'!$AG:$AG,"Vacant")+SUMIFS('Added data'!$AA:$AA,'Added data'!$AC:$AC,$B15,'Added data'!$AF:$AF,"Leadership",'Added data'!$AG:$AG,"Vacant"))/1000000</f>
        <v>1.723885</v>
      </c>
      <c r="H15" s="671">
        <f>COUNTIFS(Squads!$N:$N,$B15,Squads!$Q:$Q,"Squad",Squads!$R:$R,"Vacant")+COUNTIFS(Squads!$N:$N,$B15,Squads!$Q:$Q,"Strategic Program",Squads!$R:$R,"Vacant")+COUNTIFS(Squads!$N:$N,$B15,Squads!$Q:$Q,"Leadership",Squads!$R:$R,"Vacant")</f>
        <v>5.0</v>
      </c>
      <c r="I15" s="669">
        <f>E15+G15</f>
        <v>5.5789187600000005</v>
      </c>
      <c r="J15" s="671">
        <f>F15+H15</f>
        <v>28.0</v>
      </c>
      <c r="K15" s="669">
        <f>ROUND(I15-C15,6)</f>
        <v>-0.900581</v>
      </c>
      <c r="L15" s="670">
        <f>ROUND(J15-D15,1)</f>
        <v>1.0</v>
      </c>
      <c r="M15" s="665" t="n"/>
    </row>
    <row r="16">
      <c r="B16" s="668" t="str">
        <f>'1.11 TDD Cyber'!$B$2</f>
        <v>TDD Cyber</v>
      </c>
      <c r="C16" s="669">
        <f>'1.11 TDD Cyber'!$E$9</f>
        <v>11.830489044</v>
      </c>
      <c r="D16" s="670" t="str">
        <f>"-"</f>
        <v>-</v>
      </c>
      <c r="E16" s="669">
        <f>(SUMIFS('Added data'!$AA:$AA,'Added data'!$AC:$AC,$B16,'Added data'!$AF:$AF,"Squad",'Added data'!$AG:$AG,"Filled")+SUMIFS('Added data'!$AA:$AA,'Added data'!$AC:$AC,$B16,'Added data'!$AF:$AF,"Strategic Program",'Added data'!$AG:$AG,"Filled")+SUMIFS('Added data'!$AA:$AA,'Added data'!$AC:$AC,$B16,'Added data'!$AF:$AF,"Leadership",'Added data'!$AG:$AG,"Filled"))/1000000</f>
        <v>9.444233794</v>
      </c>
      <c r="F16" s="671">
        <f>COUNTIFS(Squads!$N:$N,$B16,Squads!$Q:$Q,"Squad",Squads!$R:$R,"Filled")+COUNTIFS(Squads!$N:$N,$B16,Squads!$Q:$Q,"Strategic Program",Squads!$R:$R,"Filled")+COUNTIFS(Squads!$N:$N,$B16,Squads!$Q:$Q,"Leadership",Squads!$R:$R,"Filled")</f>
        <v>40.0</v>
      </c>
      <c r="G16" s="669">
        <f>(SUMIFS('Added data'!$AA:$AA,'Added data'!$AC:$AC,$B16,'Added data'!$AF:$AF,"Squad",'Added data'!$AG:$AG,"Vacant")+SUMIFS('Added data'!$AA:$AA,'Added data'!$AC:$AC,$B16,'Added data'!$AF:$AF,"Strategic Program",'Added data'!$AG:$AG,"Vacant")+SUMIFS('Added data'!$AA:$AA,'Added data'!$AC:$AC,$B16,'Added data'!$AF:$AF,"Leadership",'Added data'!$AG:$AG,"Vacant"))/1000000</f>
        <v>1.47175525</v>
      </c>
      <c r="H16" s="671">
        <f>COUNTIFS(Squads!$N:$N,$B16,Squads!$Q:$Q,"Squad",Squads!$R:$R,"Vacant")+COUNTIFS(Squads!$N:$N,$B16,Squads!$Q:$Q,"Strategic Program",Squads!$R:$R,"Vacant")+COUNTIFS(Squads!$N:$N,$B16,Squads!$Q:$Q,"Leadership",Squads!$R:$R,"Vacant")</f>
        <v>8.0</v>
      </c>
      <c r="I16" s="669">
        <f>E16+G16</f>
        <v>10.915989044</v>
      </c>
      <c r="J16" s="671">
        <f>F16+H16</f>
        <v>48.0</v>
      </c>
      <c r="K16" s="669">
        <f>ROUND(I16-C16,6)</f>
        <v>-0.9145</v>
      </c>
      <c r="L16" s="670" t="str">
        <f>"-"</f>
        <v>-</v>
      </c>
      <c r="M16" s="665" t="n"/>
    </row>
    <row r="17">
      <c r="B17" s="668" t="str">
        <f>'2.4 COE Summary'!$B$11</f>
        <v>COE - Business Partnering</v>
      </c>
      <c r="C17" s="669">
        <f>'2.1 BP&amp;T'!$F$6</f>
        <v>3.2925625919999995</v>
      </c>
      <c r="D17" s="672" t="str">
        <f>"-"</f>
        <v>-</v>
      </c>
      <c r="E17" s="669">
        <f>SUMIFS('2.1 BP&amp;T'!$J$21:$J$44,'2.1 BP&amp;T'!$F$21:$F$44,"Filled",'2.1 BP&amp;T'!$G$21:$G$44,'2.1 BP&amp;T'!$B$6)</f>
        <v>2.8530625919999997</v>
      </c>
      <c r="F17" s="672" t="str">
        <f>"-"</f>
        <v>-</v>
      </c>
      <c r="G17" s="669">
        <f>SUMIFS('2.1 BP&amp;T'!$J$21:$J$44,'2.1 BP&amp;T'!$F$21:$F$44,"Vacant",'2.1 BP&amp;T'!$G$21:$G$44,'2.1 BP&amp;T'!$B$6)</f>
        <v>0.43949999999999995</v>
      </c>
      <c r="H17" s="673" t="str">
        <f>"-"</f>
        <v>-</v>
      </c>
      <c r="I17" s="669">
        <f>E17+G17</f>
        <v>3.2925625919999995</v>
      </c>
      <c r="J17" s="673" t="str">
        <f>"-"</f>
        <v>-</v>
      </c>
      <c r="K17" s="669">
        <f>ROUND(I17-C17,6)</f>
        <v>0.0</v>
      </c>
      <c r="L17" s="673" t="str">
        <f>"-"</f>
        <v>-</v>
      </c>
      <c r="M17" s="665" t="n"/>
    </row>
    <row r="18">
      <c r="B18" s="668" t="str">
        <f>'2.4 COE Summary'!$B$10</f>
        <v>COE - Transformation</v>
      </c>
      <c r="C18" s="669">
        <f>'2.1 BP&amp;T'!$F$7</f>
        <v>3.10799923</v>
      </c>
      <c r="D18" s="673" t="str">
        <f>"-"</f>
        <v>-</v>
      </c>
      <c r="E18" s="669">
        <f>SUMIFS('2.1 BP&amp;T'!$J$21:$J$44,'2.1 BP&amp;T'!$F$21:$F$44,"Filled",'2.1 BP&amp;T'!$G$21:$G$44,'2.1 BP&amp;T'!$B$7)</f>
        <v>1.19998525</v>
      </c>
      <c r="F18" s="673" t="str">
        <f>"-"</f>
        <v>-</v>
      </c>
      <c r="G18" s="669">
        <f>SUMIFS('2.1 BP&amp;T'!$J$21:$J$44,'2.1 BP&amp;T'!$F$21:$F$44,"Vacant",'2.1 BP&amp;T'!$G$21:$G$44,'2.1 BP&amp;T'!$B$7)</f>
        <v>1.9080139799999998</v>
      </c>
      <c r="H18" s="673" t="str">
        <f>"-"</f>
        <v>-</v>
      </c>
      <c r="I18" s="669">
        <f>E18+G18</f>
        <v>3.10799923</v>
      </c>
      <c r="J18" s="673" t="str">
        <f>"-"</f>
        <v>-</v>
      </c>
      <c r="K18" s="669">
        <f>ROUND(I18-C18,6)</f>
        <v>0.0</v>
      </c>
      <c r="L18" s="673" t="str">
        <f>"-"</f>
        <v>-</v>
      </c>
      <c r="M18" s="665" t="n"/>
    </row>
    <row r="19">
      <c r="B19" s="668" t="str">
        <f>'2.4 COE Summary'!$B$8</f>
        <v>COE - Strategy Architecture</v>
      </c>
      <c r="C19" s="669">
        <f>'2.2 SA&amp;D'!$G$6</f>
        <v>4.320560996</v>
      </c>
      <c r="D19" s="673" t="str">
        <f>"-"</f>
        <v>-</v>
      </c>
      <c r="E19" s="669">
        <f>SUMIFS('2.2 SA&amp;D'!$J$22:$J$50,'2.2 SA&amp;D'!$F$22:$F$50,"Filled",'2.2 SA&amp;D'!$G$22:$G$50,'2.2 SA&amp;D'!$B$6)</f>
        <v>1.748103796</v>
      </c>
      <c r="F19" s="673" t="str">
        <f>"-"</f>
        <v>-</v>
      </c>
      <c r="G19" s="669">
        <f>SUMIFS('2.2 SA&amp;D'!$J$22:$J$50,'2.2 SA&amp;D'!$F$22:$F$50,"Vacant",'2.2 SA&amp;D'!$G$22:$G$50,'2.2 SA&amp;D'!$B$6)</f>
        <v>2.5724571999999997</v>
      </c>
      <c r="H19" s="673" t="str">
        <f>"-"</f>
        <v>-</v>
      </c>
      <c r="I19" s="669">
        <f>E19+G19</f>
        <v>4.320560995999999</v>
      </c>
      <c r="J19" s="673" t="str">
        <f>"-"</f>
        <v>-</v>
      </c>
      <c r="K19" s="669">
        <f>ROUND(I19-C19,6)</f>
        <v>-0.0</v>
      </c>
      <c r="L19" s="673" t="str">
        <f>"-"</f>
        <v>-</v>
      </c>
      <c r="M19" s="665" t="n"/>
    </row>
    <row r="20">
      <c r="B20" s="668" t="str">
        <f>'2.4 COE Summary'!$B$12</f>
        <v>COE - Data</v>
      </c>
      <c r="C20" s="669">
        <f>'2.2 SA&amp;D'!$G$7</f>
        <v>2.232736616</v>
      </c>
      <c r="D20" s="673" t="str">
        <f>"-"</f>
        <v>-</v>
      </c>
      <c r="E20" s="669">
        <f>SUMIFS('2.2 SA&amp;D'!$J$22:$J$50,'2.2 SA&amp;D'!$F$22:$F$50,"Filled",'2.2 SA&amp;D'!$G$22:$G$50,'2.2 SA&amp;D'!$B$7)</f>
        <v>1.8431305159999998</v>
      </c>
      <c r="F20" s="673" t="str">
        <f>"-"</f>
        <v>-</v>
      </c>
      <c r="G20" s="669">
        <f>SUMIFS('2.2 SA&amp;D'!$J$22:$J$50,'2.2 SA&amp;D'!$F$22:$F$50,"Vacant",'2.2 SA&amp;D'!$G$22:$G$50,'2.2 SA&amp;D'!$B$7)</f>
        <v>0.3896061</v>
      </c>
      <c r="H20" s="673" t="str">
        <f>"-"</f>
        <v>-</v>
      </c>
      <c r="I20" s="669">
        <f>E20+G20</f>
        <v>2.232736616</v>
      </c>
      <c r="J20" s="673" t="str">
        <f>"-"</f>
        <v>-</v>
      </c>
      <c r="K20" s="669">
        <f>ROUND(I20-C20,6)</f>
        <v>0.0</v>
      </c>
      <c r="L20" s="673" t="str">
        <f>"-"</f>
        <v>-</v>
      </c>
      <c r="M20" s="665" t="n"/>
    </row>
    <row r="21">
      <c r="B21" s="668" t="inlineStr">
        <is>
          <t>Central leadership (COE + unmapped) - funded by overheads</t>
        </is>
      </c>
      <c r="C21" s="669">
        <f>0</f>
        <v>0.0</v>
      </c>
      <c r="D21" s="672" t="str">
        <f>"-"</f>
        <v>-</v>
      </c>
      <c r="E21" s="669">
        <f>(SUMIFS('Added data'!$AA:$AA,'Added data'!$AC:$AC,"COE",'Added data'!$AF:$AF,"Leadership",'Added data'!$AG:$AG,"Filled")+SUMIFS('Added data'!$AA:$AA,'Added data'!$AC:$AC,"Unmapped",'Added data'!$AF:$AF,"Leadership",'Added data'!$AG:$AG,"Filled"))/1000000</f>
        <v>0.0</v>
      </c>
      <c r="F21" s="671">
        <f>COUNTIFS(Squads!$N:$N,"COE",Squads!$Q:$Q,"Leadership",Squads!$R:$R,"Filled")+COUNTIFS(Squads!$N:$N,"Unmapped",Squads!$Q:$Q,"Leadership",Squads!$R:$R,"Filled")</f>
        <v>3.0</v>
      </c>
      <c r="G21" s="669">
        <f>(SUMIFS('Added data'!$AA:$AA,'Added data'!$AC:$AC,"COE",'Added data'!$AF:$AF,"Leadership",'Added data'!$AG:$AG,"Vacant")+SUMIFS('Added data'!$AA:$AA,'Added data'!$AC:$AC,"Unmapped",'Added data'!$AF:$AF,"Leadership",'Added data'!$AG:$AG,"Vacant"))/1000000</f>
        <v>0.33497295</v>
      </c>
      <c r="H21" s="671">
        <f>COUNTIFS(Squads!$N:$N,"COE",Squads!$Q:$Q,"Leadership",Squads!$R:$R,"Vacant")+COUNTIFS(Squads!$N:$N,"Unmapped",Squads!$Q:$Q,"Leadership",Squads!$R:$R,"Vacant")</f>
        <v>1.0</v>
      </c>
      <c r="I21" s="669">
        <f>E21+G21</f>
        <v>0.33497295</v>
      </c>
      <c r="J21" s="671">
        <f>F21+H21</f>
        <v>4.0</v>
      </c>
      <c r="K21" s="669">
        <f>ROUND(I21-C21,6)</f>
        <v>0.334973</v>
      </c>
      <c r="L21" s="673" t="str">
        <f>"-"</f>
        <v>-</v>
      </c>
      <c r="M21" s="665" t="n"/>
    </row>
    <row r="22">
      <c r="B22" s="668" t="inlineStr">
        <is>
          <t>Roles not mapped to any squad or COE</t>
        </is>
      </c>
      <c r="C22" s="669">
        <f>0</f>
        <v>0.0</v>
      </c>
      <c r="D22" s="672" t="str">
        <f>"-"</f>
        <v>-</v>
      </c>
      <c r="E22" s="669">
        <f>(SUMIFS('Added data'!$AA:$AA,'Added data'!$AF:$AF,"Unmapped",'Added data'!$AG:$AG,"Filled"))/1000000</f>
        <v>7.895112458000001</v>
      </c>
      <c r="F22" s="671">
        <f>COUNTIFS(Squads!$Q:$Q,"Unmapped",Squads!$R:$R,"Filled")</f>
        <v>11.0</v>
      </c>
      <c r="G22" s="669">
        <f>(SUMIFS('Added data'!$AA:$AA,'Added data'!$AF:$AF,"Unmapped",'Added data'!$AG:$AG,"Vacant"))/1000000</f>
        <v>1.2675958500000002</v>
      </c>
      <c r="H22" s="671">
        <f>COUNTIFS(Squads!$Q:$Q,"Unmapped",Squads!$R:$R,"Vacant")</f>
        <v>6.0</v>
      </c>
      <c r="I22" s="669">
        <f>E22+G22</f>
        <v>9.162708308000001</v>
      </c>
      <c r="J22" s="671">
        <f>F22+H22</f>
        <v>17.0</v>
      </c>
      <c r="K22" s="669">
        <f>ROUND(I22-C22,6)</f>
        <v>9.162708</v>
      </c>
      <c r="L22" s="673" t="str">
        <f>"-"</f>
        <v>-</v>
      </c>
      <c r="M22" s="665" t="n"/>
    </row>
    <row r="23">
      <c r="B23" s="668" t="inlineStr">
        <is>
          <t>Less: Business Partner &amp; Domain Architect funded inside portfolio overheads</t>
        </is>
      </c>
      <c r="C23" s="669">
        <f>-(COUNTA('2.5 Group Summary'!$B$6:$B$16)*'0.2 Data Config'!$L$7+COUNTA('2.5 Group Summary'!$B$6:$B$16)*'0.2 Data Config'!$L$8)</f>
        <v>-3.4320000000000004</v>
      </c>
      <c r="D23" s="672" t="str">
        <f>"-"</f>
        <v>-</v>
      </c>
      <c r="E23" s="669">
        <f>0</f>
        <v>0.0</v>
      </c>
      <c r="F23" s="672" t="str">
        <f>"-"</f>
        <v>-</v>
      </c>
      <c r="G23" s="669">
        <f>0</f>
        <v>0.0</v>
      </c>
      <c r="H23" s="673" t="str">
        <f>"-"</f>
        <v>-</v>
      </c>
      <c r="I23" s="669">
        <f>0</f>
        <v>0.0</v>
      </c>
      <c r="J23" s="673" t="str">
        <f>"-"</f>
        <v>-</v>
      </c>
      <c r="K23" s="669">
        <f>ROUND(I23-C23,6)</f>
        <v>3.432</v>
      </c>
      <c r="L23" s="673" t="str">
        <f>"-"</f>
        <v>-</v>
      </c>
      <c r="M23" s="665" t="n"/>
    </row>
    <row r="24">
      <c r="B24" s="666" t="inlineStr">
        <is>
          <t>TOTAL OPERATING MODEL</t>
        </is>
      </c>
      <c r="C24" s="674">
        <f>SUM(C6:C23)</f>
        <v>89.65734847799999</v>
      </c>
      <c r="D24" s="675">
        <f>SUM(D6:D23)</f>
        <v>328.5</v>
      </c>
      <c r="E24" s="674">
        <f>SUM(E6:E23)</f>
        <v>84.8326459781</v>
      </c>
      <c r="F24" s="675">
        <f>SUM(F6:F23)</f>
        <v>340.0</v>
      </c>
      <c r="G24" s="674">
        <f>SUM(G6:G23)</f>
        <v>33.366060425</v>
      </c>
      <c r="H24" s="675">
        <f>SUM(H6:H23)</f>
        <v>146.0</v>
      </c>
      <c r="I24" s="674">
        <f>SUM(I6:I23)</f>
        <v>118.1987064031</v>
      </c>
      <c r="J24" s="675">
        <f>SUM(J6:J23)</f>
        <v>486.0</v>
      </c>
      <c r="K24" s="674">
        <f>SUM(K6:K23)</f>
        <v>28.541358</v>
      </c>
      <c r="L24" s="675">
        <f>SUM(L6:L23)</f>
        <v>88.5</v>
      </c>
      <c r="M24" s="665" t="n"/>
    </row>
    <row r="25">
      <c r="B25" s="676" t="n"/>
      <c r="C25" s="677" t="n"/>
      <c r="D25" s="677" t="n"/>
      <c r="E25" s="677" t="n"/>
      <c r="F25" s="677" t="n"/>
      <c r="G25" s="677" t="n"/>
      <c r="H25" s="665" t="n"/>
      <c r="I25" s="665" t="n"/>
      <c r="J25" s="665" t="n"/>
      <c r="K25" s="665" t="n"/>
      <c r="L25" s="665" t="n"/>
      <c r="M25" s="665" t="n"/>
    </row>
    <row r="26">
      <c r="B26" s="678" t="inlineStr">
        <is>
          <t>Restatement vs the Added data cost ledger ($m) - COE and cyber roles now costed from Sheet2, see 5.0</t>
        </is>
      </c>
      <c r="C26" s="677" t="n"/>
      <c r="D26" s="677" t="n"/>
      <c r="E26" s="677" t="n"/>
      <c r="F26" s="677" t="n"/>
      <c r="G26" s="677" t="n"/>
      <c r="H26" s="665" t="n"/>
      <c r="I26" s="669">
        <f>ROUND(I24-SUM('Added data'!$AA$2:$AA$549)/1000000,3)</f>
        <v>-1.839</v>
      </c>
      <c r="J26" s="665" t="n"/>
      <c r="K26" s="665" t="n"/>
      <c r="L26" s="665" t="n"/>
      <c r="M26" s="665" t="n"/>
    </row>
    <row r="27">
      <c r="B27" s="678" t="inlineStr">
        <is>
          <t>Memo: EGI strategic delivery roster (Sheet2) - funded from Significant Items, not in the total above ($m)</t>
        </is>
      </c>
      <c r="C27" s="677" t="n"/>
      <c r="D27" s="677" t="n"/>
      <c r="E27" s="677" t="n"/>
      <c r="F27" s="677" t="n"/>
      <c r="G27" s="677" t="n"/>
      <c r="H27" s="665" t="n"/>
      <c r="I27" s="679">
        <f>'2.7 Squad Detail'!$F$185</f>
        <v>4.665919350000001</v>
      </c>
      <c r="J27" s="680">
        <f>'2.7 Squad Detail'!$C$185</f>
        <v>16.0</v>
      </c>
      <c r="K27" s="665" t="n"/>
      <c r="L27" s="665" t="n"/>
      <c r="M27" s="665" t="n"/>
    </row>
    <row r="28">
      <c r="B28" s="678" t="inlineStr">
        <is>
          <t>Archetype FTE covers squads. Leadership has no archetype FTE - it is funded as a dollar overhead inside the portfolio cost.</t>
        </is>
      </c>
      <c r="C28" s="677" t="n"/>
      <c r="D28" s="677" t="n"/>
      <c r="E28" s="677" t="n"/>
      <c r="F28" s="677" t="n"/>
      <c r="G28" s="677" t="n"/>
      <c r="H28" s="665" t="n"/>
      <c r="I28" s="665" t="n"/>
      <c r="J28" s="665" t="n"/>
      <c r="K28" s="665" t="n"/>
      <c r="L28" s="665" t="n"/>
      <c r="M28" s="665" t="n"/>
    </row>
    <row r="29">
      <c r="B29" s="676" t="n"/>
      <c r="C29" s="677" t="n"/>
      <c r="D29" s="677" t="n"/>
      <c r="E29" s="677" t="n"/>
      <c r="F29" s="677" t="n"/>
      <c r="G29" s="677" t="n"/>
      <c r="H29" s="665" t="n"/>
      <c r="I29" s="665" t="n"/>
      <c r="J29" s="665" t="n"/>
      <c r="K29" s="665" t="n"/>
      <c r="L29" s="665" t="n"/>
      <c r="M29" s="665" t="n"/>
    </row>
    <row r="30">
      <c r="B30" s="676" t="n"/>
      <c r="C30" s="677" t="n"/>
      <c r="D30" s="677" t="n"/>
      <c r="E30" s="677" t="n"/>
      <c r="F30" s="677" t="n"/>
      <c r="G30" s="677" t="n"/>
      <c r="H30" s="665" t="n"/>
      <c r="I30" s="665" t="n"/>
      <c r="J30" s="665" t="n"/>
      <c r="K30" s="665" t="n"/>
      <c r="L30" s="665" t="n"/>
      <c r="M30" s="665" t="n"/>
    </row>
    <row r="31">
      <c r="B31" s="676" t="n"/>
      <c r="C31" s="677" t="n"/>
      <c r="D31" s="677" t="n"/>
      <c r="E31" s="677" t="n"/>
      <c r="F31" s="677" t="n"/>
      <c r="G31" s="677" t="n"/>
      <c r="H31" s="665" t="n"/>
      <c r="I31" s="665" t="n"/>
      <c r="J31" s="665" t="n"/>
      <c r="K31" s="665" t="n"/>
      <c r="L31" s="665" t="n"/>
      <c r="M31" s="665" t="n"/>
    </row>
    <row r="32">
      <c r="B32" s="676" t="n"/>
      <c r="C32" s="677" t="n"/>
      <c r="D32" s="677" t="n"/>
      <c r="E32" s="677" t="n"/>
      <c r="F32" s="677" t="n"/>
      <c r="G32" s="677" t="n"/>
      <c r="H32" s="665" t="n"/>
      <c r="I32" s="665" t="n"/>
      <c r="J32" s="665" t="n"/>
      <c r="K32" s="665" t="n"/>
      <c r="L32" s="665" t="n"/>
      <c r="M32" s="665" t="n"/>
    </row>
    <row r="33">
      <c r="B33" s="676" t="n"/>
      <c r="C33" s="677" t="n"/>
      <c r="D33" s="677" t="n"/>
      <c r="E33" s="677" t="n"/>
      <c r="F33" s="677" t="n"/>
      <c r="G33" s="677" t="n"/>
      <c r="H33" s="665" t="n"/>
      <c r="I33" s="665" t="n"/>
      <c r="J33" s="665" t="n"/>
      <c r="K33" s="665" t="n"/>
      <c r="L33" s="665" t="n"/>
      <c r="M33" s="665" t="n"/>
    </row>
    <row r="34">
      <c r="B34" s="676" t="n"/>
      <c r="C34" s="677" t="n"/>
      <c r="D34" s="677" t="n"/>
      <c r="E34" s="677" t="n"/>
      <c r="F34" s="677" t="n"/>
      <c r="G34" s="677" t="n"/>
      <c r="H34" s="665" t="n"/>
      <c r="I34" s="665" t="n"/>
      <c r="J34" s="665" t="n"/>
      <c r="K34" s="665" t="n"/>
      <c r="L34" s="665" t="n"/>
      <c r="M34" s="665" t="n"/>
    </row>
    <row r="35">
      <c r="B35" s="665" t="n"/>
      <c r="C35" s="665" t="n"/>
      <c r="D35" s="665" t="n"/>
      <c r="E35" s="665" t="n"/>
      <c r="F35" s="665" t="n"/>
      <c r="G35" s="665" t="n"/>
      <c r="H35" s="665" t="n"/>
      <c r="I35" s="665" t="n"/>
      <c r="J35" s="665" t="n"/>
      <c r="K35" s="665" t="n"/>
      <c r="L35" s="665" t="n"/>
      <c r="M35" s="665" t="n"/>
    </row>
    <row r="36">
      <c r="B36" s="676" t="n"/>
      <c r="C36" s="665" t="n"/>
      <c r="D36" s="665" t="n"/>
      <c r="E36" s="665" t="n"/>
      <c r="F36" s="665" t="n"/>
      <c r="G36" s="665" t="n"/>
      <c r="H36" s="665" t="n"/>
      <c r="I36" s="665" t="n"/>
      <c r="J36" s="665" t="n"/>
      <c r="K36" s="665" t="n"/>
      <c r="L36" s="665" t="n"/>
      <c r="M36" s="665" t="n"/>
    </row>
    <row r="37">
      <c r="B37" s="681" t="n"/>
      <c r="C37" s="681" t="n"/>
      <c r="D37" s="681" t="n"/>
      <c r="E37" s="681" t="n"/>
      <c r="F37" s="681" t="n"/>
      <c r="G37" s="681" t="n"/>
      <c r="H37" s="665" t="n"/>
      <c r="I37" s="665" t="n"/>
      <c r="J37" s="665" t="n"/>
      <c r="K37" s="665" t="n"/>
      <c r="L37" s="665" t="n"/>
      <c r="M37" s="665" t="n"/>
    </row>
    <row r="38">
      <c r="B38" s="676" t="n"/>
      <c r="C38" s="677" t="n"/>
      <c r="D38" s="677" t="n"/>
      <c r="E38" s="677" t="n"/>
      <c r="F38" s="677" t="n"/>
      <c r="G38" s="677" t="n"/>
      <c r="H38" s="665" t="n"/>
      <c r="I38" s="665" t="n"/>
      <c r="J38" s="665" t="n"/>
      <c r="K38" s="665" t="n"/>
      <c r="L38" s="665" t="n"/>
      <c r="M38" s="665" t="n"/>
    </row>
    <row r="39">
      <c r="B39" s="676" t="n"/>
      <c r="C39" s="677" t="n"/>
      <c r="D39" s="677" t="n"/>
      <c r="E39" s="677" t="n"/>
      <c r="F39" s="677" t="n"/>
      <c r="G39" s="677" t="n"/>
      <c r="H39" s="665" t="n"/>
      <c r="I39" s="665" t="n"/>
      <c r="J39" s="665" t="n"/>
      <c r="K39" s="665" t="n"/>
      <c r="L39" s="665" t="n"/>
      <c r="M39" s="665" t="n"/>
    </row>
    <row r="40">
      <c r="B40" s="676" t="n"/>
      <c r="C40" s="677" t="n"/>
      <c r="D40" s="677" t="n"/>
      <c r="E40" s="677" t="n"/>
      <c r="F40" s="677" t="n"/>
      <c r="G40" s="677" t="n"/>
      <c r="H40" s="665" t="n"/>
      <c r="I40" s="665" t="n"/>
      <c r="J40" s="665" t="n"/>
      <c r="K40" s="665" t="n"/>
      <c r="L40" s="665" t="n"/>
      <c r="M40" s="665" t="n"/>
    </row>
    <row r="41">
      <c r="B41" s="676" t="n"/>
      <c r="C41" s="677" t="n"/>
      <c r="D41" s="677" t="n"/>
      <c r="E41" s="677" t="n"/>
      <c r="F41" s="677" t="n"/>
      <c r="G41" s="677" t="n"/>
      <c r="H41" s="665" t="n"/>
      <c r="I41" s="665" t="n"/>
      <c r="J41" s="665" t="n"/>
      <c r="K41" s="665" t="n"/>
      <c r="L41" s="665" t="n"/>
      <c r="M41" s="665" t="n"/>
    </row>
    <row r="42">
      <c r="B42" s="676" t="n"/>
      <c r="C42" s="677" t="n"/>
      <c r="D42" s="677" t="n"/>
      <c r="E42" s="677" t="n"/>
      <c r="F42" s="677" t="n"/>
      <c r="G42" s="677" t="n"/>
      <c r="H42" s="665" t="n"/>
      <c r="I42" s="665" t="n"/>
      <c r="J42" s="665" t="n"/>
      <c r="K42" s="665" t="n"/>
      <c r="L42" s="665" t="n"/>
      <c r="M42" s="665" t="n"/>
    </row>
    <row r="43">
      <c r="B43" s="676" t="n"/>
      <c r="C43" s="677" t="n"/>
      <c r="D43" s="677" t="n"/>
      <c r="E43" s="677" t="n"/>
      <c r="F43" s="677" t="n"/>
      <c r="G43" s="677" t="n"/>
      <c r="H43" s="665" t="n"/>
      <c r="I43" s="665" t="n"/>
      <c r="J43" s="665" t="n"/>
      <c r="K43" s="665" t="n"/>
      <c r="L43" s="665" t="n"/>
      <c r="M43" s="665" t="n"/>
    </row>
    <row r="44">
      <c r="B44" s="676" t="n"/>
      <c r="C44" s="677" t="n"/>
      <c r="D44" s="677" t="n"/>
      <c r="E44" s="677" t="n"/>
      <c r="F44" s="677" t="n"/>
      <c r="G44" s="677" t="n"/>
      <c r="H44" s="665" t="n"/>
      <c r="I44" s="665" t="n"/>
      <c r="J44" s="665" t="n"/>
      <c r="K44" s="665" t="n"/>
      <c r="L44" s="665" t="n"/>
      <c r="M44" s="665" t="n"/>
    </row>
    <row r="45">
      <c r="B45" s="665" t="n"/>
      <c r="C45" s="665" t="n"/>
      <c r="D45" s="665" t="n"/>
      <c r="E45" s="665" t="n"/>
      <c r="F45" s="665" t="n"/>
      <c r="G45" s="665" t="n"/>
      <c r="H45" s="665" t="n"/>
      <c r="I45" s="665" t="n"/>
      <c r="J45" s="665" t="n"/>
      <c r="K45" s="665" t="n"/>
      <c r="L45" s="665" t="n"/>
      <c r="M45" s="665" t="n"/>
    </row>
    <row r="46">
      <c r="B46" s="676" t="n"/>
      <c r="C46" s="665" t="n"/>
      <c r="D46" s="665" t="n"/>
      <c r="E46" s="665" t="n"/>
      <c r="F46" s="665" t="n"/>
      <c r="G46" s="665" t="n"/>
      <c r="H46" s="665" t="n"/>
      <c r="I46" s="665" t="n"/>
      <c r="J46" s="665" t="n"/>
      <c r="K46" s="665" t="n"/>
      <c r="L46" s="665" t="n"/>
      <c r="M46" s="665" t="n"/>
    </row>
    <row r="47">
      <c r="B47" s="681" t="n"/>
      <c r="C47" s="681" t="n"/>
      <c r="D47" s="681" t="n"/>
      <c r="E47" s="681" t="n"/>
      <c r="F47" s="681" t="n"/>
      <c r="G47" s="681" t="n"/>
      <c r="H47" s="665" t="n"/>
      <c r="I47" s="665" t="n"/>
      <c r="J47" s="665" t="n"/>
      <c r="K47" s="665" t="n"/>
      <c r="L47" s="665" t="n"/>
      <c r="M47" s="665" t="n"/>
    </row>
    <row r="48">
      <c r="B48" s="676" t="n"/>
      <c r="C48" s="677" t="n"/>
      <c r="D48" s="677" t="n"/>
      <c r="E48" s="677" t="n"/>
      <c r="F48" s="677" t="n"/>
      <c r="G48" s="677" t="n"/>
      <c r="H48" s="665" t="n"/>
      <c r="I48" s="665" t="n"/>
      <c r="J48" s="665" t="n"/>
      <c r="K48" s="665" t="n"/>
      <c r="L48" s="665" t="n"/>
      <c r="M48" s="665" t="n"/>
    </row>
    <row r="49">
      <c r="B49" s="676" t="n"/>
      <c r="C49" s="677" t="n"/>
      <c r="D49" s="677" t="n"/>
      <c r="E49" s="677" t="n"/>
      <c r="F49" s="677" t="n"/>
      <c r="G49" s="677" t="n"/>
      <c r="H49" s="665" t="n"/>
      <c r="I49" s="665" t="n"/>
      <c r="J49" s="665" t="n"/>
      <c r="K49" s="665" t="n"/>
      <c r="L49" s="665" t="n"/>
      <c r="M49" s="665" t="n"/>
    </row>
    <row r="50">
      <c r="B50" s="665" t="n"/>
      <c r="C50" s="665" t="n"/>
      <c r="D50" s="665" t="n"/>
      <c r="E50" s="665" t="n"/>
      <c r="F50" s="665" t="n"/>
      <c r="G50" s="665" t="n"/>
      <c r="H50" s="665" t="n"/>
      <c r="I50" s="665" t="n"/>
      <c r="J50" s="665" t="n"/>
      <c r="K50" s="665" t="n"/>
      <c r="L50" s="665" t="n"/>
      <c r="M50" s="665" t="n"/>
    </row>
    <row r="51">
      <c r="B51" s="665" t="n"/>
      <c r="C51" s="665" t="n"/>
      <c r="D51" s="665" t="n"/>
      <c r="E51" s="665" t="n"/>
      <c r="F51" s="665" t="n"/>
      <c r="G51" s="665" t="n"/>
      <c r="H51" s="665" t="n"/>
      <c r="I51" s="665" t="n"/>
      <c r="J51" s="665" t="n"/>
      <c r="K51" s="665" t="n"/>
      <c r="L51" s="665" t="n"/>
      <c r="M51" s="665" t="n"/>
    </row>
    <row r="52">
      <c r="B52" s="676" t="n"/>
      <c r="C52" s="677" t="n"/>
      <c r="D52" s="677" t="n"/>
      <c r="E52" s="677" t="n"/>
      <c r="F52" s="677" t="n"/>
      <c r="G52" s="677" t="n"/>
      <c r="H52" s="665" t="n"/>
      <c r="I52" s="665" t="n"/>
      <c r="J52" s="665" t="n"/>
      <c r="K52" s="665" t="n"/>
      <c r="L52" s="665" t="n"/>
      <c r="M52" s="665" t="n"/>
    </row>
    <row r="53">
      <c r="B53" s="676" t="n"/>
      <c r="C53" s="677" t="n"/>
      <c r="D53" s="665" t="n"/>
      <c r="E53" s="665" t="n"/>
      <c r="F53" s="665" t="n"/>
      <c r="G53" s="665" t="n"/>
      <c r="H53" s="665" t="n"/>
      <c r="I53" s="665" t="n"/>
      <c r="J53" s="665" t="n"/>
      <c r="K53" s="665" t="n"/>
      <c r="L53" s="665" t="n"/>
      <c r="M53" s="665" t="n"/>
    </row>
    <row r="54">
      <c r="B54" s="665" t="n"/>
      <c r="C54" s="665" t="n"/>
      <c r="D54" s="665" t="n"/>
      <c r="E54" s="665" t="n"/>
      <c r="F54" s="665" t="n"/>
      <c r="G54" s="665" t="n"/>
      <c r="H54" s="665" t="n"/>
      <c r="I54" s="665" t="n"/>
      <c r="J54" s="665" t="n"/>
      <c r="K54" s="665" t="n"/>
      <c r="L54" s="665" t="n"/>
      <c r="M54" s="665" t="n"/>
    </row>
    <row r="55">
      <c r="B55" s="665" t="n"/>
      <c r="C55" s="665" t="n"/>
      <c r="D55" s="665" t="n"/>
      <c r="E55" s="665" t="n"/>
      <c r="F55" s="665" t="n"/>
      <c r="G55" s="665" t="n"/>
      <c r="H55" s="665" t="n"/>
      <c r="I55" s="665" t="n"/>
      <c r="J55" s="665" t="n"/>
      <c r="K55" s="665" t="n"/>
      <c r="L55" s="665" t="n"/>
      <c r="M55" s="665" t="n"/>
    </row>
  </sheetData>
  <pageMargins left="0.75" right="0.75" top="1" bottom="1" header="0.5" footer="0.5"/>
</worksheet>
</file>

<file path=xl/worksheets/sheet27.xml><?xml version="1.0" encoding="utf-8"?>
<worksheet xmlns="http://schemas.openxmlformats.org/spreadsheetml/2006/main">
  <sheetPr>
    <tabColor rgb="00002F6C"/>
    <outlinePr summaryBelow="1" summaryRight="1"/>
    <pageSetUpPr/>
  </sheetPr>
  <dimension ref="A1:V185"/>
  <sheetViews>
    <sheetView showGridLines="0" zoomScale="70" zoomScaleNormal="70" workbookViewId="0">
      <selection activeCell="D4" sqref="D4"/>
    </sheetView>
  </sheetViews>
  <sheetFormatPr baseColWidth="8" defaultRowHeight="14.5" outlineLevelCol="0"/>
  <cols>
    <col width="3" customWidth="1" style="506" min="1" max="1"/>
    <col width="26" customWidth="1" style="506" min="2" max="2"/>
    <col width="28" customWidth="1" style="506" min="3" max="3"/>
    <col width="54.08984375" bestFit="1" customWidth="1" style="506" min="4" max="4"/>
    <col width="26" customWidth="1" style="506" min="5" max="5"/>
    <col width="10.54296875" bestFit="1" customWidth="1" style="506" min="6" max="6"/>
    <col width="19.81640625" bestFit="1" customWidth="1" style="506" min="7" max="7"/>
    <col width="18.81640625" bestFit="1" customWidth="1" style="506" min="8" max="8"/>
    <col width="27.81640625" bestFit="1" customWidth="1" style="506" min="9" max="9"/>
    <col width="18.36328125" bestFit="1" customWidth="1" style="506" min="10" max="10"/>
    <col width="15" customWidth="1" style="506" min="11" max="11"/>
    <col width="11" customWidth="1" style="506" min="12" max="12"/>
    <col width="16" customWidth="1" style="506" min="13" max="13"/>
    <col width="15" customWidth="1" style="506" min="14" max="14"/>
    <col width="17.90625" bestFit="1" customWidth="1" style="506" min="15" max="15"/>
    <col width="18.7265625" bestFit="1" customWidth="1" style="506" min="20" max="20"/>
    <col width="21.453125" bestFit="1" customWidth="1" style="506" min="21" max="21"/>
    <col width="25.81640625" bestFit="1" customWidth="1" style="506" min="22" max="22"/>
  </cols>
  <sheetData>
    <row r="1"/>
    <row r="2" ht="21" customHeight="1" s="506">
      <c r="B2" s="437" t="inlineStr">
        <is>
          <t>Squad detail - archetype vs actual by portfolio, platform and squad (drills 2.6)</t>
        </is>
      </c>
    </row>
    <row r="3">
      <c r="C3" s="438" t="inlineStr">
        <is>
          <t>Org roles</t>
        </is>
      </c>
      <c r="D3" s="438" t="inlineStr">
        <is>
          <t>Filled</t>
        </is>
      </c>
      <c r="E3" s="438" t="inlineStr">
        <is>
          <t>Vacant</t>
        </is>
      </c>
      <c r="F3" s="438" t="inlineStr">
        <is>
          <t>Vacancy rate</t>
        </is>
      </c>
      <c r="G3" s="438" t="inlineStr">
        <is>
          <t>Archetype roles (squads)</t>
        </is>
      </c>
      <c r="H3" s="438" t="inlineStr">
        <is>
          <t>Roles above archetype</t>
        </is>
      </c>
      <c r="I3" s="438" t="inlineStr">
        <is>
          <t>Archetype cost incl overheads ($m)</t>
        </is>
      </c>
      <c r="J3" s="438" t="inlineStr">
        <is>
          <t>Actual squad cost ($m)</t>
        </is>
      </c>
    </row>
    <row r="4">
      <c r="C4" s="447">
        <f>COUNTA(Squads!$R$2:$R$1000)</f>
        <v>536.0</v>
      </c>
      <c r="D4" s="447">
        <f>COUNTIF(Squads!$R$2:$R$1000,"Filled")</f>
        <v>370.0</v>
      </c>
      <c r="E4" s="447">
        <f>COUNTIF(Squads!$R$2:$R$1000,"Vacant")</f>
        <v>166.0</v>
      </c>
      <c r="F4" s="449">
        <f>E4/C4</f>
        <v>0.30970149253731344</v>
      </c>
      <c r="G4" s="447">
        <f>G95</f>
        <v>328.5</v>
      </c>
      <c r="H4" s="447">
        <f>K95</f>
        <v>-0.5</v>
      </c>
      <c r="I4" s="499">
        <f>M95</f>
        <v>80.13548904400001</v>
      </c>
      <c r="J4" s="499">
        <f>N95</f>
        <v>81.7029099161</v>
      </c>
    </row>
    <row r="5"/>
    <row r="6">
      <c r="B6" s="438" t="inlineStr">
        <is>
          <t>Portfolio</t>
        </is>
      </c>
      <c r="C6" s="438" t="inlineStr">
        <is>
          <t>Platform</t>
        </is>
      </c>
      <c r="D6" s="438" t="inlineStr">
        <is>
          <t>Squad</t>
        </is>
      </c>
      <c r="E6" s="438" t="inlineStr">
        <is>
          <t>Squad Type</t>
        </is>
      </c>
      <c r="F6" s="438" t="inlineStr">
        <is>
          <t>Size</t>
        </is>
      </c>
      <c r="G6" s="438" t="inlineStr">
        <is>
          <t>Archetype FTE</t>
        </is>
      </c>
      <c r="H6" s="438" t="inlineStr">
        <is>
          <t>Filled</t>
        </is>
      </c>
      <c r="I6" s="438" t="inlineStr">
        <is>
          <t>Vacant</t>
        </is>
      </c>
      <c r="J6" s="438" t="inlineStr">
        <is>
          <t>Roles</t>
        </is>
      </c>
      <c r="K6" s="438" t="inlineStr">
        <is>
          <t>Roles vs archetype</t>
        </is>
      </c>
      <c r="L6" s="438" t="inlineStr">
        <is>
          <t>Vacancy %</t>
        </is>
      </c>
      <c r="M6" s="438" t="inlineStr">
        <is>
          <t>Archetype cost ($m)</t>
        </is>
      </c>
      <c r="N6" s="438" t="inlineStr">
        <is>
          <t>Actual cost ($m)</t>
        </is>
      </c>
      <c r="O6" s="438" t="inlineStr">
        <is>
          <t>Cost var - squads ($m)</t>
        </is>
      </c>
    </row>
    <row r="7">
      <c r="B7" s="429" t="inlineStr">
        <is>
          <t>Ampol Retail</t>
        </is>
      </c>
      <c r="C7" s="429" t="inlineStr">
        <is>
          <t>Store Operations</t>
        </is>
      </c>
      <c r="D7" s="429" t="inlineStr">
        <is>
          <t>POS</t>
        </is>
      </c>
      <c r="E7" s="429" t="str">
        <f>'1.1 Ampol Retail'!$C$23</f>
        <v>Configuration / Integration</v>
      </c>
      <c r="F7" s="439" t="str">
        <f>'1.1 Ampol Retail'!$D$23</f>
        <v>M</v>
      </c>
      <c r="G7" s="439">
        <f>IFERROR(INDEX('0.3 Squad Archetypes'!$F$5:$F$23,MATCH('1.1 Ampol Retail'!$C$23&amp;"|"&amp;'1.1 Ampol Retail'!$D$23,'0.3 Squad Archetypes'!$A$5:$A$23,0)),"-")</f>
        <v>9.0</v>
      </c>
      <c r="H7" s="439">
        <f>COUNTIFS(Squads!$N:$N,"Ampol Retail",Squads!$P:$P,"POS",Squads!$R:$R,"Filled")</f>
        <v>0.0</v>
      </c>
      <c r="I7" s="439">
        <f>COUNTIFS(Squads!$N:$N,"Ampol Retail",Squads!$P:$P,"POS",Squads!$R:$R,"Vacant")</f>
        <v>7.0</v>
      </c>
      <c r="J7" s="439">
        <f>H7+I7</f>
        <v>7.0</v>
      </c>
      <c r="K7" s="439">
        <f>IFERROR(J7-G7,"-")</f>
        <v>-2.0</v>
      </c>
      <c r="L7" s="450">
        <f>IFERROR(I7/J7,"-")</f>
        <v>1.0</v>
      </c>
      <c r="M7" s="430">
        <f>'1.1 Ampol Retail'!$G$23</f>
        <v>1.4</v>
      </c>
      <c r="N7" s="430">
        <f>(SUMIFS('Added data'!$AA:$AA,'Added data'!$AC:$AC,"Ampol Retail",'Added data'!$AE:$AE,"POS"))/1000000</f>
        <v>0.40219083499999997</v>
      </c>
      <c r="O7" s="430">
        <f>N7-IFERROR(M7,0)</f>
        <v>-0.9978091649999999</v>
      </c>
      <c r="T7" s="438" t="inlineStr">
        <is>
          <t>Portfolio</t>
        </is>
      </c>
      <c r="U7" s="438" t="inlineStr">
        <is>
          <t>Platform</t>
        </is>
      </c>
      <c r="V7" s="438" t="inlineStr">
        <is>
          <t>Squad</t>
        </is>
      </c>
    </row>
    <row r="8">
      <c r="B8" s="429" t="inlineStr">
        <is>
          <t>Ampol Retail</t>
        </is>
      </c>
      <c r="C8" s="429" t="inlineStr">
        <is>
          <t>Store Operations</t>
        </is>
      </c>
      <c r="D8" s="429" t="inlineStr">
        <is>
          <t>Payments</t>
        </is>
      </c>
      <c r="E8" s="429" t="str">
        <f>'1.1 Ampol Retail'!$C$24</f>
        <v>Configuration / Integration</v>
      </c>
      <c r="F8" s="439" t="str">
        <f>'1.1 Ampol Retail'!$D$24</f>
        <v>S</v>
      </c>
      <c r="G8" s="439">
        <f>IFERROR(INDEX('0.3 Squad Archetypes'!$F$5:$F$23,MATCH('1.1 Ampol Retail'!$C$24&amp;"|"&amp;'1.1 Ampol Retail'!$D$24,'0.3 Squad Archetypes'!$A$5:$A$23,0)),"-")</f>
        <v>6.0</v>
      </c>
      <c r="H8" s="439">
        <f>COUNTIFS(Squads!$N:$N,"Ampol Retail",Squads!$P:$P,"Payments",Squads!$R:$R,"Filled")</f>
        <v>3.0</v>
      </c>
      <c r="I8" s="439">
        <f>COUNTIFS(Squads!$N:$N,"Ampol Retail",Squads!$P:$P,"Payments",Squads!$R:$R,"Vacant")</f>
        <v>1.0</v>
      </c>
      <c r="J8" s="439">
        <f>H8+I8</f>
        <v>4.0</v>
      </c>
      <c r="K8" s="439">
        <f>IFERROR(J8-G8,"-")</f>
        <v>-2.0</v>
      </c>
      <c r="L8" s="450">
        <f>IFERROR(I8/J8,"-")</f>
        <v>0.25</v>
      </c>
      <c r="M8" s="430">
        <f>'1.1 Ampol Retail'!$G$24</f>
        <v>0.4</v>
      </c>
      <c r="N8" s="430">
        <f>(SUMIFS('Added data'!$AA:$AA,'Added data'!$AC:$AC,"Ampol Retail",'Added data'!$AE:$AE,"Payments"))/1000000</f>
        <v>0.733398635</v>
      </c>
      <c r="O8" s="430">
        <f>N8-IFERROR(M8,0)</f>
        <v>0.333398635</v>
      </c>
      <c r="T8" s="429" t="inlineStr">
        <is>
          <t>Ampol Retail</t>
        </is>
      </c>
      <c r="U8" s="429" t="inlineStr">
        <is>
          <t>Store Operations</t>
        </is>
      </c>
      <c r="V8" s="429" t="inlineStr">
        <is>
          <t>POS</t>
        </is>
      </c>
    </row>
    <row r="9">
      <c r="B9" s="429" t="inlineStr">
        <is>
          <t>Ampol Retail</t>
        </is>
      </c>
      <c r="C9" s="429" t="inlineStr">
        <is>
          <t>Store Operations</t>
        </is>
      </c>
      <c r="D9" s="429" t="inlineStr">
        <is>
          <t>Store Operations</t>
        </is>
      </c>
      <c r="E9" s="429" t="str">
        <f>'1.1 Ampol Retail'!$C$25</f>
        <v>Operations</v>
      </c>
      <c r="F9" s="439" t="str">
        <f>'1.1 Ampol Retail'!$D$25</f>
        <v>M</v>
      </c>
      <c r="G9" s="439">
        <f>IFERROR(INDEX('0.3 Squad Archetypes'!$F$5:$F$23,MATCH('1.1 Ampol Retail'!$C$25&amp;"|"&amp;'1.1 Ampol Retail'!$D$25,'0.3 Squad Archetypes'!$A$5:$A$23,0)),"-")</f>
        <v>6.0</v>
      </c>
      <c r="H9" s="439">
        <f>COUNTIFS(Squads!$N:$N,"Ampol Retail",Squads!$P:$P,"Store Operations",Squads!$R:$R,"Filled")</f>
        <v>7.0</v>
      </c>
      <c r="I9" s="439">
        <f>COUNTIFS(Squads!$N:$N,"Ampol Retail",Squads!$P:$P,"Store Operations",Squads!$R:$R,"Vacant")</f>
        <v>1.0</v>
      </c>
      <c r="J9" s="439">
        <f>H9+I9</f>
        <v>8.0</v>
      </c>
      <c r="K9" s="439">
        <f>IFERROR(J9-G9,"-")</f>
        <v>2.0</v>
      </c>
      <c r="L9" s="450">
        <f>IFERROR(I9/J9,"-")</f>
        <v>0.125</v>
      </c>
      <c r="M9" s="430">
        <f>'1.1 Ampol Retail'!$G$25</f>
        <v>1.4</v>
      </c>
      <c r="N9" s="430">
        <f>(SUMIFS('Added data'!$AA:$AA,'Added data'!$AC:$AC,"Ampol Retail",'Added data'!$AE:$AE,"Store Operations"))/1000000</f>
        <v>0.16403310000000002</v>
      </c>
      <c r="O9" s="430">
        <f>N9-IFERROR(M9,0)</f>
        <v>-1.2359669</v>
      </c>
      <c r="V9" s="429" t="inlineStr">
        <is>
          <t>Payments</t>
        </is>
      </c>
    </row>
    <row r="10">
      <c r="B10" s="429" t="inlineStr">
        <is>
          <t>Ampol Retail</t>
        </is>
      </c>
      <c r="C10" s="429" t="inlineStr">
        <is>
          <t>Store Operations</t>
        </is>
      </c>
      <c r="D10" s="429" t="inlineStr">
        <is>
          <t>Deployment</t>
        </is>
      </c>
      <c r="E10" s="429" t="str">
        <f>'1.1 Ampol Retail'!$C$26</f>
        <v>Configuration / Integration</v>
      </c>
      <c r="F10" s="439" t="str">
        <f>'1.1 Ampol Retail'!$D$26</f>
        <v>M</v>
      </c>
      <c r="G10" s="439">
        <f>IFERROR(INDEX('0.3 Squad Archetypes'!$F$5:$F$23,MATCH('1.1 Ampol Retail'!$C$26&amp;"|"&amp;'1.1 Ampol Retail'!$D$26,'0.3 Squad Archetypes'!$A$5:$A$23,0)),"-")</f>
        <v>9.0</v>
      </c>
      <c r="H10" s="439">
        <f>COUNTIFS(Squads!$N:$N,"Ampol Retail",Squads!$P:$P,"Deployment",Squads!$R:$R,"Filled")</f>
        <v>5.0</v>
      </c>
      <c r="I10" s="439">
        <f>COUNTIFS(Squads!$N:$N,"Ampol Retail",Squads!$P:$P,"Deployment",Squads!$R:$R,"Vacant")</f>
        <v>0.0</v>
      </c>
      <c r="J10" s="439">
        <f>H10+I10</f>
        <v>5.0</v>
      </c>
      <c r="K10" s="439">
        <f>IFERROR(J10-G10,"-")</f>
        <v>-4.0</v>
      </c>
      <c r="L10" s="450">
        <f>IFERROR(I10/J10,"-")</f>
        <v>0.0</v>
      </c>
      <c r="M10" s="430">
        <f>'1.1 Ampol Retail'!$G$26</f>
        <v>1.4</v>
      </c>
      <c r="N10" s="430">
        <f>(SUMIFS('Added data'!$AA:$AA,'Added data'!$AC:$AC,"Ampol Retail",'Added data'!$AE:$AE,"Deployment"))/1000000</f>
        <v>1.0045362</v>
      </c>
      <c r="O10" s="430">
        <f>N10-IFERROR(M10,0)</f>
        <v>-0.3954637999999999</v>
      </c>
      <c r="V10" s="429" t="inlineStr">
        <is>
          <t>Store Operations</t>
        </is>
      </c>
    </row>
    <row r="11">
      <c r="B11" s="465" t="n"/>
      <c r="C11" s="464" t="inlineStr">
        <is>
          <t>Store Operations - platform total (incl overhead)</t>
        </is>
      </c>
      <c r="D11" s="465" t="n"/>
      <c r="E11" s="465" t="n"/>
      <c r="F11" s="465" t="n"/>
      <c r="G11" s="498">
        <f>SUM(G7:G10)</f>
        <v>30.0</v>
      </c>
      <c r="H11" s="498">
        <f>SUM(H7:H10)</f>
        <v>15.0</v>
      </c>
      <c r="I11" s="498">
        <f>SUM(I7:I10)</f>
        <v>9.0</v>
      </c>
      <c r="J11" s="498">
        <f>SUM(J7:J10)</f>
        <v>24.0</v>
      </c>
      <c r="K11" s="498">
        <f>SUM(K7:K10)</f>
        <v>-6.0</v>
      </c>
      <c r="L11" s="500">
        <f>IFERROR(I11/J11,"-")</f>
        <v>0.375</v>
      </c>
      <c r="M11" s="497">
        <f>SUM(M7:M10)+'0.2 Data Config'!$L$16</f>
        <v>4.765</v>
      </c>
      <c r="N11" s="497">
        <f>SUM(N7:N10)</f>
        <v>2.30415877</v>
      </c>
      <c r="O11" s="497">
        <f>SUM(O7:O10)</f>
        <v>-2.2958412299999997</v>
      </c>
      <c r="V11" s="429" t="inlineStr">
        <is>
          <t>Deployment</t>
        </is>
      </c>
    </row>
    <row r="12">
      <c r="B12" s="429" t="inlineStr">
        <is>
          <t>Ampol Retail</t>
        </is>
      </c>
      <c r="C12" s="429" t="inlineStr">
        <is>
          <t>Above Store</t>
        </is>
      </c>
      <c r="D12" s="429" t="inlineStr">
        <is>
          <t>Above Store</t>
        </is>
      </c>
      <c r="E12" s="429" t="str">
        <f>'1.1 Ampol Retail'!$C$32</f>
        <v>Configuration / Integration</v>
      </c>
      <c r="F12" s="439" t="str">
        <f>'1.1 Ampol Retail'!$D$32</f>
        <v>L</v>
      </c>
      <c r="G12" s="439">
        <f>IFERROR(INDEX('0.3 Squad Archetypes'!$F$5:$F$23,MATCH('1.1 Ampol Retail'!$C$32&amp;"|"&amp;'1.1 Ampol Retail'!$D$32,'0.3 Squad Archetypes'!$A$5:$A$23,0)),"-")</f>
        <v>14.0</v>
      </c>
      <c r="H12" s="439">
        <f>COUNTIFS(Squads!$N:$N,"Ampol Retail",Squads!$P:$P,"Above Store",Squads!$R:$R,"Filled")</f>
        <v>11.0</v>
      </c>
      <c r="I12" s="439">
        <f>COUNTIFS(Squads!$N:$N,"Ampol Retail",Squads!$P:$P,"Above Store",Squads!$R:$R,"Vacant")</f>
        <v>11.0</v>
      </c>
      <c r="J12" s="439">
        <f>H12+I12</f>
        <v>22.0</v>
      </c>
      <c r="K12" s="439">
        <f>IFERROR(J12-G12,"-")</f>
        <v>8.0</v>
      </c>
      <c r="L12" s="450">
        <f>IFERROR(I12/J12,"-")</f>
        <v>0.5</v>
      </c>
      <c r="M12" s="430">
        <f>'1.1 Ampol Retail'!$G$32</f>
        <v>2.1</v>
      </c>
      <c r="N12" s="430">
        <f>(SUMIFS('Added data'!$AA:$AA,'Added data'!$AC:$AC,"Ampol Retail",'Added data'!$AE:$AE,"Above Store"))/1000000</f>
        <v>2.50854367</v>
      </c>
      <c r="O12" s="430">
        <f>N12-IFERROR(M12,0)</f>
        <v>0.4085436699999998</v>
      </c>
      <c r="U12" s="429" t="inlineStr">
        <is>
          <t>Above Store</t>
        </is>
      </c>
      <c r="V12" s="429" t="inlineStr">
        <is>
          <t>Above Store</t>
        </is>
      </c>
    </row>
    <row r="13">
      <c r="B13" s="465" t="n"/>
      <c r="C13" s="464" t="inlineStr">
        <is>
          <t>Above Store - platform total (incl overhead)</t>
        </is>
      </c>
      <c r="D13" s="465" t="n"/>
      <c r="E13" s="465" t="n"/>
      <c r="F13" s="465" t="n"/>
      <c r="G13" s="498">
        <f>SUM(G12:G12)</f>
        <v>14.0</v>
      </c>
      <c r="H13" s="498">
        <f>SUM(H12:H12)</f>
        <v>11.0</v>
      </c>
      <c r="I13" s="498">
        <f>SUM(I12:I12)</f>
        <v>11.0</v>
      </c>
      <c r="J13" s="498">
        <f>SUM(J12:J12)</f>
        <v>22.0</v>
      </c>
      <c r="K13" s="498">
        <f>SUM(K12:K12)</f>
        <v>8.0</v>
      </c>
      <c r="L13" s="500">
        <f>IFERROR(I13/J13,"-")</f>
        <v>0.5</v>
      </c>
      <c r="M13" s="497">
        <f>SUM(M12:M12)+'0.2 Data Config'!$L$16</f>
        <v>2.265</v>
      </c>
      <c r="N13" s="497">
        <f>SUM(N12:N12)</f>
        <v>2.50854367</v>
      </c>
      <c r="O13" s="497">
        <f>SUM(O12:O12)</f>
        <v>0.4085436699999998</v>
      </c>
      <c r="U13" s="429" t="inlineStr">
        <is>
          <t>AmPOS</t>
        </is>
      </c>
      <c r="V13" s="429" t="inlineStr">
        <is>
          <t>AmPOS</t>
        </is>
      </c>
    </row>
    <row r="14">
      <c r="B14" s="429" t="inlineStr">
        <is>
          <t>Ampol Retail</t>
        </is>
      </c>
      <c r="C14" s="429" t="inlineStr">
        <is>
          <t>AmPOS</t>
        </is>
      </c>
      <c r="D14" s="429" t="inlineStr">
        <is>
          <t>AmPOS</t>
        </is>
      </c>
      <c r="E14" s="429" t="str">
        <f>'1.1 Ampol Retail'!$C$46</f>
        <v>Strategic Programs</v>
      </c>
      <c r="F14" s="439">
        <f>'1.1 Ampol Retail'!$D$46</f>
        <v>0.0</v>
      </c>
      <c r="G14" s="439" t="str">
        <f>IFERROR(INDEX('0.3 Squad Archetypes'!$F$5:$F$23,MATCH('1.1 Ampol Retail'!$C$46&amp;"|"&amp;'1.1 Ampol Retail'!$D$46,'0.3 Squad Archetypes'!$A$5:$A$23,0)),"-")</f>
        <v>-</v>
      </c>
      <c r="H14" s="439">
        <f>COUNTIFS(Squads!$N:$N,"Ampol Retail",Squads!$P:$P,"AmPOS",Squads!$R:$R,"Filled")</f>
        <v>10.0</v>
      </c>
      <c r="I14" s="439">
        <f>COUNTIFS(Squads!$N:$N,"Ampol Retail",Squads!$P:$P,"AmPOS",Squads!$R:$R,"Vacant")</f>
        <v>0.0</v>
      </c>
      <c r="J14" s="439">
        <f>H14+I14</f>
        <v>10.0</v>
      </c>
      <c r="K14" s="439" t="str">
        <f>IFERROR(J14-G14,"-")</f>
        <v>-</v>
      </c>
      <c r="L14" s="450">
        <f>IFERROR(I14/J14,"-")</f>
        <v>0.0</v>
      </c>
      <c r="M14" s="430">
        <f>'1.1 Ampol Retail'!$G$46</f>
        <v>0.0</v>
      </c>
      <c r="N14" s="430">
        <f>(SUMIFS('Added data'!$AA:$AA,'Added data'!$AC:$AC,"Ampol Retail",'Added data'!$AE:$AE,"AmPOS"))/1000000</f>
        <v>2.66093203</v>
      </c>
      <c r="O14" s="430">
        <f>N14-IFERROR(M14,0)</f>
        <v>2.66093203</v>
      </c>
      <c r="U14" s="429" t="inlineStr">
        <is>
          <t>Network / QSR</t>
        </is>
      </c>
      <c r="V14" s="429" t="inlineStr">
        <is>
          <t>Network / QSR</t>
        </is>
      </c>
    </row>
    <row r="15">
      <c r="B15" s="465" t="n"/>
      <c r="C15" s="464" t="inlineStr">
        <is>
          <t>AmPOS - platform total (incl overhead)</t>
        </is>
      </c>
      <c r="D15" s="465" t="n"/>
      <c r="E15" s="465" t="n"/>
      <c r="F15" s="465" t="n"/>
      <c r="G15" s="498">
        <f>SUM(G14:G14)</f>
        <v>0.0</v>
      </c>
      <c r="H15" s="498">
        <f>SUM(H14:H14)</f>
        <v>10.0</v>
      </c>
      <c r="I15" s="498">
        <f>SUM(I14:I14)</f>
        <v>0.0</v>
      </c>
      <c r="J15" s="498">
        <f>SUM(J14:J14)</f>
        <v>10.0</v>
      </c>
      <c r="K15" s="498">
        <f>SUM(K14:K14)</f>
        <v>0.0</v>
      </c>
      <c r="L15" s="500">
        <f>IFERROR(I15/J15,"-")</f>
        <v>0.0</v>
      </c>
      <c r="M15" s="497">
        <f>SUM(M14:M14)+'0.2 Data Config'!$L$16</f>
        <v>0.165</v>
      </c>
      <c r="N15" s="497">
        <f>SUM(N14:N14)</f>
        <v>2.66093203</v>
      </c>
      <c r="O15" s="497">
        <f>SUM(O14:O14)</f>
        <v>2.66093203</v>
      </c>
      <c r="U15" s="429" t="inlineStr">
        <is>
          <t>Data AU</t>
        </is>
      </c>
      <c r="V15" s="429" t="inlineStr">
        <is>
          <t>Data AU</t>
        </is>
      </c>
    </row>
    <row r="16">
      <c r="B16" s="429" t="inlineStr">
        <is>
          <t>Ampol Retail</t>
        </is>
      </c>
      <c r="C16" s="429" t="inlineStr">
        <is>
          <t>Network / QSR</t>
        </is>
      </c>
      <c r="D16" s="429" t="inlineStr">
        <is>
          <t>Network / QSR</t>
        </is>
      </c>
      <c r="E16" s="429" t="str">
        <f>'1.1 Ampol Retail'!$C$52</f>
        <v>Configuration / Integration</v>
      </c>
      <c r="F16" s="439" t="str">
        <f>'1.1 Ampol Retail'!$D$52</f>
        <v>M</v>
      </c>
      <c r="G16" s="439">
        <f>IFERROR(INDEX('0.3 Squad Archetypes'!$F$5:$F$23,MATCH('1.1 Ampol Retail'!$C$52&amp;"|"&amp;'1.1 Ampol Retail'!$D$52,'0.3 Squad Archetypes'!$A$5:$A$23,0)),"-")</f>
        <v>9.0</v>
      </c>
      <c r="H16" s="439">
        <f>COUNTIFS(Squads!$N:$N,"Ampol Retail",Squads!$P:$P,"Network / QSR",Squads!$R:$R,"Filled")</f>
        <v>5.0</v>
      </c>
      <c r="I16" s="439">
        <f>COUNTIFS(Squads!$N:$N,"Ampol Retail",Squads!$P:$P,"Network / QSR",Squads!$R:$R,"Vacant")</f>
        <v>3.0</v>
      </c>
      <c r="J16" s="439">
        <f>H16+I16</f>
        <v>8.0</v>
      </c>
      <c r="K16" s="439">
        <f>IFERROR(J16-G16,"-")</f>
        <v>-1.0</v>
      </c>
      <c r="L16" s="450">
        <f>IFERROR(I16/J16,"-")</f>
        <v>0.375</v>
      </c>
      <c r="M16" s="430">
        <f>'1.1 Ampol Retail'!$G$52</f>
        <v>1.4</v>
      </c>
      <c r="N16" s="430">
        <f>(SUMIFS('Added data'!$AA:$AA,'Added data'!$AC:$AC,"Ampol Retail",'Added data'!$AE:$AE,"Network / QSR"))/1000000</f>
        <v>1.1131819849999998</v>
      </c>
      <c r="O16" s="430">
        <f>N16-IFERROR(M16,0)</f>
        <v>-0.28681801500000015</v>
      </c>
      <c r="U16" s="429" t="inlineStr">
        <is>
          <t>EGI Retail</t>
        </is>
      </c>
      <c r="V16" s="429" t="inlineStr">
        <is>
          <t>EGI Retail</t>
        </is>
      </c>
    </row>
    <row r="17">
      <c r="B17" s="465" t="n"/>
      <c r="C17" s="464" t="inlineStr">
        <is>
          <t>Network / QSR - platform total (incl overhead)</t>
        </is>
      </c>
      <c r="D17" s="465" t="n"/>
      <c r="E17" s="465" t="n"/>
      <c r="F17" s="465" t="n"/>
      <c r="G17" s="498">
        <f>SUM(G16:G16)</f>
        <v>9.0</v>
      </c>
      <c r="H17" s="498">
        <f>SUM(H16:H16)</f>
        <v>5.0</v>
      </c>
      <c r="I17" s="498">
        <f>SUM(I16:I16)</f>
        <v>3.0</v>
      </c>
      <c r="J17" s="498">
        <f>SUM(J16:J16)</f>
        <v>8.0</v>
      </c>
      <c r="K17" s="498">
        <f>SUM(K16:K16)</f>
        <v>-1.0</v>
      </c>
      <c r="L17" s="500">
        <f>IFERROR(I17/J17,"-")</f>
        <v>0.375</v>
      </c>
      <c r="M17" s="497">
        <f>SUM(M16:M16)+'0.2 Data Config'!$L$16</f>
        <v>1.565</v>
      </c>
      <c r="N17" s="497">
        <f>SUM(N16:N16)</f>
        <v>1.1131819849999998</v>
      </c>
      <c r="O17" s="497">
        <f>SUM(O16:O16)</f>
        <v>-0.28681801500000015</v>
      </c>
      <c r="T17" s="429" t="inlineStr">
        <is>
          <t>Customer</t>
        </is>
      </c>
      <c r="U17" s="429" t="inlineStr">
        <is>
          <t>Ampol Digital</t>
        </is>
      </c>
      <c r="V17" s="429" t="inlineStr">
        <is>
          <t>Ampol App</t>
        </is>
      </c>
    </row>
    <row r="18">
      <c r="B18" s="429" t="inlineStr">
        <is>
          <t>Ampol Retail</t>
        </is>
      </c>
      <c r="C18" s="429" t="inlineStr">
        <is>
          <t>Data AU</t>
        </is>
      </c>
      <c r="D18" s="429" t="inlineStr">
        <is>
          <t>Data AU</t>
        </is>
      </c>
      <c r="E18" s="429" t="str">
        <f>'1.1 Ampol Retail'!$C$58</f>
        <v>Enterprise Data and Insights</v>
      </c>
      <c r="F18" s="439" t="str">
        <f>'1.1 Ampol Retail'!$D$58</f>
        <v>M</v>
      </c>
      <c r="G18" s="439">
        <f>IFERROR(INDEX('0.3 Squad Archetypes'!$F$5:$F$23,MATCH('1.1 Ampol Retail'!$C$58&amp;"|"&amp;'1.1 Ampol Retail'!$D$58,'0.3 Squad Archetypes'!$A$5:$A$23,0)),"-")</f>
        <v>7.5</v>
      </c>
      <c r="H18" s="439">
        <f>COUNTIFS(Squads!$N:$N,"Ampol Retail",Squads!$P:$P,"Data AU",Squads!$R:$R,"Filled")</f>
        <v>0.0</v>
      </c>
      <c r="I18" s="439">
        <f>COUNTIFS(Squads!$N:$N,"Ampol Retail",Squads!$P:$P,"Data AU",Squads!$R:$R,"Vacant")</f>
        <v>5.0</v>
      </c>
      <c r="J18" s="439">
        <f>H18+I18</f>
        <v>5.0</v>
      </c>
      <c r="K18" s="439">
        <f>IFERROR(J18-G18,"-")</f>
        <v>-2.5</v>
      </c>
      <c r="L18" s="450">
        <f>IFERROR(I18/J18,"-")</f>
        <v>1.0</v>
      </c>
      <c r="M18" s="430">
        <f>'1.1 Ampol Retail'!$G$58</f>
        <v>0.68</v>
      </c>
      <c r="N18" s="430">
        <f>(SUMIFS('Added data'!$AA:$AA,'Added data'!$AC:$AC,"Ampol Retail",'Added data'!$AE:$AE,"Data AU"))/1000000</f>
        <v>1.243419</v>
      </c>
      <c r="O18" s="430">
        <f>N18-IFERROR(M18,0)</f>
        <v>0.563419</v>
      </c>
      <c r="V18" s="429" t="inlineStr">
        <is>
          <t>Ampol Web</t>
        </is>
      </c>
    </row>
    <row r="19">
      <c r="B19" s="465" t="n"/>
      <c r="C19" s="464" t="inlineStr">
        <is>
          <t>Data AU - platform total (incl overhead)</t>
        </is>
      </c>
      <c r="D19" s="465" t="n"/>
      <c r="E19" s="465" t="n"/>
      <c r="F19" s="465" t="n"/>
      <c r="G19" s="498">
        <f>SUM(G18:G18)</f>
        <v>7.5</v>
      </c>
      <c r="H19" s="498">
        <f>SUM(H18:H18)</f>
        <v>0.0</v>
      </c>
      <c r="I19" s="498">
        <f>SUM(I18:I18)</f>
        <v>5.0</v>
      </c>
      <c r="J19" s="498">
        <f>SUM(J18:J18)</f>
        <v>5.0</v>
      </c>
      <c r="K19" s="498">
        <f>SUM(K18:K18)</f>
        <v>-2.5</v>
      </c>
      <c r="L19" s="500">
        <f>IFERROR(I19/J19,"-")</f>
        <v>1.0</v>
      </c>
      <c r="M19" s="497">
        <f>SUM(M18:M18)+'0.2 Data Config'!$L$16</f>
        <v>0.8450000000000001</v>
      </c>
      <c r="N19" s="497">
        <f>SUM(N18:N18)</f>
        <v>1.243419</v>
      </c>
      <c r="O19" s="497">
        <f>SUM(O18:O18)</f>
        <v>0.563419</v>
      </c>
      <c r="V19" s="429" t="inlineStr">
        <is>
          <t>Digital Operations</t>
        </is>
      </c>
    </row>
    <row r="20">
      <c r="B20" s="429" t="inlineStr">
        <is>
          <t>Ampol Retail</t>
        </is>
      </c>
      <c r="C20" s="429" t="inlineStr">
        <is>
          <t>EGI Retail</t>
        </is>
      </c>
      <c r="D20" s="429" t="inlineStr">
        <is>
          <t>EGI Retail</t>
        </is>
      </c>
      <c r="E20" s="429" t="str">
        <f>'1.1 Ampol Retail'!$C$64</f>
        <v>Strategic Programs</v>
      </c>
      <c r="F20" s="439">
        <f>'1.1 Ampol Retail'!$D$64</f>
        <v>0.0</v>
      </c>
      <c r="G20" s="439" t="str">
        <f>IFERROR(INDEX('0.3 Squad Archetypes'!$F$5:$F$23,MATCH('1.1 Ampol Retail'!$C$64&amp;"|"&amp;'1.1 Ampol Retail'!$D$64,'0.3 Squad Archetypes'!$A$5:$A$23,0)),"-")</f>
        <v>-</v>
      </c>
      <c r="H20" s="439">
        <f>COUNTIFS(Squads!$N:$N,"Ampol Retail",Squads!$P:$P,"EGI Retail",Squads!$R:$R,"Filled")</f>
        <v>6.0</v>
      </c>
      <c r="I20" s="439">
        <f>COUNTIFS(Squads!$N:$N,"Ampol Retail",Squads!$P:$P,"EGI Retail",Squads!$R:$R,"Vacant")</f>
        <v>0.0</v>
      </c>
      <c r="J20" s="439">
        <f>H20+I20</f>
        <v>6.0</v>
      </c>
      <c r="K20" s="439" t="str">
        <f>IFERROR(J20-G20,"-")</f>
        <v>-</v>
      </c>
      <c r="L20" s="450">
        <f>IFERROR(I20/J20,"-")</f>
        <v>0.0</v>
      </c>
      <c r="M20" s="430">
        <f>'1.1 Ampol Retail'!$G$64</f>
        <v>0.0</v>
      </c>
      <c r="N20" s="430">
        <f>(SUMIFS('Added data'!$AA:$AA,'Added data'!$AC:$AC,"Ampol Retail",'Added data'!$AE:$AE,"EGI Retail"))/1000000</f>
        <v>0.9696638999999999</v>
      </c>
      <c r="O20" s="430">
        <f>N20-IFERROR(M20,0)</f>
        <v>0.9696638999999999</v>
      </c>
      <c r="T20" s="429" t="inlineStr">
        <is>
          <t>Customer</t>
        </is>
      </c>
      <c r="U20" s="429" t="inlineStr">
        <is>
          <t>Customer Z</t>
        </is>
      </c>
      <c r="V20" s="429" t="inlineStr">
        <is>
          <t>Z Energy Apps</t>
        </is>
      </c>
    </row>
    <row r="21">
      <c r="B21" s="465" t="n"/>
      <c r="C21" s="464" t="inlineStr">
        <is>
          <t>EGI Retail - platform total (no overhead - funded via Significant Items)</t>
        </is>
      </c>
      <c r="D21" s="465" t="n"/>
      <c r="E21" s="465" t="n"/>
      <c r="F21" s="465" t="n"/>
      <c r="G21" s="498">
        <f>SUM(G20:G20)</f>
        <v>0.0</v>
      </c>
      <c r="H21" s="498">
        <f>SUM(H20:H20)</f>
        <v>6.0</v>
      </c>
      <c r="I21" s="498">
        <f>SUM(I20:I20)</f>
        <v>0.0</v>
      </c>
      <c r="J21" s="498">
        <f>SUM(J20:J20)</f>
        <v>6.0</v>
      </c>
      <c r="K21" s="498">
        <f>SUM(K20:K20)</f>
        <v>0.0</v>
      </c>
      <c r="L21" s="500">
        <f>IFERROR(I21/J21,"-")</f>
        <v>0.0</v>
      </c>
      <c r="M21" s="497">
        <f>SUM(M20:M20)</f>
        <v>0.0</v>
      </c>
      <c r="N21" s="497">
        <f>SUM(N20:N20)</f>
        <v>0.9696638999999999</v>
      </c>
      <c r="O21" s="497">
        <f>SUM(O20:O20)</f>
        <v>0.9696638999999999</v>
      </c>
      <c r="V21" s="429" t="inlineStr">
        <is>
          <t>Z Energy Martech</t>
        </is>
      </c>
    </row>
    <row r="22">
      <c r="B22" s="431" t="inlineStr">
        <is>
          <t>Ampol Retail - portfolio total (incl OHs)</t>
        </is>
      </c>
      <c r="C22" s="451" t="n"/>
      <c r="D22" s="451" t="n"/>
      <c r="E22" s="451" t="n"/>
      <c r="F22" s="451" t="n"/>
      <c r="G22" s="447">
        <f>G11+G13+G15+G17+G19+G21</f>
        <v>60.5</v>
      </c>
      <c r="H22" s="447">
        <f>H11+H13+H15+H17+H19+H21</f>
        <v>47.0</v>
      </c>
      <c r="I22" s="447">
        <f>I11+I13+I15+I17+I19+I21</f>
        <v>28.0</v>
      </c>
      <c r="J22" s="447">
        <f>J11+J13+J15+J17+J19+J21</f>
        <v>75.0</v>
      </c>
      <c r="K22" s="447">
        <f>K11+K13+K15+K17+K19+K21</f>
        <v>-1.5</v>
      </c>
      <c r="L22" s="449">
        <f>IFERROR(I22/J22,"-")</f>
        <v>0.37333333333333335</v>
      </c>
      <c r="M22" s="432">
        <f>M11+M13+M15+M17+M19+M21+'0.2 Data Config'!$L$10</f>
        <v>10.3545</v>
      </c>
      <c r="N22" s="432">
        <f>N11+N13+N15+N17+N19+N21</f>
        <v>10.799899355</v>
      </c>
      <c r="O22" s="432">
        <f>O11+O13+O15+O17+O19+O21</f>
        <v>2.019899355</v>
      </c>
      <c r="V22" s="429" t="inlineStr">
        <is>
          <t>Digital Support NZ</t>
        </is>
      </c>
    </row>
    <row r="23">
      <c r="B23" s="429" t="inlineStr">
        <is>
          <t>Customer</t>
        </is>
      </c>
      <c r="C23" s="429" t="inlineStr">
        <is>
          <t>Ampol Digital</t>
        </is>
      </c>
      <c r="D23" s="429" t="inlineStr">
        <is>
          <t>Ampol App</t>
        </is>
      </c>
      <c r="E23" s="429" t="str">
        <f>'1.2 Customer'!$C$29</f>
        <v>Product</v>
      </c>
      <c r="F23" s="439" t="str">
        <f>'1.2 Customer'!$D$29</f>
        <v>L</v>
      </c>
      <c r="G23" s="439">
        <f>IFERROR(INDEX('0.3 Squad Archetypes'!$F$5:$F$23,MATCH('1.2 Customer'!$C$29&amp;"|"&amp;'1.2 Customer'!$D$29,'0.3 Squad Archetypes'!$A$5:$A$23,0)),"-")</f>
        <v>12.0</v>
      </c>
      <c r="H23" s="439">
        <f>COUNTIFS(Squads!$N:$N,"Customer",Squads!$P:$P,"Ampol App",Squads!$R:$R,"Filled")</f>
        <v>13.0</v>
      </c>
      <c r="I23" s="439">
        <f>COUNTIFS(Squads!$N:$N,"Customer",Squads!$P:$P,"Ampol App",Squads!$R:$R,"Vacant")</f>
        <v>1.0</v>
      </c>
      <c r="J23" s="439">
        <f>H23+I23</f>
        <v>14.0</v>
      </c>
      <c r="K23" s="439">
        <f>IFERROR(J23-G23,"-")</f>
        <v>2.0</v>
      </c>
      <c r="L23" s="450">
        <f>IFERROR(I23/J23,"-")</f>
        <v>0.07142857142857142</v>
      </c>
      <c r="M23" s="430">
        <f>'1.2 Customer'!$G$29</f>
        <v>2.8</v>
      </c>
      <c r="N23" s="430">
        <f>(SUMIFS('Added data'!$AA:$AA,'Added data'!$AC:$AC,"Customer",'Added data'!$AE:$AE,"Ampol App"))/1000000</f>
        <v>3.12378992</v>
      </c>
      <c r="O23" s="430">
        <f>N23-IFERROR(M23,0)</f>
        <v>0.3237899200000003</v>
      </c>
      <c r="U23" s="429" t="inlineStr">
        <is>
          <t>Group Customer Platforms</t>
        </is>
      </c>
      <c r="V23" s="429" t="inlineStr">
        <is>
          <t>AU CRM &amp; Martech</t>
        </is>
      </c>
    </row>
    <row r="24">
      <c r="B24" s="429" t="inlineStr">
        <is>
          <t>Customer</t>
        </is>
      </c>
      <c r="C24" s="429" t="inlineStr">
        <is>
          <t>Ampol Digital</t>
        </is>
      </c>
      <c r="D24" s="429" t="inlineStr">
        <is>
          <t>Ampol Web</t>
        </is>
      </c>
      <c r="E24" s="429" t="str">
        <f>'1.2 Customer'!$C$30</f>
        <v>Product</v>
      </c>
      <c r="F24" s="439" t="str">
        <f>'1.2 Customer'!$D$30</f>
        <v>M</v>
      </c>
      <c r="G24" s="439">
        <f>IFERROR(INDEX('0.3 Squad Archetypes'!$F$5:$F$23,MATCH('1.2 Customer'!$C$30&amp;"|"&amp;'1.2 Customer'!$D$30,'0.3 Squad Archetypes'!$A$5:$A$23,0)),"-")</f>
        <v>8.5</v>
      </c>
      <c r="H24" s="439">
        <f>COUNTIFS(Squads!$N:$N,"Customer",Squads!$P:$P,"Ampol Web",Squads!$R:$R,"Filled")</f>
        <v>9.0</v>
      </c>
      <c r="I24" s="439">
        <f>COUNTIFS(Squads!$N:$N,"Customer",Squads!$P:$P,"Ampol Web",Squads!$R:$R,"Vacant")</f>
        <v>1.0</v>
      </c>
      <c r="J24" s="439">
        <f>H24+I24</f>
        <v>10.0</v>
      </c>
      <c r="K24" s="439">
        <f>IFERROR(J24-G24,"-")</f>
        <v>1.5</v>
      </c>
      <c r="L24" s="450">
        <f>IFERROR(I24/J24,"-")</f>
        <v>0.1</v>
      </c>
      <c r="M24" s="430">
        <f>'1.2 Customer'!$G$30</f>
        <v>1.9</v>
      </c>
      <c r="N24" s="430">
        <f>(SUMIFS('Added data'!$AA:$AA,'Added data'!$AC:$AC,"Customer",'Added data'!$AE:$AE,"Ampol Web"))/1000000</f>
        <v>2.21964425</v>
      </c>
      <c r="O24" s="430">
        <f>N24-IFERROR(M24,0)</f>
        <v>0.3196442500000001</v>
      </c>
      <c r="V24" s="429" t="inlineStr">
        <is>
          <t xml:space="preserve">AI Enablement </t>
        </is>
      </c>
    </row>
    <row r="25">
      <c r="B25" s="429" t="inlineStr">
        <is>
          <t>Customer</t>
        </is>
      </c>
      <c r="C25" s="429" t="inlineStr">
        <is>
          <t>Ampol Digital</t>
        </is>
      </c>
      <c r="D25" s="429" t="inlineStr">
        <is>
          <t>Digital Operations</t>
        </is>
      </c>
      <c r="E25" s="429" t="str">
        <f>'1.2 Customer'!$C$31</f>
        <v>Operations</v>
      </c>
      <c r="F25" s="439" t="str">
        <f>'1.2 Customer'!$D$31</f>
        <v>M</v>
      </c>
      <c r="G25" s="439">
        <f>IFERROR(INDEX('0.3 Squad Archetypes'!$F$5:$F$23,MATCH('1.2 Customer'!$C$31&amp;"|"&amp;'1.2 Customer'!$D$31,'0.3 Squad Archetypes'!$A$5:$A$23,0)),"-")</f>
        <v>6.0</v>
      </c>
      <c r="H25" s="439">
        <f>COUNTIFS(Squads!$N:$N,"Customer",Squads!$P:$P,"Digital Operations",Squads!$R:$R,"Filled")</f>
        <v>4.0</v>
      </c>
      <c r="I25" s="439">
        <f>COUNTIFS(Squads!$N:$N,"Customer",Squads!$P:$P,"Digital Operations",Squads!$R:$R,"Vacant")</f>
        <v>3.0</v>
      </c>
      <c r="J25" s="439">
        <f>H25+I25</f>
        <v>7.0</v>
      </c>
      <c r="K25" s="439">
        <f>IFERROR(J25-G25,"-")</f>
        <v>1.0</v>
      </c>
      <c r="L25" s="450">
        <f>IFERROR(I25/J25,"-")</f>
        <v>0.42857142857142855</v>
      </c>
      <c r="M25" s="430">
        <f>'1.2 Customer'!$G$31</f>
        <v>1.4</v>
      </c>
      <c r="N25" s="430">
        <f>(SUMIFS('Added data'!$AA:$AA,'Added data'!$AC:$AC,"Customer",'Added data'!$AE:$AE,"Digital Operations"))/1000000</f>
        <v>1.4808336000000002</v>
      </c>
      <c r="O25" s="430">
        <f>N25-IFERROR(M25,0)</f>
        <v>0.08083360000000028</v>
      </c>
      <c r="U25" s="429" t="inlineStr">
        <is>
          <t>EGI Customer</t>
        </is>
      </c>
      <c r="V25" s="429" t="inlineStr">
        <is>
          <t>EGI Customer</t>
        </is>
      </c>
    </row>
    <row r="26">
      <c r="B26" s="465" t="n"/>
      <c r="C26" s="464" t="inlineStr">
        <is>
          <t>Ampol Digital - platform total (incl overhead)</t>
        </is>
      </c>
      <c r="D26" s="465" t="n"/>
      <c r="E26" s="465" t="n"/>
      <c r="F26" s="465" t="n"/>
      <c r="G26" s="498">
        <f>SUM(G23:G25)</f>
        <v>26.5</v>
      </c>
      <c r="H26" s="498">
        <f>SUM(H23:H25)</f>
        <v>26.0</v>
      </c>
      <c r="I26" s="498">
        <f>SUM(I23:I25)</f>
        <v>5.0</v>
      </c>
      <c r="J26" s="498">
        <f>SUM(J23:J25)</f>
        <v>31.0</v>
      </c>
      <c r="K26" s="498">
        <f>SUM(K23:K25)</f>
        <v>4.5</v>
      </c>
      <c r="L26" s="500">
        <f>IFERROR(I26/J26,"-")</f>
        <v>0.16129032258064516</v>
      </c>
      <c r="M26" s="497">
        <f>SUM(M23:M25)+'0.2 Data Config'!$L$16</f>
        <v>6.265</v>
      </c>
      <c r="N26" s="497">
        <f>SUM(N23:N25)</f>
        <v>6.8242677700000005</v>
      </c>
      <c r="O26" s="497">
        <f>SUM(O23:O25)</f>
        <v>0.7242677700000006</v>
      </c>
      <c r="T26" s="429" t="inlineStr">
        <is>
          <t>Enterprise Data</t>
        </is>
      </c>
      <c r="U26" s="429" t="inlineStr">
        <is>
          <t>Group Data</t>
        </is>
      </c>
      <c r="V26" s="429" t="inlineStr">
        <is>
          <t>Data Science</t>
        </is>
      </c>
    </row>
    <row r="27">
      <c r="B27" s="429" t="inlineStr">
        <is>
          <t>Customer</t>
        </is>
      </c>
      <c r="C27" s="429" t="inlineStr">
        <is>
          <t>Customer Z</t>
        </is>
      </c>
      <c r="D27" s="429" t="inlineStr">
        <is>
          <t>Z Energy Apps</t>
        </is>
      </c>
      <c r="E27" s="429" t="str">
        <f>'1.2 Customer'!$C$37</f>
        <v>Product</v>
      </c>
      <c r="F27" s="439" t="str">
        <f>'1.2 Customer'!$D$37</f>
        <v>S</v>
      </c>
      <c r="G27" s="439">
        <f>IFERROR(INDEX('0.3 Squad Archetypes'!$F$5:$F$23,MATCH('1.2 Customer'!$C$37&amp;"|"&amp;'1.2 Customer'!$D$37,'0.3 Squad Archetypes'!$A$5:$A$23,0)),"-")</f>
        <v>5.5</v>
      </c>
      <c r="H27" s="439">
        <f>COUNTIFS(Squads!$N:$N,"Customer",Squads!$P:$P,"Z Energy Apps",Squads!$R:$R,"Filled")</f>
        <v>5.0</v>
      </c>
      <c r="I27" s="439">
        <f>COUNTIFS(Squads!$N:$N,"Customer",Squads!$P:$P,"Z Energy Apps",Squads!$R:$R,"Vacant")</f>
        <v>0.0</v>
      </c>
      <c r="J27" s="439">
        <f>H27+I27</f>
        <v>5.0</v>
      </c>
      <c r="K27" s="439">
        <f>IFERROR(J27-G27,"-")</f>
        <v>-0.5</v>
      </c>
      <c r="L27" s="450">
        <f>IFERROR(I27/J27,"-")</f>
        <v>0.0</v>
      </c>
      <c r="M27" s="430">
        <f>'1.2 Customer'!$G$37</f>
        <v>1.3</v>
      </c>
      <c r="N27" s="430">
        <f>(SUMIFS('Added data'!$AA:$AA,'Added data'!$AC:$AC,"Customer",'Added data'!$AE:$AE,"Z Energy Apps"))/1000000</f>
        <v>0.8237571600000001</v>
      </c>
      <c r="O27" s="430">
        <f>N27-IFERROR(M27,0)</f>
        <v>-0.47624283999999995</v>
      </c>
      <c r="V27" s="429" t="inlineStr">
        <is>
          <t>Operations</t>
        </is>
      </c>
    </row>
    <row r="28">
      <c r="B28" s="429" t="inlineStr">
        <is>
          <t>Customer</t>
        </is>
      </c>
      <c r="C28" s="429" t="inlineStr">
        <is>
          <t>Customer Z</t>
        </is>
      </c>
      <c r="D28" s="429" t="inlineStr">
        <is>
          <t>Z Energy Martech</t>
        </is>
      </c>
      <c r="E28" s="429" t="str">
        <f>'1.2 Customer'!$C$38</f>
        <v>Product</v>
      </c>
      <c r="F28" s="439" t="str">
        <f>'1.2 Customer'!$D$38</f>
        <v>L</v>
      </c>
      <c r="G28" s="439">
        <f>IFERROR(INDEX('0.3 Squad Archetypes'!$F$5:$F$23,MATCH('1.2 Customer'!$C$38&amp;"|"&amp;'1.2 Customer'!$D$38,'0.3 Squad Archetypes'!$A$5:$A$23,0)),"-")</f>
        <v>12.0</v>
      </c>
      <c r="H28" s="439">
        <f>COUNTIFS(Squads!$N:$N,"Customer",Squads!$P:$P,"Z Energy Martech",Squads!$R:$R,"Filled")</f>
        <v>13.0</v>
      </c>
      <c r="I28" s="439">
        <f>COUNTIFS(Squads!$N:$N,"Customer",Squads!$P:$P,"Z Energy Martech",Squads!$R:$R,"Vacant")</f>
        <v>3.0</v>
      </c>
      <c r="J28" s="439">
        <f>H28+I28</f>
        <v>16.0</v>
      </c>
      <c r="K28" s="439">
        <f>IFERROR(J28-G28,"-")</f>
        <v>4.0</v>
      </c>
      <c r="L28" s="450">
        <f>IFERROR(I28/J28,"-")</f>
        <v>0.1875</v>
      </c>
      <c r="M28" s="430">
        <f>'1.2 Customer'!$G$38</f>
        <v>2.8</v>
      </c>
      <c r="N28" s="430">
        <f>(SUMIFS('Added data'!$AA:$AA,'Added data'!$AC:$AC,"Customer",'Added data'!$AE:$AE,"Z Energy Martech"))/1000000</f>
        <v>2.5738363740000003</v>
      </c>
      <c r="O28" s="430">
        <f>N28-IFERROR(M28,0)</f>
        <v>-0.2261636259999995</v>
      </c>
      <c r="V28" s="429" t="inlineStr">
        <is>
          <t>Reporting &amp; Analytics</t>
        </is>
      </c>
    </row>
    <row r="29">
      <c r="B29" s="429" t="inlineStr">
        <is>
          <t>Customer</t>
        </is>
      </c>
      <c r="C29" s="429" t="inlineStr">
        <is>
          <t>Customer Z</t>
        </is>
      </c>
      <c r="D29" s="429" t="inlineStr">
        <is>
          <t>Digital Support NZ</t>
        </is>
      </c>
      <c r="E29" s="429" t="str">
        <f>'1.2 Customer'!$C$39</f>
        <v>Operations</v>
      </c>
      <c r="F29" s="439" t="str">
        <f>'1.2 Customer'!$D$39</f>
        <v>S</v>
      </c>
      <c r="G29" s="439">
        <f>IFERROR(INDEX('0.3 Squad Archetypes'!$F$5:$F$23,MATCH('1.2 Customer'!$C$39&amp;"|"&amp;'1.2 Customer'!$D$39,'0.3 Squad Archetypes'!$A$5:$A$23,0)),"-")</f>
        <v>4.0</v>
      </c>
      <c r="H29" s="439">
        <f>COUNTIFS(Squads!$N:$N,"Customer",Squads!$P:$P,"Digital Support NZ",Squads!$R:$R,"Filled")</f>
        <v>0.0</v>
      </c>
      <c r="I29" s="439">
        <f>COUNTIFS(Squads!$N:$N,"Customer",Squads!$P:$P,"Digital Support NZ",Squads!$R:$R,"Vacant")</f>
        <v>0.0</v>
      </c>
      <c r="J29" s="439">
        <f>H29+I29</f>
        <v>0.0</v>
      </c>
      <c r="K29" s="439">
        <f>IFERROR(J29-G29,"-")</f>
        <v>-4.0</v>
      </c>
      <c r="L29" s="450" t="str">
        <f>IFERROR(I29/J29,"-")</f>
        <v>-</v>
      </c>
      <c r="M29" s="430">
        <f>'1.2 Customer'!$G$39</f>
        <v>0.8</v>
      </c>
      <c r="N29" s="430">
        <f>(SUMIFS('Added data'!$AA:$AA,'Added data'!$AC:$AC,"Customer",'Added data'!$AE:$AE,"Digital Support NZ"))/1000000</f>
        <v>0.0</v>
      </c>
      <c r="O29" s="430">
        <f>N29-IFERROR(M29,0)</f>
        <v>-0.8</v>
      </c>
      <c r="V29" s="429" t="inlineStr">
        <is>
          <t>Data Platforms</t>
        </is>
      </c>
    </row>
    <row r="30">
      <c r="B30" s="465" t="n"/>
      <c r="C30" s="464" t="inlineStr">
        <is>
          <t>Customer Z - platform total (incl overhead)</t>
        </is>
      </c>
      <c r="D30" s="465" t="n"/>
      <c r="E30" s="465" t="n"/>
      <c r="F30" s="465" t="n"/>
      <c r="G30" s="498">
        <f>SUM(G27:G29)</f>
        <v>21.5</v>
      </c>
      <c r="H30" s="498">
        <f>SUM(H27:H29)</f>
        <v>18.0</v>
      </c>
      <c r="I30" s="498">
        <f>SUM(I27:I29)</f>
        <v>3.0</v>
      </c>
      <c r="J30" s="498">
        <f>SUM(J27:J29)</f>
        <v>21.0</v>
      </c>
      <c r="K30" s="498">
        <f>SUM(K27:K29)</f>
        <v>-0.5</v>
      </c>
      <c r="L30" s="500">
        <f>IFERROR(I30/J30,"-")</f>
        <v>0.14285714285714285</v>
      </c>
      <c r="M30" s="497">
        <f>SUM(M27:M29)+'0.2 Data Config'!$L$16</f>
        <v>5.0649999999999995</v>
      </c>
      <c r="N30" s="497">
        <f>SUM(N27:N29)</f>
        <v>3.3975935340000003</v>
      </c>
      <c r="O30" s="497">
        <f>SUM(O27:O29)</f>
        <v>-1.5024064659999996</v>
      </c>
      <c r="V30" s="429" t="inlineStr">
        <is>
          <t>Enterprise Data Delivery</t>
        </is>
      </c>
    </row>
    <row r="31">
      <c r="B31" s="429" t="inlineStr">
        <is>
          <t>Customer</t>
        </is>
      </c>
      <c r="C31" s="429" t="inlineStr">
        <is>
          <t>Group Customer Platforms</t>
        </is>
      </c>
      <c r="D31" s="429" t="inlineStr">
        <is>
          <t>AU CRM &amp; Martech</t>
        </is>
      </c>
      <c r="E31" s="429" t="str">
        <f>'1.2 Customer'!$C$45</f>
        <v>Product</v>
      </c>
      <c r="F31" s="439" t="str">
        <f>'1.2 Customer'!$D$45</f>
        <v>M</v>
      </c>
      <c r="G31" s="439">
        <f>IFERROR(INDEX('0.3 Squad Archetypes'!$F$5:$F$23,MATCH('1.2 Customer'!$C$45&amp;"|"&amp;'1.2 Customer'!$D$45,'0.3 Squad Archetypes'!$A$5:$A$23,0)),"-")</f>
        <v>8.5</v>
      </c>
      <c r="H31" s="439">
        <f>COUNTIFS(Squads!$N:$N,"Customer",Squads!$P:$P,"AU CRM &amp; Martech",Squads!$R:$R,"Filled")</f>
        <v>6.0</v>
      </c>
      <c r="I31" s="439">
        <f>COUNTIFS(Squads!$N:$N,"Customer",Squads!$P:$P,"AU CRM &amp; Martech",Squads!$R:$R,"Vacant")</f>
        <v>7.0</v>
      </c>
      <c r="J31" s="439">
        <f>H31+I31</f>
        <v>13.0</v>
      </c>
      <c r="K31" s="439">
        <f>IFERROR(J31-G31,"-")</f>
        <v>4.5</v>
      </c>
      <c r="L31" s="450">
        <f>IFERROR(I31/J31,"-")</f>
        <v>0.5384615384615384</v>
      </c>
      <c r="M31" s="430">
        <f>'1.2 Customer'!$G$45</f>
        <v>1.9</v>
      </c>
      <c r="N31" s="430">
        <f>(SUMIFS('Added data'!$AA:$AA,'Added data'!$AC:$AC,"Customer",'Added data'!$AE:$AE,"AU CRM &amp; Martech"))/1000000</f>
        <v>1.3212206359999998</v>
      </c>
      <c r="O31" s="430">
        <f>N31-IFERROR(M31,0)</f>
        <v>-0.5787793640000001</v>
      </c>
      <c r="T31" s="429" t="inlineStr">
        <is>
          <t>TDD Group Functions</t>
        </is>
      </c>
      <c r="U31" s="429" t="inlineStr">
        <is>
          <t>TDD Group Functions</t>
        </is>
      </c>
      <c r="V31" s="429" t="inlineStr">
        <is>
          <t>Workplace &amp; Enterprise Tooling</t>
        </is>
      </c>
    </row>
    <row r="32">
      <c r="B32" s="429" t="inlineStr">
        <is>
          <t>Customer</t>
        </is>
      </c>
      <c r="C32" s="429" t="inlineStr">
        <is>
          <t>Group Customer Platforms</t>
        </is>
      </c>
      <c r="D32" s="429" t="inlineStr">
        <is>
          <t xml:space="preserve">AI Enablement </t>
        </is>
      </c>
      <c r="E32" s="429" t="str">
        <f>'1.2 Customer'!$C$46</f>
        <v>Engineering</v>
      </c>
      <c r="F32" s="439" t="str">
        <f>'1.2 Customer'!$D$46</f>
        <v>S</v>
      </c>
      <c r="G32" s="439">
        <f>IFERROR(INDEX('0.3 Squad Archetypes'!$F$5:$F$23,MATCH('1.2 Customer'!$C$46&amp;"|"&amp;'1.2 Customer'!$D$46,'0.3 Squad Archetypes'!$A$5:$A$23,0)),"-")</f>
        <v>4.5</v>
      </c>
      <c r="H32" s="439">
        <f>COUNTIFS(Squads!$N:$N,"Customer",Squads!$P:$P,"AI Enablement ",Squads!$R:$R,"Filled")</f>
        <v>0.0</v>
      </c>
      <c r="I32" s="439">
        <f>COUNTIFS(Squads!$N:$N,"Customer",Squads!$P:$P,"AI Enablement ",Squads!$R:$R,"Vacant")</f>
        <v>0.0</v>
      </c>
      <c r="J32" s="439">
        <f>H32+I32</f>
        <v>0.0</v>
      </c>
      <c r="K32" s="439">
        <f>IFERROR(J32-G32,"-")</f>
        <v>-4.5</v>
      </c>
      <c r="L32" s="450" t="str">
        <f>IFERROR(I32/J32,"-")</f>
        <v>-</v>
      </c>
      <c r="M32" s="430">
        <f>'1.2 Customer'!$G$46</f>
        <v>0.8</v>
      </c>
      <c r="N32" s="430">
        <f>(SUMIFS('Added data'!$AA:$AA,'Added data'!$AC:$AC,"Customer",'Added data'!$AE:$AE,"AI Enablement "))/1000000</f>
        <v>0.0</v>
      </c>
      <c r="O32" s="430">
        <f>N32-IFERROR(M32,0)</f>
        <v>-0.8</v>
      </c>
      <c r="V32" s="429" t="inlineStr">
        <is>
          <t>Network &amp; Infrastructure</t>
        </is>
      </c>
    </row>
    <row r="33">
      <c r="B33" s="465" t="n"/>
      <c r="C33" s="464" t="inlineStr">
        <is>
          <t>Group Customer Platforms - platform total (incl overhead)</t>
        </is>
      </c>
      <c r="D33" s="465" t="n"/>
      <c r="E33" s="465" t="n"/>
      <c r="F33" s="465" t="n"/>
      <c r="G33" s="498">
        <f>SUM(G31:G32)</f>
        <v>13.0</v>
      </c>
      <c r="H33" s="498">
        <f>SUM(H31:H32)</f>
        <v>6.0</v>
      </c>
      <c r="I33" s="498">
        <f>SUM(I31:I32)</f>
        <v>7.0</v>
      </c>
      <c r="J33" s="498">
        <f>SUM(J31:J32)</f>
        <v>13.0</v>
      </c>
      <c r="K33" s="498">
        <f>SUM(K31:K32)</f>
        <v>0.0</v>
      </c>
      <c r="L33" s="500">
        <f>IFERROR(I33/J33,"-")</f>
        <v>0.5384615384615384</v>
      </c>
      <c r="M33" s="497">
        <f>SUM(M31:M32)+'0.2 Data Config'!$L$16</f>
        <v>2.865</v>
      </c>
      <c r="N33" s="497">
        <f>SUM(N31:N32)</f>
        <v>1.3212206359999998</v>
      </c>
      <c r="O33" s="497">
        <f>SUM(O31:O32)</f>
        <v>-1.3787793640000001</v>
      </c>
      <c r="V33" s="429" t="inlineStr">
        <is>
          <t>DevOps &amp; Engineering</t>
        </is>
      </c>
    </row>
    <row r="34">
      <c r="B34" s="429" t="inlineStr">
        <is>
          <t>Customer</t>
        </is>
      </c>
      <c r="C34" s="429" t="inlineStr">
        <is>
          <t>EGI Customer</t>
        </is>
      </c>
      <c r="D34" s="429" t="inlineStr">
        <is>
          <t>EGI Customer</t>
        </is>
      </c>
      <c r="E34" s="429" t="str">
        <f>'1.2 Customer'!$C$52</f>
        <v>Strategic Programs</v>
      </c>
      <c r="F34" s="439">
        <f>'1.2 Customer'!$D$52</f>
        <v>0.0</v>
      </c>
      <c r="G34" s="439" t="str">
        <f>IFERROR(INDEX('0.3 Squad Archetypes'!$F$5:$F$23,MATCH('1.2 Customer'!$C$52&amp;"|"&amp;'1.2 Customer'!$D$52,'0.3 Squad Archetypes'!$A$5:$A$23,0)),"-")</f>
        <v>-</v>
      </c>
      <c r="H34" s="439">
        <f>COUNTIFS(Squads!$N:$N,"Customer",Squads!$P:$P,"EGI Customer",Squads!$R:$R,"Filled")</f>
        <v>9.0</v>
      </c>
      <c r="I34" s="439">
        <f>COUNTIFS(Squads!$N:$N,"Customer",Squads!$P:$P,"EGI Customer",Squads!$R:$R,"Vacant")</f>
        <v>0.0</v>
      </c>
      <c r="J34" s="439">
        <f>H34+I34</f>
        <v>9.0</v>
      </c>
      <c r="K34" s="439" t="str">
        <f>IFERROR(J34-G34,"-")</f>
        <v>-</v>
      </c>
      <c r="L34" s="450">
        <f>IFERROR(I34/J34,"-")</f>
        <v>0.0</v>
      </c>
      <c r="M34" s="430">
        <f>'1.2 Customer'!$G$52</f>
        <v>0.0</v>
      </c>
      <c r="N34" s="430">
        <f>(SUMIFS('Added data'!$AA:$AA,'Added data'!$AC:$AC,"Customer",'Added data'!$AE:$AE,"EGI Customer"))/1000000</f>
        <v>2.25609783</v>
      </c>
      <c r="O34" s="430">
        <f>N34-IFERROR(M34,0)</f>
        <v>2.25609783</v>
      </c>
      <c r="V34" s="429" t="inlineStr">
        <is>
          <t>Integration</t>
        </is>
      </c>
    </row>
    <row r="35">
      <c r="B35" s="465" t="n"/>
      <c r="C35" s="464" t="inlineStr">
        <is>
          <t>EGI Customer - platform total (no overhead - funded via Significant Items)</t>
        </is>
      </c>
      <c r="D35" s="465" t="n"/>
      <c r="E35" s="465" t="n"/>
      <c r="F35" s="465" t="n"/>
      <c r="G35" s="498">
        <f>SUM(G34:G34)</f>
        <v>0.0</v>
      </c>
      <c r="H35" s="498">
        <f>SUM(H34:H34)</f>
        <v>9.0</v>
      </c>
      <c r="I35" s="498">
        <f>SUM(I34:I34)</f>
        <v>0.0</v>
      </c>
      <c r="J35" s="498">
        <f>SUM(J34:J34)</f>
        <v>9.0</v>
      </c>
      <c r="K35" s="498">
        <f>SUM(K34:K34)</f>
        <v>0.0</v>
      </c>
      <c r="L35" s="500">
        <f>IFERROR(I35/J35,"-")</f>
        <v>0.0</v>
      </c>
      <c r="M35" s="497">
        <f>SUM(M34:M34)</f>
        <v>0.0</v>
      </c>
      <c r="N35" s="497">
        <f>SUM(N34:N34)</f>
        <v>2.25609783</v>
      </c>
      <c r="O35" s="497">
        <f>SUM(O34:O34)</f>
        <v>2.25609783</v>
      </c>
      <c r="T35" s="429" t="inlineStr">
        <is>
          <t>TDD Group Functions</t>
        </is>
      </c>
      <c r="U35" s="429" t="inlineStr">
        <is>
          <t>EGI TDD</t>
        </is>
      </c>
      <c r="V35" s="429" t="inlineStr">
        <is>
          <t>EGI TDD</t>
        </is>
      </c>
    </row>
    <row r="36">
      <c r="B36" s="431" t="inlineStr">
        <is>
          <t>Customer - portfolio total (incl OHs)</t>
        </is>
      </c>
      <c r="C36" s="451" t="n"/>
      <c r="D36" s="451" t="n"/>
      <c r="E36" s="451" t="n"/>
      <c r="F36" s="451" t="n"/>
      <c r="G36" s="447">
        <f>G26+G30+G33+G35</f>
        <v>61.0</v>
      </c>
      <c r="H36" s="447">
        <f>H26+H30+H33+H35</f>
        <v>59.0</v>
      </c>
      <c r="I36" s="447">
        <f>I26+I30+I33+I35</f>
        <v>15.0</v>
      </c>
      <c r="J36" s="447">
        <f>J26+J30+J33+J35</f>
        <v>74.0</v>
      </c>
      <c r="K36" s="447">
        <f>K26+K30+K33+K35</f>
        <v>4.0</v>
      </c>
      <c r="L36" s="449">
        <f>IFERROR(I36/J36,"-")</f>
        <v>0.20270270270270271</v>
      </c>
      <c r="M36" s="432">
        <f>M26+M30+M33+M35+'0.2 Data Config'!$L$10</f>
        <v>14.944499999999998</v>
      </c>
      <c r="N36" s="432">
        <f>N26+N30+N33+N35</f>
        <v>13.79917977</v>
      </c>
      <c r="O36" s="432">
        <f>O26+O30+O33+O35</f>
        <v>0.099179770000001</v>
      </c>
      <c r="T36" s="429" t="inlineStr">
        <is>
          <t>P&amp;C</t>
        </is>
      </c>
      <c r="U36" s="429" t="inlineStr">
        <is>
          <t>P&amp;C</t>
        </is>
      </c>
      <c r="V36" s="429" t="inlineStr">
        <is>
          <t>P&amp;C</t>
        </is>
      </c>
    </row>
    <row r="37">
      <c r="B37" s="429" t="inlineStr">
        <is>
          <t>Enterprise Data</t>
        </is>
      </c>
      <c r="C37" s="429" t="inlineStr">
        <is>
          <t>Group Data</t>
        </is>
      </c>
      <c r="D37" s="429" t="inlineStr">
        <is>
          <t>Data Science</t>
        </is>
      </c>
      <c r="E37" s="429" t="str">
        <f>'1.3 Enterprise Data'!$C$24</f>
        <v>Enterprise Data and Insights</v>
      </c>
      <c r="F37" s="439" t="str">
        <f>'1.3 Enterprise Data'!$D$24</f>
        <v>M</v>
      </c>
      <c r="G37" s="439">
        <f>IFERROR(INDEX('0.3 Squad Archetypes'!$F$5:$F$23,MATCH('1.3 Enterprise Data'!$C$24&amp;"|"&amp;'1.3 Enterprise Data'!$D$24,'0.3 Squad Archetypes'!$A$5:$A$23,0)),"-")</f>
        <v>7.5</v>
      </c>
      <c r="H37" s="439">
        <f>COUNTIFS(Squads!$N:$N,"Enterprise Data",Squads!$P:$P,"Data Science",Squads!$R:$R,"Filled")</f>
        <v>3.0</v>
      </c>
      <c r="I37" s="439">
        <f>COUNTIFS(Squads!$N:$N,"Enterprise Data",Squads!$P:$P,"Data Science",Squads!$R:$R,"Vacant")</f>
        <v>4.0</v>
      </c>
      <c r="J37" s="439">
        <f>H37+I37</f>
        <v>7.0</v>
      </c>
      <c r="K37" s="439">
        <f>IFERROR(J37-G37,"-")</f>
        <v>-0.5</v>
      </c>
      <c r="L37" s="450">
        <f>IFERROR(I37/J37,"-")</f>
        <v>0.5714285714285714</v>
      </c>
      <c r="M37" s="430">
        <f>'1.3 Enterprise Data'!$G$24</f>
        <v>1.7</v>
      </c>
      <c r="N37" s="430">
        <f>(SUMIFS('Added data'!$AA:$AA,'Added data'!$AC:$AC,"Enterprise Data",'Added data'!$AE:$AE,"Data Science"))/1000000</f>
        <v>1.4124205799999998</v>
      </c>
      <c r="O37" s="430">
        <f>N37-IFERROR(M37,0)</f>
        <v>-0.28757942000000014</v>
      </c>
      <c r="V37" s="429" t="inlineStr">
        <is>
          <t>P&amp;C - RTA</t>
        </is>
      </c>
    </row>
    <row r="38">
      <c r="B38" s="429" t="inlineStr">
        <is>
          <t>Enterprise Data</t>
        </is>
      </c>
      <c r="C38" s="429" t="inlineStr">
        <is>
          <t>Group Data</t>
        </is>
      </c>
      <c r="D38" s="429" t="inlineStr">
        <is>
          <t>Operations</t>
        </is>
      </c>
      <c r="E38" s="429" t="str">
        <f>'1.3 Enterprise Data'!$C$25</f>
        <v>Operations</v>
      </c>
      <c r="F38" s="439" t="str">
        <f>'1.3 Enterprise Data'!$D$25</f>
        <v>L</v>
      </c>
      <c r="G38" s="439">
        <f>IFERROR(INDEX('0.3 Squad Archetypes'!$F$5:$F$23,MATCH('1.3 Enterprise Data'!$C$25&amp;"|"&amp;'1.3 Enterprise Data'!$D$25,'0.3 Squad Archetypes'!$A$5:$A$23,0)),"-")</f>
        <v>10.0</v>
      </c>
      <c r="H38" s="439">
        <f>COUNTIFS(Squads!$N:$N,"Enterprise Data",Squads!$P:$P,"Operations",Squads!$R:$R,"Filled")</f>
        <v>1.0</v>
      </c>
      <c r="I38" s="439">
        <f>COUNTIFS(Squads!$N:$N,"Enterprise Data",Squads!$P:$P,"Operations",Squads!$R:$R,"Vacant")</f>
        <v>1.0</v>
      </c>
      <c r="J38" s="439">
        <f>H38+I38</f>
        <v>2.0</v>
      </c>
      <c r="K38" s="439">
        <f>IFERROR(J38-G38,"-")</f>
        <v>-8.0</v>
      </c>
      <c r="L38" s="450">
        <f>IFERROR(I38/J38,"-")</f>
        <v>0.5</v>
      </c>
      <c r="M38" s="430">
        <f>'1.3 Enterprise Data'!$G$25</f>
        <v>0.9199999999999999</v>
      </c>
      <c r="N38" s="430">
        <f>(SUMIFS('Added data'!$AA:$AA,'Added data'!$AC:$AC,"Enterprise Data",'Added data'!$AE:$AE,"Operations"))/1000000</f>
        <v>0.0</v>
      </c>
      <c r="O38" s="430">
        <f>N38-IFERROR(M38,0)</f>
        <v>-0.9199999999999999</v>
      </c>
      <c r="U38" s="429" t="inlineStr">
        <is>
          <t>EGI P&amp;C</t>
        </is>
      </c>
      <c r="V38" s="429" t="inlineStr">
        <is>
          <t>EGI P&amp;C</t>
        </is>
      </c>
    </row>
    <row r="39">
      <c r="B39" s="429" t="inlineStr">
        <is>
          <t>Enterprise Data</t>
        </is>
      </c>
      <c r="C39" s="429" t="inlineStr">
        <is>
          <t>Group Data</t>
        </is>
      </c>
      <c r="D39" s="429" t="inlineStr">
        <is>
          <t>Reporting &amp; Analytics</t>
        </is>
      </c>
      <c r="E39" s="429" t="str">
        <f>'1.3 Enterprise Data'!$C$26</f>
        <v>Enterprise Data and Insights</v>
      </c>
      <c r="F39" s="439" t="str">
        <f>'1.3 Enterprise Data'!$D$26</f>
        <v>S</v>
      </c>
      <c r="G39" s="439">
        <f>IFERROR(INDEX('0.3 Squad Archetypes'!$F$5:$F$23,MATCH('1.3 Enterprise Data'!$C$26&amp;"|"&amp;'1.3 Enterprise Data'!$D$26,'0.3 Squad Archetypes'!$A$5:$A$23,0)),"-")</f>
        <v>4.0</v>
      </c>
      <c r="H39" s="439">
        <f>COUNTIFS(Squads!$N:$N,"Enterprise Data",Squads!$P:$P,"Reporting &amp; Analytics",Squads!$R:$R,"Filled")</f>
        <v>10.0</v>
      </c>
      <c r="I39" s="439">
        <f>COUNTIFS(Squads!$N:$N,"Enterprise Data",Squads!$P:$P,"Reporting &amp; Analytics",Squads!$R:$R,"Vacant")</f>
        <v>3.0</v>
      </c>
      <c r="J39" s="439">
        <f>H39+I39</f>
        <v>13.0</v>
      </c>
      <c r="K39" s="439">
        <f>IFERROR(J39-G39,"-")</f>
        <v>9.0</v>
      </c>
      <c r="L39" s="450">
        <f>IFERROR(I39/J39,"-")</f>
        <v>0.23076923076923078</v>
      </c>
      <c r="M39" s="430">
        <f>'1.3 Enterprise Data'!$G$26</f>
        <v>0.9</v>
      </c>
      <c r="N39" s="430">
        <f>(SUMIFS('Added data'!$AA:$AA,'Added data'!$AC:$AC,"Enterprise Data",'Added data'!$AE:$AE,"Reporting &amp; Analytics"))/1000000</f>
        <v>2.9676649499999996</v>
      </c>
      <c r="O39" s="430">
        <f>N39-IFERROR(M39,0)</f>
        <v>2.0676649499999997</v>
      </c>
      <c r="T39" s="429" t="inlineStr">
        <is>
          <t>Finance</t>
        </is>
      </c>
      <c r="U39" s="429" t="inlineStr">
        <is>
          <t>Finance</t>
        </is>
      </c>
      <c r="V39" s="429" t="inlineStr">
        <is>
          <t>AU Finance</t>
        </is>
      </c>
    </row>
    <row r="40">
      <c r="B40" s="429" t="inlineStr">
        <is>
          <t>Enterprise Data</t>
        </is>
      </c>
      <c r="C40" s="429" t="inlineStr">
        <is>
          <t>Group Data</t>
        </is>
      </c>
      <c r="D40" s="429" t="inlineStr">
        <is>
          <t>Data Platforms</t>
        </is>
      </c>
      <c r="E40" s="429" t="str">
        <f>'1.3 Enterprise Data'!$C$27</f>
        <v>Enterprise Data and Insights</v>
      </c>
      <c r="F40" s="439" t="str">
        <f>'1.3 Enterprise Data'!$D$27</f>
        <v>S</v>
      </c>
      <c r="G40" s="439">
        <f>IFERROR(INDEX('0.3 Squad Archetypes'!$F$5:$F$23,MATCH('1.3 Enterprise Data'!$C$27&amp;"|"&amp;'1.3 Enterprise Data'!$D$27,'0.3 Squad Archetypes'!$A$5:$A$23,0)),"-")</f>
        <v>4.0</v>
      </c>
      <c r="H40" s="439">
        <f>COUNTIFS(Squads!$N:$N,"Enterprise Data",Squads!$P:$P,"Data Platforms",Squads!$R:$R,"Filled")</f>
        <v>2.0</v>
      </c>
      <c r="I40" s="439">
        <f>COUNTIFS(Squads!$N:$N,"Enterprise Data",Squads!$P:$P,"Data Platforms",Squads!$R:$R,"Vacant")</f>
        <v>6.0</v>
      </c>
      <c r="J40" s="439">
        <f>H40+I40</f>
        <v>8.0</v>
      </c>
      <c r="K40" s="439">
        <f>IFERROR(J40-G40,"-")</f>
        <v>4.0</v>
      </c>
      <c r="L40" s="450">
        <f>IFERROR(I40/J40,"-")</f>
        <v>0.75</v>
      </c>
      <c r="M40" s="430">
        <f>'1.3 Enterprise Data'!$G$27</f>
        <v>0.9</v>
      </c>
      <c r="N40" s="430">
        <f>(SUMIFS('Added data'!$AA:$AA,'Added data'!$AC:$AC,"Enterprise Data",'Added data'!$AE:$AE,"Data Platforms"))/1000000</f>
        <v>1.397530486</v>
      </c>
      <c r="O40" s="430">
        <f>N40-IFERROR(M40,0)</f>
        <v>0.49753048599999994</v>
      </c>
      <c r="V40" s="429" t="inlineStr">
        <is>
          <t>AU Finance</t>
        </is>
      </c>
    </row>
    <row r="41">
      <c r="B41" s="429" t="inlineStr">
        <is>
          <t>Enterprise Data</t>
        </is>
      </c>
      <c r="C41" s="429" t="inlineStr">
        <is>
          <t>Group Data</t>
        </is>
      </c>
      <c r="D41" s="429" t="inlineStr">
        <is>
          <t>Enterprise Data Delivery</t>
        </is>
      </c>
      <c r="E41" s="429" t="str">
        <f>'1.3 Enterprise Data'!$C$28</f>
        <v>Enterprise Data and Insights</v>
      </c>
      <c r="F41" s="439" t="str">
        <f>'1.3 Enterprise Data'!$D$28</f>
        <v>M</v>
      </c>
      <c r="G41" s="439">
        <f>IFERROR(INDEX('0.3 Squad Archetypes'!$F$5:$F$23,MATCH('1.3 Enterprise Data'!$C$28&amp;"|"&amp;'1.3 Enterprise Data'!$D$28,'0.3 Squad Archetypes'!$A$5:$A$23,0)),"-")</f>
        <v>7.5</v>
      </c>
      <c r="H41" s="439">
        <f>COUNTIFS(Squads!$N:$N,"Enterprise Data",Squads!$P:$P,"Enterprise Data Delivery",Squads!$R:$R,"Filled")</f>
        <v>0.0</v>
      </c>
      <c r="I41" s="439">
        <f>COUNTIFS(Squads!$N:$N,"Enterprise Data",Squads!$P:$P,"Enterprise Data Delivery",Squads!$R:$R,"Vacant")</f>
        <v>0.0</v>
      </c>
      <c r="J41" s="439">
        <f>H41+I41</f>
        <v>0.0</v>
      </c>
      <c r="K41" s="439">
        <f>IFERROR(J41-G41,"-")</f>
        <v>-7.5</v>
      </c>
      <c r="L41" s="450" t="str">
        <f>IFERROR(I41/J41,"-")</f>
        <v>-</v>
      </c>
      <c r="M41" s="430">
        <f>'1.3 Enterprise Data'!$G$28</f>
        <v>0.68</v>
      </c>
      <c r="N41" s="430">
        <f>(SUMIFS('Added data'!$AA:$AA,'Added data'!$AC:$AC,"Enterprise Data",'Added data'!$AE:$AE,"Enterprise Data Delivery"))/1000000</f>
        <v>0.0</v>
      </c>
      <c r="O41" s="430">
        <f>N41-IFERROR(M41,0)</f>
        <v>-0.68</v>
      </c>
      <c r="T41" s="429" t="inlineStr">
        <is>
          <t>Infrastructure</t>
        </is>
      </c>
      <c r="U41" s="429" t="inlineStr">
        <is>
          <t>Distribution</t>
        </is>
      </c>
      <c r="V41" s="429" t="inlineStr">
        <is>
          <t>Distribution, Sales &amp; Services</t>
        </is>
      </c>
    </row>
    <row r="42">
      <c r="B42" s="465" t="n"/>
      <c r="C42" s="464" t="inlineStr">
        <is>
          <t>Group Data - platform total (incl overhead)</t>
        </is>
      </c>
      <c r="D42" s="465" t="n"/>
      <c r="E42" s="465" t="n"/>
      <c r="F42" s="465" t="n"/>
      <c r="G42" s="498">
        <f>SUM(G37:G41)</f>
        <v>33.0</v>
      </c>
      <c r="H42" s="498">
        <f>SUM(H37:H41)</f>
        <v>16.0</v>
      </c>
      <c r="I42" s="498">
        <f>SUM(I37:I41)</f>
        <v>14.0</v>
      </c>
      <c r="J42" s="498">
        <f>SUM(J37:J41)</f>
        <v>30.0</v>
      </c>
      <c r="K42" s="498">
        <f>SUM(K37:K41)</f>
        <v>-3.0</v>
      </c>
      <c r="L42" s="500">
        <f>IFERROR(I42/J42,"-")</f>
        <v>0.4666666666666667</v>
      </c>
      <c r="M42" s="497">
        <f>SUM(M37:M41)+'0.2 Data Config'!$L$16</f>
        <v>5.265</v>
      </c>
      <c r="N42" s="497">
        <f>SUM(N37:N41)</f>
        <v>5.777616016</v>
      </c>
      <c r="O42" s="497">
        <f>SUM(O37:O41)</f>
        <v>0.6776160159999997</v>
      </c>
      <c r="U42" s="429" t="inlineStr">
        <is>
          <t>Manufacturing</t>
        </is>
      </c>
      <c r="V42" s="429" t="inlineStr">
        <is>
          <t>Manufacturing &amp; Group Projects</t>
        </is>
      </c>
    </row>
    <row r="43">
      <c r="B43" s="431" t="inlineStr">
        <is>
          <t>Enterprise Data - portfolio total (incl OHs)</t>
        </is>
      </c>
      <c r="C43" s="451" t="n"/>
      <c r="D43" s="451" t="n"/>
      <c r="E43" s="451" t="n"/>
      <c r="F43" s="451" t="n"/>
      <c r="G43" s="447">
        <f>G42</f>
        <v>33.0</v>
      </c>
      <c r="H43" s="447">
        <f>H42</f>
        <v>16.0</v>
      </c>
      <c r="I43" s="447">
        <f>I42</f>
        <v>14.0</v>
      </c>
      <c r="J43" s="447">
        <f>J42</f>
        <v>30.0</v>
      </c>
      <c r="K43" s="447">
        <f>K42</f>
        <v>-3.0</v>
      </c>
      <c r="L43" s="449">
        <f>IFERROR(I43/J43,"-")</f>
        <v>0.4666666666666667</v>
      </c>
      <c r="M43" s="432">
        <f>M42+'0.2 Data Config'!$L$10</f>
        <v>6.0145</v>
      </c>
      <c r="N43" s="432">
        <f>N42</f>
        <v>5.777616016</v>
      </c>
      <c r="O43" s="432">
        <f>O42</f>
        <v>0.6776160159999997</v>
      </c>
      <c r="V43" s="429" t="inlineStr">
        <is>
          <t>Technology Support</t>
        </is>
      </c>
    </row>
    <row r="44">
      <c r="B44" s="429" t="inlineStr">
        <is>
          <t>TDD Group Functions</t>
        </is>
      </c>
      <c r="C44" s="429" t="inlineStr">
        <is>
          <t>TDD Group Functions</t>
        </is>
      </c>
      <c r="D44" s="429" t="inlineStr">
        <is>
          <t>Workplace &amp; Enterprise Tooling</t>
        </is>
      </c>
      <c r="E44" s="429" t="str">
        <f>'1.4 TDD Group Functions'!$C$24</f>
        <v>Configuration / Integration</v>
      </c>
      <c r="F44" s="439" t="str">
        <f>'1.4 TDD Group Functions'!$D$24</f>
        <v>S</v>
      </c>
      <c r="G44" s="439">
        <f>IFERROR(INDEX('0.3 Squad Archetypes'!$F$5:$F$23,MATCH('1.4 TDD Group Functions'!$C$24&amp;"|"&amp;'1.4 TDD Group Functions'!$D$24,'0.3 Squad Archetypes'!$A$5:$A$23,0)),"-")</f>
        <v>6.0</v>
      </c>
      <c r="H44" s="439">
        <f>COUNTIFS(Squads!$N:$N,"TDD Group Functions",Squads!$P:$P,"Workplace &amp; Enterprise Tooling",Squads!$R:$R,"Filled")</f>
        <v>4.0</v>
      </c>
      <c r="I44" s="439">
        <f>COUNTIFS(Squads!$N:$N,"TDD Group Functions",Squads!$P:$P,"Workplace &amp; Enterprise Tooling",Squads!$R:$R,"Vacant")</f>
        <v>2.0</v>
      </c>
      <c r="J44" s="439">
        <f>H44+I44</f>
        <v>6.0</v>
      </c>
      <c r="K44" s="439">
        <f>IFERROR(J44-G44,"-")</f>
        <v>0.0</v>
      </c>
      <c r="L44" s="450">
        <f>IFERROR(I44/J44,"-")</f>
        <v>0.3333333333333333</v>
      </c>
      <c r="M44" s="430">
        <f>'1.4 TDD Group Functions'!$G$24</f>
        <v>0.4</v>
      </c>
      <c r="N44" s="430">
        <f>(SUMIFS('Added data'!$AA:$AA,'Added data'!$AC:$AC,"TDD Group Functions",'Added data'!$AE:$AE,"Workplace &amp; Enterprise Tooling"))/1000000</f>
        <v>1.1173292219999997</v>
      </c>
      <c r="O44" s="430">
        <f>N44-IFERROR(M44,0)</f>
        <v>0.7173292219999997</v>
      </c>
      <c r="U44" s="429" t="inlineStr">
        <is>
          <t>Data &amp; Insights</t>
        </is>
      </c>
      <c r="V44" s="429" t="inlineStr">
        <is>
          <t>Data &amp; Insights</t>
        </is>
      </c>
    </row>
    <row r="45">
      <c r="B45" s="429" t="inlineStr">
        <is>
          <t>TDD Group Functions</t>
        </is>
      </c>
      <c r="C45" s="429" t="inlineStr">
        <is>
          <t>TDD Group Functions</t>
        </is>
      </c>
      <c r="D45" s="429" t="inlineStr">
        <is>
          <t>Network &amp; Infrastructure</t>
        </is>
      </c>
      <c r="E45" s="429" t="str">
        <f>'1.4 TDD Group Functions'!$C$25</f>
        <v>Operations</v>
      </c>
      <c r="F45" s="439" t="str">
        <f>'1.4 TDD Group Functions'!$D$25</f>
        <v>L</v>
      </c>
      <c r="G45" s="439">
        <f>IFERROR(INDEX('0.3 Squad Archetypes'!$F$5:$F$23,MATCH('1.4 TDD Group Functions'!$C$25&amp;"|"&amp;'1.4 TDD Group Functions'!$D$25,'0.3 Squad Archetypes'!$A$5:$A$23,0)),"-")</f>
        <v>10.0</v>
      </c>
      <c r="H45" s="439">
        <f>COUNTIFS(Squads!$N:$N,"TDD Group Functions",Squads!$P:$P,"Network &amp; Infrastructure",Squads!$R:$R,"Filled")</f>
        <v>10.0</v>
      </c>
      <c r="I45" s="439">
        <f>COUNTIFS(Squads!$N:$N,"TDD Group Functions",Squads!$P:$P,"Network &amp; Infrastructure",Squads!$R:$R,"Vacant")</f>
        <v>1.0</v>
      </c>
      <c r="J45" s="439">
        <f>H45+I45</f>
        <v>11.0</v>
      </c>
      <c r="K45" s="439">
        <f>IFERROR(J45-G45,"-")</f>
        <v>1.0</v>
      </c>
      <c r="L45" s="450">
        <f>IFERROR(I45/J45,"-")</f>
        <v>0.09090909090909091</v>
      </c>
      <c r="M45" s="430">
        <f>'1.4 TDD Group Functions'!$G$25</f>
        <v>2.3</v>
      </c>
      <c r="N45" s="430">
        <f>(SUMIFS('Added data'!$AA:$AA,'Added data'!$AC:$AC,"TDD Group Functions",'Added data'!$AE:$AE,"Network &amp; Infrastructure"))/1000000</f>
        <v>2.8267209564</v>
      </c>
      <c r="O45" s="430">
        <f>N45-IFERROR(M45,0)</f>
        <v>0.5267209564000002</v>
      </c>
      <c r="T45" s="429" t="inlineStr">
        <is>
          <t>Energy Solutions &amp; B2B</t>
        </is>
      </c>
      <c r="U45" s="429" t="inlineStr">
        <is>
          <t>Energy Solutions</t>
        </is>
      </c>
      <c r="V45" s="429" t="inlineStr">
        <is>
          <t>Energy</t>
        </is>
      </c>
    </row>
    <row r="46">
      <c r="B46" s="429" t="inlineStr">
        <is>
          <t>TDD Group Functions</t>
        </is>
      </c>
      <c r="C46" s="429" t="inlineStr">
        <is>
          <t>TDD Group Functions</t>
        </is>
      </c>
      <c r="D46" s="429" t="inlineStr">
        <is>
          <t>DevOps &amp; Engineering</t>
        </is>
      </c>
      <c r="E46" s="429" t="str">
        <f>'1.4 TDD Group Functions'!$C$26</f>
        <v>Engineering</v>
      </c>
      <c r="F46" s="439" t="str">
        <f>'1.4 TDD Group Functions'!$D$26</f>
        <v>S</v>
      </c>
      <c r="G46" s="439">
        <f>IFERROR(INDEX('0.3 Squad Archetypes'!$F$5:$F$23,MATCH('1.4 TDD Group Functions'!$C$26&amp;"|"&amp;'1.4 TDD Group Functions'!$D$26,'0.3 Squad Archetypes'!$A$5:$A$23,0)),"-")</f>
        <v>4.5</v>
      </c>
      <c r="H46" s="439">
        <f>COUNTIFS(Squads!$N:$N,"TDD Group Functions",Squads!$P:$P,"DevOps &amp; Engineering",Squads!$R:$R,"Filled")</f>
        <v>4.0</v>
      </c>
      <c r="I46" s="439">
        <f>COUNTIFS(Squads!$N:$N,"TDD Group Functions",Squads!$P:$P,"DevOps &amp; Engineering",Squads!$R:$R,"Vacant")</f>
        <v>4.0</v>
      </c>
      <c r="J46" s="439">
        <f>H46+I46</f>
        <v>8.0</v>
      </c>
      <c r="K46" s="439">
        <f>IFERROR(J46-G46,"-")</f>
        <v>3.5</v>
      </c>
      <c r="L46" s="450">
        <f>IFERROR(I46/J46,"-")</f>
        <v>0.5</v>
      </c>
      <c r="M46" s="430">
        <f>'1.4 TDD Group Functions'!$G$26</f>
        <v>0.8</v>
      </c>
      <c r="N46" s="430">
        <f>(SUMIFS('Added data'!$AA:$AA,'Added data'!$AC:$AC,"TDD Group Functions",'Added data'!$AE:$AE,"DevOps &amp; Engineering"))/1000000</f>
        <v>1.581591798</v>
      </c>
      <c r="O46" s="430">
        <f>N46-IFERROR(M46,0)</f>
        <v>0.781591798</v>
      </c>
      <c r="V46" s="429" t="inlineStr">
        <is>
          <t>EVCI</t>
        </is>
      </c>
    </row>
    <row r="47">
      <c r="B47" s="429" t="inlineStr">
        <is>
          <t>TDD Group Functions</t>
        </is>
      </c>
      <c r="C47" s="429" t="inlineStr">
        <is>
          <t>TDD Group Functions</t>
        </is>
      </c>
      <c r="D47" s="429" t="inlineStr">
        <is>
          <t>Integration</t>
        </is>
      </c>
      <c r="E47" s="429" t="str">
        <f>'1.4 TDD Group Functions'!$C$27</f>
        <v>Configuration / Integration</v>
      </c>
      <c r="F47" s="439" t="str">
        <f>'1.4 TDD Group Functions'!$D$27</f>
        <v>S</v>
      </c>
      <c r="G47" s="439">
        <f>IFERROR(INDEX('0.3 Squad Archetypes'!$F$5:$F$23,MATCH('1.4 TDD Group Functions'!$C$27&amp;"|"&amp;'1.4 TDD Group Functions'!$D$27,'0.3 Squad Archetypes'!$A$5:$A$23,0)),"-")</f>
        <v>6.0</v>
      </c>
      <c r="H47" s="439">
        <f>COUNTIFS(Squads!$N:$N,"TDD Group Functions",Squads!$P:$P,"Integration",Squads!$R:$R,"Filled")</f>
        <v>6.0</v>
      </c>
      <c r="I47" s="439">
        <f>COUNTIFS(Squads!$N:$N,"TDD Group Functions",Squads!$P:$P,"Integration",Squads!$R:$R,"Vacant")</f>
        <v>2.0</v>
      </c>
      <c r="J47" s="439">
        <f>H47+I47</f>
        <v>8.0</v>
      </c>
      <c r="K47" s="439">
        <f>IFERROR(J47-G47,"-")</f>
        <v>2.0</v>
      </c>
      <c r="L47" s="450">
        <f>IFERROR(I47/J47,"-")</f>
        <v>0.25</v>
      </c>
      <c r="M47" s="430">
        <f>'1.4 TDD Group Functions'!$G$27</f>
        <v>0.4</v>
      </c>
      <c r="N47" s="430">
        <f>(SUMIFS('Added data'!$AA:$AA,'Added data'!$AC:$AC,"TDD Group Functions",'Added data'!$AE:$AE,"Integration"))/1000000</f>
        <v>2.044477746</v>
      </c>
      <c r="O47" s="430">
        <f>N47-IFERROR(M47,0)</f>
        <v>1.6444777460000002</v>
      </c>
      <c r="U47" s="429" t="inlineStr">
        <is>
          <t>B2B</t>
        </is>
      </c>
      <c r="V47" s="429" t="inlineStr">
        <is>
          <t>B2B</t>
        </is>
      </c>
    </row>
    <row r="48">
      <c r="B48" s="465" t="n"/>
      <c r="C48" s="464" t="inlineStr">
        <is>
          <t>TDD Group Functions - platform total (incl overhead)</t>
        </is>
      </c>
      <c r="D48" s="465" t="n"/>
      <c r="E48" s="465" t="n"/>
      <c r="F48" s="465" t="n"/>
      <c r="G48" s="498">
        <f>SUM(G44:G47)</f>
        <v>26.5</v>
      </c>
      <c r="H48" s="498">
        <f>SUM(H44:H47)</f>
        <v>24.0</v>
      </c>
      <c r="I48" s="498">
        <f>SUM(I44:I47)</f>
        <v>9.0</v>
      </c>
      <c r="J48" s="498">
        <f>SUM(J44:J47)</f>
        <v>33.0</v>
      </c>
      <c r="K48" s="498">
        <f>SUM(K44:K47)</f>
        <v>6.5</v>
      </c>
      <c r="L48" s="500">
        <f>IFERROR(I48/J48,"-")</f>
        <v>0.2727272727272727</v>
      </c>
      <c r="M48" s="497">
        <f>SUM(M44:M47)+'0.2 Data Config'!$L$16</f>
        <v>4.0649999999999995</v>
      </c>
      <c r="N48" s="497">
        <f>SUM(N44:N47)</f>
        <v>7.570119722399999</v>
      </c>
      <c r="O48" s="497">
        <f>SUM(O44:O47)</f>
        <v>3.6701197224</v>
      </c>
      <c r="T48" s="429" t="inlineStr">
        <is>
          <t>Commercial Fuels</t>
        </is>
      </c>
      <c r="U48" s="429" t="inlineStr">
        <is>
          <t>Trading &amp; Shipping</t>
        </is>
      </c>
      <c r="V48" s="429" t="inlineStr">
        <is>
          <t>Trading &amp; Shipping</t>
        </is>
      </c>
    </row>
    <row r="49">
      <c r="B49" s="429" t="inlineStr">
        <is>
          <t>TDD Group Functions</t>
        </is>
      </c>
      <c r="C49" s="429" t="inlineStr">
        <is>
          <t>EGI TDD</t>
        </is>
      </c>
      <c r="D49" s="429" t="inlineStr">
        <is>
          <t>EGI TDD</t>
        </is>
      </c>
      <c r="E49" s="429" t="str">
        <f>'1.4 TDD Group Functions'!$C$33</f>
        <v>Strategic Programs</v>
      </c>
      <c r="F49" s="439">
        <f>'1.4 TDD Group Functions'!$D$33</f>
        <v>0.0</v>
      </c>
      <c r="G49" s="439" t="str">
        <f>IFERROR(INDEX('0.3 Squad Archetypes'!$F$5:$F$23,MATCH('1.4 TDD Group Functions'!$C$33&amp;"|"&amp;'1.4 TDD Group Functions'!$D$33,'0.3 Squad Archetypes'!$A$5:$A$23,0)),"-")</f>
        <v>-</v>
      </c>
      <c r="H49" s="439">
        <f>COUNTIFS(Squads!$N:$N,"TDD Group Functions",Squads!$P:$P,"EGI TDD",Squads!$R:$R,"Filled")</f>
        <v>5.0</v>
      </c>
      <c r="I49" s="439">
        <f>COUNTIFS(Squads!$N:$N,"TDD Group Functions",Squads!$P:$P,"EGI TDD",Squads!$R:$R,"Vacant")</f>
        <v>0.0</v>
      </c>
      <c r="J49" s="439">
        <f>H49+I49</f>
        <v>5.0</v>
      </c>
      <c r="K49" s="439" t="str">
        <f>IFERROR(J49-G49,"-")</f>
        <v>-</v>
      </c>
      <c r="L49" s="450">
        <f>IFERROR(I49/J49,"-")</f>
        <v>0.0</v>
      </c>
      <c r="M49" s="430">
        <f>'1.4 TDD Group Functions'!$G$33</f>
        <v>0.0</v>
      </c>
      <c r="N49" s="430">
        <f>(SUMIFS('Added data'!$AA:$AA,'Added data'!$AC:$AC,"TDD Group Functions",'Added data'!$AE:$AE,"EGI TDD"))/1000000</f>
        <v>1.32454851</v>
      </c>
      <c r="O49" s="430">
        <f>N49-IFERROR(M49,0)</f>
        <v>1.32454851</v>
      </c>
      <c r="V49" s="429" t="inlineStr">
        <is>
          <t>Trading &amp; Shipping Data</t>
        </is>
      </c>
    </row>
    <row r="50">
      <c r="B50" s="465" t="n"/>
      <c r="C50" s="464" t="inlineStr">
        <is>
          <t>EGI TDD - platform total (no overhead - funded via Significant Items)</t>
        </is>
      </c>
      <c r="D50" s="465" t="n"/>
      <c r="E50" s="465" t="n"/>
      <c r="F50" s="465" t="n"/>
      <c r="G50" s="498">
        <f>SUM(G49:G49)</f>
        <v>0.0</v>
      </c>
      <c r="H50" s="498">
        <f>SUM(H49:H49)</f>
        <v>5.0</v>
      </c>
      <c r="I50" s="498">
        <f>SUM(I49:I49)</f>
        <v>0.0</v>
      </c>
      <c r="J50" s="498">
        <f>SUM(J49:J49)</f>
        <v>5.0</v>
      </c>
      <c r="K50" s="498">
        <f>SUM(K49:K49)</f>
        <v>0.0</v>
      </c>
      <c r="L50" s="500">
        <f>IFERROR(I50/J50,"-")</f>
        <v>0.0</v>
      </c>
      <c r="M50" s="497">
        <f>SUM(M49:M49)</f>
        <v>0.0</v>
      </c>
      <c r="N50" s="497">
        <f>SUM(N49:N49)</f>
        <v>1.32454851</v>
      </c>
      <c r="O50" s="497">
        <f>SUM(O49:O49)</f>
        <v>1.32454851</v>
      </c>
      <c r="T50" s="429" t="inlineStr">
        <is>
          <t>Commercial Fuels</t>
        </is>
      </c>
      <c r="U50" s="429" t="inlineStr">
        <is>
          <t>Supply</t>
        </is>
      </c>
      <c r="V50" s="429" t="inlineStr">
        <is>
          <t>Supply</t>
        </is>
      </c>
    </row>
    <row r="51">
      <c r="B51" s="431" t="inlineStr">
        <is>
          <t>TDD Group Functions - portfolio total (incl OHs)</t>
        </is>
      </c>
      <c r="C51" s="451" t="n"/>
      <c r="D51" s="451" t="n"/>
      <c r="E51" s="451" t="n"/>
      <c r="F51" s="451" t="n"/>
      <c r="G51" s="447">
        <f>G48+G50</f>
        <v>26.5</v>
      </c>
      <c r="H51" s="447">
        <f>H48+H50</f>
        <v>29.0</v>
      </c>
      <c r="I51" s="447">
        <f>I48+I50</f>
        <v>9.0</v>
      </c>
      <c r="J51" s="447">
        <f>J48+J50</f>
        <v>38.0</v>
      </c>
      <c r="K51" s="447">
        <f>K48+K50</f>
        <v>6.5</v>
      </c>
      <c r="L51" s="449">
        <f>IFERROR(I51/J51,"-")</f>
        <v>0.23684210526315788</v>
      </c>
      <c r="M51" s="432">
        <f>M48+M50+'0.2 Data Config'!$L$10</f>
        <v>4.8145</v>
      </c>
      <c r="N51" s="432">
        <f>N48+N50</f>
        <v>8.894668232399999</v>
      </c>
      <c r="O51" s="432">
        <f>O48+O50</f>
        <v>4.9946682324000005</v>
      </c>
      <c r="U51" s="429" t="inlineStr">
        <is>
          <t>CTRM</t>
        </is>
      </c>
      <c r="V51" s="429" t="inlineStr">
        <is>
          <t>CTRM</t>
        </is>
      </c>
    </row>
    <row r="52">
      <c r="B52" s="429" t="inlineStr">
        <is>
          <t>P&amp;C</t>
        </is>
      </c>
      <c r="C52" s="429" t="inlineStr">
        <is>
          <t>P&amp;C</t>
        </is>
      </c>
      <c r="D52" s="429" t="inlineStr">
        <is>
          <t>P&amp;C</t>
        </is>
      </c>
      <c r="E52" s="429" t="str">
        <f>'1.5 P&amp;C'!$C$24</f>
        <v>Configuration / Integration</v>
      </c>
      <c r="F52" s="439" t="str">
        <f>'1.5 P&amp;C'!$D$24</f>
        <v>M</v>
      </c>
      <c r="G52" s="439">
        <f>IFERROR(INDEX('0.3 Squad Archetypes'!$F$5:$F$23,MATCH('1.5 P&amp;C'!$C$24&amp;"|"&amp;'1.5 P&amp;C'!$D$24,'0.3 Squad Archetypes'!$A$5:$A$23,0)),"-")</f>
        <v>9.0</v>
      </c>
      <c r="H52" s="439">
        <f>COUNTIFS(Squads!$N:$N,"P&amp;C",Squads!$P:$P,"P&amp;C",Squads!$R:$R,"Filled")</f>
        <v>5.0</v>
      </c>
      <c r="I52" s="439">
        <f>COUNTIFS(Squads!$N:$N,"P&amp;C",Squads!$P:$P,"P&amp;C",Squads!$R:$R,"Vacant")</f>
        <v>3.0</v>
      </c>
      <c r="J52" s="439">
        <f>H52+I52</f>
        <v>8.0</v>
      </c>
      <c r="K52" s="439">
        <f>IFERROR(J52-G52,"-")</f>
        <v>-1.0</v>
      </c>
      <c r="L52" s="450">
        <f>IFERROR(I52/J52,"-")</f>
        <v>0.375</v>
      </c>
      <c r="M52" s="430">
        <f>'1.5 P&amp;C'!$G$24</f>
        <v>1.4</v>
      </c>
      <c r="N52" s="430">
        <f>(SUMIFS('Added data'!$AA:$AA,'Added data'!$AC:$AC,"P&amp;C",'Added data'!$AE:$AE,"P&amp;C"))/1000000</f>
        <v>1.7655179300000001</v>
      </c>
      <c r="O52" s="430">
        <f>N52-IFERROR(M52,0)</f>
        <v>0.3655179300000002</v>
      </c>
      <c r="T52" s="429" t="inlineStr">
        <is>
          <t>Z Retail</t>
        </is>
      </c>
      <c r="U52" s="429" t="inlineStr">
        <is>
          <t>Z Supply</t>
        </is>
      </c>
      <c r="V52" s="429" t="inlineStr">
        <is>
          <t>Z Supply</t>
        </is>
      </c>
    </row>
    <row r="53">
      <c r="B53" s="429" t="inlineStr">
        <is>
          <t>P&amp;C</t>
        </is>
      </c>
      <c r="C53" s="429" t="inlineStr">
        <is>
          <t>P&amp;C</t>
        </is>
      </c>
      <c r="D53" s="429" t="inlineStr">
        <is>
          <t>P&amp;C - RTA</t>
        </is>
      </c>
      <c r="E53" s="429" t="str">
        <f>'1.5 P&amp;C'!$C$25</f>
        <v>Configuration / Integration</v>
      </c>
      <c r="F53" s="439" t="str">
        <f>'1.5 P&amp;C'!$D$25</f>
        <v>S</v>
      </c>
      <c r="G53" s="439">
        <f>IFERROR(INDEX('0.3 Squad Archetypes'!$F$5:$F$23,MATCH('1.5 P&amp;C'!$C$25&amp;"|"&amp;'1.5 P&amp;C'!$D$25,'0.3 Squad Archetypes'!$A$5:$A$23,0)),"-")</f>
        <v>6.0</v>
      </c>
      <c r="H53" s="439">
        <f>COUNTIFS(Squads!$N:$N,"P&amp;C",Squads!$P:$P,"P&amp;C - RTA",Squads!$R:$R,"Filled")</f>
        <v>1.0</v>
      </c>
      <c r="I53" s="439">
        <f>COUNTIFS(Squads!$N:$N,"P&amp;C",Squads!$P:$P,"P&amp;C - RTA",Squads!$R:$R,"Vacant")</f>
        <v>5.0</v>
      </c>
      <c r="J53" s="439">
        <f>H53+I53</f>
        <v>6.0</v>
      </c>
      <c r="K53" s="439">
        <f>IFERROR(J53-G53,"-")</f>
        <v>0.0</v>
      </c>
      <c r="L53" s="450">
        <f>IFERROR(I53/J53,"-")</f>
        <v>0.8333333333333334</v>
      </c>
      <c r="M53" s="430">
        <f>'1.5 P&amp;C'!$G$25</f>
        <v>0.4</v>
      </c>
      <c r="N53" s="430">
        <f>(SUMIFS('Added data'!$AA:$AA,'Added data'!$AC:$AC,"P&amp;C",'Added data'!$AE:$AE,"P&amp;C - RTA"))/1000000</f>
        <v>1.2640881499999999</v>
      </c>
      <c r="O53" s="430">
        <f>N53-IFERROR(M53,0)</f>
        <v>0.8640881499999998</v>
      </c>
      <c r="T53" s="429" t="inlineStr">
        <is>
          <t>Z Retail</t>
        </is>
      </c>
      <c r="U53" s="429" t="inlineStr">
        <is>
          <t>Z Customer</t>
        </is>
      </c>
      <c r="V53" s="429" t="inlineStr">
        <is>
          <t>Site Systems</t>
        </is>
      </c>
    </row>
    <row r="54">
      <c r="B54" s="465" t="n"/>
      <c r="C54" s="464" t="inlineStr">
        <is>
          <t>P&amp;C - platform total (incl overhead)</t>
        </is>
      </c>
      <c r="D54" s="465" t="n"/>
      <c r="E54" s="465" t="n"/>
      <c r="F54" s="465" t="n"/>
      <c r="G54" s="498">
        <f>SUM(G52:G53)</f>
        <v>15.0</v>
      </c>
      <c r="H54" s="498">
        <f>SUM(H52:H53)</f>
        <v>6.0</v>
      </c>
      <c r="I54" s="498">
        <f>SUM(I52:I53)</f>
        <v>8.0</v>
      </c>
      <c r="J54" s="498">
        <f>SUM(J52:J53)</f>
        <v>14.0</v>
      </c>
      <c r="K54" s="498">
        <f>SUM(K52:K53)</f>
        <v>-1.0</v>
      </c>
      <c r="L54" s="500">
        <f>IFERROR(I54/J54,"-")</f>
        <v>0.5714285714285714</v>
      </c>
      <c r="M54" s="497">
        <f>SUM(M52:M53)+'0.2 Data Config'!$L$16</f>
        <v>1.9649999999999999</v>
      </c>
      <c r="N54" s="497">
        <f>SUM(N52:N53)</f>
        <v>3.0296060799999998</v>
      </c>
      <c r="O54" s="497">
        <f>SUM(O52:O53)</f>
        <v>1.22960608</v>
      </c>
      <c r="V54" s="429" t="inlineStr">
        <is>
          <t>Z Retail Backend</t>
        </is>
      </c>
    </row>
    <row r="55">
      <c r="B55" s="429" t="inlineStr">
        <is>
          <t>P&amp;C</t>
        </is>
      </c>
      <c r="C55" s="429" t="inlineStr">
        <is>
          <t>EGI P&amp;C</t>
        </is>
      </c>
      <c r="D55" s="429" t="inlineStr">
        <is>
          <t>EGI P&amp;C</t>
        </is>
      </c>
      <c r="E55" s="429" t="str">
        <f>'1.5 P&amp;C'!$C$31</f>
        <v>Strategic Programs</v>
      </c>
      <c r="F55" s="439">
        <f>'1.5 P&amp;C'!$D$31</f>
        <v>0.0</v>
      </c>
      <c r="G55" s="439" t="str">
        <f>IFERROR(INDEX('0.3 Squad Archetypes'!$F$5:$F$23,MATCH('1.5 P&amp;C'!$C$31&amp;"|"&amp;'1.5 P&amp;C'!$D$31,'0.3 Squad Archetypes'!$A$5:$A$23,0)),"-")</f>
        <v>-</v>
      </c>
      <c r="H55" s="439">
        <f>COUNTIFS(Squads!$N:$N,"P&amp;C",Squads!$P:$P,"EGI P&amp;C",Squads!$R:$R,"Filled")</f>
        <v>1.0</v>
      </c>
      <c r="I55" s="439">
        <f>COUNTIFS(Squads!$N:$N,"P&amp;C",Squads!$P:$P,"EGI P&amp;C",Squads!$R:$R,"Vacant")</f>
        <v>0.0</v>
      </c>
      <c r="J55" s="439">
        <f>H55+I55</f>
        <v>1.0</v>
      </c>
      <c r="K55" s="439" t="str">
        <f>IFERROR(J55-G55,"-")</f>
        <v>-</v>
      </c>
      <c r="L55" s="450">
        <f>IFERROR(I55/J55,"-")</f>
        <v>0.0</v>
      </c>
      <c r="M55" s="430">
        <f>'1.5 P&amp;C'!$G$31</f>
        <v>0.0</v>
      </c>
      <c r="N55" s="430">
        <f>(SUMIFS('Added data'!$AA:$AA,'Added data'!$AC:$AC,"P&amp;C",'Added data'!$AE:$AE,"EGI P&amp;C"))/1000000</f>
        <v>0.238965</v>
      </c>
      <c r="O55" s="430">
        <f>N55-IFERROR(M55,0)</f>
        <v>0.238965</v>
      </c>
    </row>
    <row r="56">
      <c r="B56" s="465" t="n"/>
      <c r="C56" s="464" t="inlineStr">
        <is>
          <t>EGI P&amp;C - platform total (no overhead - funded via Significant Items)</t>
        </is>
      </c>
      <c r="D56" s="465" t="n"/>
      <c r="E56" s="465" t="n"/>
      <c r="F56" s="465" t="n"/>
      <c r="G56" s="498">
        <f>SUM(G55:G55)</f>
        <v>0.0</v>
      </c>
      <c r="H56" s="498">
        <f>SUM(H55:H55)</f>
        <v>1.0</v>
      </c>
      <c r="I56" s="498">
        <f>SUM(I55:I55)</f>
        <v>0.0</v>
      </c>
      <c r="J56" s="498">
        <f>SUM(J55:J55)</f>
        <v>1.0</v>
      </c>
      <c r="K56" s="498">
        <f>SUM(K55:K55)</f>
        <v>0.0</v>
      </c>
      <c r="L56" s="500">
        <f>IFERROR(I56/J56,"-")</f>
        <v>0.0</v>
      </c>
      <c r="M56" s="497">
        <f>SUM(M55:M55)</f>
        <v>0.0</v>
      </c>
      <c r="N56" s="497">
        <f>SUM(N55:N55)</f>
        <v>0.238965</v>
      </c>
      <c r="O56" s="497">
        <f>SUM(O55:O55)</f>
        <v>0.238965</v>
      </c>
    </row>
    <row r="57">
      <c r="B57" s="431" t="inlineStr">
        <is>
          <t>P&amp;C - portfolio total (incl OHs)</t>
        </is>
      </c>
      <c r="C57" s="451" t="n"/>
      <c r="D57" s="451" t="n"/>
      <c r="E57" s="451" t="n"/>
      <c r="F57" s="451" t="n"/>
      <c r="G57" s="447">
        <f>G54+G56</f>
        <v>15.0</v>
      </c>
      <c r="H57" s="447">
        <f>H54+H56</f>
        <v>7.0</v>
      </c>
      <c r="I57" s="447">
        <f>I54+I56</f>
        <v>8.0</v>
      </c>
      <c r="J57" s="447">
        <f>J54+J56</f>
        <v>15.0</v>
      </c>
      <c r="K57" s="447">
        <f>K54+K56</f>
        <v>-1.0</v>
      </c>
      <c r="L57" s="449">
        <f>IFERROR(I57/J57,"-")</f>
        <v>0.5333333333333333</v>
      </c>
      <c r="M57" s="432">
        <f>M54+M56+'0.2 Data Config'!$L$10</f>
        <v>2.7145</v>
      </c>
      <c r="N57" s="432">
        <f>N54+N56</f>
        <v>3.2685710799999996</v>
      </c>
      <c r="O57" s="432">
        <f>O54+O56</f>
        <v>1.46857108</v>
      </c>
    </row>
    <row r="58">
      <c r="B58" s="429" t="inlineStr">
        <is>
          <t>Finance</t>
        </is>
      </c>
      <c r="C58" s="429" t="inlineStr">
        <is>
          <t>Finance</t>
        </is>
      </c>
      <c r="D58" s="429" t="inlineStr">
        <is>
          <t>AU Finance</t>
        </is>
      </c>
      <c r="E58" s="429" t="str">
        <f>'1.6 Finance'!$C$24</f>
        <v>Configuration / Integration</v>
      </c>
      <c r="F58" s="439" t="str">
        <f>'1.6 Finance'!$D$24</f>
        <v>L</v>
      </c>
      <c r="G58" s="439">
        <f>IFERROR(INDEX('0.3 Squad Archetypes'!$F$5:$F$23,MATCH('1.6 Finance'!$C$24&amp;"|"&amp;'1.6 Finance'!$D$24,'0.3 Squad Archetypes'!$A$5:$A$23,0)),"-")</f>
        <v>14.0</v>
      </c>
      <c r="H58" s="439">
        <f>COUNTIFS(Squads!$N:$N,"Finance",Squads!$P:$P,"AU Finance",Squads!$R:$R,"Filled")</f>
        <v>2.0</v>
      </c>
      <c r="I58" s="439">
        <f>COUNTIFS(Squads!$N:$N,"Finance",Squads!$P:$P,"AU Finance",Squads!$R:$R,"Vacant")</f>
        <v>7.0</v>
      </c>
      <c r="J58" s="439">
        <f>H58+I58</f>
        <v>9.0</v>
      </c>
      <c r="K58" s="439">
        <f>IFERROR(J58-G58,"-")</f>
        <v>-5.0</v>
      </c>
      <c r="L58" s="450">
        <f>IFERROR(I58/J58,"-")</f>
        <v>0.7777777777777778</v>
      </c>
      <c r="M58" s="430">
        <f>'1.6 Finance'!$G$24</f>
        <v>2.1</v>
      </c>
      <c r="N58" s="430">
        <f>(SUMIFS('Added data'!$AA:$AA,'Added data'!$AC:$AC,"Finance",'Added data'!$AE:$AE,"AU Finance"))/1000000</f>
        <v>2.01898557</v>
      </c>
      <c r="O58" s="430">
        <f>N58-IFERROR(M58,0)</f>
        <v>-0.08101443000000019</v>
      </c>
    </row>
    <row r="59">
      <c r="B59" s="429" t="inlineStr">
        <is>
          <t>Finance</t>
        </is>
      </c>
      <c r="C59" s="429" t="inlineStr">
        <is>
          <t>Finance</t>
        </is>
      </c>
      <c r="D59" s="429" t="inlineStr">
        <is>
          <t>NZ Finance</t>
        </is>
      </c>
      <c r="E59" s="429" t="str">
        <f>'1.6 Finance'!$C$25</f>
        <v>Configuration / Integration</v>
      </c>
      <c r="F59" s="439" t="str">
        <f>'1.6 Finance'!$D$25</f>
        <v>S</v>
      </c>
      <c r="G59" s="439">
        <f>IFERROR(INDEX('0.3 Squad Archetypes'!$F$5:$F$23,MATCH('1.6 Finance'!$C$25&amp;"|"&amp;'1.6 Finance'!$D$25,'0.3 Squad Archetypes'!$A$5:$A$23,0)),"-")</f>
        <v>6.0</v>
      </c>
      <c r="H59" s="439">
        <f>COUNTIFS(Squads!$N:$N,"Finance",Squads!$P:$P,"NZ Finance",Squads!$R:$R,"Filled")</f>
        <v>4.0</v>
      </c>
      <c r="I59" s="439">
        <f>COUNTIFS(Squads!$N:$N,"Finance",Squads!$P:$P,"NZ Finance",Squads!$R:$R,"Vacant")</f>
        <v>1.0</v>
      </c>
      <c r="J59" s="439">
        <f>H59+I59</f>
        <v>5.0</v>
      </c>
      <c r="K59" s="439">
        <f>IFERROR(J59-G59,"-")</f>
        <v>-1.0</v>
      </c>
      <c r="L59" s="450">
        <f>IFERROR(I59/J59,"-")</f>
        <v>0.2</v>
      </c>
      <c r="M59" s="430">
        <f>'1.6 Finance'!$G$25</f>
        <v>0.4</v>
      </c>
      <c r="N59" s="430">
        <f>(SUMIFS('Added data'!$AA:$AA,'Added data'!$AC:$AC,"Finance",'Added data'!$AE:$AE,"NZ Finance"))/1000000</f>
        <v>0.9051416459999999</v>
      </c>
      <c r="O59" s="430">
        <f>N59-IFERROR(M59,0)</f>
        <v>0.5051416459999999</v>
      </c>
    </row>
    <row r="60">
      <c r="B60" s="465" t="n"/>
      <c r="C60" s="464" t="inlineStr">
        <is>
          <t>Finance - platform total (incl overhead)</t>
        </is>
      </c>
      <c r="D60" s="465" t="n"/>
      <c r="E60" s="465" t="n"/>
      <c r="F60" s="465" t="n"/>
      <c r="G60" s="498">
        <f>SUM(G58:G59)</f>
        <v>20.0</v>
      </c>
      <c r="H60" s="498">
        <f>SUM(H58:H59)</f>
        <v>6.0</v>
      </c>
      <c r="I60" s="498">
        <f>SUM(I58:I59)</f>
        <v>8.0</v>
      </c>
      <c r="J60" s="498">
        <f>SUM(J58:J59)</f>
        <v>14.0</v>
      </c>
      <c r="K60" s="498">
        <f>SUM(K58:K59)</f>
        <v>-6.0</v>
      </c>
      <c r="L60" s="500">
        <f>IFERROR(I60/J60,"-")</f>
        <v>0.5714285714285714</v>
      </c>
      <c r="M60" s="497">
        <f>SUM(M58:M59)+'0.2 Data Config'!$L$16</f>
        <v>2.665</v>
      </c>
      <c r="N60" s="497">
        <f>SUM(N58:N59)</f>
        <v>2.9241272159999996</v>
      </c>
      <c r="O60" s="497">
        <f>SUM(O58:O59)</f>
        <v>0.4241272159999997</v>
      </c>
    </row>
    <row r="61">
      <c r="B61" s="429" t="inlineStr">
        <is>
          <t>Finance</t>
        </is>
      </c>
      <c r="C61" s="429" t="inlineStr">
        <is>
          <t>EGI Finance</t>
        </is>
      </c>
      <c r="D61" s="429" t="inlineStr">
        <is>
          <t>EGI Finance</t>
        </is>
      </c>
      <c r="E61" s="429" t="str">
        <f>'1.6 Finance'!$C$31</f>
        <v>Strategic Programs</v>
      </c>
      <c r="F61" s="439">
        <f>'1.6 Finance'!$D$31</f>
        <v>0.0</v>
      </c>
      <c r="G61" s="439" t="str">
        <f>IFERROR(INDEX('0.3 Squad Archetypes'!$F$5:$F$23,MATCH('1.6 Finance'!$C$31&amp;"|"&amp;'1.6 Finance'!$D$31,'0.3 Squad Archetypes'!$A$5:$A$23,0)),"-")</f>
        <v>-</v>
      </c>
      <c r="H61" s="439">
        <f>COUNTIFS(Squads!$N:$N,"Finance",Squads!$P:$P,"EGI Finance",Squads!$R:$R,"Filled")</f>
        <v>1.0</v>
      </c>
      <c r="I61" s="439">
        <f>COUNTIFS(Squads!$N:$N,"Finance",Squads!$P:$P,"EGI Finance",Squads!$R:$R,"Vacant")</f>
        <v>0.0</v>
      </c>
      <c r="J61" s="439">
        <f>H61+I61</f>
        <v>1.0</v>
      </c>
      <c r="K61" s="439" t="str">
        <f>IFERROR(J61-G61,"-")</f>
        <v>-</v>
      </c>
      <c r="L61" s="450">
        <f>IFERROR(I61/J61,"-")</f>
        <v>0.0</v>
      </c>
      <c r="M61" s="430">
        <f>'1.6 Finance'!$G$31</f>
        <v>0.0</v>
      </c>
      <c r="N61" s="430">
        <f>(SUMIFS('Added data'!$AA:$AA,'Added data'!$AC:$AC,"Finance",'Added data'!$AE:$AE,"EGI Finance"))/1000000</f>
        <v>0.24172844999999998</v>
      </c>
      <c r="O61" s="430">
        <f>N61-IFERROR(M61,0)</f>
        <v>0.24172844999999998</v>
      </c>
    </row>
    <row r="62">
      <c r="B62" s="465" t="n"/>
      <c r="C62" s="464" t="inlineStr">
        <is>
          <t>EGI Finance - platform total (no overhead - funded via Significant Items)</t>
        </is>
      </c>
      <c r="D62" s="465" t="n"/>
      <c r="E62" s="465" t="n"/>
      <c r="F62" s="465" t="n"/>
      <c r="G62" s="498">
        <f>SUM(G61:G61)</f>
        <v>0.0</v>
      </c>
      <c r="H62" s="498">
        <f>SUM(H61:H61)</f>
        <v>1.0</v>
      </c>
      <c r="I62" s="498">
        <f>SUM(I61:I61)</f>
        <v>0.0</v>
      </c>
      <c r="J62" s="498">
        <f>SUM(J61:J61)</f>
        <v>1.0</v>
      </c>
      <c r="K62" s="498">
        <f>SUM(K61:K61)</f>
        <v>0.0</v>
      </c>
      <c r="L62" s="500">
        <f>IFERROR(I62/J62,"-")</f>
        <v>0.0</v>
      </c>
      <c r="M62" s="497">
        <f>SUM(M61:M61)</f>
        <v>0.0</v>
      </c>
      <c r="N62" s="497">
        <f>SUM(N61:N61)</f>
        <v>0.24172844999999998</v>
      </c>
      <c r="O62" s="497">
        <f>SUM(O61:O61)</f>
        <v>0.24172844999999998</v>
      </c>
    </row>
    <row r="63">
      <c r="B63" s="431" t="inlineStr">
        <is>
          <t>Finance - portfolio total (incl OHs)</t>
        </is>
      </c>
      <c r="C63" s="451" t="n"/>
      <c r="D63" s="451" t="n"/>
      <c r="E63" s="451" t="n"/>
      <c r="F63" s="451" t="n"/>
      <c r="G63" s="447">
        <f>G60+G62</f>
        <v>20.0</v>
      </c>
      <c r="H63" s="447">
        <f>H60+H62</f>
        <v>7.0</v>
      </c>
      <c r="I63" s="447">
        <f>I60+I62</f>
        <v>8.0</v>
      </c>
      <c r="J63" s="447">
        <f>J60+J62</f>
        <v>15.0</v>
      </c>
      <c r="K63" s="447">
        <f>K60+K62</f>
        <v>-6.0</v>
      </c>
      <c r="L63" s="449">
        <f>IFERROR(I63/J63,"-")</f>
        <v>0.5333333333333333</v>
      </c>
      <c r="M63" s="432">
        <f>M60+M62+'0.2 Data Config'!$L$10</f>
        <v>3.4145000000000003</v>
      </c>
      <c r="N63" s="432">
        <f>N60+N62</f>
        <v>3.1658556659999997</v>
      </c>
      <c r="O63" s="432">
        <f>O60+O62</f>
        <v>0.6658556659999997</v>
      </c>
    </row>
    <row r="64">
      <c r="B64" s="429" t="inlineStr">
        <is>
          <t>Infrastructure</t>
        </is>
      </c>
      <c r="C64" s="429" t="inlineStr">
        <is>
          <t>Distribution</t>
        </is>
      </c>
      <c r="D64" s="429" t="inlineStr">
        <is>
          <t>Distribution, Sales &amp; Services</t>
        </is>
      </c>
      <c r="E64" s="429" t="str">
        <f>'1.7 Infrastructure'!$C$25</f>
        <v>Configuration / Integration</v>
      </c>
      <c r="F64" s="439" t="str">
        <f>'1.7 Infrastructure'!$D$25</f>
        <v>M</v>
      </c>
      <c r="G64" s="439">
        <f>IFERROR(INDEX('0.3 Squad Archetypes'!$F$5:$F$23,MATCH('1.7 Infrastructure'!$C$25&amp;"|"&amp;'1.7 Infrastructure'!$D$25,'0.3 Squad Archetypes'!$A$5:$A$23,0)),"-")</f>
        <v>9.0</v>
      </c>
      <c r="H64" s="439">
        <f>COUNTIFS(Squads!$N:$N,"Infrastructure",Squads!$P:$P,"Distribution, Sales &amp; Services",Squads!$R:$R,"Filled")</f>
        <v>6.0</v>
      </c>
      <c r="I64" s="439">
        <f>COUNTIFS(Squads!$N:$N,"Infrastructure",Squads!$P:$P,"Distribution, Sales &amp; Services",Squads!$R:$R,"Vacant")</f>
        <v>4.0</v>
      </c>
      <c r="J64" s="439">
        <f>H64+I64</f>
        <v>10.0</v>
      </c>
      <c r="K64" s="439">
        <f>IFERROR(J64-G64,"-")</f>
        <v>1.0</v>
      </c>
      <c r="L64" s="450">
        <f>IFERROR(I64/J64,"-")</f>
        <v>0.4</v>
      </c>
      <c r="M64" s="430">
        <f>'1.7 Infrastructure'!$G$25</f>
        <v>1.4</v>
      </c>
      <c r="N64" s="430">
        <f>(SUMIFS('Added data'!$AA:$AA,'Added data'!$AC:$AC,"Infrastructure",'Added data'!$AE:$AE,"Distribution, Sales &amp; Services"))/1000000</f>
        <v>1.9244203999999998</v>
      </c>
      <c r="O64" s="430">
        <f>N64-IFERROR(M64,0)</f>
        <v>0.5244203999999999</v>
      </c>
    </row>
    <row r="65">
      <c r="B65" s="465" t="n"/>
      <c r="C65" s="464" t="inlineStr">
        <is>
          <t>Distribution - platform total (incl overhead)</t>
        </is>
      </c>
      <c r="D65" s="465" t="n"/>
      <c r="E65" s="465" t="n"/>
      <c r="F65" s="465" t="n"/>
      <c r="G65" s="498">
        <f>SUM(G64:G64)</f>
        <v>9.0</v>
      </c>
      <c r="H65" s="498">
        <f>SUM(H64:H64)</f>
        <v>6.0</v>
      </c>
      <c r="I65" s="498">
        <f>SUM(I64:I64)</f>
        <v>4.0</v>
      </c>
      <c r="J65" s="498">
        <f>SUM(J64:J64)</f>
        <v>10.0</v>
      </c>
      <c r="K65" s="498">
        <f>SUM(K64:K64)</f>
        <v>1.0</v>
      </c>
      <c r="L65" s="500">
        <f>IFERROR(I65/J65,"-")</f>
        <v>0.4</v>
      </c>
      <c r="M65" s="497">
        <f>SUM(M64:M64)+'0.2 Data Config'!$L$16</f>
        <v>1.565</v>
      </c>
      <c r="N65" s="497">
        <f>SUM(N64:N64)</f>
        <v>1.9244203999999998</v>
      </c>
      <c r="O65" s="497">
        <f>SUM(O64:O64)</f>
        <v>0.5244203999999999</v>
      </c>
    </row>
    <row r="66">
      <c r="B66" s="429" t="inlineStr">
        <is>
          <t>Infrastructure</t>
        </is>
      </c>
      <c r="C66" s="429" t="inlineStr">
        <is>
          <t>Manufacturing</t>
        </is>
      </c>
      <c r="D66" s="429" t="inlineStr">
        <is>
          <t>Manufacturing &amp; Group Projects</t>
        </is>
      </c>
      <c r="E66" s="429" t="str">
        <f>'1.7 Infrastructure'!$C$31</f>
        <v>Configuration / Integration</v>
      </c>
      <c r="F66" s="439" t="str">
        <f>'1.7 Infrastructure'!$D$31</f>
        <v>M</v>
      </c>
      <c r="G66" s="439">
        <f>IFERROR(INDEX('0.3 Squad Archetypes'!$F$5:$F$23,MATCH('1.7 Infrastructure'!$C$31&amp;"|"&amp;'1.7 Infrastructure'!$D$31,'0.3 Squad Archetypes'!$A$5:$A$23,0)),"-")</f>
        <v>9.0</v>
      </c>
      <c r="H66" s="439">
        <f>COUNTIFS(Squads!$N:$N,"Infrastructure",Squads!$P:$P,"Manufacturing &amp; Group Projects",Squads!$R:$R,"Filled")</f>
        <v>6.0</v>
      </c>
      <c r="I66" s="439">
        <f>COUNTIFS(Squads!$N:$N,"Infrastructure",Squads!$P:$P,"Manufacturing &amp; Group Projects",Squads!$R:$R,"Vacant")</f>
        <v>3.0</v>
      </c>
      <c r="J66" s="439">
        <f>H66+I66</f>
        <v>9.0</v>
      </c>
      <c r="K66" s="439">
        <f>IFERROR(J66-G66,"-")</f>
        <v>0.0</v>
      </c>
      <c r="L66" s="450">
        <f>IFERROR(I66/J66,"-")</f>
        <v>0.3333333333333333</v>
      </c>
      <c r="M66" s="430">
        <f>'1.7 Infrastructure'!$G$31</f>
        <v>1.4</v>
      </c>
      <c r="N66" s="430">
        <f>(SUMIFS('Added data'!$AA:$AA,'Added data'!$AC:$AC,"Infrastructure",'Added data'!$AE:$AE,"Manufacturing &amp; Group Projects"))/1000000</f>
        <v>1.9147733</v>
      </c>
      <c r="O66" s="430">
        <f>N66-IFERROR(M66,0)</f>
        <v>0.5147733000000001</v>
      </c>
    </row>
    <row r="67">
      <c r="B67" s="429" t="inlineStr">
        <is>
          <t>Infrastructure</t>
        </is>
      </c>
      <c r="C67" s="429" t="inlineStr">
        <is>
          <t>Manufacturing</t>
        </is>
      </c>
      <c r="D67" s="429" t="inlineStr">
        <is>
          <t>Technology Support</t>
        </is>
      </c>
      <c r="E67" s="429" t="str">
        <f>'1.7 Infrastructure'!$C$32</f>
        <v>Operations</v>
      </c>
      <c r="F67" s="439" t="str">
        <f>'1.7 Infrastructure'!$D$32</f>
        <v>S</v>
      </c>
      <c r="G67" s="439">
        <f>IFERROR(INDEX('0.3 Squad Archetypes'!$F$5:$F$23,MATCH('1.7 Infrastructure'!$C$32&amp;"|"&amp;'1.7 Infrastructure'!$D$32,'0.3 Squad Archetypes'!$A$5:$A$23,0)),"-")</f>
        <v>4.0</v>
      </c>
      <c r="H67" s="439">
        <f>COUNTIFS(Squads!$N:$N,"Infrastructure",Squads!$P:$P,"Technology Support",Squads!$R:$R,"Filled")</f>
        <v>3.0</v>
      </c>
      <c r="I67" s="439">
        <f>COUNTIFS(Squads!$N:$N,"Infrastructure",Squads!$P:$P,"Technology Support",Squads!$R:$R,"Vacant")</f>
        <v>1.0</v>
      </c>
      <c r="J67" s="439">
        <f>H67+I67</f>
        <v>4.0</v>
      </c>
      <c r="K67" s="439">
        <f>IFERROR(J67-G67,"-")</f>
        <v>0.0</v>
      </c>
      <c r="L67" s="450">
        <f>IFERROR(I67/J67,"-")</f>
        <v>0.25</v>
      </c>
      <c r="M67" s="430">
        <f>'1.7 Infrastructure'!$G$32</f>
        <v>0.8</v>
      </c>
      <c r="N67" s="430">
        <f>(SUMIFS('Added data'!$AA:$AA,'Added data'!$AC:$AC,"Infrastructure",'Added data'!$AE:$AE,"Technology Support"))/1000000</f>
        <v>0.7413352899999999</v>
      </c>
      <c r="O67" s="430">
        <f>N67-IFERROR(M67,0)</f>
        <v>-0.058664710000000175</v>
      </c>
    </row>
    <row r="68">
      <c r="B68" s="465" t="n"/>
      <c r="C68" s="464" t="inlineStr">
        <is>
          <t>Manufacturing - platform total (incl overhead)</t>
        </is>
      </c>
      <c r="D68" s="465" t="n"/>
      <c r="E68" s="465" t="n"/>
      <c r="F68" s="465" t="n"/>
      <c r="G68" s="498">
        <f>SUM(G66:G67)</f>
        <v>13.0</v>
      </c>
      <c r="H68" s="498">
        <f>SUM(H66:H67)</f>
        <v>9.0</v>
      </c>
      <c r="I68" s="498">
        <f>SUM(I66:I67)</f>
        <v>4.0</v>
      </c>
      <c r="J68" s="498">
        <f>SUM(J66:J67)</f>
        <v>13.0</v>
      </c>
      <c r="K68" s="498">
        <f>SUM(K66:K67)</f>
        <v>0.0</v>
      </c>
      <c r="L68" s="500">
        <f>IFERROR(I68/J68,"-")</f>
        <v>0.3076923076923077</v>
      </c>
      <c r="M68" s="497">
        <f>SUM(M66:M67)+'0.2 Data Config'!$L$16</f>
        <v>2.365</v>
      </c>
      <c r="N68" s="497">
        <f>SUM(N66:N67)</f>
        <v>2.6561085899999997</v>
      </c>
      <c r="O68" s="497">
        <f>SUM(O66:O67)</f>
        <v>0.4561085899999999</v>
      </c>
    </row>
    <row r="69">
      <c r="B69" s="429" t="inlineStr">
        <is>
          <t>Infrastructure</t>
        </is>
      </c>
      <c r="C69" s="429" t="inlineStr">
        <is>
          <t>Data &amp; Insights</t>
        </is>
      </c>
      <c r="D69" s="429" t="inlineStr">
        <is>
          <t>Data &amp; Insights</t>
        </is>
      </c>
      <c r="E69" s="429" t="str">
        <f>'1.7 Infrastructure'!$C$38</f>
        <v>Configuration / Integration</v>
      </c>
      <c r="F69" s="439" t="str">
        <f>'1.7 Infrastructure'!$D$38</f>
        <v>S</v>
      </c>
      <c r="G69" s="439">
        <f>IFERROR(INDEX('0.3 Squad Archetypes'!$F$5:$F$23,MATCH('1.7 Infrastructure'!$C$38&amp;"|"&amp;'1.7 Infrastructure'!$D$38,'0.3 Squad Archetypes'!$A$5:$A$23,0)),"-")</f>
        <v>6.0</v>
      </c>
      <c r="H69" s="439">
        <f>COUNTIFS(Squads!$N:$N,"Infrastructure",Squads!$P:$P,"Data &amp; Insights",Squads!$R:$R,"Filled")</f>
        <v>2.0</v>
      </c>
      <c r="I69" s="439">
        <f>COUNTIFS(Squads!$N:$N,"Infrastructure",Squads!$P:$P,"Data &amp; Insights",Squads!$R:$R,"Vacant")</f>
        <v>5.0</v>
      </c>
      <c r="J69" s="439">
        <f>H69+I69</f>
        <v>7.0</v>
      </c>
      <c r="K69" s="439">
        <f>IFERROR(J69-G69,"-")</f>
        <v>1.0</v>
      </c>
      <c r="L69" s="450">
        <f>IFERROR(I69/J69,"-")</f>
        <v>0.7142857142857143</v>
      </c>
      <c r="M69" s="430">
        <f>'1.7 Infrastructure'!$G$38</f>
        <v>0.4</v>
      </c>
      <c r="N69" s="430">
        <f>(SUMIFS('Added data'!$AA:$AA,'Added data'!$AC:$AC,"Infrastructure",'Added data'!$AE:$AE,"Data &amp; Insights"))/1000000</f>
        <v>1.51725675</v>
      </c>
      <c r="O69" s="430">
        <f>N69-IFERROR(M69,0)</f>
        <v>1.1172567500000001</v>
      </c>
    </row>
    <row r="70">
      <c r="B70" s="465" t="n"/>
      <c r="C70" s="464" t="inlineStr">
        <is>
          <t>Data &amp; Insights - platform total (incl overhead)</t>
        </is>
      </c>
      <c r="D70" s="465" t="n"/>
      <c r="E70" s="465" t="n"/>
      <c r="F70" s="465" t="n"/>
      <c r="G70" s="498">
        <f>SUM(G69:G69)</f>
        <v>6.0</v>
      </c>
      <c r="H70" s="498">
        <f>SUM(H69:H69)</f>
        <v>2.0</v>
      </c>
      <c r="I70" s="498">
        <f>SUM(I69:I69)</f>
        <v>5.0</v>
      </c>
      <c r="J70" s="498">
        <f>SUM(J69:J69)</f>
        <v>7.0</v>
      </c>
      <c r="K70" s="498">
        <f>SUM(K69:K69)</f>
        <v>1.0</v>
      </c>
      <c r="L70" s="500">
        <f>IFERROR(I70/J70,"-")</f>
        <v>0.7142857142857143</v>
      </c>
      <c r="M70" s="497">
        <f>SUM(M69:M69)+'0.2 Data Config'!$L$16</f>
        <v>0.5650000000000001</v>
      </c>
      <c r="N70" s="497">
        <f>SUM(N69:N69)</f>
        <v>1.51725675</v>
      </c>
      <c r="O70" s="497">
        <f>SUM(O69:O69)</f>
        <v>1.1172567500000001</v>
      </c>
    </row>
    <row r="71">
      <c r="B71" s="431" t="inlineStr">
        <is>
          <t>Infrastructure - portfolio total (incl OHs)</t>
        </is>
      </c>
      <c r="C71" s="451" t="n"/>
      <c r="D71" s="451" t="n"/>
      <c r="E71" s="451" t="n"/>
      <c r="F71" s="451" t="n"/>
      <c r="G71" s="447">
        <f>G65+G68+G70</f>
        <v>28.0</v>
      </c>
      <c r="H71" s="447">
        <f>H65+H68+H70</f>
        <v>17.0</v>
      </c>
      <c r="I71" s="447">
        <f>I65+I68+I70</f>
        <v>13.0</v>
      </c>
      <c r="J71" s="447">
        <f>J65+J68+J70</f>
        <v>30.0</v>
      </c>
      <c r="K71" s="447">
        <f>K65+K68+K70</f>
        <v>2.0</v>
      </c>
      <c r="L71" s="449">
        <f>IFERROR(I71/J71,"-")</f>
        <v>0.43333333333333335</v>
      </c>
      <c r="M71" s="432">
        <f>M65+M68+M70+'0.2 Data Config'!$L$10</f>
        <v>5.2445</v>
      </c>
      <c r="N71" s="432">
        <f>N65+N68+N70</f>
        <v>6.097785739999999</v>
      </c>
      <c r="O71" s="432">
        <f>O65+O68+O70</f>
        <v>2.09778574</v>
      </c>
    </row>
    <row r="72">
      <c r="B72" s="429" t="inlineStr">
        <is>
          <t>Energy Solutions &amp; B2B</t>
        </is>
      </c>
      <c r="C72" s="429" t="inlineStr">
        <is>
          <t>Energy Solutions</t>
        </is>
      </c>
      <c r="D72" s="429" t="inlineStr">
        <is>
          <t>Energy</t>
        </is>
      </c>
      <c r="E72" s="429" t="str">
        <f>'1.8 Energy Solutions &amp; B2B'!$C$27</f>
        <v>Engineering</v>
      </c>
      <c r="F72" s="439" t="str">
        <f>'1.8 Energy Solutions &amp; B2B'!$D$27</f>
        <v>M</v>
      </c>
      <c r="G72" s="439">
        <f>IFERROR(INDEX('0.3 Squad Archetypes'!$F$5:$F$23,MATCH('1.8 Energy Solutions &amp; B2B'!$C$27&amp;"|"&amp;'1.8 Energy Solutions &amp; B2B'!$D$27,'0.3 Squad Archetypes'!$A$5:$A$23,0)),"-")</f>
        <v>9.0</v>
      </c>
      <c r="H72" s="439">
        <f>COUNTIFS(Squads!$N:$N,"Energy Solutions &amp; B2B",Squads!$P:$P,"Energy",Squads!$R:$R,"Filled")</f>
        <v>5.0</v>
      </c>
      <c r="I72" s="439">
        <f>COUNTIFS(Squads!$N:$N,"Energy Solutions &amp; B2B",Squads!$P:$P,"Energy",Squads!$R:$R,"Vacant")</f>
        <v>6.0</v>
      </c>
      <c r="J72" s="439">
        <f>H72+I72</f>
        <v>11.0</v>
      </c>
      <c r="K72" s="439">
        <f>IFERROR(J72-G72,"-")</f>
        <v>2.0</v>
      </c>
      <c r="L72" s="450">
        <f>IFERROR(I72/J72,"-")</f>
        <v>0.5454545454545454</v>
      </c>
      <c r="M72" s="430">
        <f>'1.8 Energy Solutions &amp; B2B'!$G$27</f>
        <v>2.0</v>
      </c>
      <c r="N72" s="430">
        <f>(SUMIFS('Added data'!$AA:$AA,'Added data'!$AC:$AC,"Energy Solutions &amp; B2B",'Added data'!$AE:$AE,"Energy"))/1000000</f>
        <v>1.940323966</v>
      </c>
      <c r="O72" s="430">
        <f>N72-IFERROR(M72,0)</f>
        <v>-0.05967603399999999</v>
      </c>
    </row>
    <row r="73">
      <c r="B73" s="429" t="inlineStr">
        <is>
          <t>Energy Solutions &amp; B2B</t>
        </is>
      </c>
      <c r="C73" s="429" t="inlineStr">
        <is>
          <t>Energy Solutions</t>
        </is>
      </c>
      <c r="D73" s="429" t="inlineStr">
        <is>
          <t>EVCI</t>
        </is>
      </c>
      <c r="E73" s="429" t="str">
        <f>'1.8 Energy Solutions &amp; B2B'!$C$28</f>
        <v>Engineering</v>
      </c>
      <c r="F73" s="439" t="str">
        <f>'1.8 Energy Solutions &amp; B2B'!$D$28</f>
        <v>M</v>
      </c>
      <c r="G73" s="439">
        <f>IFERROR(INDEX('0.3 Squad Archetypes'!$F$5:$F$23,MATCH('1.8 Energy Solutions &amp; B2B'!$C$28&amp;"|"&amp;'1.8 Energy Solutions &amp; B2B'!$D$28,'0.3 Squad Archetypes'!$A$5:$A$23,0)),"-")</f>
        <v>9.0</v>
      </c>
      <c r="H73" s="439">
        <f>COUNTIFS(Squads!$N:$N,"Energy Solutions &amp; B2B",Squads!$P:$P,"EVCI",Squads!$R:$R,"Filled")</f>
        <v>5.0</v>
      </c>
      <c r="I73" s="439">
        <f>COUNTIFS(Squads!$N:$N,"Energy Solutions &amp; B2B",Squads!$P:$P,"EVCI",Squads!$R:$R,"Vacant")</f>
        <v>1.0</v>
      </c>
      <c r="J73" s="439">
        <f>H73+I73</f>
        <v>6.0</v>
      </c>
      <c r="K73" s="439">
        <f>IFERROR(J73-G73,"-")</f>
        <v>-3.0</v>
      </c>
      <c r="L73" s="450">
        <f>IFERROR(I73/J73,"-")</f>
        <v>0.16666666666666666</v>
      </c>
      <c r="M73" s="430">
        <f>'1.8 Energy Solutions &amp; B2B'!$G$28</f>
        <v>2.0</v>
      </c>
      <c r="N73" s="430">
        <f>(SUMIFS('Added data'!$AA:$AA,'Added data'!$AC:$AC,"Energy Solutions &amp; B2B",'Added data'!$AE:$AE,"EVCI"))/1000000</f>
        <v>0.9307992919999999</v>
      </c>
      <c r="O73" s="430">
        <f>N73-IFERROR(M73,0)</f>
        <v>-1.069200708</v>
      </c>
    </row>
    <row r="74">
      <c r="B74" s="465" t="n"/>
      <c r="C74" s="464" t="inlineStr">
        <is>
          <t>Energy Solutions - platform total (incl overhead)</t>
        </is>
      </c>
      <c r="D74" s="465" t="n"/>
      <c r="E74" s="465" t="n"/>
      <c r="F74" s="465" t="n"/>
      <c r="G74" s="498">
        <f>SUM(G72:G73)</f>
        <v>18.0</v>
      </c>
      <c r="H74" s="498">
        <f>SUM(H72:H73)</f>
        <v>10.0</v>
      </c>
      <c r="I74" s="498">
        <f>SUM(I72:I73)</f>
        <v>7.0</v>
      </c>
      <c r="J74" s="498">
        <f>SUM(J72:J73)</f>
        <v>17.0</v>
      </c>
      <c r="K74" s="498">
        <f>SUM(K72:K73)</f>
        <v>-1.0</v>
      </c>
      <c r="L74" s="500">
        <f>IFERROR(I74/J74,"-")</f>
        <v>0.4117647058823529</v>
      </c>
      <c r="M74" s="497">
        <f>SUM(M72:M73)+'0.2 Data Config'!$L$16</f>
        <v>4.165</v>
      </c>
      <c r="N74" s="497">
        <f>SUM(N72:N73)</f>
        <v>2.871123258</v>
      </c>
      <c r="O74" s="497">
        <f>SUM(O72:O73)</f>
        <v>-1.128876742</v>
      </c>
    </row>
    <row r="75">
      <c r="B75" s="429" t="inlineStr">
        <is>
          <t>Energy Solutions &amp; B2B</t>
        </is>
      </c>
      <c r="C75" s="429" t="inlineStr">
        <is>
          <t>B2B</t>
        </is>
      </c>
      <c r="D75" s="429" t="inlineStr">
        <is>
          <t>B2B</t>
        </is>
      </c>
      <c r="E75" s="429" t="str">
        <f>'1.8 Energy Solutions &amp; B2B'!$C$34</f>
        <v>Configuration / Integration</v>
      </c>
      <c r="F75" s="439" t="str">
        <f>'1.8 Energy Solutions &amp; B2B'!$D$34</f>
        <v>L</v>
      </c>
      <c r="G75" s="439">
        <f>IFERROR(INDEX('0.3 Squad Archetypes'!$F$5:$F$23,MATCH('1.8 Energy Solutions &amp; B2B'!$C$34&amp;"|"&amp;'1.8 Energy Solutions &amp; B2B'!$D$34,'0.3 Squad Archetypes'!$A$5:$A$23,0)),"-")</f>
        <v>14.0</v>
      </c>
      <c r="H75" s="439">
        <f>COUNTIFS(Squads!$N:$N,"Energy Solutions &amp; B2B",Squads!$P:$P,"B2B",Squads!$R:$R,"Filled")</f>
        <v>13.0</v>
      </c>
      <c r="I75" s="439">
        <f>COUNTIFS(Squads!$N:$N,"Energy Solutions &amp; B2B",Squads!$P:$P,"B2B",Squads!$R:$R,"Vacant")</f>
        <v>3.0</v>
      </c>
      <c r="J75" s="439">
        <f>H75+I75</f>
        <v>16.0</v>
      </c>
      <c r="K75" s="439">
        <f>IFERROR(J75-G75,"-")</f>
        <v>2.0</v>
      </c>
      <c r="L75" s="450">
        <f>IFERROR(I75/J75,"-")</f>
        <v>0.1875</v>
      </c>
      <c r="M75" s="430">
        <f>'1.8 Energy Solutions &amp; B2B'!$G$34</f>
        <v>2.1</v>
      </c>
      <c r="N75" s="430">
        <f>(SUMIFS('Added data'!$AA:$AA,'Added data'!$AC:$AC,"Energy Solutions &amp; B2B",'Added data'!$AE:$AE,"B2B"))/1000000</f>
        <v>2.79636432</v>
      </c>
      <c r="O75" s="430">
        <f>N75-IFERROR(M75,0)</f>
        <v>0.6963643199999998</v>
      </c>
    </row>
    <row r="76">
      <c r="B76" s="465" t="n"/>
      <c r="C76" s="464" t="inlineStr">
        <is>
          <t>B2B - platform total (incl overhead)</t>
        </is>
      </c>
      <c r="D76" s="465" t="n"/>
      <c r="E76" s="465" t="n"/>
      <c r="F76" s="465" t="n"/>
      <c r="G76" s="498">
        <f>SUM(G75:G75)</f>
        <v>14.0</v>
      </c>
      <c r="H76" s="498">
        <f>SUM(H75:H75)</f>
        <v>13.0</v>
      </c>
      <c r="I76" s="498">
        <f>SUM(I75:I75)</f>
        <v>3.0</v>
      </c>
      <c r="J76" s="498">
        <f>SUM(J75:J75)</f>
        <v>16.0</v>
      </c>
      <c r="K76" s="498">
        <f>SUM(K75:K75)</f>
        <v>2.0</v>
      </c>
      <c r="L76" s="500">
        <f>IFERROR(I76/J76,"-")</f>
        <v>0.1875</v>
      </c>
      <c r="M76" s="497">
        <f>SUM(M75:M75)+'0.2 Data Config'!$L$16</f>
        <v>2.265</v>
      </c>
      <c r="N76" s="497">
        <f>SUM(N75:N75)</f>
        <v>2.79636432</v>
      </c>
      <c r="O76" s="497">
        <f>SUM(O75:O75)</f>
        <v>0.6963643199999998</v>
      </c>
    </row>
    <row r="77">
      <c r="B77" s="431" t="inlineStr">
        <is>
          <t>Energy Solutions &amp; B2B - portfolio total (incl OHs)</t>
        </is>
      </c>
      <c r="C77" s="451" t="n"/>
      <c r="D77" s="451" t="n"/>
      <c r="E77" s="451" t="n"/>
      <c r="F77" s="451" t="n"/>
      <c r="G77" s="447">
        <f>G74+G76</f>
        <v>32.0</v>
      </c>
      <c r="H77" s="447">
        <f>H74+H76</f>
        <v>23.0</v>
      </c>
      <c r="I77" s="447">
        <f>I74+I76</f>
        <v>10.0</v>
      </c>
      <c r="J77" s="447">
        <f>J74+J76</f>
        <v>33.0</v>
      </c>
      <c r="K77" s="447">
        <f>K74+K76</f>
        <v>1.0</v>
      </c>
      <c r="L77" s="449">
        <f>IFERROR(I77/J77,"-")</f>
        <v>0.30303030303030304</v>
      </c>
      <c r="M77" s="432">
        <f>M74+M76+'0.2 Data Config'!$L$10</f>
        <v>7.1795</v>
      </c>
      <c r="N77" s="432">
        <f>N74+N76</f>
        <v>5.667487577999999</v>
      </c>
      <c r="O77" s="432">
        <f>O74+O76</f>
        <v>-0.4325124220000003</v>
      </c>
    </row>
    <row r="78">
      <c r="B78" s="429" t="inlineStr">
        <is>
          <t>Commercial Fuels</t>
        </is>
      </c>
      <c r="C78" s="429" t="inlineStr">
        <is>
          <t>Trading &amp; Shipping</t>
        </is>
      </c>
      <c r="D78" s="429" t="inlineStr">
        <is>
          <t>Trading &amp; Shipping</t>
        </is>
      </c>
      <c r="E78" s="429" t="str">
        <f>'1.9 Commercial Fuels'!$C$25</f>
        <v>Configuration / Integration</v>
      </c>
      <c r="F78" s="439" t="str">
        <f>'1.9 Commercial Fuels'!$D$25</f>
        <v>M</v>
      </c>
      <c r="G78" s="439">
        <f>IFERROR(INDEX('0.3 Squad Archetypes'!$F$5:$F$23,MATCH('1.9 Commercial Fuels'!$C$25&amp;"|"&amp;'1.9 Commercial Fuels'!$D$25,'0.3 Squad Archetypes'!$A$5:$A$23,0)),"-")</f>
        <v>9.0</v>
      </c>
      <c r="H78" s="439">
        <f>COUNTIFS(Squads!$N:$N,"Commercial Fuels",Squads!$P:$P,"Trading &amp; Shipping",Squads!$R:$R,"Filled")</f>
        <v>9.0</v>
      </c>
      <c r="I78" s="439">
        <f>COUNTIFS(Squads!$N:$N,"Commercial Fuels",Squads!$P:$P,"Trading &amp; Shipping",Squads!$R:$R,"Vacant")</f>
        <v>5.0</v>
      </c>
      <c r="J78" s="439">
        <f>H78+I78</f>
        <v>14.0</v>
      </c>
      <c r="K78" s="439">
        <f>IFERROR(J78-G78,"-")</f>
        <v>5.0</v>
      </c>
      <c r="L78" s="450">
        <f>IFERROR(I78/J78,"-")</f>
        <v>0.35714285714285715</v>
      </c>
      <c r="M78" s="430">
        <f>'1.9 Commercial Fuels'!$G$25</f>
        <v>1.4</v>
      </c>
      <c r="N78" s="430">
        <f>(SUMIFS('Added data'!$AA:$AA,'Added data'!$AC:$AC,"Commercial Fuels",'Added data'!$AE:$AE,"Trading &amp; Shipping"))/1000000</f>
        <v>2.6791435617</v>
      </c>
      <c r="O78" s="430">
        <f>N78-IFERROR(M78,0)</f>
        <v>1.2791435617000002</v>
      </c>
    </row>
    <row r="79">
      <c r="B79" s="429" t="inlineStr">
        <is>
          <t>Commercial Fuels</t>
        </is>
      </c>
      <c r="C79" s="429" t="inlineStr">
        <is>
          <t>Trading &amp; Shipping</t>
        </is>
      </c>
      <c r="D79" s="429" t="inlineStr">
        <is>
          <t>Trading &amp; Shipping Data</t>
        </is>
      </c>
      <c r="E79" s="429" t="str">
        <f>'1.9 Commercial Fuels'!$C$26</f>
        <v>Enterprise Data and Insights</v>
      </c>
      <c r="F79" s="439" t="str">
        <f>'1.9 Commercial Fuels'!$D$26</f>
        <v>M</v>
      </c>
      <c r="G79" s="439">
        <f>IFERROR(INDEX('0.3 Squad Archetypes'!$F$5:$F$23,MATCH('1.9 Commercial Fuels'!$C$26&amp;"|"&amp;'1.9 Commercial Fuels'!$D$26,'0.3 Squad Archetypes'!$A$5:$A$23,0)),"-")</f>
        <v>7.5</v>
      </c>
      <c r="H79" s="439">
        <f>COUNTIFS(Squads!$N:$N,"Commercial Fuels",Squads!$P:$P,"Trading &amp; Shipping Data",Squads!$R:$R,"Filled")</f>
        <v>7.0</v>
      </c>
      <c r="I79" s="439">
        <f>COUNTIFS(Squads!$N:$N,"Commercial Fuels",Squads!$P:$P,"Trading &amp; Shipping Data",Squads!$R:$R,"Vacant")</f>
        <v>0.0</v>
      </c>
      <c r="J79" s="439">
        <f>H79+I79</f>
        <v>7.0</v>
      </c>
      <c r="K79" s="439">
        <f>IFERROR(J79-G79,"-")</f>
        <v>-0.5</v>
      </c>
      <c r="L79" s="450">
        <f>IFERROR(I79/J79,"-")</f>
        <v>0.0</v>
      </c>
      <c r="M79" s="430">
        <f>'1.9 Commercial Fuels'!$G$26</f>
        <v>1.7</v>
      </c>
      <c r="N79" s="430">
        <f>(SUMIFS('Added data'!$AA:$AA,'Added data'!$AC:$AC,"Commercial Fuels",'Added data'!$AE:$AE,"Trading &amp; Shipping Data"))/1000000</f>
        <v>2.106168849</v>
      </c>
      <c r="O79" s="430">
        <f>N79-IFERROR(M79,0)</f>
        <v>0.40616884899999994</v>
      </c>
    </row>
    <row r="80">
      <c r="B80" s="465" t="n"/>
      <c r="C80" s="464" t="inlineStr">
        <is>
          <t>Trading &amp; Shipping - platform total (incl overhead)</t>
        </is>
      </c>
      <c r="D80" s="465" t="n"/>
      <c r="E80" s="465" t="n"/>
      <c r="F80" s="465" t="n"/>
      <c r="G80" s="498">
        <f>SUM(G78:G79)</f>
        <v>16.5</v>
      </c>
      <c r="H80" s="498">
        <f>SUM(H78:H79)</f>
        <v>16.0</v>
      </c>
      <c r="I80" s="498">
        <f>SUM(I78:I79)</f>
        <v>5.0</v>
      </c>
      <c r="J80" s="498">
        <f>SUM(J78:J79)</f>
        <v>21.0</v>
      </c>
      <c r="K80" s="498">
        <f>SUM(K78:K79)</f>
        <v>4.5</v>
      </c>
      <c r="L80" s="500">
        <f>IFERROR(I80/J80,"-")</f>
        <v>0.23809523809523808</v>
      </c>
      <c r="M80" s="497">
        <f>SUM(M78:M79)+'0.2 Data Config'!$L$16</f>
        <v>3.2649999999999997</v>
      </c>
      <c r="N80" s="497">
        <f>SUM(N78:N79)</f>
        <v>4.7853124107</v>
      </c>
      <c r="O80" s="497">
        <f>SUM(O78:O79)</f>
        <v>1.6853124107000002</v>
      </c>
    </row>
    <row r="81">
      <c r="B81" s="429" t="inlineStr">
        <is>
          <t>Commercial Fuels</t>
        </is>
      </c>
      <c r="C81" s="429" t="inlineStr">
        <is>
          <t>Supply</t>
        </is>
      </c>
      <c r="D81" s="429" t="inlineStr">
        <is>
          <t>Supply</t>
        </is>
      </c>
      <c r="E81" s="429" t="str">
        <f>'1.9 Commercial Fuels'!$C$32</f>
        <v>Configuration / Integration</v>
      </c>
      <c r="F81" s="439" t="str">
        <f>'1.9 Commercial Fuels'!$D$32</f>
        <v>M</v>
      </c>
      <c r="G81" s="439">
        <f>IFERROR(INDEX('0.3 Squad Archetypes'!$F$5:$F$23,MATCH('1.9 Commercial Fuels'!$C$32&amp;"|"&amp;'1.9 Commercial Fuels'!$D$32,'0.3 Squad Archetypes'!$A$5:$A$23,0)),"-")</f>
        <v>9.0</v>
      </c>
      <c r="H81" s="439">
        <f>COUNTIFS(Squads!$N:$N,"Commercial Fuels",Squads!$P:$P,"Supply",Squads!$R:$R,"Filled")</f>
        <v>2.0</v>
      </c>
      <c r="I81" s="439">
        <f>COUNTIFS(Squads!$N:$N,"Commercial Fuels",Squads!$P:$P,"Supply",Squads!$R:$R,"Vacant")</f>
        <v>3.0</v>
      </c>
      <c r="J81" s="439">
        <f>H81+I81</f>
        <v>5.0</v>
      </c>
      <c r="K81" s="439">
        <f>IFERROR(J81-G81,"-")</f>
        <v>-4.0</v>
      </c>
      <c r="L81" s="450">
        <f>IFERROR(I81/J81,"-")</f>
        <v>0.6</v>
      </c>
      <c r="M81" s="430">
        <f>'1.9 Commercial Fuels'!$G$32</f>
        <v>1.4</v>
      </c>
      <c r="N81" s="430">
        <f>(SUMIFS('Added data'!$AA:$AA,'Added data'!$AC:$AC,"Commercial Fuels",'Added data'!$AE:$AE,"Supply"))/1000000</f>
        <v>1.05925575</v>
      </c>
      <c r="O81" s="430">
        <f>N81-IFERROR(M81,0)</f>
        <v>-0.34074424999999997</v>
      </c>
    </row>
    <row r="82">
      <c r="B82" s="465" t="n"/>
      <c r="C82" s="464" t="inlineStr">
        <is>
          <t>Supply - platform total (incl overhead)</t>
        </is>
      </c>
      <c r="D82" s="465" t="n"/>
      <c r="E82" s="465" t="n"/>
      <c r="F82" s="465" t="n"/>
      <c r="G82" s="498">
        <f>SUM(G81:G81)</f>
        <v>9.0</v>
      </c>
      <c r="H82" s="498">
        <f>SUM(H81:H81)</f>
        <v>2.0</v>
      </c>
      <c r="I82" s="498">
        <f>SUM(I81:I81)</f>
        <v>3.0</v>
      </c>
      <c r="J82" s="498">
        <f>SUM(J81:J81)</f>
        <v>5.0</v>
      </c>
      <c r="K82" s="498">
        <f>SUM(K81:K81)</f>
        <v>-4.0</v>
      </c>
      <c r="L82" s="500">
        <f>IFERROR(I82/J82,"-")</f>
        <v>0.6</v>
      </c>
      <c r="M82" s="497">
        <f>SUM(M81:M81)+'0.2 Data Config'!$L$16</f>
        <v>1.565</v>
      </c>
      <c r="N82" s="497">
        <f>SUM(N81:N81)</f>
        <v>1.05925575</v>
      </c>
      <c r="O82" s="497">
        <f>SUM(O81:O81)</f>
        <v>-0.34074424999999997</v>
      </c>
    </row>
    <row r="83">
      <c r="B83" s="429" t="inlineStr">
        <is>
          <t>Commercial Fuels</t>
        </is>
      </c>
      <c r="C83" s="429" t="inlineStr">
        <is>
          <t>CTRM</t>
        </is>
      </c>
      <c r="D83" s="429" t="inlineStr">
        <is>
          <t>CTRM</t>
        </is>
      </c>
      <c r="E83" s="429" t="str">
        <f>'1.9 Commercial Fuels'!$C$38</f>
        <v>Strategic Programs</v>
      </c>
      <c r="F83" s="439">
        <f>'1.9 Commercial Fuels'!$D$38</f>
        <v>0.0</v>
      </c>
      <c r="G83" s="439" t="str">
        <f>IFERROR(INDEX('0.3 Squad Archetypes'!$F$5:$F$23,MATCH('1.9 Commercial Fuels'!$C$38&amp;"|"&amp;'1.9 Commercial Fuels'!$D$38,'0.3 Squad Archetypes'!$A$5:$A$23,0)),"-")</f>
        <v>-</v>
      </c>
      <c r="H83" s="439">
        <f>COUNTIFS(Squads!$N:$N,"Commercial Fuels",Squads!$P:$P,"CTRM",Squads!$R:$R,"Filled")</f>
        <v>14.0</v>
      </c>
      <c r="I83" s="439">
        <f>COUNTIFS(Squads!$N:$N,"Commercial Fuels",Squads!$P:$P,"CTRM",Squads!$R:$R,"Vacant")</f>
        <v>0.0</v>
      </c>
      <c r="J83" s="439">
        <f>H83+I83</f>
        <v>14.0</v>
      </c>
      <c r="K83" s="439" t="str">
        <f>IFERROR(J83-G83,"-")</f>
        <v>-</v>
      </c>
      <c r="L83" s="450">
        <f>IFERROR(I83/J83,"-")</f>
        <v>0.0</v>
      </c>
      <c r="M83" s="430">
        <f>'1.9 Commercial Fuels'!$G$38</f>
        <v>1.4</v>
      </c>
      <c r="N83" s="430">
        <f>(SUMIFS('Added data'!$AA:$AA,'Added data'!$AC:$AC,"Commercial Fuels",'Added data'!$AE:$AE,"CTRM"))/1000000</f>
        <v>3.2217592319999997</v>
      </c>
      <c r="O83" s="430">
        <f>N83-IFERROR(M83,0)</f>
        <v>1.8217592319999998</v>
      </c>
    </row>
    <row r="84">
      <c r="B84" s="465" t="n"/>
      <c r="C84" s="464" t="inlineStr">
        <is>
          <t>CTRM - platform total (incl overhead)</t>
        </is>
      </c>
      <c r="D84" s="465" t="n"/>
      <c r="E84" s="465" t="n"/>
      <c r="F84" s="465" t="n"/>
      <c r="G84" s="498">
        <f>SUM(G83:G83)</f>
        <v>0.0</v>
      </c>
      <c r="H84" s="498">
        <f>SUM(H83:H83)</f>
        <v>14.0</v>
      </c>
      <c r="I84" s="498">
        <f>SUM(I83:I83)</f>
        <v>0.0</v>
      </c>
      <c r="J84" s="498">
        <f>SUM(J83:J83)</f>
        <v>14.0</v>
      </c>
      <c r="K84" s="498">
        <f>SUM(K83:K83)</f>
        <v>0.0</v>
      </c>
      <c r="L84" s="500">
        <f>IFERROR(I84/J84,"-")</f>
        <v>0.0</v>
      </c>
      <c r="M84" s="497">
        <f>SUM(M83:M83)+'0.2 Data Config'!$L$16</f>
        <v>1.565</v>
      </c>
      <c r="N84" s="497">
        <f>SUM(N83:N83)</f>
        <v>3.2217592319999997</v>
      </c>
      <c r="O84" s="497">
        <f>SUM(O83:O83)</f>
        <v>1.8217592319999998</v>
      </c>
    </row>
    <row r="85">
      <c r="B85" s="431" t="inlineStr">
        <is>
          <t>Commercial Fuels - portfolio total (incl OHs)</t>
        </is>
      </c>
      <c r="C85" s="451" t="n"/>
      <c r="D85" s="451" t="n"/>
      <c r="E85" s="451" t="n"/>
      <c r="F85" s="451" t="n"/>
      <c r="G85" s="447">
        <f>G80+G82+G84</f>
        <v>25.5</v>
      </c>
      <c r="H85" s="447">
        <f>H80+H82+H84</f>
        <v>32.0</v>
      </c>
      <c r="I85" s="447">
        <f>I80+I82+I84</f>
        <v>8.0</v>
      </c>
      <c r="J85" s="447">
        <f>J80+J82+J84</f>
        <v>40.0</v>
      </c>
      <c r="K85" s="447">
        <f>K80+K82+K84</f>
        <v>0.5</v>
      </c>
      <c r="L85" s="449">
        <f>IFERROR(I85/J85,"-")</f>
        <v>0.2</v>
      </c>
      <c r="M85" s="432">
        <f>M80+M82+M84+'0.2 Data Config'!$L$10</f>
        <v>7.1445</v>
      </c>
      <c r="N85" s="432">
        <f>N80+N82+N84</f>
        <v>9.0663273927</v>
      </c>
      <c r="O85" s="432">
        <f>O80+O82+O84</f>
        <v>3.1663273927</v>
      </c>
    </row>
    <row r="86">
      <c r="B86" s="429" t="inlineStr">
        <is>
          <t>Z Retail</t>
        </is>
      </c>
      <c r="C86" s="429" t="inlineStr">
        <is>
          <t>Z Supply</t>
        </is>
      </c>
      <c r="D86" s="429" t="inlineStr">
        <is>
          <t>Z Supply</t>
        </is>
      </c>
      <c r="E86" s="429" t="str">
        <f>'1.10 Z Retail'!$C$24</f>
        <v>Build and Run</v>
      </c>
      <c r="F86" s="439" t="str">
        <f>'1.10 Z Retail'!$D$24</f>
        <v>M</v>
      </c>
      <c r="G86" s="439">
        <f>IFERROR(INDEX('0.3 Squad Archetypes'!$F$5:$F$23,MATCH('1.10 Z Retail'!$C$24&amp;"|"&amp;'1.10 Z Retail'!$D$24,'0.3 Squad Archetypes'!$A$5:$A$23,0)),"-")</f>
        <v>9.0</v>
      </c>
      <c r="H86" s="439">
        <f>COUNTIFS(Squads!$N:$N,"Z Retail",Squads!$P:$P,"Z Supply",Squads!$R:$R,"Filled")</f>
        <v>7.0</v>
      </c>
      <c r="I86" s="439">
        <f>COUNTIFS(Squads!$N:$N,"Z Retail",Squads!$P:$P,"Z Supply",Squads!$R:$R,"Vacant")</f>
        <v>1.0</v>
      </c>
      <c r="J86" s="439">
        <f>H86+I86</f>
        <v>8.0</v>
      </c>
      <c r="K86" s="439">
        <f>IFERROR(J86-G86,"-")</f>
        <v>-1.0</v>
      </c>
      <c r="L86" s="450">
        <f>IFERROR(I86/J86,"-")</f>
        <v>0.125</v>
      </c>
      <c r="M86" s="430">
        <f>'1.10 Z Retail'!$G$24</f>
        <v>2.0</v>
      </c>
      <c r="N86" s="430">
        <f>(SUMIFS('Added data'!$AA:$AA,'Added data'!$AC:$AC,"Z Retail",'Added data'!$AE:$AE,"Z Supply"))/1000000</f>
        <v>1.303817738</v>
      </c>
      <c r="O86" s="430">
        <f>N86-IFERROR(M86,0)</f>
        <v>-0.696182262</v>
      </c>
    </row>
    <row r="87">
      <c r="B87" s="465" t="n"/>
      <c r="C87" s="464" t="inlineStr">
        <is>
          <t>Z Supply - platform total (incl overhead)</t>
        </is>
      </c>
      <c r="D87" s="465" t="n"/>
      <c r="E87" s="465" t="n"/>
      <c r="F87" s="465" t="n"/>
      <c r="G87" s="498">
        <f>SUM(G86:G86)</f>
        <v>9.0</v>
      </c>
      <c r="H87" s="498">
        <f>SUM(H86:H86)</f>
        <v>7.0</v>
      </c>
      <c r="I87" s="498">
        <f>SUM(I86:I86)</f>
        <v>1.0</v>
      </c>
      <c r="J87" s="498">
        <f>SUM(J86:J86)</f>
        <v>8.0</v>
      </c>
      <c r="K87" s="498">
        <f>SUM(K86:K86)</f>
        <v>-1.0</v>
      </c>
      <c r="L87" s="500">
        <f>IFERROR(I87/J87,"-")</f>
        <v>0.125</v>
      </c>
      <c r="M87" s="497">
        <f>SUM(M86:M86)+'0.2 Data Config'!$L$16</f>
        <v>2.165</v>
      </c>
      <c r="N87" s="497">
        <f>SUM(N86:N86)</f>
        <v>1.303817738</v>
      </c>
      <c r="O87" s="497">
        <f>SUM(O86:O86)</f>
        <v>-0.696182262</v>
      </c>
    </row>
    <row r="88">
      <c r="B88" s="429" t="inlineStr">
        <is>
          <t>Z Retail</t>
        </is>
      </c>
      <c r="C88" s="429" t="inlineStr">
        <is>
          <t>Z Customer</t>
        </is>
      </c>
      <c r="D88" s="429" t="inlineStr">
        <is>
          <t>Site Systems</t>
        </is>
      </c>
      <c r="E88" s="429" t="str">
        <f>'1.10 Z Retail'!$C$30</f>
        <v>Configuration / Integration</v>
      </c>
      <c r="F88" s="439" t="str">
        <f>'1.10 Z Retail'!$D$30</f>
        <v>M</v>
      </c>
      <c r="G88" s="439">
        <f>IFERROR(INDEX('0.3 Squad Archetypes'!$F$5:$F$23,MATCH('1.10 Z Retail'!$C$30&amp;"|"&amp;'1.10 Z Retail'!$D$30,'0.3 Squad Archetypes'!$A$5:$A$23,0)),"-")</f>
        <v>9.0</v>
      </c>
      <c r="H88" s="439">
        <f>COUNTIFS(Squads!$N:$N,"Z Retail",Squads!$P:$P,"Site Systems",Squads!$R:$R,"Filled")</f>
        <v>8.0</v>
      </c>
      <c r="I88" s="439">
        <f>COUNTIFS(Squads!$N:$N,"Z Retail",Squads!$P:$P,"Site Systems",Squads!$R:$R,"Vacant")</f>
        <v>0.0</v>
      </c>
      <c r="J88" s="439">
        <f>H88+I88</f>
        <v>8.0</v>
      </c>
      <c r="K88" s="439">
        <f>IFERROR(J88-G88,"-")</f>
        <v>-1.0</v>
      </c>
      <c r="L88" s="450">
        <f>IFERROR(I88/J88,"-")</f>
        <v>0.0</v>
      </c>
      <c r="M88" s="430">
        <f>'1.10 Z Retail'!$G$30</f>
        <v>1.4</v>
      </c>
      <c r="N88" s="430">
        <f>(SUMIFS('Added data'!$AA:$AA,'Added data'!$AC:$AC,"Z Retail",'Added data'!$AE:$AE,"Site Systems"))/1000000</f>
        <v>1.410063476</v>
      </c>
      <c r="O88" s="430">
        <f>N88-IFERROR(M88,0)</f>
        <v>0.010063476000000016</v>
      </c>
    </row>
    <row r="89">
      <c r="B89" s="429" t="inlineStr">
        <is>
          <t>Z Retail</t>
        </is>
      </c>
      <c r="C89" s="429" t="inlineStr">
        <is>
          <t>Z Customer</t>
        </is>
      </c>
      <c r="D89" s="429" t="inlineStr">
        <is>
          <t>Z Retail Backend</t>
        </is>
      </c>
      <c r="E89" s="429" t="str">
        <f>'1.10 Z Retail'!$C$31</f>
        <v>Build and Run</v>
      </c>
      <c r="F89" s="439" t="str">
        <f>'1.10 Z Retail'!$D$31</f>
        <v>M</v>
      </c>
      <c r="G89" s="439">
        <f>IFERROR(INDEX('0.3 Squad Archetypes'!$F$5:$F$23,MATCH('1.10 Z Retail'!$C$31&amp;"|"&amp;'1.10 Z Retail'!$D$31,'0.3 Squad Archetypes'!$A$5:$A$23,0)),"-")</f>
        <v>9.0</v>
      </c>
      <c r="H89" s="439">
        <f>COUNTIFS(Squads!$N:$N,"Z Retail",Squads!$P:$P,"Z Retail Backend",Squads!$R:$R,"Filled")</f>
        <v>6.0</v>
      </c>
      <c r="I89" s="439">
        <f>COUNTIFS(Squads!$N:$N,"Z Retail",Squads!$P:$P,"Z Retail Backend",Squads!$R:$R,"Vacant")</f>
        <v>2.0</v>
      </c>
      <c r="J89" s="439">
        <f>H89+I89</f>
        <v>8.0</v>
      </c>
      <c r="K89" s="439">
        <f>IFERROR(J89-G89,"-")</f>
        <v>-1.0</v>
      </c>
      <c r="L89" s="450">
        <f>IFERROR(I89/J89,"-")</f>
        <v>0.25</v>
      </c>
      <c r="M89" s="430">
        <f>'1.10 Z Retail'!$G$31</f>
        <v>2.0</v>
      </c>
      <c r="N89" s="430">
        <f>(SUMIFS('Added data'!$AA:$AA,'Added data'!$AC:$AC,"Z Retail",'Added data'!$AE:$AE,"Z Retail Backend"))/1000000</f>
        <v>1.535648828</v>
      </c>
      <c r="O89" s="430">
        <f>N89-IFERROR(M89,0)</f>
        <v>-0.464351172</v>
      </c>
    </row>
    <row r="90">
      <c r="B90" s="465" t="n"/>
      <c r="C90" s="464" t="inlineStr">
        <is>
          <t>Z Customer - platform total (incl overhead)</t>
        </is>
      </c>
      <c r="D90" s="465" t="n"/>
      <c r="E90" s="465" t="n"/>
      <c r="F90" s="465" t="n"/>
      <c r="G90" s="498">
        <f>SUM(G88:G89)</f>
        <v>18.0</v>
      </c>
      <c r="H90" s="498">
        <f>SUM(H88:H89)</f>
        <v>14.0</v>
      </c>
      <c r="I90" s="498">
        <f>SUM(I88:I89)</f>
        <v>2.0</v>
      </c>
      <c r="J90" s="498">
        <f>SUM(J88:J89)</f>
        <v>16.0</v>
      </c>
      <c r="K90" s="498">
        <f>SUM(K88:K89)</f>
        <v>-2.0</v>
      </c>
      <c r="L90" s="500">
        <f>IFERROR(I90/J90,"-")</f>
        <v>0.125</v>
      </c>
      <c r="M90" s="497">
        <f>SUM(M88:M89)+'0.2 Data Config'!$L$16</f>
        <v>3.565</v>
      </c>
      <c r="N90" s="497">
        <f>SUM(N88:N89)</f>
        <v>2.9457123039999997</v>
      </c>
      <c r="O90" s="497">
        <f>SUM(O88:O89)</f>
        <v>-0.45428769599999996</v>
      </c>
    </row>
    <row r="91">
      <c r="B91" s="431" t="inlineStr">
        <is>
          <t>Z Retail - portfolio total (incl OHs)</t>
        </is>
      </c>
      <c r="C91" s="451" t="n"/>
      <c r="D91" s="451" t="n"/>
      <c r="E91" s="451" t="n"/>
      <c r="F91" s="451" t="n"/>
      <c r="G91" s="447">
        <f>G87+G90</f>
        <v>27.0</v>
      </c>
      <c r="H91" s="447">
        <f>H87+H90</f>
        <v>21.0</v>
      </c>
      <c r="I91" s="447">
        <f>I87+I90</f>
        <v>3.0</v>
      </c>
      <c r="J91" s="447">
        <f>J87+J90</f>
        <v>24.0</v>
      </c>
      <c r="K91" s="447">
        <f>K87+K90</f>
        <v>-3.0</v>
      </c>
      <c r="L91" s="449">
        <f>IFERROR(I91/J91,"-")</f>
        <v>0.125</v>
      </c>
      <c r="M91" s="432">
        <f>M87+M90+'0.2 Data Config'!$L$10</f>
        <v>6.479500000000001</v>
      </c>
      <c r="N91" s="432">
        <f>N87+N90</f>
        <v>4.249530042</v>
      </c>
      <c r="O91" s="432">
        <f>O87+O90</f>
        <v>-1.150469958</v>
      </c>
    </row>
    <row r="92">
      <c r="B92" s="429" t="inlineStr">
        <is>
          <t>TDD Cyber</t>
        </is>
      </c>
      <c r="C92" s="429" t="inlineStr">
        <is>
          <t xml:space="preserve">TDD Cyber, Risk &amp; Service Ops </t>
        </is>
      </c>
      <c r="D92" s="429" t="inlineStr">
        <is>
          <t>All cyber squads (detail on 2.3 Cyber Roles)</t>
        </is>
      </c>
      <c r="E92" s="429" t="inlineStr">
        <is>
          <t>Strategic Programs</t>
        </is>
      </c>
      <c r="F92" s="439" t="inlineStr">
        <is>
          <t>-</t>
        </is>
      </c>
      <c r="G92" s="439" t="inlineStr">
        <is>
          <t>-</t>
        </is>
      </c>
      <c r="H92" s="439">
        <f>COUNTIFS(Squads!$N:$N,"TDD Cyber",Squads!$Q:$Q,"Squad",Squads!$R:$R,"Filled")+COUNTIFS(Squads!$N:$N,"TDD Cyber",Squads!$Q:$Q,"Strategic Program",Squads!$R:$R,"Filled")</f>
        <v>40.0</v>
      </c>
      <c r="I92" s="439">
        <f>COUNTIFS(Squads!$N:$N,"TDD Cyber",Squads!$Q:$Q,"Squad",Squads!$R:$R,"Vacant")+COUNTIFS(Squads!$N:$N,"TDD Cyber",Squads!$Q:$Q,"Strategic Program",Squads!$R:$R,"Vacant")</f>
        <v>8.0</v>
      </c>
      <c r="J92" s="439">
        <f>H92+I92</f>
        <v>48.0</v>
      </c>
      <c r="K92" s="439" t="inlineStr">
        <is>
          <t>-</t>
        </is>
      </c>
      <c r="L92" s="450">
        <f>IFERROR(I92/J92,"-")</f>
        <v>0.16666666666666666</v>
      </c>
      <c r="M92" s="430">
        <f>'1.11 TDD Cyber'!$G$24+'1.11 TDD Cyber'!$G$25</f>
        <v>10.915989044</v>
      </c>
      <c r="N92" s="430">
        <f>(SUMIFS('Added data'!$AA:$AA,'Added data'!$AC:$AC,"TDD Cyber"))/1000000</f>
        <v>10.915989044</v>
      </c>
      <c r="O92" s="430">
        <f>N92-M92</f>
        <v>0.0</v>
      </c>
    </row>
    <row r="93">
      <c r="B93" s="465" t="n"/>
      <c r="C93" s="464" t="inlineStr">
        <is>
          <t>TDD Cyber, Risk &amp; Service Ops  - platform total (incl overhead)</t>
        </is>
      </c>
      <c r="D93" s="465" t="n"/>
      <c r="E93" s="465" t="n"/>
      <c r="F93" s="465" t="n"/>
      <c r="G93" s="498">
        <f>SUM(G92:G92)</f>
        <v>0.0</v>
      </c>
      <c r="H93" s="498">
        <f>SUM(H92:H92)</f>
        <v>40.0</v>
      </c>
      <c r="I93" s="498">
        <f>SUM(I92:I92)</f>
        <v>8.0</v>
      </c>
      <c r="J93" s="498">
        <f>SUM(J92:J92)</f>
        <v>48.0</v>
      </c>
      <c r="K93" s="498">
        <f>SUM(K92:K92)</f>
        <v>0.0</v>
      </c>
      <c r="L93" s="500">
        <f>IFERROR(I93/J93,"-")</f>
        <v>0.16666666666666666</v>
      </c>
      <c r="M93" s="497">
        <f>SUM(M92:M92)+'0.2 Data Config'!$L$16</f>
        <v>11.080989043999999</v>
      </c>
      <c r="N93" s="497">
        <f>SUM(N92:N92)</f>
        <v>10.915989044</v>
      </c>
      <c r="O93" s="497">
        <f>SUM(O92:O92)</f>
        <v>0.0</v>
      </c>
    </row>
    <row r="94">
      <c r="B94" s="431" t="inlineStr">
        <is>
          <t>TDD Cyber - portfolio total (incl OHs)</t>
        </is>
      </c>
      <c r="C94" s="451" t="n"/>
      <c r="D94" s="451" t="n"/>
      <c r="E94" s="451" t="n"/>
      <c r="F94" s="451" t="n"/>
      <c r="G94" s="447">
        <f>G93</f>
        <v>0.0</v>
      </c>
      <c r="H94" s="447">
        <f>H93</f>
        <v>40.0</v>
      </c>
      <c r="I94" s="447">
        <f>I93</f>
        <v>8.0</v>
      </c>
      <c r="J94" s="447">
        <f>J93</f>
        <v>48.0</v>
      </c>
      <c r="K94" s="447">
        <f>K93</f>
        <v>0.0</v>
      </c>
      <c r="L94" s="449">
        <f>IFERROR(I94/J94,"-")</f>
        <v>0.16666666666666666</v>
      </c>
      <c r="M94" s="432">
        <f>M93+'0.2 Data Config'!$L$10</f>
        <v>11.830489043999998</v>
      </c>
      <c r="N94" s="432">
        <f>N93</f>
        <v>10.915989044</v>
      </c>
      <c r="O94" s="432">
        <f>O93</f>
        <v>0.0</v>
      </c>
    </row>
    <row r="95">
      <c r="B95" s="443" t="inlineStr">
        <is>
          <t>TOTAL - delivery organisation (archetype cost incl overheads; actual = squad roles only)</t>
        </is>
      </c>
      <c r="C95" s="444" t="n"/>
      <c r="D95" s="444" t="n"/>
      <c r="E95" s="444" t="n"/>
      <c r="F95" s="444" t="n"/>
      <c r="G95" s="452">
        <f>G22+G36+G43+G51+G57+G63+G71+G77+G85+G91+G94</f>
        <v>328.5</v>
      </c>
      <c r="H95" s="452">
        <f>H22+H36+H43+H51+H57+H63+H71+H77+H85+H91+H94</f>
        <v>298.0</v>
      </c>
      <c r="I95" s="452">
        <f>I22+I36+I43+I51+I57+I63+I71+I77+I85+I91+I94</f>
        <v>124.0</v>
      </c>
      <c r="J95" s="452">
        <f>J22+J36+J43+J51+J57+J63+J71+J77+J85+J91+J94</f>
        <v>422.0</v>
      </c>
      <c r="K95" s="452">
        <f>K22+K36+K43+K51+K57+K63+K71+K77+K85+K91+K94</f>
        <v>-0.5</v>
      </c>
      <c r="L95" s="453">
        <f>I95/J95</f>
        <v>0.2938388625592417</v>
      </c>
      <c r="M95" s="454">
        <f>M22+M36+M43+M51+M57+M63+M71+M77+M85+M91+M94</f>
        <v>80.13548904400001</v>
      </c>
      <c r="N95" s="454">
        <f>N22+N36+N43+N51+N57+N63+N71+N77+N85+N91+N94</f>
        <v>81.7029099161</v>
      </c>
      <c r="O95" s="454">
        <f>O22+O36+O43+O51+O57+O63+O71+O77+O85+O91+O94</f>
        <v>13.6069208721</v>
      </c>
    </row>
    <row r="96"/>
    <row r="97">
      <c r="B97" s="443" t="inlineStr">
        <is>
          <t>Leadership roles - funded by the platform &amp; portfolio overheads above</t>
        </is>
      </c>
      <c r="C97" s="444" t="n"/>
      <c r="D97" s="444" t="n"/>
      <c r="E97" s="444" t="n"/>
      <c r="F97" s="444" t="n"/>
      <c r="G97" s="444" t="n"/>
      <c r="H97" s="444" t="n"/>
      <c r="I97" s="444" t="n"/>
      <c r="J97" s="444" t="n"/>
      <c r="K97" s="444" t="n"/>
      <c r="L97" s="444" t="n"/>
      <c r="M97" s="444" t="n"/>
      <c r="N97" s="444" t="n"/>
      <c r="O97" s="444" t="n"/>
    </row>
    <row r="98">
      <c r="B98" s="438" t="inlineStr">
        <is>
          <t>Portfolio</t>
        </is>
      </c>
      <c r="C98" s="438" t="inlineStr">
        <is>
          <t>Name</t>
        </is>
      </c>
      <c r="D98" s="438" t="inlineStr">
        <is>
          <t>Position Title</t>
        </is>
      </c>
      <c r="E98" s="438" t="inlineStr">
        <is>
          <t>Org platform field</t>
        </is>
      </c>
    </row>
    <row r="99">
      <c r="B99" s="429" t="inlineStr">
        <is>
          <t>Ampol Retail</t>
        </is>
      </c>
      <c r="C99" s="429" t="str">
        <f>IF(Squads!$R$97="Vacant","Vacant",Squads!$B$97)</f>
        <v>Madan Murthy</v>
      </c>
      <c r="D99" s="429" t="str">
        <f>SUBSTITUTE(SUBSTITUTE(Squads!$C$97,"–","-"),"—","-")</f>
        <v>Head of Technology, AU Retail</v>
      </c>
      <c r="E99" s="429" t="inlineStr">
        <is>
          <t>(All Retail)</t>
        </is>
      </c>
    </row>
    <row r="100">
      <c r="B100" s="429" t="inlineStr">
        <is>
          <t>Ampol Retail</t>
        </is>
      </c>
      <c r="C100" s="429" t="str">
        <f>IF(Squads!$R$17="Vacant","Vacant",Squads!$B$17)</f>
        <v>Tracy Lee Reaper</v>
      </c>
      <c r="D100" s="429" t="str">
        <f>SUBSTITUTE(SUBSTITUTE(Squads!$C$17,"–","-"),"—","-")</f>
        <v>Technology Manager, Merchandising &amp; WFM</v>
      </c>
      <c r="E100" s="429" t="inlineStr">
        <is>
          <t>Merch / Supply Chain</t>
        </is>
      </c>
    </row>
    <row r="101">
      <c r="B101" s="429" t="inlineStr">
        <is>
          <t>Ampol Retail</t>
        </is>
      </c>
      <c r="C101" s="429" t="str">
        <f>IF(Squads!$R$16="Vacant","Vacant",Squads!$B$16)</f>
        <v>Vaishnavi Viswanathan</v>
      </c>
      <c r="D101" s="429" t="str">
        <f>SUBSTITUTE(SUBSTITUTE(Squads!$C$16,"–","-"),"—","-")</f>
        <v>Technology Manager, Store Platform</v>
      </c>
      <c r="E101" s="429" t="inlineStr">
        <is>
          <t>Store Operations, Payments, POS</t>
        </is>
      </c>
    </row>
    <row r="102">
      <c r="B102" s="429" t="inlineStr">
        <is>
          <t>Ampol Retail</t>
        </is>
      </c>
      <c r="C102" s="429" t="str">
        <f>IF(Squads!$R$15="Vacant","Vacant",Squads!$B$15)</f>
        <v>Vanessa Allen</v>
      </c>
      <c r="D102" s="429" t="str">
        <f>SUBSTITUTE(SUBSTITUTE(Squads!$C$15,"–","-"),"—","-")</f>
        <v>Delivery Manager</v>
      </c>
      <c r="E102" s="429" t="inlineStr">
        <is>
          <t>(All Retail)</t>
        </is>
      </c>
    </row>
    <row r="103">
      <c r="B103" s="429" t="inlineStr">
        <is>
          <t>Ampol Retail</t>
        </is>
      </c>
      <c r="C103" s="429" t="str">
        <f>IF(Squads!$R$71="Vacant","Vacant",Squads!$B$71)</f>
        <v>Vedran Jukic</v>
      </c>
      <c r="D103" s="429" t="str">
        <f>SUBSTITUTE(SUBSTITUTE(Squads!$C$71,"–","-"),"—","-")</f>
        <v>Technology Manager, Retail</v>
      </c>
      <c r="E103" s="429" t="inlineStr">
        <is>
          <t>Store Operations, Network &amp; QSR, Deployment</t>
        </is>
      </c>
    </row>
    <row r="104">
      <c r="B104" s="429" t="inlineStr">
        <is>
          <t>COE</t>
        </is>
      </c>
      <c r="C104" s="429" t="str">
        <f>IF(Squads!$R$323="Vacant","Vacant",Squads!$B$323)</f>
        <v>Jonathan Robinson</v>
      </c>
      <c r="D104" s="429" t="str">
        <f>SUBSTITUTE(SUBSTITUTE(Squads!$C$323,"–","-"),"—","-")</f>
        <v>Technology Manager  Data Science</v>
      </c>
      <c r="E104" s="429" t="inlineStr">
        <is>
          <t>Group Data</t>
        </is>
      </c>
    </row>
    <row r="105">
      <c r="B105" s="429" t="inlineStr">
        <is>
          <t>COE</t>
        </is>
      </c>
      <c r="C105" s="429" t="str">
        <f>IF(Squads!$R$290="Vacant","Vacant",Squads!$B$290)</f>
        <v>Sanjay Tikoo</v>
      </c>
      <c r="D105" s="429" t="str">
        <f>SUBSTITUTE(SUBSTITUTE(Squads!$C$290,"–","-"),"—","-")</f>
        <v>Principal, Data Architecture &amp; Governance</v>
      </c>
      <c r="E105" s="429" t="n"/>
    </row>
    <row r="106">
      <c r="B106" s="429" t="inlineStr">
        <is>
          <t>COE</t>
        </is>
      </c>
      <c r="C106" s="455" t="str">
        <f>IF(Squads!$R$291="Vacant","Vacant",Squads!$B$291)</f>
        <v>Vacant</v>
      </c>
      <c r="D106" s="429" t="str">
        <f>SUBSTITUTE(SUBSTITUTE(Squads!$C$291,"–","-"),"—","-")</f>
        <v>Technology Manager, Data Engineering &amp; Platforms</v>
      </c>
      <c r="E106" s="429" t="inlineStr">
        <is>
          <t>Group Data</t>
        </is>
      </c>
    </row>
    <row r="107">
      <c r="B107" s="429" t="inlineStr">
        <is>
          <t>Customer</t>
        </is>
      </c>
      <c r="C107" s="429" t="str">
        <f>IF(Squads!$R$176="Vacant","Vacant",Squads!$B$176)</f>
        <v>Abhilash Reddy</v>
      </c>
      <c r="D107" s="429" t="str">
        <f>SUBSTITUTE(SUBSTITUTE(Squads!$C$176,"–","-"),"—","-")</f>
        <v>Project Manager</v>
      </c>
      <c r="E107" s="429" t="inlineStr">
        <is>
          <t>Ampol Digital</t>
        </is>
      </c>
    </row>
    <row r="108">
      <c r="B108" s="429" t="inlineStr">
        <is>
          <t>Customer</t>
        </is>
      </c>
      <c r="C108" s="429" t="str">
        <f>IF(Squads!$R$143="Vacant","Vacant",Squads!$B$143)</f>
        <v>Adriel Jeyanandhan</v>
      </c>
      <c r="D108" s="429" t="str">
        <f>SUBSTITUTE(SUBSTITUTE(Squads!$C$143,"–","-"),"—","-")</f>
        <v>Delivery Manager</v>
      </c>
      <c r="E108" s="429" t="inlineStr">
        <is>
          <t>Ampol Digital</t>
        </is>
      </c>
    </row>
    <row r="109">
      <c r="B109" s="429" t="inlineStr">
        <is>
          <t>Customer</t>
        </is>
      </c>
      <c r="C109" s="429" t="str">
        <f>IF(Squads!$R$190="Vacant","Vacant",Squads!$B$190)</f>
        <v>Andy Stewart</v>
      </c>
      <c r="D109" s="429" t="str">
        <f>SUBSTITUTE(SUBSTITUTE(Squads!$C$190,"–","-"),"—","-")</f>
        <v>Head of Technology, Loyalty &amp; Martech</v>
      </c>
      <c r="E109" s="429" t="inlineStr">
        <is>
          <t>Customer Z, Group Customer Platforms</t>
        </is>
      </c>
    </row>
    <row r="110">
      <c r="B110" s="429" t="inlineStr">
        <is>
          <t>Customer</t>
        </is>
      </c>
      <c r="C110" s="429" t="str">
        <f>IF(Squads!$R$142="Vacant","Vacant",Squads!$B$142)</f>
        <v>Byron Thornhill</v>
      </c>
      <c r="D110" s="429" t="str">
        <f>SUBSTITUTE(SUBSTITUTE(Squads!$C$142,"–","-"),"—","-")</f>
        <v>Design Manager</v>
      </c>
      <c r="E110" s="429" t="inlineStr">
        <is>
          <t>Customer Z, Ampol Digital</t>
        </is>
      </c>
    </row>
    <row r="111">
      <c r="B111" s="429" t="inlineStr">
        <is>
          <t>Customer</t>
        </is>
      </c>
      <c r="C111" s="429" t="str">
        <f>IF(Squads!$R$175="Vacant","Vacant",Squads!$B$175)</f>
        <v>Christian Lazano</v>
      </c>
      <c r="D111" s="429" t="str">
        <f>SUBSTITUTE(SUBSTITUTE(Squads!$C$175,"–","-"),"—","-")</f>
        <v>Business Analyst</v>
      </c>
      <c r="E111" s="429" t="inlineStr">
        <is>
          <t>(All Customer)</t>
        </is>
      </c>
    </row>
    <row r="112">
      <c r="B112" s="429" t="inlineStr">
        <is>
          <t>Customer</t>
        </is>
      </c>
      <c r="C112" s="429" t="str">
        <f>IF(Squads!$R$115="Vacant","Vacant",Squads!$B$115)</f>
        <v>Jill Martin</v>
      </c>
      <c r="D112" s="429" t="str">
        <f>SUBSTITUTE(SUBSTITUTE(Squads!$C$115,"–","-"),"—","-")</f>
        <v>Delivery Manager</v>
      </c>
      <c r="E112" s="429" t="inlineStr">
        <is>
          <t>Customer Z, Group Customer Platforms</t>
        </is>
      </c>
    </row>
    <row r="113">
      <c r="B113" s="429" t="inlineStr">
        <is>
          <t>Customer</t>
        </is>
      </c>
      <c r="C113" s="429" t="str">
        <f>IF(Squads!$R$155="Vacant","Vacant",Squads!$B$155)</f>
        <v>Kris Hamilton</v>
      </c>
      <c r="D113" s="429" t="str">
        <f>SUBSTITUTE(SUBSTITUTE(Squads!$C$155,"–","-"),"—","-")</f>
        <v>Technology Manager - Loyalty &amp; Martech</v>
      </c>
      <c r="E113" s="429" t="inlineStr">
        <is>
          <t>Customer Z, Group Customer Platforms</t>
        </is>
      </c>
    </row>
    <row r="114">
      <c r="B114" s="429" t="inlineStr">
        <is>
          <t>Customer</t>
        </is>
      </c>
      <c r="C114" s="429" t="str">
        <f>IF(Squads!$R$154="Vacant","Vacant",Squads!$B$154)</f>
        <v>Mitesh Shah</v>
      </c>
      <c r="D114" s="429" t="str">
        <f>SUBSTITUTE(SUBSTITUTE(Squads!$C$154,"–","-"),"—","-")</f>
        <v>Technology Manager - Digital</v>
      </c>
      <c r="E114" s="429" t="inlineStr">
        <is>
          <t>Ampol Digital</t>
        </is>
      </c>
    </row>
    <row r="115">
      <c r="B115" s="429" t="inlineStr">
        <is>
          <t>Customer</t>
        </is>
      </c>
      <c r="C115" s="429" t="str">
        <f>IF(Squads!$R$124="Vacant","Vacant",Squads!$B$124)</f>
        <v>Shona Paul</v>
      </c>
      <c r="D115" s="429" t="str">
        <f>SUBSTITUTE(SUBSTITUTE(Squads!$C$124,"–","-"),"—","-")</f>
        <v>Head of Technology - Digital</v>
      </c>
      <c r="E115" s="429" t="inlineStr">
        <is>
          <t>(All Customer)</t>
        </is>
      </c>
    </row>
    <row r="116">
      <c r="B116" s="429" t="inlineStr">
        <is>
          <t>Customer</t>
        </is>
      </c>
      <c r="C116" s="455" t="str">
        <f>IF(Squads!$R$160="Vacant","Vacant",Squads!$B$160)</f>
        <v>Vacant</v>
      </c>
      <c r="D116" s="429" t="str">
        <f>SUBSTITUTE(SUBSTITUTE(Squads!$C$160,"–","-"),"—","-")</f>
        <v>AI Enablement Lead</v>
      </c>
      <c r="E116" s="429" t="inlineStr">
        <is>
          <t>(All Customer)</t>
        </is>
      </c>
    </row>
    <row r="117">
      <c r="B117" s="429" t="inlineStr">
        <is>
          <t>Customer</t>
        </is>
      </c>
      <c r="C117" s="455" t="str">
        <f>IF(Squads!$R$123="Vacant","Vacant",Squads!$B$123)</f>
        <v>Vacant</v>
      </c>
      <c r="D117" s="429" t="str">
        <f>SUBSTITUTE(SUBSTITUTE(Squads!$C$123,"–","-"),"—","-")</f>
        <v>Program Manager</v>
      </c>
      <c r="E117" s="429" t="inlineStr">
        <is>
          <t>Ampol Digital, Group Customer Platforms</t>
        </is>
      </c>
    </row>
    <row r="118">
      <c r="B118" s="429" t="inlineStr">
        <is>
          <t>Customer</t>
        </is>
      </c>
      <c r="C118" s="455" t="str">
        <f>IF(Squads!$R$201="Vacant","Vacant",Squads!$B$201)</f>
        <v>Vacant</v>
      </c>
      <c r="D118" s="429" t="str">
        <f>SUBSTITUTE(SUBSTITUTE(Squads!$C$201,"–","-"),"—","-")</f>
        <v>Snr Business Analyst</v>
      </c>
      <c r="E118" s="429" t="inlineStr">
        <is>
          <t>Leadership</t>
        </is>
      </c>
    </row>
    <row r="119">
      <c r="B119" s="429" t="inlineStr">
        <is>
          <t>Customer</t>
        </is>
      </c>
      <c r="C119" s="455" t="str">
        <f>IF(Squads!$R$188="Vacant","Vacant",Squads!$B$188)</f>
        <v>Vacant</v>
      </c>
      <c r="D119" s="429" t="str">
        <f>SUBSTITUTE(SUBSTITUTE(Squads!$C$188,"–","-"),"—","-")</f>
        <v>Technology Manager, Engineering</v>
      </c>
      <c r="E119" s="429" t="inlineStr">
        <is>
          <t>Ampol Digital</t>
        </is>
      </c>
    </row>
    <row r="120">
      <c r="B120" s="429" t="inlineStr">
        <is>
          <t>Customer</t>
        </is>
      </c>
      <c r="C120" s="429" t="str">
        <f>IF(Squads!$R$152="Vacant","Vacant",Squads!$B$152)</f>
        <v>Zoe Udy</v>
      </c>
      <c r="D120" s="429" t="str">
        <f>SUBSTITUTE(SUBSTITUTE(Squads!$C$152,"–","-"),"—","-")</f>
        <v>Technology Manager - Data &amp; Engineering</v>
      </c>
      <c r="E120" s="429" t="inlineStr">
        <is>
          <t>Customer Z, Group Customer Platforms</t>
        </is>
      </c>
    </row>
    <row r="121">
      <c r="B121" s="429" t="inlineStr">
        <is>
          <t>Energy Solutions &amp; B2B</t>
        </is>
      </c>
      <c r="C121" s="429" t="str">
        <f>IF(Squads!$R$373="Vacant","Vacant",Squads!$B$373)</f>
        <v>Elle Spencer</v>
      </c>
      <c r="D121" s="429" t="str">
        <f>SUBSTITUTE(SUBSTITUTE(Squads!$C$373,"–","-"),"—","-")</f>
        <v>Technology Manager - B2B</v>
      </c>
      <c r="E121" s="429" t="inlineStr">
        <is>
          <t>Leadership</t>
        </is>
      </c>
    </row>
    <row r="122">
      <c r="B122" s="429" t="inlineStr">
        <is>
          <t>Energy Solutions &amp; B2B</t>
        </is>
      </c>
      <c r="C122" s="429" t="str">
        <f>IF(Squads!$R$381="Vacant","Vacant",Squads!$B$381)</f>
        <v>Liesl Tye</v>
      </c>
      <c r="D122" s="429" t="str">
        <f>SUBSTITUTE(SUBSTITUTE(Squads!$C$381,"–","-"),"—","-")</f>
        <v>Head of Technology, B2B &amp; Energy Solutions</v>
      </c>
      <c r="E122" s="429" t="inlineStr">
        <is>
          <t>Leadership</t>
        </is>
      </c>
    </row>
    <row r="123">
      <c r="B123" s="429" t="inlineStr">
        <is>
          <t>Energy Solutions &amp; B2B</t>
        </is>
      </c>
      <c r="C123" s="455" t="str">
        <f>IF(Squads!$R$375="Vacant","Vacant",Squads!$B$375)</f>
        <v>Vacant</v>
      </c>
      <c r="D123" s="429" t="str">
        <f>SUBSTITUTE(SUBSTITUTE(Squads!$C$375,"–","-"),"—","-")</f>
        <v>Delivery manager</v>
      </c>
      <c r="E123" s="429" t="inlineStr">
        <is>
          <t>Leadership</t>
        </is>
      </c>
    </row>
    <row r="124">
      <c r="B124" s="429" t="inlineStr">
        <is>
          <t>Energy Solutions &amp; B2B</t>
        </is>
      </c>
      <c r="C124" s="455" t="str">
        <f>IF(Squads!$R$492="Vacant","Vacant",Squads!$B$492)</f>
        <v>Vacant</v>
      </c>
      <c r="D124" s="429" t="str">
        <f>SUBSTITUTE(SUBSTITUTE(Squads!$C$492,"–","-"),"—","-")</f>
        <v>Snr Engineer</v>
      </c>
      <c r="E124" s="429" t="inlineStr">
        <is>
          <t>Leadership</t>
        </is>
      </c>
    </row>
    <row r="125">
      <c r="B125" s="429" t="inlineStr">
        <is>
          <t>Enterprise Data</t>
        </is>
      </c>
      <c r="C125" s="429" t="str">
        <f>IF(Squads!$R$317="Vacant","Vacant",Squads!$B$317)</f>
        <v>Mitchell Clarke</v>
      </c>
      <c r="D125" s="429" t="str">
        <f>SUBSTITUTE(SUBSTITUTE(Squads!$C$317,"–","-"),"—","-")</f>
        <v>Snr Data Governance Specialist</v>
      </c>
      <c r="E125" s="429" t="inlineStr">
        <is>
          <t>Leadership</t>
        </is>
      </c>
    </row>
    <row r="126">
      <c r="B126" s="429" t="inlineStr">
        <is>
          <t>Finance</t>
        </is>
      </c>
      <c r="C126" s="429" t="str">
        <f>IF(Squads!$R$493="Vacant","Vacant",Squads!$B$493)</f>
        <v>Shane Ker</v>
      </c>
      <c r="D126" s="429" t="str">
        <f>SUBSTITUTE(SUBSTITUTE(Squads!$C$493,"–","-"),"—","-")</f>
        <v>Technology Manger - Finance Platfoms</v>
      </c>
      <c r="E126" s="429" t="inlineStr">
        <is>
          <t>Finance</t>
        </is>
      </c>
    </row>
    <row r="127">
      <c r="B127" s="429" t="inlineStr">
        <is>
          <t>Infrastructure</t>
        </is>
      </c>
      <c r="C127" s="429" t="str">
        <f>IF(Squads!$R$380="Vacant","Vacant",Squads!$B$380)</f>
        <v>Amish Pandit</v>
      </c>
      <c r="D127" s="429" t="str">
        <f>SUBSTITUTE(SUBSTITUTE(Squads!$C$380,"–","-"),"—","-")</f>
        <v>Head of Technology, Fuel Infrastructure</v>
      </c>
      <c r="E127" s="429" t="inlineStr">
        <is>
          <t xml:space="preserve">Leadership </t>
        </is>
      </c>
    </row>
    <row r="128">
      <c r="B128" s="429" t="inlineStr">
        <is>
          <t>Infrastructure</t>
        </is>
      </c>
      <c r="C128" s="429" t="str">
        <f>IF(Squads!$R$354="Vacant","Vacant",Squads!$B$354)</f>
        <v>George Moun</v>
      </c>
      <c r="D128" s="429" t="str">
        <f>SUBSTITUTE(SUBSTITUTE(Squads!$C$354,"–","-"),"—","-")</f>
        <v>Solution Architect</v>
      </c>
      <c r="E128" s="429" t="inlineStr">
        <is>
          <t xml:space="preserve">Leadership </t>
        </is>
      </c>
    </row>
    <row r="129">
      <c r="B129" s="429" t="inlineStr">
        <is>
          <t>Infrastructure</t>
        </is>
      </c>
      <c r="C129" s="429" t="str">
        <f>IF(Squads!$R$405="Vacant","Vacant",Squads!$B$405)</f>
        <v>Karla Orozco Loza</v>
      </c>
      <c r="D129" s="429" t="str">
        <f>SUBSTITUTE(SUBSTITUTE(Squads!$C$405,"–","-"),"—","-")</f>
        <v>Technology Manager, Future Infrastructure </v>
      </c>
      <c r="E129" s="429" t="inlineStr">
        <is>
          <t>Distribution</t>
        </is>
      </c>
    </row>
    <row r="130">
      <c r="B130" s="429" t="inlineStr">
        <is>
          <t>Infrastructure</t>
        </is>
      </c>
      <c r="C130" s="429" t="str">
        <f>IF(Squads!$R$353="Vacant","Vacant",Squads!$B$353)</f>
        <v>Prem Shetty</v>
      </c>
      <c r="D130" s="429" t="str">
        <f>SUBSTITUTE(SUBSTITUTE(Squads!$C$353,"–","-"),"—","-")</f>
        <v>Delivery manager</v>
      </c>
      <c r="E130" s="429" t="inlineStr">
        <is>
          <t xml:space="preserve">Leadership </t>
        </is>
      </c>
    </row>
    <row r="131">
      <c r="B131" s="429" t="inlineStr">
        <is>
          <t>Infrastructure</t>
        </is>
      </c>
      <c r="C131" s="455" t="str">
        <f>IF(Squads!$R$351="Vacant","Vacant",Squads!$B$351)</f>
        <v>Vacant</v>
      </c>
      <c r="D131" s="429" t="str">
        <f>SUBSTITUTE(SUBSTITUTE(Squads!$C$351,"–","-"),"—","-")</f>
        <v>Technology Manager Data</v>
      </c>
      <c r="E131" s="429" t="inlineStr">
        <is>
          <t>Leadership</t>
        </is>
      </c>
    </row>
    <row r="132">
      <c r="B132" s="429" t="inlineStr">
        <is>
          <t>P&amp;C</t>
        </is>
      </c>
      <c r="C132" s="429" t="str">
        <f>IF(Squads!$R$494="Vacant","Vacant",Squads!$B$494)</f>
        <v>Dave O'Keefe</v>
      </c>
      <c r="D132" s="429" t="str">
        <f>SUBSTITUTE(SUBSTITUTE(Squads!$C$494,"–","-"),"—","-")</f>
        <v>Technology Manager - P&amp;C Platforms</v>
      </c>
      <c r="E132" s="429" t="inlineStr">
        <is>
          <t>P&amp;C</t>
        </is>
      </c>
    </row>
    <row r="133">
      <c r="B133" s="429" t="inlineStr">
        <is>
          <t>P&amp;C</t>
        </is>
      </c>
      <c r="C133" s="455" t="str">
        <f>IF(Squads!$R$496="Vacant","Vacant",Squads!$B$496)</f>
        <v>Vacant</v>
      </c>
      <c r="D133" s="429" t="str">
        <f>SUBSTITUTE(SUBSTITUTE(Squads!$C$496,"–","-"),"—","-")</f>
        <v>Delivery Manager</v>
      </c>
      <c r="E133" s="429" t="inlineStr">
        <is>
          <t>P&amp;C, Finance &amp; Legal</t>
        </is>
      </c>
    </row>
    <row r="134">
      <c r="B134" s="429" t="inlineStr">
        <is>
          <t>P&amp;C</t>
        </is>
      </c>
      <c r="C134" s="429" t="str">
        <f>IF(Squads!$R$495="Vacant","Vacant",Squads!$B$495)</f>
        <v>Vaso Vukovic</v>
      </c>
      <c r="D134" s="429" t="str">
        <f>SUBSTITUTE(SUBSTITUTE(Squads!$C$495,"–","-"),"—","-")</f>
        <v>Head of Technology - P&amp;C, Finance &amp; Legal</v>
      </c>
      <c r="E134" s="429" t="inlineStr">
        <is>
          <t>P&amp;C, Finance &amp; Legal</t>
        </is>
      </c>
    </row>
    <row r="135">
      <c r="B135" s="429" t="inlineStr">
        <is>
          <t>TDD Group Functions</t>
        </is>
      </c>
      <c r="C135" s="429" t="str">
        <f>IF(Squads!$R$499="Vacant","Vacant",Squads!$B$499)</f>
        <v>Murray Mitchell</v>
      </c>
      <c r="D135" s="429" t="str">
        <f>SUBSTITUTE(SUBSTITUTE(Squads!$C$499,"–","-"),"—","-")</f>
        <v>Technology Manager, Workplace and Enterprise Tooling</v>
      </c>
      <c r="E135" s="429" t="inlineStr">
        <is>
          <t>TDD</t>
        </is>
      </c>
    </row>
    <row r="136">
      <c r="B136" s="429" t="inlineStr">
        <is>
          <t>TDD Group Functions</t>
        </is>
      </c>
      <c r="C136" s="429" t="str">
        <f>IF(Squads!$R$498="Vacant","Vacant",Squads!$B$498)</f>
        <v>Nakul Bharade</v>
      </c>
      <c r="D136" s="429" t="str">
        <f>SUBSTITUTE(SUBSTITUTE(Squads!$C$498,"–","-"),"—","-")</f>
        <v>Lead Engineer Software</v>
      </c>
      <c r="E136" s="429" t="inlineStr">
        <is>
          <t>Leadership</t>
        </is>
      </c>
    </row>
    <row r="137">
      <c r="B137" s="429" t="inlineStr">
        <is>
          <t>TDD Group Functions</t>
        </is>
      </c>
      <c r="C137" s="455" t="str">
        <f>IF(Squads!$R$501="Vacant","Vacant",Squads!$B$501)</f>
        <v>Vacant</v>
      </c>
      <c r="D137" s="429" t="str">
        <f>SUBSTITUTE(SUBSTITUTE(Squads!$C$501,"–","-"),"—","-")</f>
        <v>Delivery Manager</v>
      </c>
      <c r="E137" s="429" t="inlineStr">
        <is>
          <t>TDD</t>
        </is>
      </c>
    </row>
    <row r="138">
      <c r="B138" s="429" t="inlineStr">
        <is>
          <t>TDD Group Functions</t>
        </is>
      </c>
      <c r="C138" s="455" t="str">
        <f>IF(Squads!$R$497="Vacant","Vacant",Squads!$B$497)</f>
        <v>Vacant</v>
      </c>
      <c r="D138" s="429" t="str">
        <f>SUBSTITUTE(SUBSTITUTE(Squads!$C$497,"–","-"),"—","-")</f>
        <v>Head of Technology - TDD &amp; Engineering Capability Lead</v>
      </c>
      <c r="E138" s="429" t="inlineStr">
        <is>
          <t>TDD</t>
        </is>
      </c>
    </row>
    <row r="139">
      <c r="B139" s="429" t="inlineStr">
        <is>
          <t>TDD Group Functions</t>
        </is>
      </c>
      <c r="C139" s="455" t="str">
        <f>IF(Squads!$R$503="Vacant","Vacant",Squads!$B$503)</f>
        <v>Vacant</v>
      </c>
      <c r="D139" s="429" t="str">
        <f>SUBSTITUTE(SUBSTITUTE(Squads!$C$503,"–","-"),"—","-")</f>
        <v>Snr Engineer</v>
      </c>
      <c r="E139" s="429" t="inlineStr">
        <is>
          <t>Leadership</t>
        </is>
      </c>
    </row>
    <row r="140">
      <c r="B140" s="429" t="inlineStr">
        <is>
          <t>TDD Group Functions</t>
        </is>
      </c>
      <c r="C140" s="455" t="str">
        <f>IF(Squads!$R$502="Vacant","Vacant",Squads!$B$502)</f>
        <v>Vacant</v>
      </c>
      <c r="D140" s="429" t="str">
        <f>SUBSTITUTE(SUBSTITUTE(Squads!$C$502,"–","-"),"—","-")</f>
        <v>Technology Manager - Cloud, Network and Infrastructure Operations</v>
      </c>
      <c r="E140" s="429" t="inlineStr">
        <is>
          <t>TDD</t>
        </is>
      </c>
    </row>
    <row r="141">
      <c r="B141" s="429" t="inlineStr">
        <is>
          <t>TDD Group Functions</t>
        </is>
      </c>
      <c r="C141" s="455" t="str">
        <f>IF(Squads!$R$500="Vacant","Vacant",Squads!$B$500)</f>
        <v>Vacant</v>
      </c>
      <c r="D141" s="429" t="str">
        <f>SUBSTITUTE(SUBSTITUTE(Squads!$C$500,"–","-"),"—","-")</f>
        <v>Technology Manager - DevOps and Quality Engineering</v>
      </c>
      <c r="E141" s="429" t="inlineStr">
        <is>
          <t>TDD</t>
        </is>
      </c>
    </row>
    <row r="142">
      <c r="B142" s="429" t="inlineStr">
        <is>
          <t>Unmapped</t>
        </is>
      </c>
      <c r="C142" s="429" t="str">
        <f>IF(Squads!$R$340="Vacant","Vacant",Squads!$B$340)</f>
        <v>Ed Tacey</v>
      </c>
      <c r="D142" s="429" t="str">
        <f>SUBSTITUTE(SUBSTITUTE(Squads!$C$340,"–","-"),"—","-")</f>
        <v>Head of Architecture</v>
      </c>
      <c r="E142" s="429" t="n"/>
    </row>
    <row r="143">
      <c r="B143" s="429" t="inlineStr">
        <is>
          <t>Unmapped</t>
        </is>
      </c>
      <c r="C143" s="429" t="str">
        <f>IF(Squads!$R$307="Vacant","Vacant",Squads!$B$307)</f>
        <v>James Holgate</v>
      </c>
      <c r="D143" s="429" t="str">
        <f>SUBSTITUTE(SUBSTITUTE(Squads!$C$307,"–","-"),"—","-")</f>
        <v>Head of Technology,  Group Data</v>
      </c>
      <c r="E143" s="429" t="n"/>
    </row>
    <row r="144">
      <c r="B144" s="429" t="inlineStr">
        <is>
          <t>Unmapped</t>
        </is>
      </c>
      <c r="C144" s="429" t="str">
        <f>IF(Squads!$R$308="Vacant","Vacant",Squads!$B$308)</f>
        <v>Joel Vijayakumar</v>
      </c>
      <c r="D144" s="429" t="str">
        <f>SUBSTITUTE(SUBSTITUTE(Squads!$C$308,"–","-"),"—","-")</f>
        <v>Delivery Manager, Strategy, Architecture &amp; Data</v>
      </c>
      <c r="E144" s="429" t="n"/>
    </row>
    <row r="145">
      <c r="B145" s="429" t="inlineStr">
        <is>
          <t>Unmapped</t>
        </is>
      </c>
      <c r="C145" s="429" t="str">
        <f>IF(Squads!$R$252="Vacant","Vacant",Squads!$B$252)</f>
        <v>Shruti Manchanda</v>
      </c>
      <c r="D145" s="429" t="str">
        <f>SUBSTITUTE(SUBSTITUTE(Squads!$C$252,"–","-"),"—","-")</f>
        <v>Cyber GRC Analyst</v>
      </c>
      <c r="E145" s="429" t="inlineStr">
        <is>
          <t>Leadership</t>
        </is>
      </c>
    </row>
    <row r="146">
      <c r="B146" s="429" t="inlineStr">
        <is>
          <t>Unmapped</t>
        </is>
      </c>
      <c r="C146" s="455" t="str">
        <f>IF(Squads!$R$309="Vacant","Vacant",Squads!$B$309)</f>
        <v>Vacant</v>
      </c>
      <c r="D146" s="429" t="str">
        <f>SUBSTITUTE(SUBSTITUTE(Squads!$C$309,"–","-"),"—","-")</f>
        <v>Head of Technology Strategy &amp; AI Capability</v>
      </c>
      <c r="E146" s="429" t="n"/>
    </row>
    <row r="147">
      <c r="B147" s="429" t="inlineStr">
        <is>
          <t>Unmapped</t>
        </is>
      </c>
      <c r="C147" s="455" t="str">
        <f>IF(Squads!$R$306="Vacant","Vacant",Squads!$B$306)</f>
        <v>Vacant</v>
      </c>
      <c r="D147" s="429" t="str">
        <f>SUBSTITUTE(SUBSTITUTE(Squads!$C$306,"–","-"),"—","-")</f>
        <v>Senior Communications Advisor</v>
      </c>
      <c r="E147" s="429" t="n"/>
    </row>
    <row r="148">
      <c r="B148" s="429" t="inlineStr">
        <is>
          <t>Z Retail</t>
        </is>
      </c>
      <c r="C148" s="429" t="str">
        <f>IF(Squads!$R$57="Vacant","Vacant",Squads!$B$57)</f>
        <v>Callan McLaughlin</v>
      </c>
      <c r="D148" s="429" t="str">
        <f>SUBSTITUTE(SUBSTITUTE(Squads!$C$57,"–","-"),"—","-")</f>
        <v>Technology Manager, Site Systems</v>
      </c>
      <c r="E148" s="429" t="inlineStr">
        <is>
          <t>Z Customer &amp; Z Supply</t>
        </is>
      </c>
    </row>
    <row r="149">
      <c r="B149" s="429" t="inlineStr">
        <is>
          <t>Z Retail</t>
        </is>
      </c>
      <c r="C149" s="429" t="str">
        <f>IF(Squads!$R$35="Vacant","Vacant",Squads!$B$35)</f>
        <v>Emma Natoli</v>
      </c>
      <c r="D149" s="429" t="str">
        <f>SUBSTITUTE(SUBSTITUTE(Squads!$C$35,"–","-"),"—","-")</f>
        <v>Technology Manager, Engineering</v>
      </c>
      <c r="E149" s="429" t="inlineStr">
        <is>
          <t>Z Customer &amp; Z Supply</t>
        </is>
      </c>
    </row>
    <row r="150">
      <c r="B150" s="429" t="inlineStr">
        <is>
          <t>Z Retail</t>
        </is>
      </c>
      <c r="C150" s="455" t="str">
        <f>IF(Squads!$R$32="Vacant","Vacant",Squads!$B$32)</f>
        <v>Vacant</v>
      </c>
      <c r="D150" s="429" t="str">
        <f>SUBSTITUTE(SUBSTITUTE(Squads!$C$32,"–","-"),"—","-")</f>
        <v>Delivery Manager</v>
      </c>
      <c r="E150" s="429" t="inlineStr">
        <is>
          <t>Z Customer &amp; Z Supply</t>
        </is>
      </c>
    </row>
    <row r="151">
      <c r="B151" s="429" t="inlineStr">
        <is>
          <t>Z Retail</t>
        </is>
      </c>
      <c r="C151" s="455" t="str">
        <f>IF(Squads!$R$98="Vacant","Vacant",Squads!$B$98)</f>
        <v>Vacant</v>
      </c>
      <c r="D151" s="429" t="str">
        <f>SUBSTITUTE(SUBSTITUTE(Squads!$C$98,"–","-"),"—","-")</f>
        <v>Head of Technology, Z and Group Retail Platforms</v>
      </c>
      <c r="E151" s="429" t="inlineStr">
        <is>
          <t>Z Customer &amp; Z Supply</t>
        </is>
      </c>
    </row>
    <row r="152">
      <c r="B152" s="431" t="inlineStr">
        <is>
          <t>Total leadership roles</t>
        </is>
      </c>
      <c r="C152" s="447">
        <f>COUNTIF(Squads!$Q:$Q,"Leadership")</f>
        <v>47.0</v>
      </c>
      <c r="D152" s="431" t="str">
        <f>COUNTIFS(Squads!$Q:$Q,"Leadership",Squads!$R:$R,"Filled")&amp;" filled / "&amp;COUNTIFS(Squads!$Q:$Q,"Leadership",Squads!$R:$R,"Vacant")&amp;" vacant"</f>
        <v>31 filled / 16 vacant</v>
      </c>
    </row>
    <row r="153"/>
    <row r="154">
      <c r="B154" s="443" t="inlineStr">
        <is>
          <t>In op model / org data but NOT in the archetype model</t>
        </is>
      </c>
      <c r="C154" s="444" t="n"/>
      <c r="D154" s="444" t="n"/>
      <c r="E154" s="444" t="n"/>
      <c r="F154" s="444" t="n"/>
      <c r="G154" s="444" t="n"/>
      <c r="H154" s="444" t="n"/>
      <c r="I154" s="444" t="n"/>
      <c r="J154" s="444" t="n"/>
      <c r="K154" s="444" t="n"/>
      <c r="L154" s="444" t="n"/>
      <c r="M154" s="444" t="n"/>
      <c r="N154" s="444" t="n"/>
      <c r="O154" s="444" t="n"/>
    </row>
    <row r="155">
      <c r="B155" s="438" t="inlineStr">
        <is>
          <t>Portfolio</t>
        </is>
      </c>
      <c r="C155" s="438" t="inlineStr">
        <is>
          <t>Group</t>
        </is>
      </c>
      <c r="I155" s="438" t="inlineStr">
        <is>
          <t>Filled</t>
        </is>
      </c>
      <c r="J155" s="438" t="inlineStr">
        <is>
          <t>Vacant</t>
        </is>
      </c>
      <c r="K155" s="438" t="inlineStr">
        <is>
          <t>Roles</t>
        </is>
      </c>
    </row>
    <row r="156">
      <c r="B156" s="456" t="inlineStr">
        <is>
          <t>Customer</t>
        </is>
      </c>
      <c r="C156" s="456" t="inlineStr">
        <is>
          <t>Customer AI</t>
        </is>
      </c>
      <c r="I156" s="457">
        <f>COUNTIFS(Squads!$N:$N,"Customer",Squads!$P:$P,"Customer AI",Squads!$R:$R,"Filled")</f>
        <v>0.0</v>
      </c>
      <c r="J156" s="457">
        <f>COUNTIFS(Squads!$N:$N,"Customer",Squads!$P:$P,"Customer AI",Squads!$R:$R,"Vacant")</f>
        <v>2.0</v>
      </c>
      <c r="K156" s="457">
        <f>I156+J156</f>
        <v>2.0</v>
      </c>
    </row>
    <row r="157">
      <c r="B157" s="456" t="inlineStr">
        <is>
          <t>Z Retail</t>
        </is>
      </c>
      <c r="C157" s="456" t="inlineStr">
        <is>
          <t>Data NZ</t>
        </is>
      </c>
      <c r="I157" s="457">
        <f>COUNTIFS(Squads!$N:$N,"Z Retail",Squads!$P:$P,"Data NZ",Squads!$R:$R,"Filled")</f>
        <v>5.0</v>
      </c>
      <c r="J157" s="457">
        <f>COUNTIFS(Squads!$N:$N,"Z Retail",Squads!$P:$P,"Data NZ",Squads!$R:$R,"Vacant")</f>
        <v>1.0</v>
      </c>
      <c r="K157" s="457">
        <f>I157+J157</f>
        <v>6.0</v>
      </c>
    </row>
    <row r="158">
      <c r="B158" s="456" t="inlineStr">
        <is>
          <t>EGI</t>
        </is>
      </c>
      <c r="C158" s="456" t="inlineStr">
        <is>
          <t>EGI (unassigned)</t>
        </is>
      </c>
      <c r="I158" s="457">
        <f>COUNTIFS(Squads!$N:$N,"EGI",Squads!$P:$P,"EGI (unassigned)",Squads!$R:$R,"Filled")</f>
        <v>5.0</v>
      </c>
      <c r="J158" s="457">
        <f>COUNTIFS(Squads!$N:$N,"EGI",Squads!$P:$P,"EGI (unassigned)",Squads!$R:$R,"Vacant")</f>
        <v>0.0</v>
      </c>
      <c r="K158" s="457">
        <f>I158+J158</f>
        <v>5.0</v>
      </c>
    </row>
    <row r="159">
      <c r="B159" s="456" t="inlineStr">
        <is>
          <t>Other unmapped</t>
        </is>
      </c>
      <c r="I159" s="457">
        <f>COUNTIFS(Squads!$Q:$Q,"Unmapped",Squads!$R:$R,"Filled")-SUM(I156:I158)</f>
        <v>1.0</v>
      </c>
      <c r="J159" s="457">
        <f>COUNTIFS(Squads!$Q:$Q,"Unmapped",Squads!$R:$R,"Vacant")-SUM(J156:J158)</f>
        <v>3.0</v>
      </c>
      <c r="K159" s="457">
        <f>I159+J159</f>
        <v>4.0</v>
      </c>
    </row>
    <row r="160"/>
    <row r="161">
      <c r="B161" s="429" t="inlineStr">
        <is>
          <t>COE roles (detail on 2.1 / 2.2 / 2.3)</t>
        </is>
      </c>
      <c r="I161" s="439">
        <f>COUNTIFS(Squads!$Q:$Q,"COE",Squads!$R:$R,"Filled")</f>
        <v>30.0</v>
      </c>
      <c r="J161" s="439">
        <f>COUNTIFS(Squads!$Q:$Q,"COE",Squads!$R:$R,"Vacant")</f>
        <v>20.0</v>
      </c>
      <c r="K161" s="439">
        <f>I161+J161</f>
        <v>50.0</v>
      </c>
    </row>
    <row r="162">
      <c r="B162" s="448" t="inlineStr">
        <is>
          <t>Cross-check: org records</t>
        </is>
      </c>
      <c r="C162" s="458">
        <f>C4</f>
        <v>536.0</v>
      </c>
    </row>
    <row r="163">
      <c r="B163" s="448" t="inlineStr">
        <is>
          <t>Accounted for above</t>
        </is>
      </c>
      <c r="C163" s="501">
        <f>J95+COUNTIF(Squads!$Q:$Q,"Leadership")+SUM(K156:K159)+K161</f>
        <v>536.0</v>
      </c>
    </row>
    <row r="164">
      <c r="B164" s="431" t="inlineStr">
        <is>
          <t>Difference (must be 0)</t>
        </is>
      </c>
      <c r="C164" s="447">
        <f>C162-C163</f>
        <v>0.0</v>
      </c>
    </row>
    <row r="165"/>
    <row r="166"/>
    <row r="167">
      <c r="B167" s="666" t="inlineStr">
        <is>
          <t>EGI strategic delivery roster (Sheet2) - funded from Significant Items, outside the archetype model</t>
        </is>
      </c>
    </row>
    <row r="168">
      <c r="B168" s="696" t="inlineStr">
        <is>
          <t>Name</t>
        </is>
      </c>
      <c r="C168" s="696" t="inlineStr">
        <is>
          <t>Role</t>
        </is>
      </c>
      <c r="D168" s="696" t="inlineStr">
        <is>
          <t>Engagement</t>
        </is>
      </c>
      <c r="E168" s="696" t="inlineStr">
        <is>
          <t>Country</t>
        </is>
      </c>
      <c r="F168" s="696" t="inlineStr">
        <is>
          <t>Cost ($m)</t>
        </is>
      </c>
    </row>
    <row r="169">
      <c r="B169" s="686" t="str">
        <f>Sheet2!$B$54</f>
        <v>Ahmed Yehya</v>
      </c>
      <c r="C169" s="686" t="str">
        <f>SUBSTITUTE(SUBSTITUTE(Sheet2!$C$54,"–","-"),"—","-")</f>
        <v>TDD Strategic Delivery</v>
      </c>
      <c r="D169" s="673" t="str">
        <f>IF(LOWER(Sheet2!$Q$54)="v","Vacant",IF(LOWER(Sheet2!$Q$54)="pause","Paused",IF(LOWER(Sheet2!$Q$54)="cxc","Contractor","Filled")))</f>
        <v>Contractor</v>
      </c>
      <c r="E169" s="686" t="str">
        <f>Sheet2!$M$54</f>
        <v>Australia</v>
      </c>
      <c r="F169" s="669">
        <f>Sheet2!$AA$54/1000000</f>
        <v>0.2775</v>
      </c>
    </row>
    <row r="170">
      <c r="B170" s="686" t="str">
        <f>Sheet2!$B$55</f>
        <v>Anthony Huynh</v>
      </c>
      <c r="C170" s="686" t="str">
        <f>SUBSTITUTE(SUBSTITUTE(Sheet2!$C$55,"–","-"),"—","-")</f>
        <v>Strategic Delivery Consultant</v>
      </c>
      <c r="D170" s="673" t="str">
        <f>IF(LOWER(Sheet2!$Q$55)="v","Vacant",IF(LOWER(Sheet2!$Q$55)="pause","Paused",IF(LOWER(Sheet2!$Q$55)="cxc","Contractor","Filled")))</f>
        <v>Contractor</v>
      </c>
      <c r="E170" s="686" t="str">
        <f>Sheet2!$M$55</f>
        <v>australia</v>
      </c>
      <c r="F170" s="669">
        <f>Sheet2!$AA$55/1000000</f>
        <v>0.301254</v>
      </c>
    </row>
    <row r="171">
      <c r="B171" s="686" t="str">
        <f>Sheet2!$B$56</f>
        <v>Areum Kim Lee</v>
      </c>
      <c r="C171" s="686" t="str">
        <f>SUBSTITUTE(SUBSTITUTE(Sheet2!$C$56,"–","-"),"—","-")</f>
        <v>Program Manager (PEP13-EGI-UKG)</v>
      </c>
      <c r="D171" s="673" t="str">
        <f>IF(LOWER(Sheet2!$Q$56)="v","Vacant",IF(LOWER(Sheet2!$Q$56)="pause","Paused",IF(LOWER(Sheet2!$Q$56)="cxc","Contractor","Filled")))</f>
        <v>Contractor</v>
      </c>
      <c r="E171" s="686" t="str">
        <f>Sheet2!$M$56</f>
        <v>Australia</v>
      </c>
      <c r="F171" s="669">
        <f>Sheet2!$AA$56/1000000</f>
        <v>0.34315872</v>
      </c>
    </row>
    <row r="172">
      <c r="B172" s="686" t="str">
        <f>Sheet2!$B$57</f>
        <v>Ernesto Pereira</v>
      </c>
      <c r="C172" s="686" t="str">
        <f>SUBSTITUTE(SUBSTITUTE(Sheet2!$C$57,"–","-"),"—","-")</f>
        <v>Project Manger</v>
      </c>
      <c r="D172" s="673" t="str">
        <f>IF(LOWER(Sheet2!$Q$57)="v","Vacant",IF(LOWER(Sheet2!$Q$57)="pause","Paused",IF(LOWER(Sheet2!$Q$57)="cxc","Contractor","Filled")))</f>
        <v>Contractor</v>
      </c>
      <c r="E172" s="686" t="str">
        <f>Sheet2!$M$57</f>
        <v>Australia</v>
      </c>
      <c r="F172" s="669">
        <f>Sheet2!$AA$57/1000000</f>
        <v>0.222</v>
      </c>
    </row>
    <row r="173">
      <c r="B173" s="686" t="str">
        <f>Sheet2!$B$58</f>
        <v>Harish Dasari</v>
      </c>
      <c r="C173" s="686" t="str">
        <f>SUBSTITUTE(SUBSTITUTE(Sheet2!$C$58,"–","-"),"—","-")</f>
        <v>Business Analyst (SAP Payroll)</v>
      </c>
      <c r="D173" s="673" t="str">
        <f>IF(LOWER(Sheet2!$Q$58)="v","Vacant",IF(LOWER(Sheet2!$Q$58)="pause","Paused",IF(LOWER(Sheet2!$Q$58)="cxc","Contractor","Filled")))</f>
        <v>Contractor</v>
      </c>
      <c r="E173" s="686" t="str">
        <f>Sheet2!$M$58</f>
        <v>Australia</v>
      </c>
      <c r="F173" s="669">
        <f>Sheet2!$AA$58/1000000</f>
        <v>0.2442</v>
      </c>
    </row>
    <row r="174">
      <c r="B174" s="686" t="str">
        <f>Sheet2!$B$59</f>
        <v>James Munt</v>
      </c>
      <c r="C174" s="686" t="str">
        <f>SUBSTITUTE(SUBSTITUTE(Sheet2!$C$59,"–","-"),"—","-")</f>
        <v>Program Manager Tech &amp; P&amp;C</v>
      </c>
      <c r="D174" s="673" t="str">
        <f>IF(LOWER(Sheet2!$Q$59)="v","Vacant",IF(LOWER(Sheet2!$Q$59)="pause","Paused",IF(LOWER(Sheet2!$Q$59)="cxc","Contractor","Filled")))</f>
        <v>Contractor</v>
      </c>
      <c r="E174" s="686" t="str">
        <f>Sheet2!$M$59</f>
        <v>Australia</v>
      </c>
      <c r="F174" s="669">
        <f>Sheet2!$AA$59/1000000</f>
        <v>0.2664</v>
      </c>
    </row>
    <row r="175">
      <c r="B175" s="686" t="str">
        <f>Sheet2!$B$60</f>
        <v>Jason McNamara</v>
      </c>
      <c r="C175" s="686" t="str">
        <f>SUBSTITUTE(SUBSTITUTE(Sheet2!$C$60,"–","-"),"—","-")</f>
        <v>Project Manager Retail</v>
      </c>
      <c r="D175" s="673" t="str">
        <f>IF(LOWER(Sheet2!$Q$60)="v","Vacant",IF(LOWER(Sheet2!$Q$60)="pause","Paused",IF(LOWER(Sheet2!$Q$60)="cxc","Contractor","Filled")))</f>
        <v>Contractor</v>
      </c>
      <c r="E175" s="686" t="str">
        <f>Sheet2!$M$60</f>
        <v>Australia</v>
      </c>
      <c r="F175" s="669">
        <f>Sheet2!$AA$60/1000000</f>
        <v>0.4884</v>
      </c>
    </row>
    <row r="176">
      <c r="B176" s="686" t="str">
        <f>Sheet2!$B$61</f>
        <v>Jason Sipkovic</v>
      </c>
      <c r="C176" s="686" t="str">
        <f>SUBSTITUTE(SUBSTITUTE(Sheet2!$C$61,"–","-"),"—","-")</f>
        <v>strategic program architect</v>
      </c>
      <c r="D176" s="673" t="str">
        <f>IF(LOWER(Sheet2!$Q$61)="v","Vacant",IF(LOWER(Sheet2!$Q$61)="pause","Paused",IF(LOWER(Sheet2!$Q$61)="cxc","Contractor","Filled")))</f>
        <v>Contractor</v>
      </c>
      <c r="E176" s="686" t="str">
        <f>Sheet2!$M$61</f>
        <v>Australia</v>
      </c>
      <c r="F176" s="669">
        <f>Sheet2!$AA$61/1000000</f>
        <v>0.333</v>
      </c>
    </row>
    <row r="177">
      <c r="B177" s="686" t="str">
        <f>Sheet2!$B$62</f>
        <v>Kanika Narula</v>
      </c>
      <c r="C177" s="686" t="str">
        <f>SUBSTITUTE(SUBSTITUTE(Sheet2!$C$62,"–","-"),"—","-")</f>
        <v>Business Analyst Digital</v>
      </c>
      <c r="D177" s="673" t="str">
        <f>IF(LOWER(Sheet2!$Q$62)="v","Vacant",IF(LOWER(Sheet2!$Q$62)="pause","Paused",IF(LOWER(Sheet2!$Q$62)="cxc","Contractor","Filled")))</f>
        <v>Contractor</v>
      </c>
      <c r="E177" s="686" t="str">
        <f>Sheet2!$M$62</f>
        <v>Australia</v>
      </c>
      <c r="F177" s="669">
        <f>Sheet2!$AA$62/1000000</f>
        <v>0.23950248</v>
      </c>
    </row>
    <row r="178">
      <c r="B178" s="686" t="str">
        <f>Sheet2!$B$63</f>
        <v>Karl Reyneke</v>
      </c>
      <c r="C178" s="686" t="str">
        <f>SUBSTITUTE(SUBSTITUTE(Sheet2!$C$63,"–","-"),"—","-")</f>
        <v>Strategic Delivery Consultant</v>
      </c>
      <c r="D178" s="673" t="str">
        <f>IF(LOWER(Sheet2!$Q$63)="v","Vacant",IF(LOWER(Sheet2!$Q$63)="pause","Paused",IF(LOWER(Sheet2!$Q$63)="cxc","Contractor","Filled")))</f>
        <v>Contractor</v>
      </c>
      <c r="E178" s="686" t="str">
        <f>Sheet2!$M$63</f>
        <v>australia</v>
      </c>
      <c r="F178" s="669">
        <f>Sheet2!$AA$63/1000000</f>
        <v>0.2997</v>
      </c>
    </row>
    <row r="179">
      <c r="B179" s="686" t="str">
        <f>Sheet2!$B$64</f>
        <v>michelle Siegman</v>
      </c>
      <c r="C179" s="686" t="str">
        <f>SUBSTITUTE(SUBSTITUTE(Sheet2!$C$64,"–","-"),"—","-")</f>
        <v>Strategic Delivery Consultant</v>
      </c>
      <c r="D179" s="673" t="str">
        <f>IF(LOWER(Sheet2!$Q$64)="v","Vacant",IF(LOWER(Sheet2!$Q$64)="pause","Paused",IF(LOWER(Sheet2!$Q$64)="cxc","Contractor","Filled")))</f>
        <v>Contractor</v>
      </c>
      <c r="E179" s="686" t="str">
        <f>Sheet2!$M$64</f>
        <v>Australia</v>
      </c>
      <c r="F179" s="669">
        <f>Sheet2!$AA$64/1000000</f>
        <v>0.230436</v>
      </c>
    </row>
    <row r="180">
      <c r="B180" s="686" t="str">
        <f>Sheet2!$B$65</f>
        <v>Moitri Pal</v>
      </c>
      <c r="C180" s="686" t="str">
        <f>SUBSTITUTE(SUBSTITUTE(Sheet2!$C$65,"–","-"),"—","-")</f>
        <v>Portfolio Mnager</v>
      </c>
      <c r="D180" s="673" t="str">
        <f>IF(LOWER(Sheet2!$Q$65)="v","Vacant",IF(LOWER(Sheet2!$Q$65)="pause","Paused",IF(LOWER(Sheet2!$Q$65)="cxc","Contractor","Filled")))</f>
        <v>Filled</v>
      </c>
      <c r="E180" s="686" t="str">
        <f>Sheet2!$M$65</f>
        <v>Australia</v>
      </c>
      <c r="F180" s="669">
        <f>Sheet2!$AA$65/1000000</f>
        <v>0.32546415</v>
      </c>
    </row>
    <row r="181">
      <c r="B181" s="686" t="str">
        <f>Sheet2!$B$66</f>
        <v>Niall Greene</v>
      </c>
      <c r="C181" s="686" t="str">
        <f>SUBSTITUTE(SUBSTITUTE(Sheet2!$C$66,"–","-"),"—","-")</f>
        <v>Project Manager (PEP13-EGI-UKG)</v>
      </c>
      <c r="D181" s="673" t="str">
        <f>IF(LOWER(Sheet2!$Q$66)="v","Vacant",IF(LOWER(Sheet2!$Q$66)="pause","Paused",IF(LOWER(Sheet2!$Q$66)="cxc","Contractor","Filled")))</f>
        <v>Contractor</v>
      </c>
      <c r="E181" s="686" t="str">
        <f>Sheet2!$M$66</f>
        <v>Australia</v>
      </c>
      <c r="F181" s="669">
        <f>Sheet2!$AA$66/1000000</f>
        <v>0.2442</v>
      </c>
    </row>
    <row r="182">
      <c r="B182" s="686" t="str">
        <f>Sheet2!$B$67</f>
        <v>Paul Hassey</v>
      </c>
      <c r="C182" s="686" t="str">
        <f>SUBSTITUTE(SUBSTITUTE(Sheet2!$C$67,"–","-"),"—","-")</f>
        <v>Program Architect</v>
      </c>
      <c r="D182" s="673" t="str">
        <f>IF(LOWER(Sheet2!$Q$67)="v","Vacant",IF(LOWER(Sheet2!$Q$67)="pause","Paused",IF(LOWER(Sheet2!$Q$67)="cxc","Contractor","Filled")))</f>
        <v>Contractor</v>
      </c>
      <c r="E182" s="686" t="str">
        <f>Sheet2!$M$67</f>
        <v>Australia</v>
      </c>
      <c r="F182" s="669">
        <f>Sheet2!$AA$67/1000000</f>
        <v>0.3108</v>
      </c>
    </row>
    <row r="183">
      <c r="B183" s="686" t="str">
        <f>Sheet2!$B$68</f>
        <v>vijay Solanki</v>
      </c>
      <c r="C183" s="686" t="str">
        <f>SUBSTITUTE(SUBSTITUTE(Sheet2!$C$68,"–","-"),"—","-")</f>
        <v>Project Manager Deployment</v>
      </c>
      <c r="D183" s="673" t="str">
        <f>IF(LOWER(Sheet2!$Q$68)="v","Vacant",IF(LOWER(Sheet2!$Q$68)="pause","Paused",IF(LOWER(Sheet2!$Q$68)="cxc","Contractor","Filled")))</f>
        <v>Contractor</v>
      </c>
      <c r="E183" s="686" t="str">
        <f>Sheet2!$M$68</f>
        <v>Australia</v>
      </c>
      <c r="F183" s="669">
        <f>Sheet2!$AA$68/1000000</f>
        <v>0.2664</v>
      </c>
    </row>
    <row r="184">
      <c r="B184" s="686" t="str">
        <f>Sheet2!$B$69</f>
        <v>Winnie Fernandes</v>
      </c>
      <c r="C184" s="686" t="str">
        <f>SUBSTITUTE(SUBSTITUTE(Sheet2!$C$69,"–","-"),"—","-")</f>
        <v>Delivery Lead - Integration</v>
      </c>
      <c r="D184" s="673" t="str">
        <f>IF(LOWER(Sheet2!$Q$69)="v","Vacant",IF(LOWER(Sheet2!$Q$69)="pause","Paused",IF(LOWER(Sheet2!$Q$69)="cxc","Contractor","Filled")))</f>
        <v>Contractor</v>
      </c>
      <c r="E184" s="686" t="str">
        <f>Sheet2!$M$69</f>
        <v>Australia</v>
      </c>
      <c r="F184" s="669">
        <f>Sheet2!$AA$69/1000000</f>
        <v>0.273504</v>
      </c>
    </row>
    <row r="185">
      <c r="B185" s="683" t="inlineStr">
        <is>
          <t>Total EGI strategic delivery</t>
        </is>
      </c>
      <c r="C185" s="684">
        <f>COUNTA(B169:B184)</f>
        <v>16.0</v>
      </c>
      <c r="F185" s="685">
        <f>SUM(F169:F184)</f>
        <v>4.665919350000001</v>
      </c>
    </row>
  </sheetData>
  <conditionalFormatting sqref="C164">
    <cfRule type="cellIs" priority="6" operator="greaterThan" dxfId="1">
      <formula>0</formula>
    </cfRule>
    <cfRule type="cellIs" priority="7" operator="lessThanOrEqual" dxfId="0">
      <formula>0</formula>
    </cfRule>
  </conditionalFormatting>
  <conditionalFormatting sqref="K7:K95">
    <cfRule type="expression" priority="1" dxfId="1">
      <formula>AND(ISNUMBER(K7),K7&gt;0)</formula>
    </cfRule>
    <cfRule type="expression" priority="2" dxfId="0">
      <formula>AND(ISNUMBER(K7),K7&lt;=0)</formula>
    </cfRule>
  </conditionalFormatting>
  <conditionalFormatting sqref="L7:L95">
    <cfRule type="expression" priority="5" dxfId="1">
      <formula>AND(ISNUMBER(L7),L7&gt;=0.5)</formula>
    </cfRule>
  </conditionalFormatting>
  <conditionalFormatting sqref="O7:O95">
    <cfRule type="expression" priority="3" dxfId="1">
      <formula>AND(ISNUMBER(O7),O7&gt;0)</formula>
    </cfRule>
    <cfRule type="expression" priority="4" dxfId="0">
      <formula>AND(ISNUMBER(O7),O7&lt;=0)</formula>
    </cfRule>
  </conditionalFormatting>
  <pageMargins left="0.75" right="0.75" top="1" bottom="1" header="0.5" footer="0.5"/>
</worksheet>
</file>

<file path=xl/worksheets/sheet28.xml><?xml version="1.0" encoding="utf-8"?>
<worksheet xmlns="http://schemas.openxmlformats.org/spreadsheetml/2006/main">
  <sheetPr>
    <tabColor rgb="00BF8F00"/>
    <outlinePr summaryBelow="1" summaryRight="1"/>
    <pageSetUpPr/>
  </sheetPr>
  <dimension ref="B2:B2"/>
  <sheetViews>
    <sheetView showGridLines="0" workbookViewId="0">
      <selection activeCell="A1" sqref="A1"/>
    </sheetView>
  </sheetViews>
  <sheetFormatPr baseColWidth="8" defaultRowHeight="15"/>
  <cols>
    <col width="2" customWidth="1" style="506" min="1" max="1"/>
    <col width="60" customWidth="1" style="506" min="2" max="2"/>
  </cols>
  <sheetData>
    <row r="2">
      <c r="B2" s="747" t="inlineStr">
        <is>
          <t>DECISIONS  &gt;&gt;&gt;</t>
        </is>
      </c>
    </row>
  </sheetData>
  <pageMargins left="0.75" right="0.75" top="1" bottom="1" header="0.5" footer="0.5"/>
</worksheet>
</file>

<file path=xl/worksheets/sheet29.xml><?xml version="1.0" encoding="utf-8"?>
<worksheet xmlns="http://schemas.openxmlformats.org/spreadsheetml/2006/main">
  <sheetPr>
    <tabColor rgb="00BF8F00"/>
    <outlinePr summaryBelow="1" summaryRight="1"/>
    <pageSetUpPr/>
  </sheetPr>
  <dimension ref="A1:J106"/>
  <sheetViews>
    <sheetView showGridLines="0" zoomScale="60" zoomScaleNormal="60" workbookViewId="0">
      <selection activeCell="X21" sqref="X21"/>
    </sheetView>
  </sheetViews>
  <sheetFormatPr baseColWidth="8" defaultRowHeight="14.5" outlineLevelCol="0"/>
  <cols>
    <col width="3" customWidth="1" style="506" min="1" max="1"/>
    <col width="44" customWidth="1" style="506" min="2" max="2"/>
    <col width="46" customWidth="1" style="506" min="3" max="3"/>
    <col width="13" bestFit="1" customWidth="1" style="506" min="4" max="4"/>
    <col width="13" customWidth="1" style="506" min="5" max="5"/>
    <col width="14" customWidth="1" style="506" min="6" max="6"/>
    <col width="15" customWidth="1" style="506" min="7" max="7"/>
    <col width="17" customWidth="1" style="506" min="8" max="8"/>
    <col width="15" customWidth="1" style="506" min="9" max="9"/>
    <col width="30" customWidth="1" style="506" min="10" max="10"/>
  </cols>
  <sheetData>
    <row r="1"/>
    <row r="2" ht="21" customHeight="1" s="506">
      <c r="B2" s="437" t="str">
        <f>CONCATENATE('1.1 Ampol Retail'!$B$2," GM working copy")</f>
        <v>Ampol Retail GM working copy</v>
      </c>
    </row>
    <row r="3"/>
    <row r="4">
      <c r="B4" s="443" t="inlineStr">
        <is>
          <t>Position by squad</t>
        </is>
      </c>
      <c r="C4" s="444" t="n"/>
      <c r="D4" s="444" t="n"/>
      <c r="E4" s="444" t="n"/>
      <c r="F4" s="444" t="n"/>
      <c r="G4" s="444" t="n"/>
      <c r="H4" s="444" t="n"/>
      <c r="I4" s="444" t="n"/>
      <c r="J4" s="444" t="n"/>
    </row>
    <row r="5">
      <c r="B5" s="438" t="inlineStr">
        <is>
          <t>Squad</t>
        </is>
      </c>
      <c r="C5" s="667" t="inlineStr">
        <is>
          <t>Archetype type and size</t>
        </is>
      </c>
      <c r="D5" s="438" t="inlineStr">
        <is>
          <t>Archetype roles</t>
        </is>
      </c>
      <c r="E5" s="438" t="inlineStr">
        <is>
          <t>Filled</t>
        </is>
      </c>
      <c r="F5" s="438" t="inlineStr">
        <is>
          <t>Vacant</t>
        </is>
      </c>
      <c r="G5" s="438" t="inlineStr">
        <is>
          <t>Planning to hire</t>
        </is>
      </c>
      <c r="H5" s="577" t="inlineStr">
        <is>
          <t>Vacancies after calls</t>
        </is>
      </c>
      <c r="I5" s="438" t="inlineStr">
        <is>
          <t>vs archetype</t>
        </is>
      </c>
      <c r="J5" s="438" t="inlineStr">
        <is>
          <t>Flag</t>
        </is>
      </c>
    </row>
    <row r="6">
      <c r="B6" s="429" t="inlineStr">
        <is>
          <t>POS</t>
        </is>
      </c>
      <c r="C6" s="692" t="str">
        <f>IF(OR('2.7 Squad Detail'!$F$7=0,'2.7 Squad Detail'!$F$7=""),'2.7 Squad Detail'!$E$7,'2.7 Squad Detail'!$E$7&amp;" - "&amp;'2.7 Squad Detail'!$F$7)</f>
        <v>Configuration / Integration - M</v>
      </c>
      <c r="D6" s="697">
        <f>'2.7 Squad Detail'!$G$7</f>
        <v>9.0</v>
      </c>
      <c r="E6" s="439">
        <f>COUNTIFS(Squads!$N:$N,"Ampol Retail",Squads!$P:$P,"POS",Squads!$R:$R,"Filled")</f>
        <v>0.0</v>
      </c>
      <c r="F6" s="439">
        <f>COUNTIFS(Squads!$N:$N,"Ampol Retail",Squads!$P:$P,"POS",Squads!$R:$R,"Vacant")</f>
        <v>7.0</v>
      </c>
      <c r="G6" s="439">
        <f>COUNTIF(E24:E30,"Hire")</f>
        <v>1.0</v>
      </c>
      <c r="H6" s="458">
        <f>F6-G6</f>
        <v>6.0</v>
      </c>
      <c r="I6" s="697">
        <f>IFERROR(E6+G6-D6,"-")</f>
        <v>-8.0</v>
      </c>
      <c r="J6" s="429" t="str">
        <f>IF(ISNUMBER(D6),IF(E6&gt;D6,"Filled already over archetype",IF(E6+G6&gt;D6,"Over archetype after hire calls","")),"Outside the archetype model - no target set")</f>
        <v/>
      </c>
    </row>
    <row r="7">
      <c r="B7" s="429" t="inlineStr">
        <is>
          <t>Payments</t>
        </is>
      </c>
      <c r="C7" s="692" t="str">
        <f>IF(OR('2.7 Squad Detail'!$F$8=0,'2.7 Squad Detail'!$F$8=""),'2.7 Squad Detail'!$E$8,'2.7 Squad Detail'!$E$8&amp;" - "&amp;'2.7 Squad Detail'!$F$8)</f>
        <v>Configuration / Integration - S</v>
      </c>
      <c r="D7" s="697">
        <f>'2.7 Squad Detail'!$G$8</f>
        <v>6.0</v>
      </c>
      <c r="E7" s="439">
        <f>COUNTIFS(Squads!$N:$N,"Ampol Retail",Squads!$P:$P,"Payments",Squads!$R:$R,"Filled")</f>
        <v>3.0</v>
      </c>
      <c r="F7" s="439">
        <f>COUNTIFS(Squads!$N:$N,"Ampol Retail",Squads!$P:$P,"Payments",Squads!$R:$R,"Vacant")</f>
        <v>1.0</v>
      </c>
      <c r="G7" s="439">
        <f>COUNTIF(E32:E32,"Hire")</f>
        <v>0.0</v>
      </c>
      <c r="H7" s="458">
        <f>F7-G7</f>
        <v>1.0</v>
      </c>
      <c r="I7" s="697">
        <f>IFERROR(E7+G7-D7,"-")</f>
        <v>-3.0</v>
      </c>
      <c r="J7" s="429" t="str">
        <f>IF(ISNUMBER(D7),IF(E7&gt;D7,"Filled already over archetype",IF(E7+G7&gt;D7,"Over archetype after hire calls","")),"Outside the archetype model - no target set")</f>
        <v/>
      </c>
    </row>
    <row r="8">
      <c r="B8" s="429" t="inlineStr">
        <is>
          <t>Store Operations</t>
        </is>
      </c>
      <c r="C8" s="692" t="str">
        <f>IF(OR('2.7 Squad Detail'!$F$9=0,'2.7 Squad Detail'!$F$9=""),'2.7 Squad Detail'!$E$9,'2.7 Squad Detail'!$E$9&amp;" - "&amp;'2.7 Squad Detail'!$F$9)</f>
        <v>Operations - M</v>
      </c>
      <c r="D8" s="697">
        <f>'2.7 Squad Detail'!$G$9</f>
        <v>6.0</v>
      </c>
      <c r="E8" s="439">
        <f>COUNTIFS(Squads!$N:$N,"Ampol Retail",Squads!$P:$P,"Store Operations",Squads!$R:$R,"Filled")</f>
        <v>7.0</v>
      </c>
      <c r="F8" s="439">
        <f>COUNTIFS(Squads!$N:$N,"Ampol Retail",Squads!$P:$P,"Store Operations",Squads!$R:$R,"Vacant")</f>
        <v>1.0</v>
      </c>
      <c r="G8" s="439">
        <f>COUNTIF(E43:E43,"Hire")</f>
        <v>0.0</v>
      </c>
      <c r="H8" s="458">
        <f>F8-G8</f>
        <v>1.0</v>
      </c>
      <c r="I8" s="697">
        <f>IFERROR(E8+G8-D8,"-")</f>
        <v>1.0</v>
      </c>
      <c r="J8" s="429" t="str">
        <f>IF(ISNUMBER(D8),IF(E8&gt;D8,"Filled already over archetype",IF(E8+G8&gt;D8,"Over archetype after hire calls","")),"Outside the archetype model - no target set")</f>
        <v>Filled already over archetype</v>
      </c>
    </row>
    <row r="9">
      <c r="B9" s="429" t="inlineStr">
        <is>
          <t>Deployment</t>
        </is>
      </c>
      <c r="C9" s="692" t="str">
        <f>IF(OR('2.7 Squad Detail'!$F$10=0,'2.7 Squad Detail'!$F$10=""),'2.7 Squad Detail'!$E$10,'2.7 Squad Detail'!$E$10&amp;" - "&amp;'2.7 Squad Detail'!$F$10)</f>
        <v>Configuration / Integration - M</v>
      </c>
      <c r="D9" s="697">
        <f>'2.7 Squad Detail'!$G$10</f>
        <v>9.0</v>
      </c>
      <c r="E9" s="439">
        <f>COUNTIFS(Squads!$N:$N,"Ampol Retail",Squads!$P:$P,"Deployment",Squads!$R:$R,"Filled")</f>
        <v>5.0</v>
      </c>
      <c r="F9" s="439">
        <f>COUNTIFS(Squads!$N:$N,"Ampol Retail",Squads!$P:$P,"Deployment",Squads!$R:$R,"Vacant")</f>
        <v>0.0</v>
      </c>
      <c r="G9" s="748">
        <f>COUNTIF(E46:E50,"Hire")</f>
        <v>0.0</v>
      </c>
      <c r="H9" s="458">
        <f>F9-G9</f>
        <v>0.0</v>
      </c>
      <c r="I9" s="697">
        <f>IFERROR(E9+G9-D9,"-")</f>
        <v>-4.0</v>
      </c>
      <c r="J9" s="429" t="str">
        <f>IF(ISNUMBER(D9),IF(E9&gt;D9,"Filled already over archetype",IF(E9+G9&gt;D9,"Over archetype after hire calls","")),"Outside the archetype model - no target set")</f>
        <v/>
      </c>
    </row>
    <row r="10">
      <c r="B10" s="429" t="inlineStr">
        <is>
          <t>Above Store</t>
        </is>
      </c>
      <c r="C10" s="692" t="str">
        <f>IF(OR('2.7 Squad Detail'!$F$12=0,'2.7 Squad Detail'!$F$12=""),'2.7 Squad Detail'!$E$12,'2.7 Squad Detail'!$E$12&amp;" - "&amp;'2.7 Squad Detail'!$F$12)</f>
        <v>Configuration / Integration - L</v>
      </c>
      <c r="D10" s="697">
        <f>'2.7 Squad Detail'!$G$12</f>
        <v>14.0</v>
      </c>
      <c r="E10" s="439">
        <f>COUNTIFS(Squads!$N:$N,"Ampol Retail",Squads!$P:$P,"Above Store",Squads!$R:$R,"Filled")</f>
        <v>11.0</v>
      </c>
      <c r="F10" s="439">
        <f>COUNTIFS(Squads!$N:$N,"Ampol Retail",Squads!$P:$P,"Above Store",Squads!$R:$R,"Vacant")</f>
        <v>11.0</v>
      </c>
      <c r="G10" s="439">
        <f>COUNTIF(E54:E73,"Hire")</f>
        <v>0.0</v>
      </c>
      <c r="H10" s="458">
        <f>F10-G10</f>
        <v>11.0</v>
      </c>
      <c r="I10" s="697">
        <f>IFERROR(E10+G10-D10,"-")</f>
        <v>-3.0</v>
      </c>
      <c r="J10" s="429" t="str">
        <f>IF(ISNUMBER(D10),IF(E10&gt;D10,"Filled already over archetype",IF(E10+G10&gt;D10,"Over archetype after hire calls","")),"Outside the archetype model - no target set")</f>
        <v/>
      </c>
    </row>
    <row r="11">
      <c r="B11" s="429" t="inlineStr">
        <is>
          <t>AmPOS</t>
        </is>
      </c>
      <c r="C11" s="692" t="str">
        <f>IF(OR('2.7 Squad Detail'!$F$14=0,'2.7 Squad Detail'!$F$14=""),'2.7 Squad Detail'!$E$14,'2.7 Squad Detail'!$E$14&amp;" - "&amp;'2.7 Squad Detail'!$F$14)</f>
        <v>Strategic Programs</v>
      </c>
      <c r="D11" s="697" t="str">
        <f>'2.7 Squad Detail'!$G$14</f>
        <v>-</v>
      </c>
      <c r="E11" s="439">
        <f>COUNTIFS(Squads!$N:$N,"Ampol Retail",Squads!$P:$P,"AmPOS",Squads!$R:$R,"Filled")</f>
        <v>10.0</v>
      </c>
      <c r="F11" s="439">
        <f>COUNTIFS(Squads!$N:$N,"Ampol Retail",Squads!$P:$P,"AmPOS",Squads!$R:$R,"Vacant")</f>
        <v>0.0</v>
      </c>
      <c r="G11" s="748">
        <f>COUNTIF(E75:E84,"Hire")</f>
        <v>0.0</v>
      </c>
      <c r="H11" s="458">
        <f>F11-G11</f>
        <v>0.0</v>
      </c>
      <c r="I11" s="697" t="str">
        <f>IFERROR(E11+G11-D11,"-")</f>
        <v>-</v>
      </c>
      <c r="J11" s="429" t="str">
        <f>IF(ISNUMBER(D11),IF(E11&gt;D11,"Filled already over archetype",IF(E11+G11&gt;D11,"Over archetype after hire calls","")),"Outside the archetype model - no target set")</f>
        <v>Outside the archetype model - no target set</v>
      </c>
    </row>
    <row r="12">
      <c r="B12" s="429" t="inlineStr">
        <is>
          <t>Network / QSR</t>
        </is>
      </c>
      <c r="C12" s="692" t="str">
        <f>IF(OR('2.7 Squad Detail'!$F$16=0,'2.7 Squad Detail'!$F$16=""),'2.7 Squad Detail'!$E$16,'2.7 Squad Detail'!$E$16&amp;" - "&amp;'2.7 Squad Detail'!$F$16)</f>
        <v>Configuration / Integration - M</v>
      </c>
      <c r="D12" s="697">
        <f>'2.7 Squad Detail'!$G$16</f>
        <v>9.0</v>
      </c>
      <c r="E12" s="439">
        <f>COUNTIFS(Squads!$N:$N,"Ampol Retail",Squads!$P:$P,"Network / QSR",Squads!$R:$R,"Filled")</f>
        <v>5.0</v>
      </c>
      <c r="F12" s="439">
        <f>COUNTIFS(Squads!$N:$N,"Ampol Retail",Squads!$P:$P,"Network / QSR",Squads!$R:$R,"Vacant")</f>
        <v>3.0</v>
      </c>
      <c r="G12" s="439">
        <f>COUNTIF(E86:E93,"Hire")</f>
        <v>0.0</v>
      </c>
      <c r="H12" s="458">
        <f>F12-G12</f>
        <v>3.0</v>
      </c>
      <c r="I12" s="697">
        <f>IFERROR(E12+G12-D12,"-")</f>
        <v>-4.0</v>
      </c>
      <c r="J12" s="429" t="str">
        <f>IF(ISNUMBER(D12),IF(E12&gt;D12,"Filled already over archetype",IF(E12+G12&gt;D12,"Over archetype after hire calls","")),"Outside the archetype model - no target set")</f>
        <v/>
      </c>
    </row>
    <row r="13">
      <c r="B13" s="429" t="inlineStr">
        <is>
          <t>Data AU</t>
        </is>
      </c>
      <c r="C13" s="692" t="str">
        <f>IF(OR('2.7 Squad Detail'!$F$18=0,'2.7 Squad Detail'!$F$18=""),'2.7 Squad Detail'!$E$18,'2.7 Squad Detail'!$E$18&amp;" - "&amp;'2.7 Squad Detail'!$F$18)</f>
        <v>Enterprise Data and Insights - M</v>
      </c>
      <c r="D13" s="697">
        <f>'2.7 Squad Detail'!$G$18</f>
        <v>7.5</v>
      </c>
      <c r="E13" s="439">
        <f>COUNTIFS(Squads!$N:$N,"Ampol Retail",Squads!$P:$P,"Data AU",Squads!$R:$R,"Filled")</f>
        <v>0.0</v>
      </c>
      <c r="F13" s="439">
        <f>COUNTIFS(Squads!$N:$N,"Ampol Retail",Squads!$P:$P,"Data AU",Squads!$R:$R,"Vacant")</f>
        <v>5.0</v>
      </c>
      <c r="G13" s="439">
        <f>COUNTIF(E95:E99,"Hire")</f>
        <v>0.0</v>
      </c>
      <c r="H13" s="458">
        <f>F13-G13</f>
        <v>5.0</v>
      </c>
      <c r="I13" s="697">
        <f>IFERROR(E13+G13-D13,"-")</f>
        <v>-7.5</v>
      </c>
      <c r="J13" s="429" t="str">
        <f>IF(ISNUMBER(D13),IF(E13&gt;D13,"Filled already over archetype",IF(E13+G13&gt;D13,"Over archetype after hire calls","")),"Outside the archetype model - no target set")</f>
        <v/>
      </c>
    </row>
    <row r="14">
      <c r="B14" s="429" t="inlineStr">
        <is>
          <t>EGI Retail</t>
        </is>
      </c>
      <c r="C14" s="692" t="str">
        <f>IF(OR('2.7 Squad Detail'!$F$20=0,'2.7 Squad Detail'!$F$20=""),'2.7 Squad Detail'!$E$20,'2.7 Squad Detail'!$E$20&amp;" - "&amp;'2.7 Squad Detail'!$F$20)</f>
        <v>Strategic Programs</v>
      </c>
      <c r="D14" s="697" t="str">
        <f>'2.7 Squad Detail'!$G$20</f>
        <v>-</v>
      </c>
      <c r="E14" s="439">
        <f>COUNTIFS(Squads!$N:$N,"Ampol Retail",Squads!$P:$P,"EGI Retail",Squads!$R:$R,"Filled")</f>
        <v>6.0</v>
      </c>
      <c r="F14" s="439">
        <f>COUNTIFS(Squads!$N:$N,"Ampol Retail",Squads!$P:$P,"EGI Retail",Squads!$R:$R,"Vacant")</f>
        <v>0.0</v>
      </c>
      <c r="G14" s="748">
        <f>COUNTIF(E101:E106,"Hire")</f>
        <v>0.0</v>
      </c>
      <c r="H14" s="458">
        <f>F14-G14</f>
        <v>0.0</v>
      </c>
      <c r="I14" s="697" t="str">
        <f>IFERROR(E14+G14-D14,"-")</f>
        <v>-</v>
      </c>
      <c r="J14" s="429" t="str">
        <f>IF(ISNUMBER(D14),IF(E14&gt;D14,"Filled already over archetype",IF(E14+G14&gt;D14,"Over archetype after hire calls","")),"Outside the archetype model - no target set")</f>
        <v>Outside the archetype model - no target set</v>
      </c>
    </row>
    <row r="15">
      <c r="B15" s="431" t="inlineStr">
        <is>
          <t>Total</t>
        </is>
      </c>
      <c r="D15" s="698">
        <f>SUM(D6:D14)</f>
        <v>60.5</v>
      </c>
      <c r="E15" s="447">
        <f>SUM(E6:E14)</f>
        <v>47.0</v>
      </c>
      <c r="F15" s="447">
        <f>SUM(F6:F14)</f>
        <v>28.0</v>
      </c>
      <c r="G15" s="447">
        <f>SUM(G6:G14)</f>
        <v>1.0</v>
      </c>
      <c r="H15" s="447">
        <f>SUM(H6:H14)</f>
        <v>27.0</v>
      </c>
      <c r="I15" s="698">
        <f>IF(COUNT(I6:I14)=0,"-",SUM(I6:I14))</f>
        <v>-28.5</v>
      </c>
    </row>
    <row r="16">
      <c r="B16" s="492" t="inlineStr">
        <is>
          <t>Cost to hire all vacancies ($m)</t>
        </is>
      </c>
      <c r="C16" s="497">
        <f>SUM(F23:F106)/1000000</f>
        <v>5.39487578423134</v>
      </c>
    </row>
    <row r="17">
      <c r="B17" s="492" t="inlineStr">
        <is>
          <t>Cost of roles marked Hire ($m)</t>
        </is>
      </c>
      <c r="C17" s="497">
        <f>SUMIF(E23:E106,"Hire",F23:F106)/1000000</f>
        <v>0.20285325</v>
      </c>
    </row>
    <row r="18">
      <c r="B18" s="429" t="inlineStr">
        <is>
          <t>Vacant roles are priced at standard title rates - indicative until an offer is made.</t>
        </is>
      </c>
    </row>
    <row r="19">
      <c r="B19" s="429" t="inlineStr">
        <is>
          <t>Leadership roles are funded via the portfolio overheads and sit on 2.7 Squad Detail, not here.</t>
        </is>
      </c>
    </row>
    <row r="20">
      <c r="B20" s="695" t="inlineStr">
        <is>
          <t>vs archetype: positive = over the allowance, negative = under.</t>
        </is>
      </c>
    </row>
    <row r="21">
      <c r="B21" s="749" t="inlineStr">
        <is>
          <t>Roster - Hire or Hold each vacancy</t>
        </is>
      </c>
      <c r="C21" s="750" t="n"/>
      <c r="D21" s="750" t="n"/>
      <c r="E21" s="750" t="n"/>
      <c r="F21" s="750" t="n"/>
      <c r="G21" s="751" t="n"/>
      <c r="H21" s="751" t="n"/>
      <c r="I21" s="751" t="n"/>
      <c r="J21" s="751" t="n"/>
    </row>
    <row r="22">
      <c r="B22" s="438" t="inlineStr">
        <is>
          <t>Name</t>
        </is>
      </c>
      <c r="C22" s="438" t="inlineStr">
        <is>
          <t>Role</t>
        </is>
      </c>
      <c r="D22" s="438" t="inlineStr">
        <is>
          <t>Status</t>
        </is>
      </c>
      <c r="E22" s="577" t="inlineStr">
        <is>
          <t>Call</t>
        </is>
      </c>
      <c r="F22" s="438" t="inlineStr">
        <is>
          <t>Cost if hired ($)</t>
        </is>
      </c>
    </row>
    <row r="23">
      <c r="B23" s="464" t="inlineStr">
        <is>
          <t>POS</t>
        </is>
      </c>
      <c r="C23" s="465" t="n"/>
      <c r="D23" s="465" t="n"/>
      <c r="E23" s="465" t="n"/>
    </row>
    <row r="24">
      <c r="B24" s="429" t="str">
        <f>Squads!$B$60</f>
        <v>Vacant</v>
      </c>
      <c r="C24" s="429" t="str">
        <f>SUBSTITUTE(SUBSTITUTE(Squads!$C$60,"–","-"),"—","-")</f>
        <v>Release &amp; Environments Manager</v>
      </c>
      <c r="D24" s="439" t="str">
        <f>Squads!$R$60</f>
        <v>Vacant</v>
      </c>
      <c r="E24" s="504" t="inlineStr">
        <is>
          <t>Hire</t>
        </is>
      </c>
      <c r="F24" s="442">
        <f>SUMIF('Added data'!$C$2:$C$549,Squads!$C$60,'Added data'!$AA$2:$AA$549)/COUNTIF('Added data'!$C$2:$C$549,Squads!$C$60)</f>
        <v>202853.25</v>
      </c>
    </row>
    <row r="25">
      <c r="B25" s="429" t="str">
        <f>Squads!$B$61</f>
        <v>Vacant</v>
      </c>
      <c r="C25" s="429" t="str">
        <f>SUBSTITUTE(SUBSTITUTE(Squads!$C$61,"–","-"),"—","-")</f>
        <v>Lead Quality Assurance</v>
      </c>
      <c r="D25" s="439" t="str">
        <f>Squads!$R$61</f>
        <v>Vacant</v>
      </c>
      <c r="E25" s="504" t="inlineStr">
        <is>
          <t>Hold</t>
        </is>
      </c>
      <c r="F25" s="442">
        <f>SUMIF('Added data'!$C$2:$C$549,Squads!$C$61,'Added data'!$AA$2:$AA$549)/COUNTIF('Added data'!$C$2:$C$549,Squads!$C$61)</f>
        <v>206951.05542857148</v>
      </c>
    </row>
    <row r="26">
      <c r="B26" s="429" t="str">
        <f>Squads!$B$63</f>
        <v>Vacant</v>
      </c>
      <c r="C26" s="429" t="str">
        <f>SUBSTITUTE(SUBSTITUTE(Squads!$C$63,"–","-"),"—","-")</f>
        <v>Systems Analyst</v>
      </c>
      <c r="D26" s="439" t="str">
        <f>Squads!$R$63</f>
        <v>Vacant</v>
      </c>
      <c r="E26" s="504" t="inlineStr">
        <is>
          <t>Hold</t>
        </is>
      </c>
      <c r="F26" s="442">
        <f>SUMIF('Added data'!$C$2:$C$549,Squads!$C$63,'Added data'!$AA$2:$AA$549)/COUNTIF('Added data'!$C$2:$C$549,Squads!$C$63)</f>
        <v>193260.22177777777</v>
      </c>
    </row>
    <row r="27">
      <c r="B27" s="429" t="str">
        <f>Squads!$B$83</f>
        <v>Vacant</v>
      </c>
      <c r="C27" s="429" t="str">
        <f>SUBSTITUTE(SUBSTITUTE(Squads!$C$83,"–","-"),"—","-")</f>
        <v>Quality Assurance</v>
      </c>
      <c r="D27" s="439" t="str">
        <f>Squads!$R$83</f>
        <v>Vacant</v>
      </c>
      <c r="E27" s="504" t="inlineStr">
        <is>
          <t>Hold</t>
        </is>
      </c>
      <c r="F27" s="442">
        <f>SUMIF('Added data'!$C$2:$C$549,Squads!$C$83,'Added data'!$AA$2:$AA$549)/COUNTIF('Added data'!$C$2:$C$549,Squads!$C$83)</f>
        <v>169798.89904347828</v>
      </c>
    </row>
    <row r="28">
      <c r="B28" s="429" t="str">
        <f>Squads!$B$88</f>
        <v>Vacant</v>
      </c>
      <c r="C28" s="429" t="str">
        <f>SUBSTITUTE(SUBSTITUTE(Squads!$C$88,"–","-"),"—","-")</f>
        <v>Quality Assurance</v>
      </c>
      <c r="D28" s="439" t="str">
        <f>Squads!$R$88</f>
        <v>Vacant</v>
      </c>
      <c r="E28" s="504" t="inlineStr">
        <is>
          <t>Hold</t>
        </is>
      </c>
      <c r="F28" s="442">
        <f>SUMIF('Added data'!$C$2:$C$549,Squads!$C$88,'Added data'!$AA$2:$AA$549)/COUNTIF('Added data'!$C$2:$C$549,Squads!$C$88)</f>
        <v>169798.89904347828</v>
      </c>
    </row>
    <row r="29">
      <c r="B29" s="429" t="str">
        <f>Squads!$B$89</f>
        <v>Vacant</v>
      </c>
      <c r="C29" s="429" t="str">
        <f>SUBSTITUTE(SUBSTITUTE(Squads!$C$89,"–","-"),"—","-")</f>
        <v>Quality Assurance</v>
      </c>
      <c r="D29" s="439" t="str">
        <f>Squads!$R$89</f>
        <v>Vacant</v>
      </c>
      <c r="E29" s="504" t="inlineStr">
        <is>
          <t>Hold</t>
        </is>
      </c>
      <c r="F29" s="442">
        <f>SUMIF('Added data'!$C$2:$C$549,Squads!$C$89,'Added data'!$AA$2:$AA$549)/COUNTIF('Added data'!$C$2:$C$549,Squads!$C$89)</f>
        <v>169798.89904347828</v>
      </c>
    </row>
    <row r="30">
      <c r="B30" s="429" t="str">
        <f>Squads!$B$93</f>
        <v>Vacant</v>
      </c>
      <c r="C30" s="429" t="str">
        <f>SUBSTITUTE(SUBSTITUTE(Squads!$C$93,"–","-"),"—","-")</f>
        <v>Engineer Integration</v>
      </c>
      <c r="D30" s="439" t="str">
        <f>Squads!$R$93</f>
        <v>Vacant</v>
      </c>
      <c r="E30" s="504" t="inlineStr">
        <is>
          <t>Hold</t>
        </is>
      </c>
      <c r="F30" s="442">
        <f>SUMIF('Added data'!$C$2:$C$549,Squads!$C$93,'Added data'!$AA$2:$AA$549)/COUNTIF('Added data'!$C$2:$C$549,Squads!$C$93)</f>
        <v>202853.25</v>
      </c>
    </row>
    <row r="31">
      <c r="B31" s="464" t="inlineStr">
        <is>
          <t>Payments</t>
        </is>
      </c>
      <c r="C31" s="465" t="n"/>
      <c r="D31" s="465" t="n"/>
      <c r="E31" s="465" t="n"/>
    </row>
    <row r="32">
      <c r="B32" s="429" t="str">
        <f>Squads!$B$58</f>
        <v>Vacant</v>
      </c>
      <c r="C32" s="429" t="str">
        <f>SUBSTITUTE(SUBSTITUTE(Squads!$C$58,"–","-"),"—","-")</f>
        <v>Systems Analyst</v>
      </c>
      <c r="D32" s="439" t="str">
        <f>Squads!$R$58</f>
        <v>Vacant</v>
      </c>
      <c r="E32" s="504" t="inlineStr">
        <is>
          <t>Hold</t>
        </is>
      </c>
      <c r="F32" s="442">
        <f>SUMIF('Added data'!$C$2:$C$549,Squads!$C$58,'Added data'!$AA$2:$AA$549)/COUNTIF('Added data'!$C$2:$C$549,Squads!$C$58)</f>
        <v>193260.22177777777</v>
      </c>
    </row>
    <row r="33">
      <c r="B33" s="429" t="str">
        <f>Squads!$B$69</f>
        <v>Beenu Murali</v>
      </c>
      <c r="C33" s="429" t="str">
        <f>SUBSTITUTE(SUBSTITUTE(Squads!$C$69,"–","-"),"—","-")</f>
        <v>Quality Assurance</v>
      </c>
      <c r="D33" s="439" t="str">
        <f>Squads!$R$69</f>
        <v>Filled</v>
      </c>
    </row>
    <row r="34">
      <c r="B34" s="429" t="str">
        <f>Squads!$B$95</f>
        <v>Sayan Kar</v>
      </c>
      <c r="C34" s="429" t="str">
        <f>SUBSTITUTE(SUBSTITUTE(Squads!$C$95,"–","-"),"—","-")</f>
        <v>Systems Analyst</v>
      </c>
      <c r="D34" s="439" t="str">
        <f>Squads!$R$95</f>
        <v>Filled</v>
      </c>
    </row>
    <row r="35">
      <c r="B35" s="429" t="str">
        <f>Squads!$B$108</f>
        <v>Venkat Kedharanathan</v>
      </c>
      <c r="C35" s="429" t="str">
        <f>SUBSTITUTE(SUBSTITUTE(Squads!$C$108,"–","-"),"—","-")</f>
        <v>Senior Business Analyst</v>
      </c>
      <c r="D35" s="439" t="str">
        <f>Squads!$R$108</f>
        <v>Filled</v>
      </c>
    </row>
    <row r="36">
      <c r="B36" s="464" t="inlineStr">
        <is>
          <t>Store Operations</t>
        </is>
      </c>
      <c r="C36" s="465" t="n"/>
      <c r="D36" s="465" t="n"/>
      <c r="E36" s="465" t="n"/>
    </row>
    <row r="37">
      <c r="B37" s="429" t="str">
        <f>Squads!$B$9</f>
        <v>Gerald Aguas</v>
      </c>
      <c r="C37" s="429" t="str">
        <f>SUBSTITUTE(SUBSTITUTE(Squads!$C$9,"–","-"),"—","-")</f>
        <v>Field Systems Operations Lead - NSW</v>
      </c>
      <c r="D37" s="439" t="str">
        <f>Squads!$R$9</f>
        <v>Filled</v>
      </c>
    </row>
    <row r="38">
      <c r="B38" s="429" t="str">
        <f>Squads!$B$10</f>
        <v>Tuan Edwards</v>
      </c>
      <c r="C38" s="429" t="str">
        <f>SUBSTITUTE(SUBSTITUTE(Squads!$C$10,"–","-"),"—","-")</f>
        <v>Field Systems Operations Lead - QLD</v>
      </c>
      <c r="D38" s="439" t="str">
        <f>Squads!$R$10</f>
        <v>Filled</v>
      </c>
    </row>
    <row r="39">
      <c r="B39" s="429" t="str">
        <f>Squads!$B$11</f>
        <v>Geoff Goddard</v>
      </c>
      <c r="C39" s="429" t="str">
        <f>SUBSTITUTE(SUBSTITUTE(Squads!$C$11,"–","-"),"—","-")</f>
        <v>Field Systems Operations Lead - VIC</v>
      </c>
      <c r="D39" s="439" t="str">
        <f>Squads!$R$11</f>
        <v>Filled</v>
      </c>
    </row>
    <row r="40">
      <c r="B40" s="429" t="str">
        <f>Squads!$B$12</f>
        <v>Patrick Ericson Nario</v>
      </c>
      <c r="C40" s="429" t="str">
        <f>SUBSTITUTE(SUBSTITUTE(Squads!$C$12,"–","-"),"—","-")</f>
        <v>Support Analyst - Field Operations</v>
      </c>
      <c r="D40" s="439" t="str">
        <f>Squads!$R$12</f>
        <v>Filled</v>
      </c>
    </row>
    <row r="41">
      <c r="B41" s="429" t="str">
        <f>Squads!$B$13</f>
        <v>Andrew Whitford</v>
      </c>
      <c r="C41" s="429" t="str">
        <f>SUBSTITUTE(SUBSTITUTE(Squads!$C$13,"–","-"),"—","-")</f>
        <v>Field Systems Operations Lead - WA</v>
      </c>
      <c r="D41" s="439" t="str">
        <f>Squads!$R$13</f>
        <v>Filled</v>
      </c>
    </row>
    <row r="42">
      <c r="B42" s="429" t="str">
        <f>Squads!$B$40</f>
        <v>Ephraim Adan</v>
      </c>
      <c r="C42" s="429" t="str">
        <f>SUBSTITUTE(SUBSTITUTE(Squads!$C$40,"–","-"),"—","-")</f>
        <v>Manager - AU Retail Operations</v>
      </c>
      <c r="D42" s="439" t="str">
        <f>Squads!$R$40</f>
        <v>Filled</v>
      </c>
    </row>
    <row r="43">
      <c r="B43" s="429" t="str">
        <f>Squads!$B$70</f>
        <v>Vacant</v>
      </c>
      <c r="C43" s="429" t="str">
        <f>SUBSTITUTE(SUBSTITUTE(Squads!$C$70,"–","-"),"—","-")</f>
        <v>Support Analyst -Retail</v>
      </c>
      <c r="D43" s="439" t="str">
        <f>Squads!$R$70</f>
        <v>Vacant</v>
      </c>
      <c r="E43" s="504" t="inlineStr">
        <is>
          <t>Hold</t>
        </is>
      </c>
      <c r="F43" s="442">
        <f>SUMIF('Added data'!$C$2:$C$549,Squads!$C$70,'Added data'!$AA$2:$AA$549)/COUNTIF('Added data'!$C$2:$C$549,Squads!$C$70)</f>
        <v>224493.6</v>
      </c>
    </row>
    <row r="44">
      <c r="B44" s="429" t="str">
        <f>Squads!$B$94</f>
        <v>Karthikeyan Kuppan</v>
      </c>
      <c r="C44" s="429" t="str">
        <f>SUBSTITUTE(SUBSTITUTE(Squads!$C$94,"–","-"),"—","-")</f>
        <v>Lead - AU Retail Operations</v>
      </c>
      <c r="D44" s="439" t="str">
        <f>Squads!$R$94</f>
        <v>Filled</v>
      </c>
    </row>
    <row r="45">
      <c r="B45" s="464" t="inlineStr">
        <is>
          <t>Deployment</t>
        </is>
      </c>
      <c r="C45" s="465" t="n"/>
      <c r="D45" s="465" t="n"/>
      <c r="E45" s="465" t="n"/>
    </row>
    <row r="46">
      <c r="B46" s="429" t="str">
        <f>Squads!$B$18</f>
        <v>Aniket Banerji</v>
      </c>
      <c r="C46" s="429" t="str">
        <f>SUBSTITUTE(SUBSTITUTE(Squads!$C$18,"–","-"),"—","-")</f>
        <v>Deployment Lead</v>
      </c>
      <c r="D46" s="439" t="str">
        <f>Squads!$R$18</f>
        <v>Filled</v>
      </c>
    </row>
    <row r="47">
      <c r="B47" s="429" t="str">
        <f>Squads!$B$19</f>
        <v>Deepak Kubendran</v>
      </c>
      <c r="C47" s="429" t="str">
        <f>SUBSTITUTE(SUBSTITUTE(Squads!$C$19,"–","-"),"—","-")</f>
        <v>Project Manager - Deployments</v>
      </c>
      <c r="D47" s="439" t="str">
        <f>Squads!$R$19</f>
        <v>Filled</v>
      </c>
    </row>
    <row r="48">
      <c r="B48" s="429" t="str">
        <f>Squads!$B$41</f>
        <v>Matthew Patane</v>
      </c>
      <c r="C48" s="429" t="str">
        <f>SUBSTITUTE(SUBSTITUTE(Squads!$C$41,"–","-"),"—","-")</f>
        <v>Release &amp; Deployment Manager</v>
      </c>
      <c r="D48" s="439" t="str">
        <f>Squads!$R$41</f>
        <v>Filled</v>
      </c>
    </row>
    <row r="49">
      <c r="B49" s="429" t="str">
        <f>Squads!$B$86</f>
        <v>Violeta Trajkovski</v>
      </c>
      <c r="C49" s="429" t="str">
        <f>SUBSTITUTE(SUBSTITUTE(Squads!$C$86,"–","-"),"—","-")</f>
        <v>Deployment Coordinator</v>
      </c>
      <c r="D49" s="439" t="str">
        <f>Squads!$R$86</f>
        <v>Filled</v>
      </c>
    </row>
    <row r="50">
      <c r="B50" s="429" t="str">
        <f>Squads!$B$111</f>
        <v>Anthony Dumbrell</v>
      </c>
      <c r="C50" s="429" t="str">
        <f>SUBSTITUTE(SUBSTITUTE(Squads!$C$111,"–","-"),"—","-")</f>
        <v>Technology &amp; Lab Specialist Stores</v>
      </c>
      <c r="D50" s="439" t="str">
        <f>Squads!$R$111</f>
        <v>Filled</v>
      </c>
    </row>
    <row r="51">
      <c r="B51" s="464" t="inlineStr">
        <is>
          <t>Above Store</t>
        </is>
      </c>
      <c r="C51" s="465" t="n"/>
      <c r="D51" s="465" t="n"/>
      <c r="E51" s="465" t="n"/>
    </row>
    <row r="52">
      <c r="B52" s="429" t="str">
        <f>Squads!$B$20</f>
        <v>Sao Keawprasit</v>
      </c>
      <c r="C52" s="429" t="str">
        <f>SUBSTITUTE(SUBSTITUTE(Squads!$C$20,"–","-"),"—","-")</f>
        <v>Systems Analyst</v>
      </c>
      <c r="D52" s="439" t="str">
        <f>Squads!$R$20</f>
        <v>Filled</v>
      </c>
    </row>
    <row r="53">
      <c r="B53" s="429" t="str">
        <f>Squads!$B$21</f>
        <v>Zuan Zheng</v>
      </c>
      <c r="C53" s="429" t="str">
        <f>SUBSTITUTE(SUBSTITUTE(Squads!$C$21,"–","-"),"—","-")</f>
        <v>Systems Analyst</v>
      </c>
      <c r="D53" s="439" t="str">
        <f>Squads!$R$21</f>
        <v>Filled</v>
      </c>
    </row>
    <row r="54">
      <c r="B54" s="429" t="str">
        <f>Squads!$B$22</f>
        <v>Vacant</v>
      </c>
      <c r="C54" s="429" t="str">
        <f>SUBSTITUTE(SUBSTITUTE(Squads!$C$22,"–","-"),"—","-")</f>
        <v>Systems Analyst</v>
      </c>
      <c r="D54" s="439" t="str">
        <f>Squads!$R$22</f>
        <v>Vacant</v>
      </c>
      <c r="E54" s="504" t="inlineStr">
        <is>
          <t>Hold</t>
        </is>
      </c>
      <c r="F54" s="442">
        <f>SUMIF('Added data'!$C$2:$C$549,Squads!$C$22,'Added data'!$AA$2:$AA$549)/COUNTIF('Added data'!$C$2:$C$549,Squads!$C$22)</f>
        <v>193260.22177777777</v>
      </c>
    </row>
    <row r="55">
      <c r="B55" s="429" t="str">
        <f>Squads!$B$23</f>
        <v>Pahul Oberoi</v>
      </c>
      <c r="C55" s="429" t="str">
        <f>SUBSTITUTE(SUBSTITUTE(Squads!$C$23,"–","-"),"—","-")</f>
        <v>Systems Analyst</v>
      </c>
      <c r="D55" s="439" t="str">
        <f>Squads!$R$23</f>
        <v>Filled</v>
      </c>
    </row>
    <row r="56">
      <c r="B56" s="429" t="str">
        <f>Squads!$B$24</f>
        <v>vacant</v>
      </c>
      <c r="C56" s="429" t="str">
        <f>SUBSTITUTE(SUBSTITUTE(Squads!$C$24,"–","-"),"—","-")</f>
        <v>Quality Assurance</v>
      </c>
      <c r="D56" s="439" t="str">
        <f>Squads!$R$24</f>
        <v>Vacant</v>
      </c>
      <c r="E56" s="504" t="inlineStr">
        <is>
          <t>Hold</t>
        </is>
      </c>
      <c r="F56" s="442">
        <f>SUMIF('Added data'!$C$2:$C$549,Squads!$C$24,'Added data'!$AA$2:$AA$549)/COUNTIF('Added data'!$C$2:$C$549,Squads!$C$24)</f>
        <v>169798.89904347828</v>
      </c>
    </row>
    <row r="57">
      <c r="B57" s="429" t="str">
        <f>Squads!$B$25</f>
        <v>Vacant</v>
      </c>
      <c r="C57" s="429" t="str">
        <f>SUBSTITUTE(SUBSTITUTE(Squads!$C$25,"–","-"),"—","-")</f>
        <v>Engineer - Integration</v>
      </c>
      <c r="D57" s="439" t="str">
        <f>Squads!$R$25</f>
        <v>Vacant</v>
      </c>
      <c r="E57" s="504" t="inlineStr">
        <is>
          <t>Hold</t>
        </is>
      </c>
      <c r="F57" s="442">
        <f>SUMIF('Added data'!$C$2:$C$549,Squads!$C$25,'Added data'!$AA$2:$AA$549)/COUNTIF('Added data'!$C$2:$C$549,Squads!$C$25)</f>
        <v>202853.25</v>
      </c>
    </row>
    <row r="58">
      <c r="B58" s="429" t="str">
        <f>Squads!$B$26</f>
        <v>Joseph Maroun</v>
      </c>
      <c r="C58" s="429" t="str">
        <f>SUBSTITUTE(SUBSTITUTE(Squads!$C$26,"–","-"),"—","-")</f>
        <v>Systems Analyst</v>
      </c>
      <c r="D58" s="439" t="str">
        <f>Squads!$R$26</f>
        <v>Filled</v>
      </c>
    </row>
    <row r="59">
      <c r="B59" s="429" t="str">
        <f>Squads!$B$27</f>
        <v>Vijay Patel</v>
      </c>
      <c r="C59" s="429" t="str">
        <f>SUBSTITUTE(SUBSTITUTE(Squads!$C$27,"–","-"),"—","-")</f>
        <v>Systems Analyst</v>
      </c>
      <c r="D59" s="439" t="str">
        <f>Squads!$R$27</f>
        <v>Filled</v>
      </c>
    </row>
    <row r="60">
      <c r="B60" s="429" t="str">
        <f>Squads!$B$28</f>
        <v>vacant</v>
      </c>
      <c r="C60" s="429" t="str">
        <f>SUBSTITUTE(SUBSTITUTE(Squads!$C$28,"–","-"),"—","-")</f>
        <v>Quality Assurance</v>
      </c>
      <c r="D60" s="439" t="str">
        <f>Squads!$R$28</f>
        <v>Vacant</v>
      </c>
      <c r="E60" s="504" t="inlineStr">
        <is>
          <t>Hold</t>
        </is>
      </c>
      <c r="F60" s="442">
        <f>SUMIF('Added data'!$C$2:$C$549,Squads!$C$28,'Added data'!$AA$2:$AA$549)/COUNTIF('Added data'!$C$2:$C$549,Squads!$C$28)</f>
        <v>169798.89904347828</v>
      </c>
    </row>
    <row r="61">
      <c r="B61" s="429" t="str">
        <f>Squads!$B$46</f>
        <v>Manjot Kaur Malli </v>
      </c>
      <c r="C61" s="429" t="str">
        <f>SUBSTITUTE(SUBSTITUTE(Squads!$C$46,"–","-"),"—","-")</f>
        <v>Technology Manager, Data</v>
      </c>
      <c r="D61" s="439" t="str">
        <f>Squads!$R$46</f>
        <v>Filled</v>
      </c>
    </row>
    <row r="62">
      <c r="B62" s="429" t="str">
        <f>Squads!$B$47</f>
        <v>Zhan Zhang</v>
      </c>
      <c r="C62" s="429" t="str">
        <f>SUBSTITUTE(SUBSTITUTE(Squads!$C$47,"–","-"),"—","-")</f>
        <v>Solution Architect</v>
      </c>
      <c r="D62" s="439" t="str">
        <f>Squads!$R$47</f>
        <v>Filled</v>
      </c>
    </row>
    <row r="63">
      <c r="B63" s="429" t="str">
        <f>Squads!$B$48</f>
        <v>Chris Wilson</v>
      </c>
      <c r="C63" s="429" t="str">
        <f>SUBSTITUTE(SUBSTITUTE(Squads!$C$48,"–","-"),"—","-")</f>
        <v>Solution Architect</v>
      </c>
      <c r="D63" s="439" t="str">
        <f>Squads!$R$48</f>
        <v>Filled</v>
      </c>
    </row>
    <row r="64">
      <c r="B64" s="429" t="str">
        <f>Squads!$B$49</f>
        <v>Lauren Lancaster</v>
      </c>
      <c r="C64" s="429" t="str">
        <f>SUBSTITUTE(SUBSTITUTE(Squads!$C$49,"–","-"),"—","-")</f>
        <v>Associate Engineer - Software</v>
      </c>
      <c r="D64" s="439" t="str">
        <f>Squads!$R$49</f>
        <v>Filled</v>
      </c>
    </row>
    <row r="65">
      <c r="B65" s="429" t="str">
        <f>Squads!$B$51</f>
        <v>Majdi Abedi</v>
      </c>
      <c r="C65" s="429" t="str">
        <f>SUBSTITUTE(SUBSTITUTE(Squads!$C$51,"–","-"),"—","-")</f>
        <v>Systems Analyst</v>
      </c>
      <c r="D65" s="439" t="str">
        <f>Squads!$R$51</f>
        <v>Filled</v>
      </c>
    </row>
    <row r="66">
      <c r="B66" s="429" t="str">
        <f>Squads!$B$53</f>
        <v>Vacant</v>
      </c>
      <c r="C66" s="429" t="str">
        <f>SUBSTITUTE(SUBSTITUTE(Squads!$C$53,"–","-"),"—","-")</f>
        <v>Data Analyst</v>
      </c>
      <c r="D66" s="439" t="str">
        <f>Squads!$R$53</f>
        <v>Vacant</v>
      </c>
      <c r="E66" s="504" t="inlineStr">
        <is>
          <t>Hold</t>
        </is>
      </c>
      <c r="F66" s="442">
        <f>SUMIF('Added data'!$C$2:$C$549,Squads!$C$53,'Added data'!$AA$2:$AA$549)/COUNTIF('Added data'!$C$2:$C$549,Squads!$C$53)</f>
        <v>178925.75290909092</v>
      </c>
    </row>
    <row r="67">
      <c r="B67" s="429" t="str">
        <f>Squads!$B$54</f>
        <v>Joe Kuttikkatt</v>
      </c>
      <c r="C67" s="429" t="str">
        <f>SUBSTITUTE(SUBSTITUTE(Squads!$C$54,"–","-"),"—","-")</f>
        <v>Senior Quality Assurance</v>
      </c>
      <c r="D67" s="439" t="str">
        <f>Squads!$R$54</f>
        <v>Filled</v>
      </c>
    </row>
    <row r="68">
      <c r="B68" s="429" t="str">
        <f>Squads!$B$55</f>
        <v>Vacant</v>
      </c>
      <c r="C68" s="429" t="str">
        <f>SUBSTITUTE(SUBSTITUTE(Squads!$C$55,"–","-"),"—","-")</f>
        <v>Engineer - Data</v>
      </c>
      <c r="D68" s="439" t="str">
        <f>Squads!$R$55</f>
        <v>Vacant</v>
      </c>
      <c r="E68" s="504" t="inlineStr">
        <is>
          <t>Hold</t>
        </is>
      </c>
      <c r="F68" s="442">
        <f>SUMIF('Added data'!$C$2:$C$549,Squads!$C$55,'Added data'!$AA$2:$AA$549)/COUNTIF('Added data'!$C$2:$C$549,Squads!$C$55)</f>
        <v>180250.29057142857</v>
      </c>
    </row>
    <row r="69">
      <c r="B69" s="429" t="str">
        <f>Squads!$B$62</f>
        <v>vacant</v>
      </c>
      <c r="C69" s="429" t="str">
        <f>SUBSTITUTE(SUBSTITUTE(Squads!$C$62,"–","-"),"—","-")</f>
        <v>Systems Analyst</v>
      </c>
      <c r="D69" s="439" t="str">
        <f>Squads!$R$62</f>
        <v>Vacant</v>
      </c>
      <c r="E69" s="504" t="inlineStr">
        <is>
          <t>Hold</t>
        </is>
      </c>
      <c r="F69" s="442">
        <f>SUMIF('Added data'!$C$2:$C$549,Squads!$C$62,'Added data'!$AA$2:$AA$549)/COUNTIF('Added data'!$C$2:$C$549,Squads!$C$62)</f>
        <v>193260.22177777777</v>
      </c>
    </row>
    <row r="70">
      <c r="B70" s="429" t="str">
        <f>Squads!$B$101</f>
        <v>Vacant</v>
      </c>
      <c r="C70" s="429" t="str">
        <f>SUBSTITUTE(SUBSTITUTE(Squads!$C$101,"–","-"),"—","-")</f>
        <v>Delivery Lead</v>
      </c>
      <c r="D70" s="439" t="str">
        <f>Squads!$R$101</f>
        <v>Vacant</v>
      </c>
      <c r="E70" s="504" t="inlineStr">
        <is>
          <t>Hold</t>
        </is>
      </c>
      <c r="F70" s="442">
        <f>SUMIF('Added data'!$C$2:$C$549,Squads!$C$101,'Added data'!$AA$2:$AA$549)/COUNTIF('Added data'!$C$2:$C$549,Squads!$C$101)</f>
        <v>231778.89629629627</v>
      </c>
    </row>
    <row r="71">
      <c r="B71" s="429" t="str">
        <f>Squads!$B$103</f>
        <v>Vacant</v>
      </c>
      <c r="C71" s="429" t="str">
        <f>SUBSTITUTE(SUBSTITUTE(Squads!$C$103,"–","-"),"—","-")</f>
        <v>Business Analyst</v>
      </c>
      <c r="D71" s="439" t="str">
        <f>Squads!$R$103</f>
        <v>Vacant</v>
      </c>
      <c r="E71" s="504" t="inlineStr">
        <is>
          <t>Hold</t>
        </is>
      </c>
      <c r="F71" s="442">
        <f>SUMIF('Added data'!$C$2:$C$549,Squads!$C$103,'Added data'!$AA$2:$AA$549)/COUNTIF('Added data'!$C$2:$C$549,Squads!$C$103)</f>
        <v>198578.016</v>
      </c>
    </row>
    <row r="72">
      <c r="B72" s="429" t="str">
        <f>Squads!$B$104</f>
        <v>Vacant</v>
      </c>
      <c r="C72" s="429" t="str">
        <f>SUBSTITUTE(SUBSTITUTE(Squads!$C$104,"–","-"),"—","-")</f>
        <v>Business Analyst</v>
      </c>
      <c r="D72" s="439" t="str">
        <f>Squads!$R$104</f>
        <v>Vacant</v>
      </c>
      <c r="E72" s="504" t="inlineStr">
        <is>
          <t>Hold</t>
        </is>
      </c>
      <c r="F72" s="442">
        <f>SUMIF('Added data'!$C$2:$C$549,Squads!$C$104,'Added data'!$AA$2:$AA$549)/COUNTIF('Added data'!$C$2:$C$549,Squads!$C$104)</f>
        <v>198578.016</v>
      </c>
    </row>
    <row r="73">
      <c r="B73" s="429" t="str">
        <f>Squads!$B$107</f>
        <v>Vacant</v>
      </c>
      <c r="C73" s="429" t="str">
        <f>SUBSTITUTE(SUBSTITUTE(Squads!$C$107,"–","-"),"—","-")</f>
        <v>Business Analyst</v>
      </c>
      <c r="D73" s="439" t="str">
        <f>Squads!$R$107</f>
        <v>Vacant</v>
      </c>
      <c r="E73" s="504" t="inlineStr">
        <is>
          <t>Hold</t>
        </is>
      </c>
      <c r="F73" s="442">
        <f>SUMIF('Added data'!$C$2:$C$549,Squads!$C$107,'Added data'!$AA$2:$AA$549)/COUNTIF('Added data'!$C$2:$C$549,Squads!$C$107)</f>
        <v>198578.016</v>
      </c>
    </row>
    <row r="74">
      <c r="B74" s="464" t="inlineStr">
        <is>
          <t>AmPOS</t>
        </is>
      </c>
      <c r="C74" s="465" t="n"/>
      <c r="D74" s="465" t="n"/>
      <c r="E74" s="465" t="n"/>
    </row>
    <row r="75">
      <c r="B75" s="429" t="str">
        <f>Squads!$B$29</f>
        <v>Karthick Sathiyamoorthy</v>
      </c>
      <c r="C75" s="429" t="str">
        <f>SUBSTITUTE(SUBSTITUTE(Squads!$C$29,"–","-"),"—","-")</f>
        <v>Quality Assurance</v>
      </c>
      <c r="D75" s="439" t="str">
        <f>Squads!$R$29</f>
        <v>Filled</v>
      </c>
    </row>
    <row r="76">
      <c r="B76" s="429" t="str">
        <f>Squads!$B$52</f>
        <v>Peter Nicolopoulos</v>
      </c>
      <c r="C76" s="429" t="str">
        <f>SUBSTITUTE(SUBSTITUTE(Squads!$C$52,"–","-"),"—","-")</f>
        <v>Systems Analyst</v>
      </c>
      <c r="D76" s="439" t="str">
        <f>Squads!$R$52</f>
        <v>Filled</v>
      </c>
    </row>
    <row r="77">
      <c r="B77" s="429" t="str">
        <f>Squads!$B$56</f>
        <v>Tabitha Raharadjo</v>
      </c>
      <c r="C77" s="429" t="str">
        <f>SUBSTITUTE(SUBSTITUTE(Squads!$C$56,"–","-"),"—","-")</f>
        <v>Project Coordinator</v>
      </c>
      <c r="D77" s="439" t="str">
        <f>Squads!$R$56</f>
        <v>Filled</v>
      </c>
    </row>
    <row r="78">
      <c r="B78" s="429" t="str">
        <f>Squads!$B$92</f>
        <v>Mick Standen</v>
      </c>
      <c r="C78" s="429" t="str">
        <f>SUBSTITUTE(SUBSTITUTE(Squads!$C$92,"–","-"),"—","-")</f>
        <v>Systems Analyst</v>
      </c>
      <c r="D78" s="439" t="str">
        <f>Squads!$R$92</f>
        <v>Filled</v>
      </c>
    </row>
    <row r="79">
      <c r="B79" s="429" t="str">
        <f>Squads!$B$96</f>
        <v>Kate Johnstone</v>
      </c>
      <c r="C79" s="429" t="str">
        <f>SUBSTITUTE(SUBSTITUTE(Squads!$C$96,"–","-"),"—","-")</f>
        <v>Program Manager POS</v>
      </c>
      <c r="D79" s="439" t="str">
        <f>Squads!$R$96</f>
        <v>Filled</v>
      </c>
    </row>
    <row r="80">
      <c r="B80" s="429" t="str">
        <f>Squads!$B$102</f>
        <v>Irfan Zavahir</v>
      </c>
      <c r="C80" s="429" t="str">
        <f>SUBSTITUTE(SUBSTITUTE(Squads!$C$102,"–","-"),"—","-")</f>
        <v>Delivery Lead</v>
      </c>
      <c r="D80" s="439" t="str">
        <f>Squads!$R$102</f>
        <v>Filled</v>
      </c>
    </row>
    <row r="81">
      <c r="B81" s="429" t="str">
        <f>Squads!$B$105</f>
        <v>Balaji Murugan</v>
      </c>
      <c r="C81" s="429" t="str">
        <f>SUBSTITUTE(SUBSTITUTE(Squads!$C$105,"–","-"),"—","-")</f>
        <v>Delivery Lead</v>
      </c>
      <c r="D81" s="439" t="str">
        <f>Squads!$R$105</f>
        <v>Filled</v>
      </c>
    </row>
    <row r="82">
      <c r="B82" s="429" t="str">
        <f>Squads!$B$387</f>
        <v>Victor Beuk</v>
      </c>
      <c r="C82" s="429" t="str">
        <f>SUBSTITUTE(SUBSTITUTE(Squads!$C$387,"–","-"),"—","-")</f>
        <v>Delivery Lead</v>
      </c>
      <c r="D82" s="439" t="str">
        <f>Squads!$R$387</f>
        <v>Filled</v>
      </c>
    </row>
    <row r="83">
      <c r="B83" s="429" t="str">
        <f>Squads!$B$435</f>
        <v>Kevin Nelson</v>
      </c>
      <c r="C83" s="429" t="str">
        <f>SUBSTITUTE(SUBSTITUTE(Squads!$C$435,"–","-"),"—","-")</f>
        <v>Delivery Lead</v>
      </c>
      <c r="D83" s="439" t="str">
        <f>Squads!$R$435</f>
        <v>Filled</v>
      </c>
    </row>
    <row r="84">
      <c r="B84" s="429" t="str">
        <f>Squads!$B$457</f>
        <v>Hardik Trivedi</v>
      </c>
      <c r="C84" s="429" t="str">
        <f>SUBSTITUTE(SUBSTITUTE(Squads!$C$457,"–","-"),"—","-")</f>
        <v>Snr Business Analyst</v>
      </c>
      <c r="D84" s="439" t="str">
        <f>Squads!$R$457</f>
        <v>Filled</v>
      </c>
    </row>
    <row r="85">
      <c r="B85" s="464" t="inlineStr">
        <is>
          <t>Network / QSR</t>
        </is>
      </c>
      <c r="C85" s="465" t="n"/>
      <c r="D85" s="465" t="n"/>
      <c r="E85" s="465" t="n"/>
    </row>
    <row r="86">
      <c r="B86" s="429" t="str">
        <f>Squads!$B$34</f>
        <v>Vacant</v>
      </c>
      <c r="C86" s="429" t="str">
        <f>SUBSTITUTE(SUBSTITUTE(Squads!$C$34,"–","-"),"—","-")</f>
        <v>Systems Analyst</v>
      </c>
      <c r="D86" s="439" t="str">
        <f>Squads!$R$34</f>
        <v>Vacant</v>
      </c>
      <c r="E86" s="504" t="inlineStr">
        <is>
          <t>Hold</t>
        </is>
      </c>
      <c r="F86" s="442">
        <f>SUMIF('Added data'!$C$2:$C$549,Squads!$C$34,'Added data'!$AA$2:$AA$549)/COUNTIF('Added data'!$C$2:$C$549,Squads!$C$34)</f>
        <v>193260.22177777777</v>
      </c>
    </row>
    <row r="87">
      <c r="B87" s="429" t="str">
        <f>Squads!$B$43</f>
        <v>Javier Aguirre Castellanos</v>
      </c>
      <c r="C87" s="429" t="str">
        <f>SUBSTITUTE(SUBSTITUTE(Squads!$C$43,"–","-"),"—","-")</f>
        <v>Solution Architect</v>
      </c>
      <c r="D87" s="439" t="str">
        <f>Squads!$R$43</f>
        <v>Filled</v>
      </c>
    </row>
    <row r="88">
      <c r="B88" s="429" t="str">
        <f>Squads!$B$50</f>
        <v>Adrian Lueng</v>
      </c>
      <c r="C88" s="429" t="str">
        <f>SUBSTITUTE(SUBSTITUTE(Squads!$C$50,"–","-"),"—","-")</f>
        <v>Quality Assurance</v>
      </c>
      <c r="D88" s="439" t="str">
        <f>Squads!$R$50</f>
        <v>Filled</v>
      </c>
    </row>
    <row r="89">
      <c r="B89" s="429" t="str">
        <f>Squads!$B$106</f>
        <v>Vacant</v>
      </c>
      <c r="C89" s="429" t="str">
        <f>SUBSTITUTE(SUBSTITUTE(Squads!$C$106,"–","-"),"—","-")</f>
        <v>Business Analyst</v>
      </c>
      <c r="D89" s="439" t="str">
        <f>Squads!$R$106</f>
        <v>Vacant</v>
      </c>
      <c r="E89" s="504" t="inlineStr">
        <is>
          <t>Hold</t>
        </is>
      </c>
      <c r="F89" s="442">
        <f>SUMIF('Added data'!$C$2:$C$549,Squads!$C$106,'Added data'!$AA$2:$AA$549)/COUNTIF('Added data'!$C$2:$C$549,Squads!$C$106)</f>
        <v>198578.016</v>
      </c>
    </row>
    <row r="90">
      <c r="B90" s="429" t="str">
        <f>Squads!$B$109</f>
        <v>Vanessa Trujillo Munoz</v>
      </c>
      <c r="C90" s="429" t="str">
        <f>SUBSTITUTE(SUBSTITUTE(Squads!$C$109,"–","-"),"—","-")</f>
        <v>Delivery Lead</v>
      </c>
      <c r="D90" s="439" t="str">
        <f>Squads!$R$109</f>
        <v>Filled</v>
      </c>
    </row>
    <row r="91">
      <c r="B91" s="429" t="str">
        <f>Squads!$B$110</f>
        <v>Marty O'Shea</v>
      </c>
      <c r="C91" s="429" t="str">
        <f>SUBSTITUTE(SUBSTITUTE(Squads!$C$110,"–","-"),"—","-")</f>
        <v>Systems Analyst</v>
      </c>
      <c r="D91" s="439" t="str">
        <f>Squads!$R$110</f>
        <v>Filled</v>
      </c>
    </row>
    <row r="92">
      <c r="B92" s="429" t="str">
        <f>Squads!$B$112</f>
        <v>Santiago Hernandez Arevalo</v>
      </c>
      <c r="C92" s="429" t="str">
        <f>SUBSTITUTE(SUBSTITUTE(Squads!$C$112,"–","-"),"—","-")</f>
        <v>Systems Analyst</v>
      </c>
      <c r="D92" s="439" t="str">
        <f>Squads!$R$112</f>
        <v>Filled</v>
      </c>
    </row>
    <row r="93">
      <c r="B93" s="429" t="str">
        <f>Squads!$B$114</f>
        <v>Vacant</v>
      </c>
      <c r="C93" s="429" t="str">
        <f>SUBSTITUTE(SUBSTITUTE(Squads!$C$114,"–","-"),"—","-")</f>
        <v>Engineer - Integration</v>
      </c>
      <c r="D93" s="439" t="str">
        <f>Squads!$R$114</f>
        <v>Vacant</v>
      </c>
      <c r="E93" s="504" t="inlineStr">
        <is>
          <t>Hold</t>
        </is>
      </c>
      <c r="F93" s="442">
        <f>SUMIF('Added data'!$C$2:$C$549,Squads!$C$114,'Added data'!$AA$2:$AA$549)/COUNTIF('Added data'!$C$2:$C$549,Squads!$C$114)</f>
        <v>202853.25</v>
      </c>
    </row>
    <row r="94">
      <c r="B94" s="464" t="inlineStr">
        <is>
          <t>Data AU</t>
        </is>
      </c>
      <c r="C94" s="465" t="n"/>
      <c r="D94" s="465" t="n"/>
      <c r="E94" s="465" t="n"/>
    </row>
    <row r="95">
      <c r="B95" s="429" t="str">
        <f>Squads!$B$44</f>
        <v>Vacant</v>
      </c>
      <c r="C95" s="429" t="str">
        <f>SUBSTITUTE(SUBSTITUTE(Squads!$C$44,"–","-"),"—","-")</f>
        <v>Data Analyst</v>
      </c>
      <c r="D95" s="439" t="str">
        <f>Squads!$R$44</f>
        <v>Vacant</v>
      </c>
      <c r="E95" s="504" t="inlineStr">
        <is>
          <t>Hold</t>
        </is>
      </c>
      <c r="F95" s="442">
        <f>SUMIF('Added data'!$C$2:$C$549,Squads!$C$44,'Added data'!$AA$2:$AA$549)/COUNTIF('Added data'!$C$2:$C$549,Squads!$C$44)</f>
        <v>178925.75290909092</v>
      </c>
    </row>
    <row r="96">
      <c r="B96" s="429" t="str">
        <f>Squads!$B$64</f>
        <v>Vacant</v>
      </c>
      <c r="C96" s="429" t="str">
        <f>SUBSTITUTE(SUBSTITUTE(Squads!$C$64,"–","-"),"—","-")</f>
        <v>Delivery Lead</v>
      </c>
      <c r="D96" s="439" t="str">
        <f>Squads!$R$64</f>
        <v>Vacant</v>
      </c>
      <c r="E96" s="504" t="inlineStr">
        <is>
          <t>Hold</t>
        </is>
      </c>
      <c r="F96" s="442">
        <f>SUMIF('Added data'!$C$2:$C$549,Squads!$C$64,'Added data'!$AA$2:$AA$549)/COUNTIF('Added data'!$C$2:$C$549,Squads!$C$64)</f>
        <v>231778.89629629627</v>
      </c>
    </row>
    <row r="97">
      <c r="B97" s="429" t="str">
        <f>Squads!$B$76</f>
        <v>Vacant</v>
      </c>
      <c r="C97" s="429" t="str">
        <f>SUBSTITUTE(SUBSTITUTE(Squads!$C$76,"–","-"),"—","-")</f>
        <v>Engineer - Data</v>
      </c>
      <c r="D97" s="439" t="str">
        <f>Squads!$R$76</f>
        <v>Vacant</v>
      </c>
      <c r="E97" s="504" t="inlineStr">
        <is>
          <t>Hold</t>
        </is>
      </c>
      <c r="F97" s="442">
        <f>SUMIF('Added data'!$C$2:$C$549,Squads!$C$76,'Added data'!$AA$2:$AA$549)/COUNTIF('Added data'!$C$2:$C$549,Squads!$C$76)</f>
        <v>180250.29057142857</v>
      </c>
    </row>
    <row r="98">
      <c r="B98" s="429" t="str">
        <f>Squads!$B$81</f>
        <v>Vacant</v>
      </c>
      <c r="C98" s="429" t="str">
        <f>SUBSTITUTE(SUBSTITUTE(Squads!$C$81,"–","-"),"—","-")</f>
        <v>Engineer - Data</v>
      </c>
      <c r="D98" s="439" t="str">
        <f>Squads!$R$81</f>
        <v>Vacant</v>
      </c>
      <c r="E98" s="504" t="inlineStr">
        <is>
          <t>Hold</t>
        </is>
      </c>
      <c r="F98" s="442">
        <f>SUMIF('Added data'!$C$2:$C$549,Squads!$C$81,'Added data'!$AA$2:$AA$549)/COUNTIF('Added data'!$C$2:$C$549,Squads!$C$81)</f>
        <v>180250.29057142857</v>
      </c>
    </row>
    <row r="99">
      <c r="B99" s="429" t="str">
        <f>Squads!$B$90</f>
        <v>Vacant</v>
      </c>
      <c r="C99" s="429" t="str">
        <f>SUBSTITUTE(SUBSTITUTE(Squads!$C$90,"–","-"),"—","-")</f>
        <v>Engineer - Data</v>
      </c>
      <c r="D99" s="439" t="str">
        <f>Squads!$R$90</f>
        <v>Vacant</v>
      </c>
      <c r="E99" s="504" t="inlineStr">
        <is>
          <t>Hold</t>
        </is>
      </c>
      <c r="F99" s="442">
        <f>SUMIF('Added data'!$C$2:$C$549,Squads!$C$90,'Added data'!$AA$2:$AA$549)/COUNTIF('Added data'!$C$2:$C$549,Squads!$C$90)</f>
        <v>180250.29057142857</v>
      </c>
    </row>
    <row r="100">
      <c r="B100" s="464" t="inlineStr">
        <is>
          <t>EGI Retail</t>
        </is>
      </c>
      <c r="C100" s="465" t="n"/>
      <c r="D100" s="465" t="n"/>
      <c r="E100" s="465" t="n"/>
    </row>
    <row r="101">
      <c r="B101" s="429" t="str">
        <f>Squads!$B$14</f>
        <v>Sjoerd Van Sluijs</v>
      </c>
      <c r="C101" s="429" t="str">
        <f>SUBSTITUTE(SUBSTITUTE(Squads!$C$14,"–","-"),"—","-")</f>
        <v>Senior PM PEP1, PEP18</v>
      </c>
      <c r="D101" s="439" t="str">
        <f>Squads!$R$14</f>
        <v>Filled</v>
      </c>
    </row>
    <row r="102">
      <c r="B102" s="429" t="str">
        <f>Squads!$B$36</f>
        <v>Sendhil Vinayagam (75% EGI)</v>
      </c>
      <c r="C102" s="429" t="str">
        <f>SUBSTITUTE(SUBSTITUTE(Squads!$C$36,"–","-"),"—","-")</f>
        <v>Solution Architect</v>
      </c>
      <c r="D102" s="439" t="str">
        <f>Squads!$R$36</f>
        <v>Filled</v>
      </c>
    </row>
    <row r="103">
      <c r="B103" s="429" t="str">
        <f>Squads!$B$99</f>
        <v>Alex Prakhiy</v>
      </c>
      <c r="C103" s="429" t="str">
        <f>SUBSTITUTE(SUBSTITUTE(Squads!$C$99,"–","-"),"—","-")</f>
        <v>Business Analyst</v>
      </c>
      <c r="D103" s="439" t="str">
        <f>Squads!$R$99</f>
        <v>Filled</v>
      </c>
    </row>
    <row r="104">
      <c r="B104" s="429" t="str">
        <f>Squads!$B$100</f>
        <v>Bhaskar Nandi</v>
      </c>
      <c r="C104" s="429" t="str">
        <f>SUBSTITUTE(SUBSTITUTE(Squads!$C$100,"–","-"),"—","-")</f>
        <v>Business Analyst</v>
      </c>
      <c r="D104" s="439" t="str">
        <f>Squads!$R$100</f>
        <v>Filled</v>
      </c>
    </row>
    <row r="105">
      <c r="B105" s="429" t="str">
        <f>Squads!$B$113</f>
        <v>Navneet Singh</v>
      </c>
      <c r="C105" s="429" t="str">
        <f>SUBSTITUTE(SUBSTITUTE(Squads!$C$113,"–","-"),"—","-")</f>
        <v>Solution Architect</v>
      </c>
      <c r="D105" s="439" t="str">
        <f>Squads!$R$113</f>
        <v>Filled</v>
      </c>
    </row>
    <row r="106">
      <c r="B106" s="429" t="str">
        <f>Squads!$B$212</f>
        <v>James Byrne</v>
      </c>
      <c r="C106" s="429" t="str">
        <f>SUBSTITUTE(SUBSTITUTE(Squads!$C$212,"–","-"),"—","-")</f>
        <v>Head of Cyber Strategy &amp; Technology</v>
      </c>
      <c r="D106" s="439" t="str">
        <f>Squads!$R$212</f>
        <v>Filled</v>
      </c>
    </row>
  </sheetData>
  <conditionalFormatting sqref="D23:D106">
    <cfRule type="cellIs" priority="1" operator="equal" dxfId="1">
      <formula>"Vacant"</formula>
    </cfRule>
  </conditionalFormatting>
  <conditionalFormatting sqref="I6:I15">
    <cfRule type="expression" priority="2" dxfId="1">
      <formula>AND(ISNUMBER(I6),I6&gt;0)</formula>
    </cfRule>
    <cfRule type="expression" priority="3" dxfId="0">
      <formula>AND(ISNUMBER(I6),I6&lt;=0)</formula>
    </cfRule>
  </conditionalFormatting>
  <dataValidations count="1">
    <dataValidation sqref="E24 E25 E26 E27 E28 E29 E30 E32 E43 E54 E56 E57 E60 E66 E68 E69 E70 E71 E72 E73 E86 E89 E93 E95 E96 E97 E98 E99" showDropDown="0" showInputMessage="0" showErrorMessage="1" allowBlank="0" errorTitle="Invalid entry" error="Pick Hire or Hold" type="list">
      <formula1>"Hire,Hold"</formula1>
    </dataValidation>
  </dataValidations>
  <pageMargins left="0.75" right="0.75" top="1" bottom="1" header="0.5" footer="0.5"/>
</worksheet>
</file>

<file path=xl/worksheets/sheet30.xml><?xml version="1.0" encoding="utf-8"?>
<worksheet xmlns="http://schemas.openxmlformats.org/spreadsheetml/2006/main">
  <sheetPr>
    <tabColor rgb="00BF8F00"/>
    <outlinePr summaryBelow="1" summaryRight="1"/>
    <pageSetUpPr/>
  </sheetPr>
  <dimension ref="A1:J101"/>
  <sheetViews>
    <sheetView showGridLines="0" topLeftCell="A72" workbookViewId="0">
      <selection activeCell="B17" sqref="B17"/>
    </sheetView>
  </sheetViews>
  <sheetFormatPr baseColWidth="8" defaultRowHeight="14.5" outlineLevelCol="0"/>
  <cols>
    <col width="3" customWidth="1" style="506" min="1" max="1"/>
    <col width="44" customWidth="1" style="506" min="2" max="2"/>
    <col width="46" customWidth="1" style="506" min="3" max="3"/>
    <col width="12" customWidth="1" style="506" min="4" max="4"/>
    <col width="13" customWidth="1" style="506" min="5" max="5"/>
    <col width="14" customWidth="1" style="506" min="6" max="6"/>
    <col width="15" customWidth="1" style="506" min="7" max="7"/>
    <col width="17" customWidth="1" style="506" min="8" max="8"/>
    <col width="15" customWidth="1" style="506" min="9" max="9"/>
    <col width="30" customWidth="1" style="506" min="10" max="10"/>
  </cols>
  <sheetData>
    <row r="1"/>
    <row r="2" ht="21" customHeight="1" s="506">
      <c r="B2" s="569" t="str">
        <f>CONCATENATE('1.2 Customer'!$B$2," GM working copy")</f>
        <v>Customer GM working copy</v>
      </c>
    </row>
    <row r="3"/>
    <row r="4">
      <c r="B4" s="443" t="inlineStr">
        <is>
          <t>Position by squad</t>
        </is>
      </c>
      <c r="C4" s="444" t="n"/>
      <c r="D4" s="444" t="n"/>
      <c r="E4" s="444" t="n"/>
      <c r="F4" s="444" t="n"/>
      <c r="G4" s="444" t="n"/>
      <c r="H4" s="444" t="n"/>
      <c r="I4" s="444" t="n"/>
      <c r="J4" s="444" t="n"/>
    </row>
    <row r="5">
      <c r="B5" s="438" t="inlineStr">
        <is>
          <t>Squad</t>
        </is>
      </c>
      <c r="C5" s="667" t="inlineStr">
        <is>
          <t>Archetype type and size</t>
        </is>
      </c>
      <c r="D5" s="438" t="inlineStr">
        <is>
          <t>Archetype roles</t>
        </is>
      </c>
      <c r="E5" s="438" t="inlineStr">
        <is>
          <t>Filled</t>
        </is>
      </c>
      <c r="F5" s="438" t="inlineStr">
        <is>
          <t>Vacant</t>
        </is>
      </c>
      <c r="G5" s="438" t="inlineStr">
        <is>
          <t>Planning to hire</t>
        </is>
      </c>
      <c r="H5" s="577" t="inlineStr">
        <is>
          <t>Vacancies after calls</t>
        </is>
      </c>
      <c r="I5" s="438" t="inlineStr">
        <is>
          <t>vs archetype</t>
        </is>
      </c>
      <c r="J5" s="438" t="inlineStr">
        <is>
          <t>Flag</t>
        </is>
      </c>
    </row>
    <row r="6">
      <c r="B6" s="429" t="inlineStr">
        <is>
          <t>Ampol App</t>
        </is>
      </c>
      <c r="C6" s="692" t="str">
        <f>IF(OR('2.7 Squad Detail'!$F$23=0,'2.7 Squad Detail'!$F$23=""),'2.7 Squad Detail'!$E$23,'2.7 Squad Detail'!$E$23&amp;" - "&amp;'2.7 Squad Detail'!$F$23)</f>
        <v>Product - L</v>
      </c>
      <c r="D6" s="697">
        <f>'2.7 Squad Detail'!$G$23</f>
        <v>12.0</v>
      </c>
      <c r="E6" s="439">
        <f>COUNTIFS(Squads!$N:$N,"Customer",Squads!$P:$P,"Ampol App",Squads!$R:$R,"Filled")</f>
        <v>13.0</v>
      </c>
      <c r="F6" s="439">
        <f>COUNTIFS(Squads!$N:$N,"Customer",Squads!$P:$P,"Ampol App",Squads!$R:$R,"Vacant")</f>
        <v>1.0</v>
      </c>
      <c r="G6" s="439">
        <f>COUNTIF(E33:E33,"Hire")</f>
        <v>1.0</v>
      </c>
      <c r="H6" s="458">
        <f>F6-G6</f>
        <v>0.0</v>
      </c>
      <c r="I6" s="697">
        <f>IFERROR(E6+G6-D6,"-")</f>
        <v>2.0</v>
      </c>
      <c r="J6" s="429" t="str">
        <f>IF(ISNUMBER(D6),IF(E6&gt;D6,"Filled already over archetype",IF(E6+G6&gt;D6,"Over archetype after hire calls","")),"Outside the archetype model - no target set")</f>
        <v>Filled already over archetype</v>
      </c>
    </row>
    <row r="7">
      <c r="B7" s="429" t="inlineStr">
        <is>
          <t>Ampol Web</t>
        </is>
      </c>
      <c r="C7" s="692" t="str">
        <f>IF(OR('2.7 Squad Detail'!$F$24=0,'2.7 Squad Detail'!$F$24=""),'2.7 Squad Detail'!$E$24,'2.7 Squad Detail'!$E$24&amp;" - "&amp;'2.7 Squad Detail'!$F$24)</f>
        <v>Product - M</v>
      </c>
      <c r="D7" s="697">
        <f>'2.7 Squad Detail'!$G$24</f>
        <v>8.5</v>
      </c>
      <c r="E7" s="439">
        <f>COUNTIFS(Squads!$N:$N,"Customer",Squads!$P:$P,"Ampol Web",Squads!$R:$R,"Filled")</f>
        <v>9.0</v>
      </c>
      <c r="F7" s="439">
        <f>COUNTIFS(Squads!$N:$N,"Customer",Squads!$P:$P,"Ampol Web",Squads!$R:$R,"Vacant")</f>
        <v>1.0</v>
      </c>
      <c r="G7" s="439">
        <f>COUNTIF(E42:E42,"Hire")</f>
        <v>1.0</v>
      </c>
      <c r="H7" s="458">
        <f>F7-G7</f>
        <v>0.0</v>
      </c>
      <c r="I7" s="697">
        <f>IFERROR(E7+G7-D7,"-")</f>
        <v>1.5</v>
      </c>
      <c r="J7" s="429" t="str">
        <f>IF(ISNUMBER(D7),IF(E7&gt;D7,"Filled already over archetype",IF(E7+G7&gt;D7,"Over archetype after hire calls","")),"Outside the archetype model - no target set")</f>
        <v>Filled already over archetype</v>
      </c>
    </row>
    <row r="8">
      <c r="B8" s="429" t="inlineStr">
        <is>
          <t>Digital Operations</t>
        </is>
      </c>
      <c r="C8" s="692" t="str">
        <f>IF(OR('2.7 Squad Detail'!$F$25=0,'2.7 Squad Detail'!$F$25=""),'2.7 Squad Detail'!$E$25,'2.7 Squad Detail'!$E$25&amp;" - "&amp;'2.7 Squad Detail'!$F$25)</f>
        <v>Operations - M</v>
      </c>
      <c r="D8" s="697">
        <f>'2.7 Squad Detail'!$G$25</f>
        <v>6.0</v>
      </c>
      <c r="E8" s="439">
        <f>COUNTIFS(Squads!$N:$N,"Customer",Squads!$P:$P,"Digital Operations",Squads!$R:$R,"Filled")</f>
        <v>4.0</v>
      </c>
      <c r="F8" s="439">
        <f>COUNTIFS(Squads!$N:$N,"Customer",Squads!$P:$P,"Digital Operations",Squads!$R:$R,"Vacant")</f>
        <v>3.0</v>
      </c>
      <c r="G8" s="439">
        <f>COUNTIF(E52:E54,"Hire")</f>
        <v>0.0</v>
      </c>
      <c r="H8" s="458">
        <f>F8-G8</f>
        <v>3.0</v>
      </c>
      <c r="I8" s="697">
        <f>IFERROR(E8+G8-D8,"-")</f>
        <v>-2.0</v>
      </c>
      <c r="J8" s="429" t="str">
        <f>IF(ISNUMBER(D8),IF(E8&gt;D8,"Filled already over archetype",IF(E8+G8&gt;D8,"Over archetype after hire calls","")),"Outside the archetype model - no target set")</f>
        <v/>
      </c>
    </row>
    <row r="9">
      <c r="B9" s="429" t="inlineStr">
        <is>
          <t>Z Energy Apps</t>
        </is>
      </c>
      <c r="C9" s="692" t="str">
        <f>IF(OR('2.7 Squad Detail'!$F$27=0,'2.7 Squad Detail'!$F$27=""),'2.7 Squad Detail'!$E$27,'2.7 Squad Detail'!$E$27&amp;" - "&amp;'2.7 Squad Detail'!$F$27)</f>
        <v>Product - S</v>
      </c>
      <c r="D9" s="697">
        <f>'2.7 Squad Detail'!$G$27</f>
        <v>5.5</v>
      </c>
      <c r="E9" s="439">
        <f>COUNTIFS(Squads!$N:$N,"Customer",Squads!$P:$P,"Z Energy Apps",Squads!$R:$R,"Filled")</f>
        <v>5.0</v>
      </c>
      <c r="F9" s="439">
        <f>COUNTIFS(Squads!$N:$N,"Customer",Squads!$P:$P,"Z Energy Apps",Squads!$R:$R,"Vacant")</f>
        <v>0.0</v>
      </c>
      <c r="G9" s="748">
        <f>COUNTIF(E56:E60,"Hire")</f>
        <v>0.0</v>
      </c>
      <c r="H9" s="458">
        <f>F9-G9</f>
        <v>0.0</v>
      </c>
      <c r="I9" s="697">
        <f>IFERROR(E9+G9-D9,"-")</f>
        <v>-0.5</v>
      </c>
      <c r="J9" s="429" t="str">
        <f>IF(ISNUMBER(D9),IF(E9&gt;D9,"Filled already over archetype",IF(E9+G9&gt;D9,"Over archetype after hire calls","")),"Outside the archetype model - no target set")</f>
        <v/>
      </c>
    </row>
    <row r="10">
      <c r="B10" s="429" t="inlineStr">
        <is>
          <t>Z Energy Martech</t>
        </is>
      </c>
      <c r="C10" s="692" t="str">
        <f>IF(OR('2.7 Squad Detail'!$F$28=0,'2.7 Squad Detail'!$F$28=""),'2.7 Squad Detail'!$E$28,'2.7 Squad Detail'!$E$28&amp;" - "&amp;'2.7 Squad Detail'!$F$28)</f>
        <v>Product - L</v>
      </c>
      <c r="D10" s="697">
        <f>'2.7 Squad Detail'!$G$28</f>
        <v>12.0</v>
      </c>
      <c r="E10" s="439">
        <f>COUNTIFS(Squads!$N:$N,"Customer",Squads!$P:$P,"Z Energy Martech",Squads!$R:$R,"Filled")</f>
        <v>13.0</v>
      </c>
      <c r="F10" s="439">
        <f>COUNTIFS(Squads!$N:$N,"Customer",Squads!$P:$P,"Z Energy Martech",Squads!$R:$R,"Vacant")</f>
        <v>3.0</v>
      </c>
      <c r="G10" s="439">
        <f>COUNTIF(E64:E74,"Hire")</f>
        <v>1.0</v>
      </c>
      <c r="H10" s="458">
        <f>F10-G10</f>
        <v>2.0</v>
      </c>
      <c r="I10" s="697">
        <f>IFERROR(E10+G10-D10,"-")</f>
        <v>2.0</v>
      </c>
      <c r="J10" s="429" t="str">
        <f>IF(ISNUMBER(D10),IF(E10&gt;D10,"Filled already over archetype",IF(E10+G10&gt;D10,"Over archetype after hire calls","")),"Outside the archetype model - no target set")</f>
        <v>Filled already over archetype</v>
      </c>
    </row>
    <row r="11">
      <c r="B11" s="429" t="inlineStr">
        <is>
          <t>AU CRM &amp; Martech</t>
        </is>
      </c>
      <c r="C11" s="692" t="str">
        <f>IF(OR('2.7 Squad Detail'!$F$31=0,'2.7 Squad Detail'!$F$31=""),'2.7 Squad Detail'!$E$31,'2.7 Squad Detail'!$E$31&amp;" - "&amp;'2.7 Squad Detail'!$F$31)</f>
        <v>Product - M</v>
      </c>
      <c r="D11" s="697">
        <f>'2.7 Squad Detail'!$G$31</f>
        <v>8.5</v>
      </c>
      <c r="E11" s="439">
        <f>COUNTIFS(Squads!$N:$N,"Customer",Squads!$P:$P,"AU CRM &amp; Martech",Squads!$R:$R,"Filled")</f>
        <v>6.0</v>
      </c>
      <c r="F11" s="439">
        <f>COUNTIFS(Squads!$N:$N,"Customer",Squads!$P:$P,"AU CRM &amp; Martech",Squads!$R:$R,"Vacant")</f>
        <v>7.0</v>
      </c>
      <c r="G11" s="439">
        <f>COUNTIF(E79:E91,"Hire")</f>
        <v>0.0</v>
      </c>
      <c r="H11" s="458">
        <f>F11-G11</f>
        <v>7.0</v>
      </c>
      <c r="I11" s="697">
        <f>IFERROR(E11+G11-D11,"-")</f>
        <v>-2.5</v>
      </c>
      <c r="J11" s="429" t="str">
        <f>IF(ISNUMBER(D11),IF(E11&gt;D11,"Filled already over archetype",IF(E11+G11&gt;D11,"Over archetype after hire calls","")),"Outside the archetype model - no target set")</f>
        <v/>
      </c>
    </row>
    <row r="12">
      <c r="B12" s="429" t="inlineStr">
        <is>
          <t>EGI Customer</t>
        </is>
      </c>
      <c r="C12" s="692" t="str">
        <f>IF(OR('2.7 Squad Detail'!$F$34=0,'2.7 Squad Detail'!$F$34=""),'2.7 Squad Detail'!$E$34,'2.7 Squad Detail'!$E$34&amp;" - "&amp;'2.7 Squad Detail'!$F$34)</f>
        <v>Strategic Programs</v>
      </c>
      <c r="D12" s="697" t="str">
        <f>'2.7 Squad Detail'!$G$34</f>
        <v>-</v>
      </c>
      <c r="E12" s="439">
        <f>COUNTIFS(Squads!$N:$N,"Customer",Squads!$P:$P,"EGI Customer",Squads!$R:$R,"Filled")</f>
        <v>9.0</v>
      </c>
      <c r="F12" s="439">
        <f>COUNTIFS(Squads!$N:$N,"Customer",Squads!$P:$P,"EGI Customer",Squads!$R:$R,"Vacant")</f>
        <v>0.0</v>
      </c>
      <c r="G12" s="748">
        <f>COUNTIF(E93:E101,"Hire")</f>
        <v>0.0</v>
      </c>
      <c r="H12" s="458">
        <f>F12-G12</f>
        <v>0.0</v>
      </c>
      <c r="I12" s="697" t="str">
        <f>IFERROR(E12+G12-D12,"-")</f>
        <v>-</v>
      </c>
      <c r="J12" s="429" t="str">
        <f>IF(ISNUMBER(D12),IF(E12&gt;D12,"Filled already over archetype",IF(E12+G12&gt;D12,"Over archetype after hire calls","")),"Outside the archetype model - no target set")</f>
        <v>Outside the archetype model - no target set</v>
      </c>
    </row>
    <row r="13">
      <c r="B13" s="431" t="inlineStr">
        <is>
          <t>Total</t>
        </is>
      </c>
      <c r="D13" s="698">
        <f>SUM(D6:D12)</f>
        <v>52.5</v>
      </c>
      <c r="E13" s="447">
        <f>SUM(E6:E12)</f>
        <v>59.0</v>
      </c>
      <c r="F13" s="447">
        <f>SUM(F6:F12)</f>
        <v>15.0</v>
      </c>
      <c r="G13" s="447">
        <f>SUM(G6:G12)</f>
        <v>3.0</v>
      </c>
      <c r="H13" s="447">
        <f>SUM(H6:H12)</f>
        <v>12.0</v>
      </c>
      <c r="I13" s="698">
        <f>IF(COUNT(I6:I12)=0,"-",SUM(I6:I12))</f>
        <v>0.5</v>
      </c>
    </row>
    <row r="14">
      <c r="B14" s="492" t="inlineStr">
        <is>
          <t>Cost to hire all vacancies ($m)</t>
        </is>
      </c>
      <c r="C14" s="497">
        <f>SUM(F21:F101)/1000000</f>
        <v>3.0248743212366893</v>
      </c>
    </row>
    <row r="15">
      <c r="B15" s="492" t="inlineStr">
        <is>
          <t>Cost of roles marked Hire ($m)</t>
        </is>
      </c>
      <c r="C15" s="497">
        <f>SUMIF(E21:E101,"Hire",F21:F101)/1000000</f>
        <v>0.6602554720588234</v>
      </c>
    </row>
    <row r="16">
      <c r="B16" s="429" t="n"/>
    </row>
    <row r="17">
      <c r="B17" s="429" t="inlineStr">
        <is>
          <t>Leadership roles are funded via the portfolio overheads and sit on 2.7 Squad Detail, not here.</t>
        </is>
      </c>
    </row>
    <row r="18">
      <c r="B18" s="695" t="inlineStr">
        <is>
          <t>vs archetype: positive = over the allowance, negative = under.</t>
        </is>
      </c>
    </row>
    <row r="19">
      <c r="B19" s="749" t="inlineStr">
        <is>
          <t>Roster - Hire or Hold each vacancy</t>
        </is>
      </c>
      <c r="C19" s="750" t="n"/>
      <c r="D19" s="750" t="n"/>
      <c r="E19" s="750" t="n"/>
      <c r="F19" s="750" t="n"/>
      <c r="G19" s="751" t="n"/>
      <c r="H19" s="751" t="n"/>
      <c r="I19" s="751" t="n"/>
      <c r="J19" s="751" t="n"/>
    </row>
    <row r="20">
      <c r="B20" s="438" t="inlineStr">
        <is>
          <t>Name</t>
        </is>
      </c>
      <c r="C20" s="438" t="inlineStr">
        <is>
          <t>Role</t>
        </is>
      </c>
      <c r="D20" s="438" t="inlineStr">
        <is>
          <t>Status</t>
        </is>
      </c>
      <c r="E20" s="438" t="inlineStr">
        <is>
          <t>Call</t>
        </is>
      </c>
      <c r="F20" s="438" t="inlineStr">
        <is>
          <t>Cost if hired ($)</t>
        </is>
      </c>
    </row>
    <row r="21">
      <c r="B21" s="464" t="inlineStr">
        <is>
          <t>Ampol App</t>
        </is>
      </c>
      <c r="C21" s="465" t="n"/>
      <c r="D21" s="465" t="n"/>
      <c r="E21" s="465" t="n"/>
    </row>
    <row r="22">
      <c r="B22" s="429" t="str">
        <f>Squads!$B$118</f>
        <v>Ethan Laffan</v>
      </c>
      <c r="C22" s="429" t="str">
        <f>SUBSTITUTE(SUBSTITUTE(Squads!$C$118,"–","-"),"—","-")</f>
        <v>Associate Experience Designer</v>
      </c>
      <c r="D22" s="439" t="str">
        <f>Squads!$R$118</f>
        <v>Filled</v>
      </c>
    </row>
    <row r="23">
      <c r="B23" s="429" t="str">
        <f>Squads!$B$119</f>
        <v>Alisha Allport</v>
      </c>
      <c r="C23" s="429" t="str">
        <f>SUBSTITUTE(SUBSTITUTE(Squads!$C$119,"–","-"),"—","-")</f>
        <v>Principal Experience Designer</v>
      </c>
      <c r="D23" s="439" t="str">
        <f>Squads!$R$119</f>
        <v>Filled</v>
      </c>
    </row>
    <row r="24">
      <c r="B24" s="429" t="str">
        <f>Squads!$B$121</f>
        <v>Maria Salman</v>
      </c>
      <c r="C24" s="429" t="str">
        <f>SUBSTITUTE(SUBSTITUTE(Squads!$C$121,"–","-"),"—","-")</f>
        <v>Experience Designer</v>
      </c>
      <c r="D24" s="439" t="str">
        <f>Squads!$R$121</f>
        <v>Filled</v>
      </c>
    </row>
    <row r="25">
      <c r="B25" s="429" t="str">
        <f>Squads!$B$134</f>
        <v>Raj Ganesan</v>
      </c>
      <c r="C25" s="429" t="str">
        <f>SUBSTITUTE(SUBSTITUTE(Squads!$C$134,"–","-"),"—","-")</f>
        <v>Engineer - Mobile (ios)</v>
      </c>
      <c r="D25" s="439" t="str">
        <f>Squads!$R$134</f>
        <v>Filled</v>
      </c>
    </row>
    <row r="26">
      <c r="B26" s="429" t="str">
        <f>Squads!$B$138</f>
        <v>Annabel Phu</v>
      </c>
      <c r="C26" s="429" t="str">
        <f>SUBSTITUTE(SUBSTITUTE(Squads!$C$138,"–","-"),"—","-")</f>
        <v>Engineer - Mobile</v>
      </c>
      <c r="D26" s="439" t="str">
        <f>Squads!$R$138</f>
        <v>Filled</v>
      </c>
    </row>
    <row r="27">
      <c r="B27" s="429" t="str">
        <f>Squads!$B$139</f>
        <v>Binumon Mathai</v>
      </c>
      <c r="C27" s="429" t="str">
        <f>SUBSTITUTE(SUBSTITUTE(Squads!$C$139,"–","-"),"—","-")</f>
        <v>Senior Quality Assurance</v>
      </c>
      <c r="D27" s="439" t="str">
        <f>Squads!$R$139</f>
        <v>Filled</v>
      </c>
    </row>
    <row r="28">
      <c r="B28" s="429" t="str">
        <f>Squads!$B$140</f>
        <v>Sheetal Karkera</v>
      </c>
      <c r="C28" s="429" t="str">
        <f>SUBSTITUTE(SUBSTITUTE(Squads!$C$140,"–","-"),"—","-")</f>
        <v>Lead Engineer - Mobile</v>
      </c>
      <c r="D28" s="439" t="str">
        <f>Squads!$R$140</f>
        <v>Filled</v>
      </c>
    </row>
    <row r="29">
      <c r="B29" s="429" t="str">
        <f>Squads!$B$141</f>
        <v>Toby Clark</v>
      </c>
      <c r="C29" s="429" t="str">
        <f>SUBSTITUTE(SUBSTITUTE(Squads!$C$141,"–","-"),"—","-")</f>
        <v>Engineer - Mobile (iOS)</v>
      </c>
      <c r="D29" s="439" t="str">
        <f>Squads!$R$141</f>
        <v>Filled</v>
      </c>
    </row>
    <row r="30">
      <c r="B30" s="429" t="str">
        <f>Squads!$B$146</f>
        <v>Phillip Kewley</v>
      </c>
      <c r="C30" s="429" t="str">
        <f>SUBSTITUTE(SUBSTITUTE(Squads!$C$146,"–","-"),"—","-")</f>
        <v>Quality Assurance</v>
      </c>
      <c r="D30" s="439" t="str">
        <f>Squads!$R$146</f>
        <v>Filled</v>
      </c>
    </row>
    <row r="31">
      <c r="B31" s="429" t="str">
        <f>Squads!$B$169</f>
        <v>Khalid Mahmud</v>
      </c>
      <c r="C31" s="429" t="str">
        <f>SUBSTITUTE(SUBSTITUTE(Squads!$C$169,"–","-"),"—","-")</f>
        <v>Lead Engineer - BE</v>
      </c>
      <c r="D31" s="439" t="str">
        <f>Squads!$R$169</f>
        <v>Filled</v>
      </c>
    </row>
    <row r="32">
      <c r="B32" s="429" t="str">
        <f>Squads!$B$181</f>
        <v>Penny Pennisi</v>
      </c>
      <c r="C32" s="429" t="str">
        <f>SUBSTITUTE(SUBSTITUTE(Squads!$C$181,"–","-"),"—","-")</f>
        <v>Delivery Lead</v>
      </c>
      <c r="D32" s="439" t="str">
        <f>Squads!$R$181</f>
        <v>Filled</v>
      </c>
    </row>
    <row r="33">
      <c r="B33" s="429" t="str">
        <f>Squads!$B$198</f>
        <v>Vacant</v>
      </c>
      <c r="C33" s="429" t="str">
        <f>SUBSTITUTE(SUBSTITUTE(Squads!$C$198,"–","-"),"—","-")</f>
        <v>Senior Engineer - BE</v>
      </c>
      <c r="D33" s="439" t="str">
        <f>Squads!$R$198</f>
        <v>Vacant</v>
      </c>
      <c r="E33" s="504" t="inlineStr">
        <is>
          <t>Hire</t>
        </is>
      </c>
      <c r="F33" s="442">
        <f>SUMIF('Added data'!$C$2:$C$549,Squads!$C$198,'Added data'!$AA$2:$AA$549)/COUNTIF('Added data'!$C$2:$C$549,Squads!$C$198)</f>
        <v>216043.05</v>
      </c>
    </row>
    <row r="34">
      <c r="B34" s="429" t="str">
        <f>Squads!$B$199</f>
        <v>Anup Antony</v>
      </c>
      <c r="C34" s="429" t="str">
        <f>SUBSTITUTE(SUBSTITUTE(Squads!$C$199,"–","-"),"—","-")</f>
        <v>Engineer - BE</v>
      </c>
      <c r="D34" s="439" t="str">
        <f>Squads!$R$199</f>
        <v>Filled</v>
      </c>
    </row>
    <row r="35">
      <c r="B35" s="429" t="str">
        <f>Squads!$B$426</f>
        <v>Marcela Gonzalez</v>
      </c>
      <c r="C35" s="429" t="str">
        <f>SUBSTITUTE(SUBSTITUTE(Squads!$C$426,"–","-"),"—","-")</f>
        <v>Energy Platforms Lead</v>
      </c>
      <c r="D35" s="439" t="str">
        <f>Squads!$R$426</f>
        <v>Filled</v>
      </c>
    </row>
    <row r="36">
      <c r="B36" s="464" t="inlineStr">
        <is>
          <t>Ampol Web</t>
        </is>
      </c>
      <c r="C36" s="465" t="n"/>
      <c r="D36" s="465" t="n"/>
      <c r="E36" s="465" t="n"/>
    </row>
    <row r="37">
      <c r="B37" s="429" t="str">
        <f>Squads!$B$122</f>
        <v>Adam Anticaglia</v>
      </c>
      <c r="C37" s="429" t="str">
        <f>SUBSTITUTE(SUBSTITUTE(Squads!$C$122,"–","-"),"—","-")</f>
        <v>Experience Designer (CMS)</v>
      </c>
      <c r="D37" s="439" t="str">
        <f>Squads!$R$122</f>
        <v>Filled</v>
      </c>
    </row>
    <row r="38">
      <c r="B38" s="429" t="str">
        <f>Squads!$B$136</f>
        <v>Jordan Askwith</v>
      </c>
      <c r="C38" s="429" t="str">
        <f>SUBSTITUTE(SUBSTITUTE(Squads!$C$136,"–","-"),"—","-")</f>
        <v>Solution Architect</v>
      </c>
      <c r="D38" s="439" t="str">
        <f>Squads!$R$136</f>
        <v>Filled</v>
      </c>
    </row>
    <row r="39">
      <c r="B39" s="429" t="str">
        <f>Squads!$B$145</f>
        <v>Ashwini Gaikwad</v>
      </c>
      <c r="C39" s="429" t="str">
        <f>SUBSTITUTE(SUBSTITUTE(Squads!$C$145,"–","-"),"—","-")</f>
        <v>Quality Assurance</v>
      </c>
      <c r="D39" s="439" t="str">
        <f>Squads!$R$145</f>
        <v>Filled</v>
      </c>
    </row>
    <row r="40">
      <c r="B40" s="429" t="str">
        <f>Squads!$B$156</f>
        <v>Aaron Lu</v>
      </c>
      <c r="C40" s="429" t="str">
        <f>SUBSTITUTE(SUBSTITUTE(Squads!$C$156,"–","-"),"—","-")</f>
        <v>Engineer - BE</v>
      </c>
      <c r="D40" s="439" t="str">
        <f>Squads!$R$156</f>
        <v>Filled</v>
      </c>
    </row>
    <row r="41">
      <c r="B41" s="429" t="str">
        <f>Squads!$B$163</f>
        <v>Zohan Sim</v>
      </c>
      <c r="C41" s="429" t="str">
        <f>SUBSTITUTE(SUBSTITUTE(Squads!$C$163,"–","-"),"—","-")</f>
        <v>Engineer - BE</v>
      </c>
      <c r="D41" s="439" t="str">
        <f>Squads!$R$163</f>
        <v>Filled</v>
      </c>
    </row>
    <row r="42">
      <c r="B42" s="429" t="str">
        <f>Squads!$B$171</f>
        <v>Vacant</v>
      </c>
      <c r="C42" s="429" t="str">
        <f>SUBSTITUTE(SUBSTITUTE(Squads!$C$171,"–","-"),"—","-")</f>
        <v>Snr Engineer - BE</v>
      </c>
      <c r="D42" s="439" t="str">
        <f>Squads!$R$171</f>
        <v>Vacant</v>
      </c>
      <c r="E42" s="504" t="inlineStr">
        <is>
          <t>Hire</t>
        </is>
      </c>
      <c r="F42" s="442">
        <f>SUMIF('Added data'!$C$2:$C$549,Squads!$C$171,'Added data'!$AA$2:$AA$549)/COUNTIF('Added data'!$C$2:$C$549,Squads!$C$171)</f>
        <v>203709.525</v>
      </c>
    </row>
    <row r="43">
      <c r="B43" s="429" t="str">
        <f>Squads!$B$174</f>
        <v>Darwin Morales</v>
      </c>
      <c r="C43" s="429" t="str">
        <f>SUBSTITUTE(SUBSTITUTE(Squads!$C$174,"–","-"),"—","-")</f>
        <v>Snr Engineer - FE</v>
      </c>
      <c r="D43" s="439" t="str">
        <f>Squads!$R$174</f>
        <v>Filled</v>
      </c>
    </row>
    <row r="44">
      <c r="B44" s="429" t="str">
        <f>Squads!$B$182</f>
        <v>Saugata Acharya</v>
      </c>
      <c r="C44" s="429" t="str">
        <f>SUBSTITUTE(SUBSTITUTE(Squads!$C$182,"–","-"),"—","-")</f>
        <v>Delivery Lead</v>
      </c>
      <c r="D44" s="439" t="str">
        <f>Squads!$R$182</f>
        <v>Filled</v>
      </c>
    </row>
    <row r="45">
      <c r="B45" s="429" t="str">
        <f>Squads!$B$185</f>
        <v>Lily Fong</v>
      </c>
      <c r="C45" s="429" t="str">
        <f>SUBSTITUTE(SUBSTITUTE(Squads!$C$185,"–","-"),"—","-")</f>
        <v>Snr Business Analyst</v>
      </c>
      <c r="D45" s="439" t="str">
        <f>Squads!$R$185</f>
        <v>Filled</v>
      </c>
    </row>
    <row r="46">
      <c r="B46" s="429" t="str">
        <f>Squads!$B$192</f>
        <v>Jin Zhong</v>
      </c>
      <c r="C46" s="429" t="str">
        <f>SUBSTITUTE(SUBSTITUTE(Squads!$C$192,"–","-"),"—","-")</f>
        <v>Lead Engineer - BE</v>
      </c>
      <c r="D46" s="439" t="str">
        <f>Squads!$R$192</f>
        <v>Filled</v>
      </c>
    </row>
    <row r="47">
      <c r="B47" s="464" t="inlineStr">
        <is>
          <t>Digital Operations</t>
        </is>
      </c>
      <c r="C47" s="465" t="n"/>
      <c r="D47" s="465" t="n"/>
      <c r="E47" s="465" t="n"/>
    </row>
    <row r="48">
      <c r="B48" s="429" t="str">
        <f>Squads!$B$132</f>
        <v>Daniel Arban</v>
      </c>
      <c r="C48" s="429" t="str">
        <f>SUBSTITUTE(SUBSTITUTE(Squads!$C$132,"–","-"),"—","-")</f>
        <v>Service Delivery Lead</v>
      </c>
      <c r="D48" s="439" t="str">
        <f>Squads!$R$132</f>
        <v>Filled</v>
      </c>
    </row>
    <row r="49">
      <c r="B49" s="429" t="str">
        <f>Squads!$B$133</f>
        <v>Emile Violi</v>
      </c>
      <c r="C49" s="429" t="str">
        <f>SUBSTITUTE(SUBSTITUTE(Squads!$C$133,"–","-"),"—","-")</f>
        <v>Engineer - BE</v>
      </c>
      <c r="D49" s="439" t="str">
        <f>Squads!$R$133</f>
        <v>Filled</v>
      </c>
    </row>
    <row r="50">
      <c r="B50" s="429" t="str">
        <f>Squads!$B$135</f>
        <v>Shreema Das</v>
      </c>
      <c r="C50" s="429" t="str">
        <f>SUBSTITUTE(SUBSTITUTE(Squads!$C$135,"–","-"),"—","-")</f>
        <v>Solution Architect</v>
      </c>
      <c r="D50" s="439" t="str">
        <f>Squads!$R$135</f>
        <v>Filled</v>
      </c>
    </row>
    <row r="51">
      <c r="B51" s="429" t="str">
        <f>Squads!$B$162</f>
        <v>Mark Wilson</v>
      </c>
      <c r="C51" s="429" t="str">
        <f>SUBSTITUTE(SUBSTITUTE(Squads!$C$162,"–","-"),"—","-")</f>
        <v>Digital Support Manager (AU)</v>
      </c>
      <c r="D51" s="439" t="str">
        <f>Squads!$R$162</f>
        <v>Filled</v>
      </c>
    </row>
    <row r="52">
      <c r="B52" s="429" t="str">
        <f>Squads!$B$164</f>
        <v>Vacant</v>
      </c>
      <c r="C52" s="429" t="str">
        <f>SUBSTITUTE(SUBSTITUTE(Squads!$C$164,"–","-"),"—","-")</f>
        <v>Engineer - BE</v>
      </c>
      <c r="D52" s="439" t="str">
        <f>Squads!$R$164</f>
        <v>Vacant</v>
      </c>
      <c r="E52" s="504" t="inlineStr">
        <is>
          <t>Hold</t>
        </is>
      </c>
      <c r="F52" s="442">
        <f>SUMIF('Added data'!$C$2:$C$549,Squads!$C$164,'Added data'!$AA$2:$AA$549)/COUNTIF('Added data'!$C$2:$C$549,Squads!$C$164)</f>
        <v>221784.0790909091</v>
      </c>
    </row>
    <row r="53">
      <c r="B53" s="429" t="str">
        <f>Squads!$B$167</f>
        <v>Vacant</v>
      </c>
      <c r="C53" s="429" t="str">
        <f>SUBSTITUTE(SUBSTITUTE(Squads!$C$167,"–","-"),"—","-")</f>
        <v>Engineer - BE</v>
      </c>
      <c r="D53" s="439" t="str">
        <f>Squads!$R$167</f>
        <v>Vacant</v>
      </c>
      <c r="E53" s="504" t="inlineStr">
        <is>
          <t>Hold</t>
        </is>
      </c>
      <c r="F53" s="442">
        <f>SUMIF('Added data'!$C$2:$C$549,Squads!$C$167,'Added data'!$AA$2:$AA$549)/COUNTIF('Added data'!$C$2:$C$549,Squads!$C$167)</f>
        <v>221784.0790909091</v>
      </c>
    </row>
    <row r="54">
      <c r="B54" s="429" t="str">
        <f>Squads!$B$184</f>
        <v>Vacant</v>
      </c>
      <c r="C54" s="429" t="str">
        <f>SUBSTITUTE(SUBSTITUTE(Squads!$C$184,"–","-"),"—","-")</f>
        <v>Quality Assurance</v>
      </c>
      <c r="D54" s="439" t="str">
        <f>Squads!$R$184</f>
        <v>Vacant</v>
      </c>
      <c r="E54" s="504" t="inlineStr">
        <is>
          <t>Hold</t>
        </is>
      </c>
      <c r="F54" s="442">
        <f>SUMIF('Added data'!$C$2:$C$549,Squads!$C$184,'Added data'!$AA$2:$AA$549)/COUNTIF('Added data'!$C$2:$C$549,Squads!$C$184)</f>
        <v>169798.89904347828</v>
      </c>
    </row>
    <row r="55">
      <c r="B55" s="464" t="inlineStr">
        <is>
          <t>Z Energy Apps</t>
        </is>
      </c>
      <c r="C55" s="465" t="n"/>
      <c r="D55" s="465" t="n"/>
      <c r="E55" s="465" t="n"/>
    </row>
    <row r="56">
      <c r="B56" s="429" t="str">
        <f>Squads!$B$116</f>
        <v>Sam Turnball</v>
      </c>
      <c r="C56" s="429" t="str">
        <f>SUBSTITUTE(SUBSTITUTE(Squads!$C$116,"–","-"),"—","-")</f>
        <v>Associate Experience Designer</v>
      </c>
      <c r="D56" s="439" t="str">
        <f>Squads!$R$116</f>
        <v>Filled</v>
      </c>
    </row>
    <row r="57">
      <c r="B57" s="429" t="str">
        <f>Squads!$B$117</f>
        <v>Ants Jackson</v>
      </c>
      <c r="C57" s="429" t="str">
        <f>SUBSTITUTE(SUBSTITUTE(Squads!$C$117,"–","-"),"—","-")</f>
        <v>Experience Designer</v>
      </c>
      <c r="D57" s="439" t="str">
        <f>Squads!$R$117</f>
        <v>Filled</v>
      </c>
    </row>
    <row r="58">
      <c r="B58" s="429" t="str">
        <f>Squads!$B$120</f>
        <v>Tim Corin</v>
      </c>
      <c r="C58" s="429" t="str">
        <f>SUBSTITUTE(SUBSTITUTE(Squads!$C$120,"–","-"),"—","-")</f>
        <v>Experience Designer</v>
      </c>
      <c r="D58" s="439" t="str">
        <f>Squads!$R$120</f>
        <v>Filled</v>
      </c>
    </row>
    <row r="59">
      <c r="B59" s="429" t="str">
        <f>Squads!$B$161</f>
        <v>Shane Abrahams</v>
      </c>
      <c r="C59" s="429" t="str">
        <f>SUBSTITUTE(SUBSTITUTE(Squads!$C$161,"–","-"),"—","-")</f>
        <v>Digital Support Manager - NZ</v>
      </c>
      <c r="D59" s="439" t="str">
        <f>Squads!$R$161</f>
        <v>Filled</v>
      </c>
    </row>
    <row r="60">
      <c r="B60" s="429" t="str">
        <f>Squads!$B$193</f>
        <v>James Nicolle</v>
      </c>
      <c r="C60" s="429" t="str">
        <f>SUBSTITUTE(SUBSTITUTE(Squads!$C$193,"–","-"),"—","-")</f>
        <v>Delivery Lead</v>
      </c>
      <c r="D60" s="439" t="str">
        <f>Squads!$R$193</f>
        <v>Filled</v>
      </c>
    </row>
    <row r="61">
      <c r="B61" s="464" t="inlineStr">
        <is>
          <t>Z Energy Martech</t>
        </is>
      </c>
      <c r="C61" s="465" t="n"/>
      <c r="D61" s="465" t="n"/>
      <c r="E61" s="465" t="n"/>
    </row>
    <row r="62">
      <c r="B62" s="429" t="str">
        <f>Squads!$B$127</f>
        <v>Kaye Javier</v>
      </c>
      <c r="C62" s="429" t="str">
        <f>SUBSTITUTE(SUBSTITUTE(Squads!$C$127,"–","-"),"—","-")</f>
        <v>QA Analyst</v>
      </c>
      <c r="D62" s="439" t="str">
        <f>Squads!$R$127</f>
        <v>Filled</v>
      </c>
    </row>
    <row r="63">
      <c r="B63" s="429" t="str">
        <f>Squads!$B$128</f>
        <v>Bharat Talreja</v>
      </c>
      <c r="C63" s="429" t="str">
        <f>SUBSTITUTE(SUBSTITUTE(Squads!$C$128,"–","-"),"—","-")</f>
        <v>Marketing Technology Lead</v>
      </c>
      <c r="D63" s="439" t="str">
        <f>Squads!$R$128</f>
        <v>Filled</v>
      </c>
    </row>
    <row r="64">
      <c r="B64" s="429" t="str">
        <f>Squads!$B$129</f>
        <v>Vacant</v>
      </c>
      <c r="C64" s="429" t="str">
        <f>SUBSTITUTE(SUBSTITUTE(Squads!$C$129,"–","-"),"—","-")</f>
        <v>Solution Architect</v>
      </c>
      <c r="D64" s="439" t="str">
        <f>Squads!$R$129</f>
        <v>Vacant</v>
      </c>
      <c r="E64" s="504" t="inlineStr">
        <is>
          <t>Hire</t>
        </is>
      </c>
      <c r="F64" s="442">
        <f>SUMIF('Added data'!$C$2:$C$549,Squads!$C$129,'Added data'!$AA$2:$AA$549)/COUNTIF('Added data'!$C$2:$C$549,Squads!$C$129)</f>
        <v>240502.89705882352</v>
      </c>
    </row>
    <row r="65">
      <c r="B65" s="429" t="str">
        <f>Squads!$B$130</f>
        <v>Kishore Ganesan</v>
      </c>
      <c r="C65" s="429" t="str">
        <f>SUBSTITUTE(SUBSTITUTE(Squads!$C$130,"–","-"),"—","-")</f>
        <v>Intermediate Quality Assurance</v>
      </c>
      <c r="D65" s="439" t="str">
        <f>Squads!$R$130</f>
        <v>Filled</v>
      </c>
    </row>
    <row r="66">
      <c r="B66" s="429" t="str">
        <f>Squads!$B$131</f>
        <v>Carianne Monast</v>
      </c>
      <c r="C66" s="429" t="str">
        <f>SUBSTITUTE(SUBSTITUTE(Squads!$C$131,"–","-"),"—","-")</f>
        <v>Martech Specialist</v>
      </c>
      <c r="D66" s="439" t="str">
        <f>Squads!$R$131</f>
        <v>Filled</v>
      </c>
    </row>
    <row r="67">
      <c r="B67" s="429" t="str">
        <f>Squads!$B$147</f>
        <v>Celia Voysey</v>
      </c>
      <c r="C67" s="429" t="str">
        <f>SUBSTITUTE(SUBSTITUTE(Squads!$C$147,"–","-"),"—","-")</f>
        <v>Delivery Lead</v>
      </c>
      <c r="D67" s="439" t="str">
        <f>Squads!$R$147</f>
        <v>Filled</v>
      </c>
    </row>
    <row r="68">
      <c r="B68" s="429" t="str">
        <f>Squads!$B$150</f>
        <v>Denise Esguerra</v>
      </c>
      <c r="C68" s="429" t="str">
        <f>SUBSTITUTE(SUBSTITUTE(Squads!$C$150,"–","-"),"—","-")</f>
        <v>Martech Specialist</v>
      </c>
      <c r="D68" s="439" t="str">
        <f>Squads!$R$150</f>
        <v>Filled</v>
      </c>
    </row>
    <row r="69">
      <c r="B69" s="429" t="str">
        <f>Squads!$B$168</f>
        <v>Scott Cullen</v>
      </c>
      <c r="C69" s="429" t="str">
        <f>SUBSTITUTE(SUBSTITUTE(Squads!$C$168,"–","-"),"—","-")</f>
        <v>Engineer, Dev Ops</v>
      </c>
      <c r="D69" s="439" t="str">
        <f>Squads!$R$168</f>
        <v>Filled</v>
      </c>
    </row>
    <row r="70">
      <c r="B70" s="429" t="str">
        <f>Squads!$B$177</f>
        <v>anthonty gen</v>
      </c>
      <c r="C70" s="429" t="str">
        <f>SUBSTITUTE(SUBSTITUTE(Squads!$C$177,"–","-"),"—","-")</f>
        <v>Data Analyst</v>
      </c>
      <c r="D70" s="439" t="str">
        <f>Squads!$R$177</f>
        <v>Filled</v>
      </c>
    </row>
    <row r="71">
      <c r="B71" s="429" t="str">
        <f>Squads!$B$180</f>
        <v>Vacant</v>
      </c>
      <c r="C71" s="429" t="str">
        <f>SUBSTITUTE(SUBSTITUTE(Squads!$C$180,"–","-"),"—","-")</f>
        <v>Snr Engineer, Data</v>
      </c>
      <c r="D71" s="439" t="str">
        <f>Squads!$R$180</f>
        <v>Vacant</v>
      </c>
      <c r="E71" s="504" t="inlineStr">
        <is>
          <t>Hold</t>
        </is>
      </c>
      <c r="F71" s="442">
        <f>SUMIF('Added data'!$C$2:$C$549,Squads!$C$180,'Added data'!$AA$2:$AA$549)/COUNTIF('Added data'!$C$2:$C$549,Squads!$C$180)</f>
        <v>202853.25</v>
      </c>
    </row>
    <row r="72">
      <c r="B72" s="429" t="str">
        <f>Squads!$B$183</f>
        <v>Kellie Gathergood</v>
      </c>
      <c r="C72" s="429" t="str">
        <f>SUBSTITUTE(SUBSTITUTE(Squads!$C$183,"–","-"),"—","-")</f>
        <v>Lead Quality Assurance</v>
      </c>
      <c r="D72" s="439" t="str">
        <f>Squads!$R$183</f>
        <v>Filled</v>
      </c>
    </row>
    <row r="73">
      <c r="B73" s="429" t="str">
        <f>Squads!$B$191</f>
        <v>Nimi Rose</v>
      </c>
      <c r="C73" s="429" t="str">
        <f>SUBSTITUTE(SUBSTITUTE(Squads!$C$191,"–","-"),"—","-")</f>
        <v>Marketing Technology Lead</v>
      </c>
      <c r="D73" s="439" t="str">
        <f>Squads!$R$191</f>
        <v>Filled</v>
      </c>
    </row>
    <row r="74">
      <c r="B74" s="429" t="str">
        <f>Squads!$B$194</f>
        <v>Vacant</v>
      </c>
      <c r="C74" s="429" t="str">
        <f>SUBSTITUTE(SUBSTITUTE(Squads!$C$194,"–","-"),"—","-")</f>
        <v>Engineer, Software</v>
      </c>
      <c r="D74" s="439" t="str">
        <f>Squads!$R$194</f>
        <v>Vacant</v>
      </c>
      <c r="E74" s="504" t="inlineStr">
        <is>
          <t>Hold</t>
        </is>
      </c>
      <c r="F74" s="442">
        <f>SUMIF('Added data'!$C$2:$C$549,Squads!$C$194,'Added data'!$AA$2:$AA$549)/COUNTIF('Added data'!$C$2:$C$549,Squads!$C$194)</f>
        <v>202853.25</v>
      </c>
    </row>
    <row r="75">
      <c r="B75" s="429" t="str">
        <f>Squads!$B$195</f>
        <v>Megan Rodgers</v>
      </c>
      <c r="C75" s="429" t="str">
        <f>SUBSTITUTE(SUBSTITUTE(Squads!$C$195,"–","-"),"—","-")</f>
        <v>Business Analyst</v>
      </c>
      <c r="D75" s="439" t="str">
        <f>Squads!$R$195</f>
        <v>Filled</v>
      </c>
    </row>
    <row r="76">
      <c r="B76" s="429" t="str">
        <f>Squads!$B$196</f>
        <v>Yash Thakkar</v>
      </c>
      <c r="C76" s="429" t="str">
        <f>SUBSTITUTE(SUBSTITUTE(Squads!$C$196,"–","-"),"—","-")</f>
        <v>Martech Specialist</v>
      </c>
      <c r="D76" s="439" t="str">
        <f>Squads!$R$196</f>
        <v>Filled</v>
      </c>
    </row>
    <row r="77">
      <c r="B77" s="429" t="str">
        <f>Squads!$B$202</f>
        <v>Jordan Kettles</v>
      </c>
      <c r="C77" s="429" t="str">
        <f>SUBSTITUTE(SUBSTITUTE(Squads!$C$202,"–","-"),"—","-")</f>
        <v>Engineer, Sotware</v>
      </c>
      <c r="D77" s="439" t="str">
        <f>Squads!$R$202</f>
        <v>Filled</v>
      </c>
    </row>
    <row r="78">
      <c r="B78" s="464" t="inlineStr">
        <is>
          <t>AU CRM &amp; Martech</t>
        </is>
      </c>
      <c r="C78" s="465" t="n"/>
      <c r="D78" s="465" t="n"/>
      <c r="E78" s="465" t="n"/>
    </row>
    <row r="79">
      <c r="B79" s="429" t="str">
        <f>Squads!$B$148</f>
        <v>Vacant</v>
      </c>
      <c r="C79" s="429" t="str">
        <f>SUBSTITUTE(SUBSTITUTE(Squads!$C$148,"–","-"),"—","-")</f>
        <v>System Specialist</v>
      </c>
      <c r="D79" s="439" t="str">
        <f>Squads!$R$148</f>
        <v>Vacant</v>
      </c>
      <c r="E79" s="504" t="inlineStr">
        <is>
          <t>Hold</t>
        </is>
      </c>
      <c r="F79" s="442">
        <f>SUMIF('Added data'!$C$2:$C$549,Squads!$C$148,'Added data'!$AA$2:$AA$549)/COUNTIF('Added data'!$C$2:$C$549,Squads!$C$148)</f>
        <v>197904.0</v>
      </c>
    </row>
    <row r="80">
      <c r="B80" s="429" t="str">
        <f>Squads!$B$149</f>
        <v>Shinal Chamberlain</v>
      </c>
      <c r="C80" s="429" t="str">
        <f>SUBSTITUTE(SUBSTITUTE(Squads!$C$149,"–","-"),"—","-")</f>
        <v>Business Analyst</v>
      </c>
      <c r="D80" s="439" t="str">
        <f>Squads!$R$149</f>
        <v>Filled</v>
      </c>
    </row>
    <row r="81">
      <c r="B81" s="429" t="str">
        <f>Squads!$B$153</f>
        <v>Vacant</v>
      </c>
      <c r="C81" s="429" t="str">
        <f>SUBSTITUTE(SUBSTITUTE(Squads!$C$153,"–","-"),"—","-")</f>
        <v>Engineer Data (Snowflake)</v>
      </c>
      <c r="D81" s="439" t="str">
        <f>Squads!$R$153</f>
        <v>Vacant</v>
      </c>
      <c r="E81" s="504" t="inlineStr">
        <is>
          <t>Hold</t>
        </is>
      </c>
      <c r="F81" s="442">
        <f>SUMIF('Added data'!$C$2:$C$549,Squads!$C$153,'Added data'!$AA$2:$AA$549)/COUNTIF('Added data'!$C$2:$C$549,Squads!$C$153)</f>
        <v>202853.25</v>
      </c>
    </row>
    <row r="82">
      <c r="B82" s="429" t="str">
        <f>Squads!$B$172</f>
        <v>Vacant</v>
      </c>
      <c r="C82" s="429" t="str">
        <f>SUBSTITUTE(SUBSTITUTE(Squads!$C$172,"–","-"),"—","-")</f>
        <v>Data Analyst</v>
      </c>
      <c r="D82" s="439" t="str">
        <f>Squads!$R$172</f>
        <v>Vacant</v>
      </c>
      <c r="E82" s="504" t="inlineStr">
        <is>
          <t>Hold</t>
        </is>
      </c>
      <c r="F82" s="442">
        <f>SUMIF('Added data'!$C$2:$C$549,Squads!$C$172,'Added data'!$AA$2:$AA$549)/COUNTIF('Added data'!$C$2:$C$549,Squads!$C$172)</f>
        <v>178925.75290909092</v>
      </c>
    </row>
    <row r="83">
      <c r="B83" s="429" t="str">
        <f>Squads!$B$173</f>
        <v>Angela Gilbert</v>
      </c>
      <c r="C83" s="429" t="str">
        <f>SUBSTITUTE(SUBSTITUTE(Squads!$C$173,"–","-"),"—","-")</f>
        <v>Martech Lead - Dynamics</v>
      </c>
      <c r="D83" s="439" t="str">
        <f>Squads!$R$173</f>
        <v>Filled</v>
      </c>
    </row>
    <row r="84">
      <c r="B84" s="429" t="str">
        <f>Squads!$B$178</f>
        <v>Jeremy Xu</v>
      </c>
      <c r="C84" s="429" t="str">
        <f>SUBSTITUTE(SUBSTITUTE(Squads!$C$178,"–","-"),"—","-")</f>
        <v>Data Analyst</v>
      </c>
      <c r="D84" s="439" t="str">
        <f>Squads!$R$178</f>
        <v>Filled</v>
      </c>
    </row>
    <row r="85">
      <c r="B85" s="429" t="str">
        <f>Squads!$B$186</f>
        <v>Vacant</v>
      </c>
      <c r="C85" s="429" t="str">
        <f>SUBSTITUTE(SUBSTITUTE(Squads!$C$186,"–","-"),"—","-")</f>
        <v>Quality Assurance</v>
      </c>
      <c r="D85" s="439" t="str">
        <f>Squads!$R$186</f>
        <v>Vacant</v>
      </c>
      <c r="E85" s="504" t="inlineStr">
        <is>
          <t>Hold</t>
        </is>
      </c>
      <c r="F85" s="442">
        <f>SUMIF('Added data'!$C$2:$C$549,Squads!$C$186,'Added data'!$AA$2:$AA$549)/COUNTIF('Added data'!$C$2:$C$549,Squads!$C$186)</f>
        <v>169798.89904347828</v>
      </c>
    </row>
    <row r="86">
      <c r="B86" s="429" t="str">
        <f>Squads!$B$211</f>
        <v>Diya Thomas</v>
      </c>
      <c r="C86" s="429" t="str">
        <f>SUBSTITUTE(SUBSTITUTE(Squads!$C$211,"–","-"),"—","-")</f>
        <v>Manager Cyber Security GRC</v>
      </c>
      <c r="D86" s="439" t="str">
        <f>Squads!$R$211</f>
        <v>Filled</v>
      </c>
    </row>
    <row r="87">
      <c r="B87" s="429" t="str">
        <f>Squads!$B$228</f>
        <v>Vacant</v>
      </c>
      <c r="C87" s="429" t="str">
        <f>SUBSTITUTE(SUBSTITUTE(Squads!$C$228,"–","-"),"—","-")</f>
        <v>Operations Analyst</v>
      </c>
      <c r="D87" s="439" t="str">
        <f>Squads!$R$228</f>
        <v>Vacant</v>
      </c>
      <c r="E87" s="504" t="inlineStr">
        <is>
          <t>Hold</t>
        </is>
      </c>
      <c r="F87" s="442">
        <f>SUMIF('Added data'!$C$2:$C$549,Squads!$C$228,'Added data'!$AA$2:$AA$549)/COUNTIF('Added data'!$C$2:$C$549,Squads!$C$228)</f>
        <v>170489.75</v>
      </c>
    </row>
    <row r="88">
      <c r="B88" s="429" t="str">
        <f>Squads!$B$273</f>
        <v>Vacant</v>
      </c>
      <c r="C88" s="429" t="str">
        <f>SUBSTITUTE(SUBSTITUTE(Squads!$C$273,"–","-"),"—","-")</f>
        <v>Scrum Master</v>
      </c>
      <c r="D88" s="439" t="str">
        <f>Squads!$R$273</f>
        <v>Vacant</v>
      </c>
      <c r="E88" s="504" t="inlineStr">
        <is>
          <t>Hold</t>
        </is>
      </c>
      <c r="F88" s="442">
        <f>SUMIF('Added data'!$C$2:$C$549,Squads!$C$273,'Added data'!$AA$2:$AA$549)/COUNTIF('Added data'!$C$2:$C$549,Squads!$C$273)</f>
        <v>149763.39</v>
      </c>
    </row>
    <row r="89">
      <c r="B89" s="429" t="str">
        <f>Squads!$B$276</f>
        <v>Ruth Chou</v>
      </c>
      <c r="C89" s="429" t="str">
        <f>SUBSTITUTE(SUBSTITUTE(Squads!$C$276,"–","-"),"—","-")</f>
        <v>Portfolio Reporting Manager</v>
      </c>
      <c r="D89" s="439" t="str">
        <f>Squads!$R$276</f>
        <v>Filled</v>
      </c>
    </row>
    <row r="90">
      <c r="B90" s="429" t="str">
        <f>Squads!$B$374</f>
        <v>Hitesh Patel</v>
      </c>
      <c r="C90" s="429" t="str">
        <f>SUBSTITUTE(SUBSTITUTE(Squads!$C$374,"–","-"),"—","-")</f>
        <v>Technology Manager, Energy Solutions</v>
      </c>
      <c r="D90" s="439" t="str">
        <f>Squads!$R$374</f>
        <v>Filled</v>
      </c>
    </row>
    <row r="91">
      <c r="B91" s="429" t="str">
        <f>Squads!$B$376</f>
        <v>Vacant</v>
      </c>
      <c r="C91" s="429" t="str">
        <f>SUBSTITUTE(SUBSTITUTE(Squads!$C$376,"–","-"),"—","-")</f>
        <v>Technology Manager, Engineering</v>
      </c>
      <c r="D91" s="439" t="str">
        <f>Squads!$R$376</f>
        <v>Vacant</v>
      </c>
      <c r="E91" s="504" t="inlineStr">
        <is>
          <t>Hold</t>
        </is>
      </c>
      <c r="F91" s="442">
        <f>SUMIF('Added data'!$C$2:$C$549,Squads!$C$376,'Added data'!$AA$2:$AA$549)/COUNTIF('Added data'!$C$2:$C$549,Squads!$C$376)</f>
        <v>275810.25</v>
      </c>
    </row>
    <row r="92">
      <c r="B92" s="464" t="inlineStr">
        <is>
          <t>EGI Customer</t>
        </is>
      </c>
      <c r="C92" s="465" t="n"/>
      <c r="D92" s="465" t="n"/>
      <c r="E92" s="465" t="n"/>
    </row>
    <row r="93">
      <c r="B93" s="429" t="str">
        <f>Squads!$B$126</f>
        <v>Angie Ng</v>
      </c>
      <c r="C93" s="429" t="str">
        <f>SUBSTITUTE(SUBSTITUTE(Squads!$C$126,"–","-"),"—","-")</f>
        <v>Snr Engineer - BE</v>
      </c>
      <c r="D93" s="439" t="str">
        <f>Squads!$R$126</f>
        <v>Filled</v>
      </c>
    </row>
    <row r="94">
      <c r="B94" s="429" t="str">
        <f>Squads!$B$137</f>
        <v>Ramez Haider</v>
      </c>
      <c r="C94" s="429" t="str">
        <f>SUBSTITUTE(SUBSTITUTE(Squads!$C$137,"–","-"),"—","-")</f>
        <v>Solution Architect</v>
      </c>
      <c r="D94" s="439" t="str">
        <f>Squads!$R$137</f>
        <v>Filled</v>
      </c>
    </row>
    <row r="95">
      <c r="B95" s="429" t="str">
        <f>Squads!$B$151</f>
        <v>Waheed Malek</v>
      </c>
      <c r="C95" s="429" t="str">
        <f>SUBSTITUTE(SUBSTITUTE(Squads!$C$151,"–","-"),"—","-")</f>
        <v>Quality Assurance</v>
      </c>
      <c r="D95" s="439" t="str">
        <f>Squads!$R$151</f>
        <v>Filled</v>
      </c>
    </row>
    <row r="96">
      <c r="B96" s="429" t="str">
        <f>Squads!$B$157</f>
        <v>Safiq Iqbal</v>
      </c>
      <c r="C96" s="429" t="str">
        <f>SUBSTITUTE(SUBSTITUTE(Squads!$C$157,"–","-"),"—","-")</f>
        <v>Principal Engineer</v>
      </c>
      <c r="D96" s="439" t="str">
        <f>Squads!$R$157</f>
        <v>Filled</v>
      </c>
    </row>
    <row r="97">
      <c r="B97" s="429" t="str">
        <f>Squads!$B$166</f>
        <v>Rishabh Bhatia</v>
      </c>
      <c r="C97" s="429" t="str">
        <f>SUBSTITUTE(SUBSTITUTE(Squads!$C$166,"–","-"),"—","-")</f>
        <v>Engineer - Mobile (Android)</v>
      </c>
      <c r="D97" s="439" t="str">
        <f>Squads!$R$166</f>
        <v>Filled</v>
      </c>
    </row>
    <row r="98">
      <c r="B98" s="429" t="str">
        <f>Squads!$B$179</f>
        <v>Sri Balan Raj</v>
      </c>
      <c r="C98" s="429" t="str">
        <f>SUBSTITUTE(SUBSTITUTE(Squads!$C$179,"–","-"),"—","-")</f>
        <v>Business Analyst</v>
      </c>
      <c r="D98" s="439" t="str">
        <f>Squads!$R$179</f>
        <v>Filled</v>
      </c>
    </row>
    <row r="99">
      <c r="B99" s="429" t="str">
        <f>Squads!$B$189</f>
        <v>Rob Jadrjevic</v>
      </c>
      <c r="C99" s="429" t="str">
        <f>SUBSTITUTE(SUBSTITUTE(Squads!$C$189,"–","-"),"—","-")</f>
        <v>Engineer - BE</v>
      </c>
      <c r="D99" s="439" t="str">
        <f>Squads!$R$189</f>
        <v>Filled</v>
      </c>
    </row>
    <row r="100">
      <c r="B100" s="429" t="str">
        <f>Squads!$B$197</f>
        <v>Alan Peng</v>
      </c>
      <c r="C100" s="429" t="str">
        <f>SUBSTITUTE(SUBSTITUTE(Squads!$C$197,"–","-"),"—","-")</f>
        <v>Delivery Lead</v>
      </c>
      <c r="D100" s="439" t="str">
        <f>Squads!$R$197</f>
        <v>Filled</v>
      </c>
    </row>
    <row r="101">
      <c r="B101" s="429" t="str">
        <f>Squads!$B$200</f>
        <v>Dasha Fothergill</v>
      </c>
      <c r="C101" s="429" t="str">
        <f>SUBSTITUTE(SUBSTITUTE(Squads!$C$200,"–","-"),"—","-")</f>
        <v>Data Analyst</v>
      </c>
      <c r="D101" s="439" t="str">
        <f>Squads!$R$200</f>
        <v>Filled</v>
      </c>
    </row>
  </sheetData>
  <conditionalFormatting sqref="D21:D101">
    <cfRule type="cellIs" priority="1" operator="equal" dxfId="1">
      <formula>"Vacant"</formula>
    </cfRule>
  </conditionalFormatting>
  <conditionalFormatting sqref="I6:I13">
    <cfRule type="expression" priority="2" dxfId="1">
      <formula>AND(ISNUMBER(I6),I6&gt;0)</formula>
    </cfRule>
    <cfRule type="expression" priority="3" dxfId="0">
      <formula>AND(ISNUMBER(I6),I6&lt;=0)</formula>
    </cfRule>
  </conditionalFormatting>
  <dataValidations count="1">
    <dataValidation sqref="E33 E42 E52 E53 E54 E64 E71 E74 E79 E81 E82 E85 E87 E88 E91" showDropDown="0" showInputMessage="0" showErrorMessage="1" allowBlank="0" errorTitle="Invalid entry" error="Pick Hire or Hold" type="list">
      <formula1>"Hire,Hold"</formula1>
    </dataValidation>
  </dataValidations>
  <pageMargins left="0.75" right="0.75" top="1" bottom="1" header="0.5" footer="0.5"/>
</worksheet>
</file>

<file path=xl/worksheets/sheet31.xml><?xml version="1.0" encoding="utf-8"?>
<worksheet xmlns="http://schemas.openxmlformats.org/spreadsheetml/2006/main">
  <sheetPr>
    <tabColor rgb="00BF8F00"/>
    <outlinePr summaryBelow="1" summaryRight="1"/>
    <pageSetUpPr/>
  </sheetPr>
  <dimension ref="A1:J54"/>
  <sheetViews>
    <sheetView showGridLines="0" topLeftCell="A24" workbookViewId="0">
      <selection activeCell="A1" sqref="A1"/>
    </sheetView>
  </sheetViews>
  <sheetFormatPr baseColWidth="8" defaultRowHeight="14.5" outlineLevelCol="0"/>
  <cols>
    <col width="3" customWidth="1" style="506" min="1" max="1"/>
    <col width="44" customWidth="1" style="506" min="2" max="2"/>
    <col width="46" customWidth="1" style="506" min="3" max="3"/>
    <col width="12" customWidth="1" style="506" min="4" max="4"/>
    <col width="13" customWidth="1" style="506" min="5" max="5"/>
    <col width="14" customWidth="1" style="506" min="6" max="6"/>
    <col width="15" customWidth="1" style="506" min="7" max="7"/>
    <col width="17" customWidth="1" style="506" min="8" max="8"/>
    <col width="15" customWidth="1" style="506" min="9" max="9"/>
    <col width="30" customWidth="1" style="506" min="10" max="10"/>
  </cols>
  <sheetData>
    <row r="1"/>
    <row r="2" ht="21" customHeight="1" s="506">
      <c r="B2" s="437" t="str">
        <f>CONCATENATE('1.3 Enterprise Data'!$B$2," GM working copy")</f>
        <v>Enterprise Data GM working copy</v>
      </c>
    </row>
    <row r="3"/>
    <row r="4">
      <c r="B4" s="443" t="inlineStr">
        <is>
          <t>Position by squad</t>
        </is>
      </c>
      <c r="C4" s="444" t="n"/>
      <c r="D4" s="444" t="n"/>
      <c r="E4" s="444" t="n"/>
      <c r="F4" s="444" t="n"/>
      <c r="G4" s="444" t="n"/>
      <c r="H4" s="444" t="n"/>
      <c r="I4" s="444" t="n"/>
      <c r="J4" s="444" t="n"/>
    </row>
    <row r="5">
      <c r="B5" s="438" t="inlineStr">
        <is>
          <t>Squad</t>
        </is>
      </c>
      <c r="C5" s="667" t="inlineStr">
        <is>
          <t>Archetype type and size</t>
        </is>
      </c>
      <c r="D5" s="438" t="inlineStr">
        <is>
          <t>Archetype roles</t>
        </is>
      </c>
      <c r="E5" s="438" t="inlineStr">
        <is>
          <t>Filled</t>
        </is>
      </c>
      <c r="F5" s="438" t="inlineStr">
        <is>
          <t>Vacant</t>
        </is>
      </c>
      <c r="G5" s="438" t="inlineStr">
        <is>
          <t>Planning to hire</t>
        </is>
      </c>
      <c r="H5" s="438" t="inlineStr">
        <is>
          <t>Vacancies after calls</t>
        </is>
      </c>
      <c r="I5" s="438" t="inlineStr">
        <is>
          <t>vs archetype</t>
        </is>
      </c>
      <c r="J5" s="438" t="inlineStr">
        <is>
          <t>Flag</t>
        </is>
      </c>
    </row>
    <row r="6">
      <c r="B6" s="429" t="inlineStr">
        <is>
          <t>Data Science</t>
        </is>
      </c>
      <c r="C6" s="692" t="str">
        <f>IF(OR('2.7 Squad Detail'!$F$37=0,'2.7 Squad Detail'!$F$37=""),'2.7 Squad Detail'!$E$37,'2.7 Squad Detail'!$E$37&amp;" - "&amp;'2.7 Squad Detail'!$F$37)</f>
        <v>Enterprise Data and Insights - M</v>
      </c>
      <c r="D6" s="697">
        <f>'2.7 Squad Detail'!$G$37</f>
        <v>7.5</v>
      </c>
      <c r="E6" s="439">
        <f>COUNTIFS(Squads!$N:$N,"Enterprise Data",Squads!$P:$P,"Data Science",Squads!$R:$R,"Filled")</f>
        <v>3.0</v>
      </c>
      <c r="F6" s="439">
        <f>COUNTIFS(Squads!$N:$N,"Enterprise Data",Squads!$P:$P,"Data Science",Squads!$R:$R,"Vacant")</f>
        <v>4.0</v>
      </c>
      <c r="G6" s="439">
        <f>COUNTIF(E20:E25,"Hire")</f>
        <v>0.0</v>
      </c>
      <c r="H6" s="458">
        <f>F6-G6</f>
        <v>4.0</v>
      </c>
      <c r="I6" s="697">
        <f>IFERROR(E6+G6-D6,"-")</f>
        <v>-4.5</v>
      </c>
      <c r="J6" s="429" t="str">
        <f>IF(ISNUMBER(D6),IF(E6&gt;D6,"Filled already over archetype",IF(E6+G6&gt;D6,"Over archetype after hire calls","")),"Outside the archetype model - no target set")</f>
        <v/>
      </c>
    </row>
    <row r="7">
      <c r="B7" s="429" t="inlineStr">
        <is>
          <t>Operations</t>
        </is>
      </c>
      <c r="C7" s="692" t="str">
        <f>IF(OR('2.7 Squad Detail'!$F$38=0,'2.7 Squad Detail'!$F$38=""),'2.7 Squad Detail'!$E$38,'2.7 Squad Detail'!$E$38&amp;" - "&amp;'2.7 Squad Detail'!$F$38)</f>
        <v>Operations - L</v>
      </c>
      <c r="D7" s="697">
        <f>'2.7 Squad Detail'!$G$38</f>
        <v>10.0</v>
      </c>
      <c r="E7" s="439">
        <f>COUNTIFS(Squads!$N:$N,"Enterprise Data",Squads!$P:$P,"Operations",Squads!$R:$R,"Filled")</f>
        <v>1.0</v>
      </c>
      <c r="F7" s="439">
        <f>COUNTIFS(Squads!$N:$N,"Enterprise Data",Squads!$P:$P,"Operations",Squads!$R:$R,"Vacant")</f>
        <v>1.0</v>
      </c>
      <c r="G7" s="439">
        <f>COUNTIF(E27:E27,"Hire")</f>
        <v>0.0</v>
      </c>
      <c r="H7" s="458">
        <f>F7-G7</f>
        <v>1.0</v>
      </c>
      <c r="I7" s="697">
        <f>IFERROR(E7+G7-D7,"-")</f>
        <v>-9.0</v>
      </c>
      <c r="J7" s="429" t="str">
        <f>IF(ISNUMBER(D7),IF(E7&gt;D7,"Filled already over archetype",IF(E7+G7&gt;D7,"Over archetype after hire calls","")),"Outside the archetype model - no target set")</f>
        <v/>
      </c>
    </row>
    <row r="8">
      <c r="B8" s="429" t="inlineStr">
        <is>
          <t>Reporting &amp; Analytics</t>
        </is>
      </c>
      <c r="C8" s="692" t="str">
        <f>IF(OR('2.7 Squad Detail'!$F$39=0,'2.7 Squad Detail'!$F$39=""),'2.7 Squad Detail'!$E$39,'2.7 Squad Detail'!$E$39&amp;" - "&amp;'2.7 Squad Detail'!$F$39)</f>
        <v>Enterprise Data and Insights - S</v>
      </c>
      <c r="D8" s="697">
        <f>'2.7 Squad Detail'!$G$39</f>
        <v>4.0</v>
      </c>
      <c r="E8" s="439">
        <f>COUNTIFS(Squads!$N:$N,"Enterprise Data",Squads!$P:$P,"Reporting &amp; Analytics",Squads!$R:$R,"Filled")</f>
        <v>10.0</v>
      </c>
      <c r="F8" s="439">
        <f>COUNTIFS(Squads!$N:$N,"Enterprise Data",Squads!$P:$P,"Reporting &amp; Analytics",Squads!$R:$R,"Vacant")</f>
        <v>3.0</v>
      </c>
      <c r="G8" s="439">
        <f>COUNTIF(E30:E40,"Hire")</f>
        <v>0.0</v>
      </c>
      <c r="H8" s="458">
        <f>F8-G8</f>
        <v>3.0</v>
      </c>
      <c r="I8" s="697">
        <f>IFERROR(E8+G8-D8,"-")</f>
        <v>6.0</v>
      </c>
      <c r="J8" s="429" t="str">
        <f>IF(ISNUMBER(D8),IF(E8&gt;D8,"Filled already over archetype",IF(E8+G8&gt;D8,"Over archetype after hire calls","")),"Outside the archetype model - no target set")</f>
        <v>Filled already over archetype</v>
      </c>
    </row>
    <row r="9">
      <c r="B9" s="429" t="inlineStr">
        <is>
          <t>Data Platforms</t>
        </is>
      </c>
      <c r="C9" s="692" t="str">
        <f>IF(OR('2.7 Squad Detail'!$F$40=0,'2.7 Squad Detail'!$F$40=""),'2.7 Squad Detail'!$E$40,'2.7 Squad Detail'!$E$40&amp;" - "&amp;'2.7 Squad Detail'!$F$40)</f>
        <v>Enterprise Data and Insights - S</v>
      </c>
      <c r="D9" s="697">
        <f>'2.7 Squad Detail'!$G$40</f>
        <v>4.0</v>
      </c>
      <c r="E9" s="439">
        <f>COUNTIFS(Squads!$N:$N,"Enterprise Data",Squads!$P:$P,"Data Platforms",Squads!$R:$R,"Filled")</f>
        <v>2.0</v>
      </c>
      <c r="F9" s="439">
        <f>COUNTIFS(Squads!$N:$N,"Enterprise Data",Squads!$P:$P,"Data Platforms",Squads!$R:$R,"Vacant")</f>
        <v>6.0</v>
      </c>
      <c r="G9" s="439">
        <f>COUNTIF(E45:E53,"Hire")</f>
        <v>0.0</v>
      </c>
      <c r="H9" s="458">
        <f>F9-G9</f>
        <v>6.0</v>
      </c>
      <c r="I9" s="697">
        <f>IFERROR(E9+G9-D9,"-")</f>
        <v>-2.0</v>
      </c>
      <c r="J9" s="429" t="str">
        <f>IF(ISNUMBER(D9),IF(E9&gt;D9,"Filled already over archetype",IF(E9+G9&gt;D9,"Over archetype after hire calls","")),"Outside the archetype model - no target set")</f>
        <v/>
      </c>
    </row>
    <row r="10">
      <c r="B10" s="431" t="inlineStr">
        <is>
          <t>Total</t>
        </is>
      </c>
      <c r="D10" s="698">
        <f>SUM(D6:D9)</f>
        <v>25.5</v>
      </c>
      <c r="E10" s="447">
        <f>SUM(E6:E9)</f>
        <v>16.0</v>
      </c>
      <c r="F10" s="447">
        <f>SUM(F6:F9)</f>
        <v>14.0</v>
      </c>
      <c r="G10" s="447">
        <f>SUM(G6:G9)</f>
        <v>0.0</v>
      </c>
      <c r="H10" s="447">
        <f>SUM(H6:H9)</f>
        <v>14.0</v>
      </c>
      <c r="I10" s="698">
        <f>IF(COUNT(I6:I9)=0,"-",SUM(I6:I9))</f>
        <v>-9.5</v>
      </c>
    </row>
    <row r="11">
      <c r="B11" s="492" t="inlineStr">
        <is>
          <t>Cost to hire all vacancies ($m)</t>
        </is>
      </c>
      <c r="C11" s="497">
        <f>SUM(F18:F54)/1000000</f>
        <v>2.8563597011061956</v>
      </c>
    </row>
    <row r="12">
      <c r="B12" s="492" t="inlineStr">
        <is>
          <t>Cost of roles marked Hire ($m)</t>
        </is>
      </c>
      <c r="C12" s="497">
        <f>SUMIF(E18:E54,"Hire",F18:F54)/1000000</f>
        <v>0.0</v>
      </c>
    </row>
    <row r="13">
      <c r="B13" s="429" t="inlineStr">
        <is>
          <t>Vacant roles are priced at standard title rates - indicative until an offer is made.</t>
        </is>
      </c>
    </row>
    <row r="14">
      <c r="B14" s="429" t="inlineStr">
        <is>
          <t>Leadership roles are funded via the portfolio overheads and sit on 2.7 Squad Detail, not here.</t>
        </is>
      </c>
    </row>
    <row r="15">
      <c r="B15" s="695" t="inlineStr">
        <is>
          <t>vs archetype: positive = over the allowance, negative = under.</t>
        </is>
      </c>
    </row>
    <row r="16">
      <c r="B16" s="749" t="inlineStr">
        <is>
          <t>Roster - Hire or Hold each vacancy</t>
        </is>
      </c>
      <c r="C16" s="750" t="n"/>
      <c r="D16" s="750" t="n"/>
      <c r="E16" s="750" t="n"/>
      <c r="F16" s="750" t="n"/>
      <c r="G16" s="751" t="n"/>
      <c r="H16" s="751" t="n"/>
      <c r="I16" s="751" t="n"/>
      <c r="J16" s="751" t="n"/>
    </row>
    <row r="17">
      <c r="B17" s="438" t="inlineStr">
        <is>
          <t>Name</t>
        </is>
      </c>
      <c r="C17" s="438" t="inlineStr">
        <is>
          <t>Role</t>
        </is>
      </c>
      <c r="D17" s="438" t="inlineStr">
        <is>
          <t>Status</t>
        </is>
      </c>
      <c r="E17" s="438" t="inlineStr">
        <is>
          <t>Call</t>
        </is>
      </c>
      <c r="F17" s="438" t="inlineStr">
        <is>
          <t>Cost if hired ($)</t>
        </is>
      </c>
    </row>
    <row r="18">
      <c r="B18" s="464" t="inlineStr">
        <is>
          <t>Data Science</t>
        </is>
      </c>
      <c r="C18" s="465" t="n"/>
      <c r="D18" s="465" t="n"/>
      <c r="E18" s="465" t="n"/>
    </row>
    <row r="19">
      <c r="B19" s="429" t="str">
        <f>Squads!$B$301</f>
        <v>Yu Chen</v>
      </c>
      <c r="C19" s="429" t="str">
        <f>SUBSTITUTE(SUBSTITUTE(Squads!$C$301,"–","-"),"—","-")</f>
        <v>Senior Data Scientist</v>
      </c>
      <c r="D19" s="439" t="str">
        <f>Squads!$R$301</f>
        <v>Filled</v>
      </c>
    </row>
    <row r="20">
      <c r="B20" s="429" t="str">
        <f>Squads!$B$302</f>
        <v>vacant</v>
      </c>
      <c r="C20" s="429" t="str">
        <f>SUBSTITUTE(SUBSTITUTE(Squads!$C$302,"–","-"),"—","-")</f>
        <v>Data Analyst</v>
      </c>
      <c r="D20" s="439" t="str">
        <f>Squads!$R$302</f>
        <v>Vacant</v>
      </c>
      <c r="E20" s="504" t="inlineStr">
        <is>
          <t>Hold</t>
        </is>
      </c>
      <c r="F20" s="442">
        <f>SUMIF('Added data'!$C$2:$C$549,Squads!$C$302,'Added data'!$AA$2:$AA$549)/COUNTIF('Added data'!$C$2:$C$549,Squads!$C$302)</f>
        <v>178925.75290909092</v>
      </c>
    </row>
    <row r="21">
      <c r="B21" s="429" t="str">
        <f>Squads!$B$303</f>
        <v>Om Singh</v>
      </c>
      <c r="C21" s="429" t="str">
        <f>SUBSTITUTE(SUBSTITUTE(Squads!$C$303,"–","-"),"—","-")</f>
        <v>Data Scientist</v>
      </c>
      <c r="D21" s="439" t="str">
        <f>Squads!$R$303</f>
        <v>Filled</v>
      </c>
    </row>
    <row r="22">
      <c r="B22" s="429" t="str">
        <f>Squads!$B$304</f>
        <v>vacant</v>
      </c>
      <c r="C22" s="429" t="str">
        <f>SUBSTITUTE(SUBSTITUTE(Squads!$C$304,"–","-"),"—","-")</f>
        <v>Data Scientist</v>
      </c>
      <c r="D22" s="439" t="str">
        <f>Squads!$R$304</f>
        <v>Vacant</v>
      </c>
      <c r="E22" s="504" t="inlineStr">
        <is>
          <t>Hold</t>
        </is>
      </c>
      <c r="F22" s="442">
        <f>SUMIF('Added data'!$C$2:$C$549,Squads!$C$304,'Added data'!$AA$2:$AA$549)/COUNTIF('Added data'!$C$2:$C$549,Squads!$C$304)</f>
        <v>197598.94999999998</v>
      </c>
    </row>
    <row r="23">
      <c r="B23" s="429" t="str">
        <f>Squads!$B$305</f>
        <v>Vacant</v>
      </c>
      <c r="C23" s="429" t="str">
        <f>SUBSTITUTE(SUBSTITUTE(Squads!$C$305,"–","-"),"—","-")</f>
        <v>Senior Data Scientist</v>
      </c>
      <c r="D23" s="439" t="str">
        <f>Squads!$R$305</f>
        <v>Vacant</v>
      </c>
      <c r="E23" s="504" t="inlineStr">
        <is>
          <t>Hold</t>
        </is>
      </c>
      <c r="F23" s="442">
        <f>SUMIF('Added data'!$C$2:$C$549,Squads!$C$305,'Added data'!$AA$2:$AA$549)/COUNTIF('Added data'!$C$2:$C$549,Squads!$C$305)</f>
        <v>208226.865</v>
      </c>
    </row>
    <row r="24">
      <c r="B24" s="429" t="str">
        <f>Squads!$B$325</f>
        <v>Prashant Tataskar</v>
      </c>
      <c r="C24" s="429" t="str">
        <f>SUBSTITUTE(SUBSTITUTE(Squads!$C$325,"–","-"),"—","-")</f>
        <v>Data Scientist</v>
      </c>
      <c r="D24" s="439" t="str">
        <f>Squads!$R$325</f>
        <v>Filled</v>
      </c>
    </row>
    <row r="25">
      <c r="B25" s="429" t="str">
        <f>Squads!$B$336</f>
        <v>Vacant</v>
      </c>
      <c r="C25" s="429" t="str">
        <f>SUBSTITUTE(SUBSTITUTE(Squads!$C$336,"–","-"),"—","-")</f>
        <v>Data Analyst</v>
      </c>
      <c r="D25" s="439" t="str">
        <f>Squads!$R$336</f>
        <v>Vacant</v>
      </c>
      <c r="E25" s="504" t="inlineStr">
        <is>
          <t>Hold</t>
        </is>
      </c>
      <c r="F25" s="442">
        <f>SUMIF('Added data'!$C$2:$C$549,Squads!$C$336,'Added data'!$AA$2:$AA$549)/COUNTIF('Added data'!$C$2:$C$549,Squads!$C$336)</f>
        <v>178925.75290909092</v>
      </c>
    </row>
    <row r="26">
      <c r="B26" s="464" t="inlineStr">
        <is>
          <t>Operations</t>
        </is>
      </c>
      <c r="C26" s="465" t="n"/>
      <c r="D26" s="465" t="n"/>
      <c r="E26" s="465" t="n"/>
    </row>
    <row r="27">
      <c r="B27" s="429" t="str">
        <f>Squads!$B$283</f>
        <v>Vacant</v>
      </c>
      <c r="C27" s="429" t="str">
        <f>SUBSTITUTE(SUBSTITUTE(Squads!$C$283,"–","-"),"—","-")</f>
        <v>Service Transition Lead</v>
      </c>
      <c r="D27" s="439" t="str">
        <f>Squads!$R$283</f>
        <v>Vacant</v>
      </c>
      <c r="E27" s="504" t="inlineStr">
        <is>
          <t>Hold</t>
        </is>
      </c>
      <c r="F27" s="442">
        <f>SUMIF('Added data'!$C$2:$C$549,Squads!$C$283,'Added data'!$AA$2:$AA$549)/COUNTIF('Added data'!$C$2:$C$549,Squads!$C$283)</f>
        <v>202853.25</v>
      </c>
    </row>
    <row r="28">
      <c r="B28" s="429" t="str">
        <f>Squads!$B$292</f>
        <v>Deepali Mahajan</v>
      </c>
      <c r="C28" s="429" t="str">
        <f>SUBSTITUTE(SUBSTITUTE(Squads!$C$292,"–","-"),"—","-")</f>
        <v>Data Operations Manager</v>
      </c>
      <c r="D28" s="439" t="str">
        <f>Squads!$R$292</f>
        <v>Filled</v>
      </c>
    </row>
    <row r="29">
      <c r="B29" s="464" t="inlineStr">
        <is>
          <t>Reporting &amp; Analytics</t>
        </is>
      </c>
      <c r="C29" s="465" t="n"/>
      <c r="D29" s="465" t="n"/>
      <c r="E29" s="465" t="n"/>
    </row>
    <row r="30">
      <c r="B30" s="429" t="str">
        <f>Squads!$B$284</f>
        <v>Vacant</v>
      </c>
      <c r="C30" s="429" t="str">
        <f>SUBSTITUTE(SUBSTITUTE(Squads!$C$284,"–","-"),"—","-")</f>
        <v>Engineer Data - Reporting</v>
      </c>
      <c r="D30" s="439" t="str">
        <f>Squads!$R$284</f>
        <v>Vacant</v>
      </c>
      <c r="E30" s="504" t="inlineStr">
        <is>
          <t>Hold</t>
        </is>
      </c>
      <c r="F30" s="442">
        <f>SUMIF('Added data'!$C$2:$C$549,Squads!$C$284,'Added data'!$AA$2:$AA$549)/COUNTIF('Added data'!$C$2:$C$549,Squads!$C$284)</f>
        <v>202853.25</v>
      </c>
    </row>
    <row r="31">
      <c r="B31" s="429" t="str">
        <f>Squads!$B$294</f>
        <v>Sumathi Manikkampichai</v>
      </c>
      <c r="C31" s="429" t="str">
        <f>SUBSTITUTE(SUBSTITUTE(Squads!$C$294,"–","-"),"—","-")</f>
        <v>Data Architect</v>
      </c>
      <c r="D31" s="439" t="str">
        <f>Squads!$R$294</f>
        <v>Filled</v>
      </c>
    </row>
    <row r="32">
      <c r="B32" s="429" t="str">
        <f>Squads!$B$296</f>
        <v>Vacant</v>
      </c>
      <c r="C32" s="429" t="str">
        <f>SUBSTITUTE(SUBSTITUTE(Squads!$C$296,"–","-"),"—","-")</f>
        <v>Business Analyst</v>
      </c>
      <c r="D32" s="439" t="str">
        <f>Squads!$R$296</f>
        <v>Vacant</v>
      </c>
      <c r="E32" s="504" t="inlineStr">
        <is>
          <t>Hold</t>
        </is>
      </c>
      <c r="F32" s="442">
        <f>SUMIF('Added data'!$C$2:$C$549,Squads!$C$296,'Added data'!$AA$2:$AA$549)/COUNTIF('Added data'!$C$2:$C$549,Squads!$C$296)</f>
        <v>198578.016</v>
      </c>
    </row>
    <row r="33">
      <c r="B33" s="429" t="str">
        <f>Squads!$B$297</f>
        <v>Vacant</v>
      </c>
      <c r="C33" s="429" t="str">
        <f>SUBSTITUTE(SUBSTITUTE(Squads!$C$297,"–","-"),"—","-")</f>
        <v>Delivery Lead</v>
      </c>
      <c r="D33" s="439" t="str">
        <f>Squads!$R$297</f>
        <v>Vacant</v>
      </c>
      <c r="E33" s="504" t="inlineStr">
        <is>
          <t>Hold</t>
        </is>
      </c>
      <c r="F33" s="442">
        <f>SUMIF('Added data'!$C$2:$C$549,Squads!$C$297,'Added data'!$AA$2:$AA$549)/COUNTIF('Added data'!$C$2:$C$549,Squads!$C$297)</f>
        <v>231778.89629629627</v>
      </c>
    </row>
    <row r="34">
      <c r="B34" s="429" t="str">
        <f>Squads!$B$310</f>
        <v>Vacant (contract)</v>
      </c>
      <c r="C34" s="429" t="str">
        <f>SUBSTITUTE(SUBSTITUTE(Squads!$C$310,"–","-"),"—","-")</f>
        <v>Reporting analysts - Strategic Programs</v>
      </c>
      <c r="D34" s="439" t="str">
        <f>Squads!$R$310</f>
        <v>Filled</v>
      </c>
    </row>
    <row r="35">
      <c r="B35" s="429" t="str">
        <f>Squads!$B$311</f>
        <v>Vincent Lu</v>
      </c>
      <c r="C35" s="429" t="str">
        <f>SUBSTITUTE(SUBSTITUTE(Squads!$C$311,"–","-"),"—","-")</f>
        <v>Reporting Analyst</v>
      </c>
      <c r="D35" s="439" t="str">
        <f>Squads!$R$311</f>
        <v>Filled</v>
      </c>
    </row>
    <row r="36">
      <c r="B36" s="429" t="str">
        <f>Squads!$B$312</f>
        <v>vacant  (Contract)</v>
      </c>
      <c r="C36" s="429" t="str">
        <f>SUBSTITUTE(SUBSTITUTE(Squads!$C$312,"–","-"),"—","-")</f>
        <v>Applications Specialist - Strategic Programs</v>
      </c>
      <c r="D36" s="439" t="str">
        <f>Squads!$R$312</f>
        <v>Filled</v>
      </c>
    </row>
    <row r="37">
      <c r="B37" s="429" t="str">
        <f>Squads!$B$313</f>
        <v>Abdul Ghaffar</v>
      </c>
      <c r="C37" s="429" t="str">
        <f>SUBSTITUTE(SUBSTITUTE(Squads!$C$313,"–","-"),"—","-")</f>
        <v>Applications Specialist - Demand Planning</v>
      </c>
      <c r="D37" s="439" t="str">
        <f>Squads!$R$313</f>
        <v>Filled</v>
      </c>
    </row>
    <row r="38">
      <c r="B38" s="429" t="str">
        <f>Squads!$B$314</f>
        <v>Steve Murray</v>
      </c>
      <c r="C38" s="429" t="str">
        <f>SUBSTITUTE(SUBSTITUTE(Squads!$C$314,"–","-"),"—","-")</f>
        <v>Applications Specialist</v>
      </c>
      <c r="D38" s="439" t="str">
        <f>Squads!$R$314</f>
        <v>Filled</v>
      </c>
    </row>
    <row r="39">
      <c r="B39" s="429" t="str">
        <f>Squads!$B$315</f>
        <v>Rakshit Kaul</v>
      </c>
      <c r="C39" s="429" t="str">
        <f>SUBSTITUTE(SUBSTITUTE(Squads!$C$315,"–","-"),"—","-")</f>
        <v>Applications Specialist</v>
      </c>
      <c r="D39" s="439" t="str">
        <f>Squads!$R$315</f>
        <v>Filled</v>
      </c>
    </row>
    <row r="40">
      <c r="B40" s="429" t="str">
        <f>Squads!$B$324</f>
        <v>Vacant</v>
      </c>
      <c r="C40" s="429" t="str">
        <f>SUBSTITUTE(SUBSTITUTE(Squads!$C$324,"–","-"),"—","-")</f>
        <v>Reporting Lead </v>
      </c>
      <c r="D40" s="439" t="str">
        <f>Squads!$R$324</f>
        <v>Vacant</v>
      </c>
      <c r="E40" s="504" t="inlineStr">
        <is>
          <t>Hold</t>
        </is>
      </c>
      <c r="F40" s="442">
        <f>SUMIF('Added data'!$C$2:$C$549,Squads!$C$324,'Added data'!$AA$2:$AA$549)/COUNTIF('Added data'!$C$2:$C$549,Squads!$C$324)</f>
        <v>202853.25</v>
      </c>
    </row>
    <row r="41">
      <c r="B41" s="429" t="str">
        <f>Squads!$B$328</f>
        <v>Sai Konka</v>
      </c>
      <c r="C41" s="429" t="str">
        <f>SUBSTITUTE(SUBSTITUTE(Squads!$C$328,"–","-"),"—","-")</f>
        <v>Application &amp; Analytics Manager</v>
      </c>
      <c r="D41" s="439" t="str">
        <f>Squads!$R$328</f>
        <v>Filled</v>
      </c>
    </row>
    <row r="42">
      <c r="B42" s="429" t="str">
        <f>Squads!$B$335</f>
        <v>Bobby Mason</v>
      </c>
      <c r="C42" s="429" t="str">
        <f>SUBSTITUTE(SUBSTITUTE(Squads!$C$335,"–","-"),"—","-")</f>
        <v>Reporting Analyst</v>
      </c>
      <c r="D42" s="439" t="str">
        <f>Squads!$R$335</f>
        <v>Filled</v>
      </c>
    </row>
    <row r="43">
      <c r="B43" s="429" t="str">
        <f>Squads!$B$338</f>
        <v>Prashanth Krishnankutty</v>
      </c>
      <c r="C43" s="429" t="str">
        <f>SUBSTITUTE(SUBSTITUTE(Squads!$C$338,"–","-"),"—","-")</f>
        <v>Lead Reporting &amp; Insights</v>
      </c>
      <c r="D43" s="439" t="str">
        <f>Squads!$R$338</f>
        <v>Filled</v>
      </c>
    </row>
    <row r="44">
      <c r="B44" s="464" t="inlineStr">
        <is>
          <t>Data Platforms</t>
        </is>
      </c>
      <c r="C44" s="465" t="n"/>
      <c r="D44" s="465" t="n"/>
      <c r="E44" s="465" t="n"/>
    </row>
    <row r="45">
      <c r="B45" s="429" t="str">
        <f>Squads!$B$285</f>
        <v>Vacant</v>
      </c>
      <c r="C45" s="429" t="str">
        <f>SUBSTITUTE(SUBSTITUTE(Squads!$C$285,"–","-"),"—","-")</f>
        <v>Engineer Data  </v>
      </c>
      <c r="D45" s="439" t="str">
        <f>Squads!$R$285</f>
        <v>Vacant</v>
      </c>
      <c r="E45" s="504" t="inlineStr">
        <is>
          <t>Hold</t>
        </is>
      </c>
      <c r="F45" s="442">
        <f>SUMIF('Added data'!$C$2:$C$549,Squads!$C$285,'Added data'!$AA$2:$AA$549)/COUNTIF('Added data'!$C$2:$C$549,Squads!$C$285)</f>
        <v>202853.25</v>
      </c>
    </row>
    <row r="46">
      <c r="B46" s="429" t="str">
        <f>Squads!$B$293</f>
        <v>Vacant</v>
      </c>
      <c r="C46" s="429" t="str">
        <f>SUBSTITUTE(SUBSTITUTE(Squads!$C$293,"–","-"),"—","-")</f>
        <v>Engineer - DevOps</v>
      </c>
      <c r="D46" s="439" t="str">
        <f>Squads!$R$293</f>
        <v>Vacant</v>
      </c>
      <c r="E46" s="504" t="inlineStr">
        <is>
          <t>Hold</t>
        </is>
      </c>
      <c r="F46" s="442">
        <f>SUMIF('Added data'!$C$2:$C$549,Squads!$C$293,'Added data'!$AA$2:$AA$549)/COUNTIF('Added data'!$C$2:$C$549,Squads!$C$293)</f>
        <v>132486.36333333334</v>
      </c>
    </row>
    <row r="47">
      <c r="B47" s="429" t="str">
        <f>Squads!$B$295</f>
        <v>Roozbeh Shahbazirad</v>
      </c>
      <c r="C47" s="429" t="str">
        <f>SUBSTITUTE(SUBSTITUTE(Squads!$C$295,"–","-"),"—","-")</f>
        <v>Lead Engineer</v>
      </c>
      <c r="D47" s="439" t="str">
        <f>Squads!$R$295</f>
        <v>Filled</v>
      </c>
    </row>
    <row r="48">
      <c r="B48" s="429" t="str">
        <f>Squads!$B$299</f>
        <v>Vacant</v>
      </c>
      <c r="C48" s="429" t="str">
        <f>SUBSTITUTE(SUBSTITUTE(Squads!$C$299,"–","-"),"—","-")</f>
        <v>Business Analyst</v>
      </c>
      <c r="D48" s="439" t="str">
        <f>Squads!$R$299</f>
        <v>Vacant</v>
      </c>
      <c r="E48" s="504" t="inlineStr">
        <is>
          <t>Hold</t>
        </is>
      </c>
      <c r="F48" s="442">
        <f>SUMIF('Added data'!$C$2:$C$549,Squads!$C$299,'Added data'!$AA$2:$AA$549)/COUNTIF('Added data'!$C$2:$C$549,Squads!$C$299)</f>
        <v>198578.016</v>
      </c>
    </row>
    <row r="49">
      <c r="B49" s="429" t="str">
        <f>Squads!$B$300</f>
        <v>Tim Snedden</v>
      </c>
      <c r="C49" s="429" t="str">
        <f>SUBSTITUTE(SUBSTITUTE(Squads!$C$300,"–","-"),"—","-")</f>
        <v>Delivery Lead</v>
      </c>
      <c r="D49" s="439" t="str">
        <f>Squads!$R$300</f>
        <v>Filled</v>
      </c>
    </row>
    <row r="50">
      <c r="B50" s="429" t="str">
        <f>Squads!$B$321</f>
        <v>Milan Patel</v>
      </c>
      <c r="C50" s="429" t="str">
        <f>SUBSTITUTE(SUBSTITUTE(Squads!$C$321,"–","-"),"—","-")</f>
        <v>Platform Architect</v>
      </c>
      <c r="D50" s="439" t="str">
        <f>Squads!$R$321</f>
        <v>Filled</v>
      </c>
    </row>
    <row r="51">
      <c r="B51" s="429" t="str">
        <f>Squads!$B$329</f>
        <v>Vacant</v>
      </c>
      <c r="C51" s="429" t="str">
        <f>SUBSTITUTE(SUBSTITUTE(Squads!$C$329,"–","-"),"—","-")</f>
        <v>Quality Assurance</v>
      </c>
      <c r="D51" s="439" t="str">
        <f>Squads!$R$329</f>
        <v>Vacant</v>
      </c>
      <c r="E51" s="504" t="inlineStr">
        <is>
          <t>Hold</t>
        </is>
      </c>
      <c r="F51" s="442">
        <f>SUMIF('Added data'!$C$2:$C$549,Squads!$C$329,'Added data'!$AA$2:$AA$549)/COUNTIF('Added data'!$C$2:$C$549,Squads!$C$329)</f>
        <v>169798.89904347828</v>
      </c>
    </row>
    <row r="52">
      <c r="B52" s="429" t="str">
        <f>Squads!$B$330</f>
        <v>vacant</v>
      </c>
      <c r="C52" s="429" t="str">
        <f>SUBSTITUTE(SUBSTITUTE(Squads!$C$330,"–","-"),"—","-")</f>
        <v>Quality Assurance</v>
      </c>
      <c r="D52" s="439" t="str">
        <f>Squads!$R$330</f>
        <v>Vacant</v>
      </c>
      <c r="E52" s="504" t="inlineStr">
        <is>
          <t>Hold</t>
        </is>
      </c>
      <c r="F52" s="442">
        <f>SUMIF('Added data'!$C$2:$C$549,Squads!$C$330,'Added data'!$AA$2:$AA$549)/COUNTIF('Added data'!$C$2:$C$549,Squads!$C$330)</f>
        <v>169798.89904347828</v>
      </c>
    </row>
    <row r="53">
      <c r="B53" s="429" t="str">
        <f>Squads!$B$332</f>
        <v>vacant</v>
      </c>
      <c r="C53" s="429" t="str">
        <f>SUBSTITUTE(SUBSTITUTE(Squads!$C$332,"–","-"),"—","-")</f>
        <v>Engineer - Data</v>
      </c>
      <c r="D53" s="439" t="str">
        <f>Squads!$R$332</f>
        <v>Vacant</v>
      </c>
      <c r="E53" s="504" t="inlineStr">
        <is>
          <t>Hold</t>
        </is>
      </c>
      <c r="F53" s="442">
        <f>SUMIF('Added data'!$C$2:$C$549,Squads!$C$332,'Added data'!$AA$2:$AA$549)/COUNTIF('Added data'!$C$2:$C$549,Squads!$C$332)</f>
        <v>180250.29057142857</v>
      </c>
    </row>
    <row r="54">
      <c r="B54" s="429" t="str">
        <f>Squads!$B$337</f>
        <v>Dinesh Chandrasekaran</v>
      </c>
      <c r="C54" s="429" t="str">
        <f>SUBSTITUTE(SUBSTITUTE(Squads!$C$337,"–","-"),"—","-")</f>
        <v>Lead Engineer (Snowflake)</v>
      </c>
      <c r="D54" s="439" t="str">
        <f>Squads!$R$337</f>
        <v>Filled</v>
      </c>
    </row>
  </sheetData>
  <conditionalFormatting sqref="D18:D54">
    <cfRule type="cellIs" priority="1" operator="equal" dxfId="1">
      <formula>"Vacant"</formula>
    </cfRule>
  </conditionalFormatting>
  <conditionalFormatting sqref="I6:I10">
    <cfRule type="expression" priority="2" dxfId="1">
      <formula>AND(ISNUMBER(I6),I6&gt;0)</formula>
    </cfRule>
    <cfRule type="expression" priority="3" dxfId="0">
      <formula>AND(ISNUMBER(I6),I6&lt;=0)</formula>
    </cfRule>
  </conditionalFormatting>
  <dataValidations count="1">
    <dataValidation sqref="E20 E22 E23 E25 E27 E30 E32 E33 E40 E45 E46 E48 E51 E52 E53" showDropDown="0" showInputMessage="0" showErrorMessage="1" allowBlank="0" errorTitle="Invalid entry" error="Pick Hire or Hold" type="list">
      <formula1>"Hire,Hold"</formula1>
    </dataValidation>
  </dataValidations>
  <pageMargins left="0.75" right="0.75" top="1" bottom="1" header="0.5" footer="0.5"/>
</worksheet>
</file>

<file path=xl/worksheets/sheet32.xml><?xml version="1.0" encoding="utf-8"?>
<worksheet xmlns="http://schemas.openxmlformats.org/spreadsheetml/2006/main">
  <sheetPr>
    <tabColor rgb="00BF8F00"/>
    <outlinePr summaryBelow="1" summaryRight="1"/>
    <pageSetUpPr/>
  </sheetPr>
  <dimension ref="A1:J61"/>
  <sheetViews>
    <sheetView showGridLines="0" workbookViewId="0">
      <selection activeCell="A1" sqref="A1"/>
    </sheetView>
  </sheetViews>
  <sheetFormatPr baseColWidth="8" defaultRowHeight="14.5" outlineLevelCol="0"/>
  <cols>
    <col width="3" customWidth="1" style="506" min="1" max="1"/>
    <col width="44" customWidth="1" style="506" min="2" max="2"/>
    <col width="46" customWidth="1" style="506" min="3" max="3"/>
    <col width="12" customWidth="1" style="506" min="4" max="4"/>
    <col width="13" customWidth="1" style="506" min="5" max="5"/>
    <col width="14" customWidth="1" style="506" min="6" max="6"/>
    <col width="15" customWidth="1" style="506" min="7" max="7"/>
    <col width="17" customWidth="1" style="506" min="8" max="8"/>
    <col width="15" customWidth="1" style="506" min="9" max="9"/>
    <col width="30" customWidth="1" style="506" min="10" max="10"/>
  </cols>
  <sheetData>
    <row r="1"/>
    <row r="2" ht="21" customHeight="1" s="506">
      <c r="B2" s="437" t="str">
        <f>CONCATENATE('1.4 TDD Group Functions'!$B$2," GM working copy")</f>
        <v>TDD Group Functions GM working copy</v>
      </c>
    </row>
    <row r="3"/>
    <row r="4">
      <c r="B4" s="443" t="inlineStr">
        <is>
          <t>Position by squad</t>
        </is>
      </c>
      <c r="C4" s="444" t="n"/>
      <c r="D4" s="444" t="n"/>
      <c r="E4" s="444" t="n"/>
      <c r="F4" s="444" t="n"/>
      <c r="G4" s="444" t="n"/>
      <c r="H4" s="444" t="n"/>
      <c r="I4" s="444" t="n"/>
      <c r="J4" s="444" t="n"/>
    </row>
    <row r="5">
      <c r="B5" s="438" t="inlineStr">
        <is>
          <t>Squad</t>
        </is>
      </c>
      <c r="C5" s="667" t="inlineStr">
        <is>
          <t>Archetype type and size</t>
        </is>
      </c>
      <c r="D5" s="438" t="inlineStr">
        <is>
          <t>Archetype roles</t>
        </is>
      </c>
      <c r="E5" s="438" t="inlineStr">
        <is>
          <t>Filled</t>
        </is>
      </c>
      <c r="F5" s="438" t="inlineStr">
        <is>
          <t>Vacant</t>
        </is>
      </c>
      <c r="G5" s="438" t="inlineStr">
        <is>
          <t>Planning to hire</t>
        </is>
      </c>
      <c r="H5" s="438" t="inlineStr">
        <is>
          <t>Vacancies after calls</t>
        </is>
      </c>
      <c r="I5" s="438" t="inlineStr">
        <is>
          <t>vs archetype</t>
        </is>
      </c>
      <c r="J5" s="438" t="inlineStr">
        <is>
          <t>Flag</t>
        </is>
      </c>
    </row>
    <row r="6">
      <c r="B6" s="429" t="inlineStr">
        <is>
          <t>Workplace &amp; Enterprise Tooling</t>
        </is>
      </c>
      <c r="C6" s="692" t="str">
        <f>IF(OR('2.7 Squad Detail'!$F$44=0,'2.7 Squad Detail'!$F$44=""),'2.7 Squad Detail'!$E$44,'2.7 Squad Detail'!$E$44&amp;" - "&amp;'2.7 Squad Detail'!$F$44)</f>
        <v>Configuration / Integration - S</v>
      </c>
      <c r="D6" s="697">
        <f>'2.7 Squad Detail'!$G$44</f>
        <v>6.0</v>
      </c>
      <c r="E6" s="439">
        <f>COUNTIFS(Squads!$N:$N,"TDD Group Functions",Squads!$P:$P,"Workplace &amp; Enterprise Tooling",Squads!$R:$R,"Filled")</f>
        <v>4.0</v>
      </c>
      <c r="F6" s="439">
        <f>COUNTIFS(Squads!$N:$N,"TDD Group Functions",Squads!$P:$P,"Workplace &amp; Enterprise Tooling",Squads!$R:$R,"Vacant")</f>
        <v>2.0</v>
      </c>
      <c r="G6" s="439">
        <f>COUNTIF(E22:E25,"Hire")</f>
        <v>0.0</v>
      </c>
      <c r="H6" s="458">
        <f>F6-G6</f>
        <v>2.0</v>
      </c>
      <c r="I6" s="697">
        <f>IFERROR(E6+G6-D6,"-")</f>
        <v>-2.0</v>
      </c>
      <c r="J6" s="429" t="str">
        <f>IF(ISNUMBER(D6),IF(E6&gt;D6,"Filled already over archetype",IF(E6+G6&gt;D6,"Over archetype after hire calls","")),"Outside the archetype model - no target set")</f>
        <v/>
      </c>
    </row>
    <row r="7">
      <c r="B7" s="429" t="inlineStr">
        <is>
          <t>Network &amp; Infrastructure</t>
        </is>
      </c>
      <c r="C7" s="692" t="str">
        <f>IF(OR('2.7 Squad Detail'!$F$45=0,'2.7 Squad Detail'!$F$45=""),'2.7 Squad Detail'!$E$45,'2.7 Squad Detail'!$E$45&amp;" - "&amp;'2.7 Squad Detail'!$F$45)</f>
        <v>Operations - L</v>
      </c>
      <c r="D7" s="697">
        <f>'2.7 Squad Detail'!$G$45</f>
        <v>10.0</v>
      </c>
      <c r="E7" s="439">
        <f>COUNTIFS(Squads!$N:$N,"TDD Group Functions",Squads!$P:$P,"Network &amp; Infrastructure",Squads!$R:$R,"Filled")</f>
        <v>10.0</v>
      </c>
      <c r="F7" s="439">
        <f>COUNTIFS(Squads!$N:$N,"TDD Group Functions",Squads!$P:$P,"Network &amp; Infrastructure",Squads!$R:$R,"Vacant")</f>
        <v>1.0</v>
      </c>
      <c r="G7" s="439">
        <f>COUNTIF(E29:E29,"Hire")</f>
        <v>0.0</v>
      </c>
      <c r="H7" s="458">
        <f>F7-G7</f>
        <v>1.0</v>
      </c>
      <c r="I7" s="697">
        <f>IFERROR(E7+G7-D7,"-")</f>
        <v>0.0</v>
      </c>
      <c r="J7" s="429" t="str">
        <f>IF(ISNUMBER(D7),IF(E7&gt;D7,"Filled already over archetype",IF(E7+G7&gt;D7,"Over archetype after hire calls","")),"Outside the archetype model - no target set")</f>
        <v/>
      </c>
    </row>
    <row r="8">
      <c r="B8" s="429" t="inlineStr">
        <is>
          <t>DevOps &amp; Engineering</t>
        </is>
      </c>
      <c r="C8" s="692" t="str">
        <f>IF(OR('2.7 Squad Detail'!$F$46=0,'2.7 Squad Detail'!$F$46=""),'2.7 Squad Detail'!$E$46,'2.7 Squad Detail'!$E$46&amp;" - "&amp;'2.7 Squad Detail'!$F$46)</f>
        <v>Engineering - S</v>
      </c>
      <c r="D8" s="697">
        <f>'2.7 Squad Detail'!$G$46</f>
        <v>4.5</v>
      </c>
      <c r="E8" s="439">
        <f>COUNTIFS(Squads!$N:$N,"TDD Group Functions",Squads!$P:$P,"DevOps &amp; Engineering",Squads!$R:$R,"Filled")</f>
        <v>4.0</v>
      </c>
      <c r="F8" s="439">
        <f>COUNTIFS(Squads!$N:$N,"TDD Group Functions",Squads!$P:$P,"DevOps &amp; Engineering",Squads!$R:$R,"Vacant")</f>
        <v>4.0</v>
      </c>
      <c r="G8" s="439">
        <f>COUNTIF(E39:E44,"Hire")</f>
        <v>0.0</v>
      </c>
      <c r="H8" s="458">
        <f>F8-G8</f>
        <v>4.0</v>
      </c>
      <c r="I8" s="697">
        <f>IFERROR(E8+G8-D8,"-")</f>
        <v>-0.5</v>
      </c>
      <c r="J8" s="429" t="str">
        <f>IF(ISNUMBER(D8),IF(E8&gt;D8,"Filled already over archetype",IF(E8+G8&gt;D8,"Over archetype after hire calls","")),"Outside the archetype model - no target set")</f>
        <v/>
      </c>
    </row>
    <row r="9">
      <c r="B9" s="429" t="inlineStr">
        <is>
          <t>Integration</t>
        </is>
      </c>
      <c r="C9" s="692" t="str">
        <f>IF(OR('2.7 Squad Detail'!$F$47=0,'2.7 Squad Detail'!$F$47=""),'2.7 Squad Detail'!$E$47,'2.7 Squad Detail'!$E$47&amp;" - "&amp;'2.7 Squad Detail'!$F$47)</f>
        <v>Configuration / Integration - S</v>
      </c>
      <c r="D9" s="697">
        <f>'2.7 Squad Detail'!$G$47</f>
        <v>6.0</v>
      </c>
      <c r="E9" s="439">
        <f>COUNTIFS(Squads!$N:$N,"TDD Group Functions",Squads!$P:$P,"Integration",Squads!$R:$R,"Filled")</f>
        <v>6.0</v>
      </c>
      <c r="F9" s="439">
        <f>COUNTIFS(Squads!$N:$N,"TDD Group Functions",Squads!$P:$P,"Integration",Squads!$R:$R,"Vacant")</f>
        <v>2.0</v>
      </c>
      <c r="G9" s="439">
        <f>COUNTIF(E49:E53,"Hire")</f>
        <v>0.0</v>
      </c>
      <c r="H9" s="458">
        <f>F9-G9</f>
        <v>2.0</v>
      </c>
      <c r="I9" s="697">
        <f>IFERROR(E9+G9-D9,"-")</f>
        <v>0.0</v>
      </c>
      <c r="J9" s="429" t="str">
        <f>IF(ISNUMBER(D9),IF(E9&gt;D9,"Filled already over archetype",IF(E9+G9&gt;D9,"Over archetype after hire calls","")),"Outside the archetype model - no target set")</f>
        <v/>
      </c>
    </row>
    <row r="10">
      <c r="B10" s="429" t="inlineStr">
        <is>
          <t>EGI TDD</t>
        </is>
      </c>
      <c r="C10" s="692" t="str">
        <f>IF(OR('2.7 Squad Detail'!$F$49=0,'2.7 Squad Detail'!$F$49=""),'2.7 Squad Detail'!$E$49,'2.7 Squad Detail'!$E$49&amp;" - "&amp;'2.7 Squad Detail'!$F$49)</f>
        <v>Strategic Programs</v>
      </c>
      <c r="D10" s="697" t="str">
        <f>'2.7 Squad Detail'!$G$49</f>
        <v>-</v>
      </c>
      <c r="E10" s="439">
        <f>COUNTIFS(Squads!$N:$N,"TDD Group Functions",Squads!$P:$P,"EGI TDD",Squads!$R:$R,"Filled")</f>
        <v>5.0</v>
      </c>
      <c r="F10" s="439">
        <f>COUNTIFS(Squads!$N:$N,"TDD Group Functions",Squads!$P:$P,"EGI TDD",Squads!$R:$R,"Vacant")</f>
        <v>0.0</v>
      </c>
      <c r="G10" s="748">
        <f>COUNTIF(E57:E61,"Hire")</f>
        <v>0.0</v>
      </c>
      <c r="H10" s="458">
        <f>F10-G10</f>
        <v>0.0</v>
      </c>
      <c r="I10" s="697" t="str">
        <f>IFERROR(E10+G10-D10,"-")</f>
        <v>-</v>
      </c>
      <c r="J10" s="429" t="str">
        <f>IF(ISNUMBER(D10),IF(E10&gt;D10,"Filled already over archetype",IF(E10+G10&gt;D10,"Over archetype after hire calls","")),"Outside the archetype model - no target set")</f>
        <v>Outside the archetype model - no target set</v>
      </c>
    </row>
    <row r="11">
      <c r="B11" s="431" t="inlineStr">
        <is>
          <t>Total</t>
        </is>
      </c>
      <c r="D11" s="698">
        <f>SUM(D6:D10)</f>
        <v>26.5</v>
      </c>
      <c r="E11" s="447">
        <f>SUM(E6:E10)</f>
        <v>29.0</v>
      </c>
      <c r="F11" s="447">
        <f>SUM(F6:F10)</f>
        <v>9.0</v>
      </c>
      <c r="G11" s="447">
        <f>SUM(G6:G10)</f>
        <v>0.0</v>
      </c>
      <c r="H11" s="447">
        <f>SUM(H6:H10)</f>
        <v>9.0</v>
      </c>
      <c r="I11" s="698">
        <f>IF(COUNT(I6:I10)=0,"-",SUM(I6:I10))</f>
        <v>-2.5</v>
      </c>
    </row>
    <row r="12">
      <c r="B12" s="492" t="inlineStr">
        <is>
          <t>Cost to hire all vacancies ($m)</t>
        </is>
      </c>
      <c r="C12" s="497">
        <f>SUM(F19:F61)/1000000</f>
        <v>1.8716309775</v>
      </c>
    </row>
    <row r="13">
      <c r="B13" s="492" t="inlineStr">
        <is>
          <t>Cost of roles marked Hire ($m)</t>
        </is>
      </c>
      <c r="C13" s="497">
        <f>SUMIF(E19:E61,"Hire",F19:F61)/1000000</f>
        <v>0.0</v>
      </c>
    </row>
    <row r="14">
      <c r="B14" s="429" t="inlineStr">
        <is>
          <t>Vacant roles are priced at standard title rates - indicative until an offer is made.</t>
        </is>
      </c>
    </row>
    <row r="15">
      <c r="B15" s="429" t="inlineStr">
        <is>
          <t>Leadership roles are funded via the portfolio overheads and sit on 2.7 Squad Detail, not here.</t>
        </is>
      </c>
    </row>
    <row r="16">
      <c r="B16" s="695" t="inlineStr">
        <is>
          <t>vs archetype: positive = over the allowance, negative = under.</t>
        </is>
      </c>
    </row>
    <row r="17">
      <c r="B17" s="749" t="inlineStr">
        <is>
          <t>Roster - Hire or Hold each vacancy</t>
        </is>
      </c>
      <c r="C17" s="750" t="n"/>
      <c r="D17" s="750" t="n"/>
      <c r="E17" s="750" t="n"/>
      <c r="F17" s="750" t="n"/>
      <c r="G17" s="751" t="n"/>
      <c r="H17" s="751" t="n"/>
      <c r="I17" s="751" t="n"/>
      <c r="J17" s="751" t="n"/>
    </row>
    <row r="18">
      <c r="B18" s="438" t="inlineStr">
        <is>
          <t>Name</t>
        </is>
      </c>
      <c r="C18" s="438" t="inlineStr">
        <is>
          <t>Role</t>
        </is>
      </c>
      <c r="D18" s="438" t="inlineStr">
        <is>
          <t>Status</t>
        </is>
      </c>
      <c r="E18" s="438" t="inlineStr">
        <is>
          <t>Call</t>
        </is>
      </c>
      <c r="F18" s="438" t="inlineStr">
        <is>
          <t>Cost if hired ($)</t>
        </is>
      </c>
    </row>
    <row r="19">
      <c r="B19" s="464" t="inlineStr">
        <is>
          <t>Workplace &amp; Enterprise Tooling</t>
        </is>
      </c>
      <c r="C19" s="465" t="n"/>
      <c r="D19" s="465" t="n"/>
      <c r="E19" s="465" t="n"/>
    </row>
    <row r="20">
      <c r="B20" s="429" t="str">
        <f>Squads!$B$532</f>
        <v>Rob Struthers</v>
      </c>
      <c r="C20" s="429" t="str">
        <f>SUBSTITUTE(SUBSTITUTE(Squads!$C$532,"–","-"),"—","-")</f>
        <v>Engineer - Modern Workplaces</v>
      </c>
      <c r="D20" s="439" t="str">
        <f>Squads!$R$532</f>
        <v>Filled</v>
      </c>
    </row>
    <row r="21">
      <c r="B21" s="429" t="str">
        <f>Squads!$B$533</f>
        <v>Billie Connolly</v>
      </c>
      <c r="C21" s="429" t="str">
        <f>SUBSTITUTE(SUBSTITUTE(Squads!$C$533,"–","-"),"—","-")</f>
        <v>Engineer - Modern Workplaces</v>
      </c>
      <c r="D21" s="439" t="str">
        <f>Squads!$R$533</f>
        <v>Filled</v>
      </c>
    </row>
    <row r="22">
      <c r="B22" s="429" t="str">
        <f>Squads!$B$534</f>
        <v>Vacant</v>
      </c>
      <c r="C22" s="429" t="str">
        <f>SUBSTITUTE(SUBSTITUTE(Squads!$C$534,"–","-"),"—","-")</f>
        <v>Business Analyst (Workplace &amp; Enterprise Tooling)</v>
      </c>
      <c r="D22" s="439" t="str">
        <f>Squads!$R$534</f>
        <v>Vacant</v>
      </c>
      <c r="E22" s="504" t="inlineStr">
        <is>
          <t>Hold</t>
        </is>
      </c>
      <c r="F22" s="442">
        <f>SUMIF('Added data'!$C$2:$C$549,Squads!$C$534,'Added data'!$AA$2:$AA$549)/COUNTIF('Added data'!$C$2:$C$549,Squads!$C$534)</f>
        <v>201585.0</v>
      </c>
    </row>
    <row r="23">
      <c r="B23" s="429" t="str">
        <f>Squads!$B$535</f>
        <v>Ken Thomson</v>
      </c>
      <c r="C23" s="429" t="str">
        <f>SUBSTITUTE(SUBSTITUTE(Squads!$C$535,"–","-"),"—","-")</f>
        <v>Servicenow Platform Specialist</v>
      </c>
      <c r="D23" s="439" t="str">
        <f>Squads!$R$535</f>
        <v>Filled</v>
      </c>
    </row>
    <row r="24">
      <c r="B24" s="429" t="str">
        <f>Squads!$B$536</f>
        <v>Nicholas McKay</v>
      </c>
      <c r="C24" s="429" t="str">
        <f>SUBSTITUTE(SUBSTITUTE(Squads!$C$536,"–","-"),"—","-")</f>
        <v>Workplace Tooling Specialist</v>
      </c>
      <c r="D24" s="439" t="str">
        <f>Squads!$R$536</f>
        <v>Filled</v>
      </c>
    </row>
    <row r="25">
      <c r="B25" s="429" t="str">
        <f>Squads!$B$537</f>
        <v>Vacant</v>
      </c>
      <c r="C25" s="429" t="str">
        <f>SUBSTITUTE(SUBSTITUTE(Squads!$C$537,"–","-"),"—","-")</f>
        <v>Enterprise Systems Specialist</v>
      </c>
      <c r="D25" s="439" t="str">
        <f>Squads!$R$537</f>
        <v>Vacant</v>
      </c>
      <c r="E25" s="504" t="inlineStr">
        <is>
          <t>Hold</t>
        </is>
      </c>
      <c r="F25" s="442">
        <f>SUMIF('Added data'!$C$2:$C$549,Squads!$C$537,'Added data'!$AA$2:$AA$549)/COUNTIF('Added data'!$C$2:$C$549,Squads!$C$537)</f>
        <v>202853.25</v>
      </c>
    </row>
    <row r="26">
      <c r="B26" s="464" t="inlineStr">
        <is>
          <t>Network &amp; Infrastructure</t>
        </is>
      </c>
      <c r="C26" s="465" t="n"/>
      <c r="D26" s="465" t="n"/>
      <c r="E26" s="465" t="n"/>
    </row>
    <row r="27">
      <c r="B27" s="429" t="str">
        <f>Squads!$B$458</f>
        <v>C K Lau</v>
      </c>
      <c r="C27" s="429" t="str">
        <f>SUBSTITUTE(SUBSTITUTE(Squads!$C$458,"–","-"),"—","-")</f>
        <v>Delivery Lead (Cloud &amp; Network)</v>
      </c>
      <c r="D27" s="439" t="str">
        <f>Squads!$R$458</f>
        <v>Filled</v>
      </c>
    </row>
    <row r="28">
      <c r="B28" s="429" t="str">
        <f>Squads!$B$459</f>
        <v>Fan Zhang</v>
      </c>
      <c r="C28" s="429" t="str">
        <f>SUBSTITUTE(SUBSTITUTE(Squads!$C$459,"–","-"),"—","-")</f>
        <v>Infrastructure Engineer</v>
      </c>
      <c r="D28" s="439" t="str">
        <f>Squads!$R$459</f>
        <v>Filled</v>
      </c>
    </row>
    <row r="29">
      <c r="B29" s="429" t="str">
        <f>Squads!$B$460</f>
        <v>Vacant</v>
      </c>
      <c r="C29" s="429" t="str">
        <f>SUBSTITUTE(SUBSTITUTE(Squads!$C$460,"–","-"),"—","-")</f>
        <v>Infrastructure Operations Lead</v>
      </c>
      <c r="D29" s="439" t="str">
        <f>Squads!$R$460</f>
        <v>Vacant</v>
      </c>
      <c r="E29" s="504" t="inlineStr">
        <is>
          <t>Hold</t>
        </is>
      </c>
      <c r="F29" s="442">
        <f>SUMIF('Added data'!$C$2:$C$549,Squads!$C$460,'Added data'!$AA$2:$AA$549)/COUNTIF('Added data'!$C$2:$C$549,Squads!$C$460)</f>
        <v>202853.25</v>
      </c>
    </row>
    <row r="30">
      <c r="B30" s="429" t="str">
        <f>Squads!$B$461</f>
        <v>Johnny Li</v>
      </c>
      <c r="C30" s="429" t="str">
        <f>SUBSTITUTE(SUBSTITUTE(Squads!$C$461,"–","-"),"—","-")</f>
        <v>Cloud Solutions Architect</v>
      </c>
      <c r="D30" s="439" t="str">
        <f>Squads!$R$461</f>
        <v>Filled</v>
      </c>
    </row>
    <row r="31">
      <c r="B31" s="429" t="str">
        <f>Squads!$B$462</f>
        <v>Steven Yong</v>
      </c>
      <c r="C31" s="429" t="str">
        <f>SUBSTITUTE(SUBSTITUTE(Squads!$C$462,"–","-"),"—","-")</f>
        <v>Nework Architect</v>
      </c>
      <c r="D31" s="439" t="str">
        <f>Squads!$R$462</f>
        <v>Filled</v>
      </c>
    </row>
    <row r="32">
      <c r="B32" s="429" t="str">
        <f>Squads!$B$463</f>
        <v>Satish Chowdhary</v>
      </c>
      <c r="C32" s="429" t="str">
        <f>SUBSTITUTE(SUBSTITUTE(Squads!$C$463,"–","-"),"—","-")</f>
        <v>Nework Architect</v>
      </c>
      <c r="D32" s="439" t="str">
        <f>Squads!$R$463</f>
        <v>Filled</v>
      </c>
    </row>
    <row r="33">
      <c r="B33" s="429" t="str">
        <f>Squads!$B$464</f>
        <v>Muhammad Abubaker</v>
      </c>
      <c r="C33" s="429" t="str">
        <f>SUBSTITUTE(SUBSTITUTE(Squads!$C$464,"–","-"),"—","-")</f>
        <v>Network Operations Engineer</v>
      </c>
      <c r="D33" s="439" t="str">
        <f>Squads!$R$464</f>
        <v>Filled</v>
      </c>
    </row>
    <row r="34">
      <c r="B34" s="429" t="str">
        <f>Squads!$B$465</f>
        <v>Axel Soh</v>
      </c>
      <c r="C34" s="429" t="str">
        <f>SUBSTITUTE(SUBSTITUTE(Squads!$C$465,"–","-"),"—","-")</f>
        <v>Cloud Solutions Architect</v>
      </c>
      <c r="D34" s="439" t="str">
        <f>Squads!$R$465</f>
        <v>Filled</v>
      </c>
    </row>
    <row r="35">
      <c r="B35" s="429" t="str">
        <f>Squads!$B$466</f>
        <v>John McCormack</v>
      </c>
      <c r="C35" s="429" t="str">
        <f>SUBSTITUTE(SUBSTITUTE(Squads!$C$466,"–","-"),"—","-")</f>
        <v>Manager - Infrastructure Operations</v>
      </c>
      <c r="D35" s="439" t="str">
        <f>Squads!$R$466</f>
        <v>Filled</v>
      </c>
    </row>
    <row r="36">
      <c r="B36" s="429" t="str">
        <f>Squads!$B$467</f>
        <v>Pierre Spee</v>
      </c>
      <c r="C36" s="429" t="str">
        <f>SUBSTITUTE(SUBSTITUTE(Squads!$C$467,"–","-"),"—","-")</f>
        <v>Cloud Solutions Architect</v>
      </c>
      <c r="D36" s="439" t="str">
        <f>Squads!$R$467</f>
        <v>Filled</v>
      </c>
    </row>
    <row r="37">
      <c r="B37" s="429" t="str">
        <f>Squads!$B$468</f>
        <v>John Badia</v>
      </c>
      <c r="C37" s="429" t="str">
        <f>SUBSTITUTE(SUBSTITUTE(Squads!$C$468,"–","-"),"—","-")</f>
        <v>Cloud Solutions Architect</v>
      </c>
      <c r="D37" s="439" t="str">
        <f>Squads!$R$468</f>
        <v>Filled</v>
      </c>
    </row>
    <row r="38">
      <c r="B38" s="464" t="inlineStr">
        <is>
          <t>DevOps &amp; Engineering</t>
        </is>
      </c>
      <c r="C38" s="465" t="n"/>
      <c r="D38" s="465" t="n"/>
      <c r="E38" s="465" t="n"/>
    </row>
    <row r="39">
      <c r="B39" s="429" t="str">
        <f>Squads!$B$469</f>
        <v>vacant</v>
      </c>
      <c r="C39" s="429" t="str">
        <f>SUBSTITUTE(SUBSTITUTE(Squads!$C$469,"–","-"),"—","-")</f>
        <v>Lead Engineer Software</v>
      </c>
      <c r="D39" s="439" t="str">
        <f>Squads!$R$469</f>
        <v>Vacant</v>
      </c>
      <c r="E39" s="504" t="inlineStr">
        <is>
          <t>Hold</t>
        </is>
      </c>
      <c r="F39" s="442">
        <f>SUMIF('Added data'!$C$2:$C$549,Squads!$C$469,'Added data'!$AA$2:$AA$549)/COUNTIF('Added data'!$C$2:$C$549,Squads!$C$469)</f>
        <v>197834.6775</v>
      </c>
    </row>
    <row r="40">
      <c r="B40" s="429" t="str">
        <f>Squads!$B$470</f>
        <v>Vacant</v>
      </c>
      <c r="C40" s="429" t="str">
        <f>SUBSTITUTE(SUBSTITUTE(Squads!$C$470,"–","-"),"—","-")</f>
        <v>Senior Engineer (Automation Test)</v>
      </c>
      <c r="D40" s="439" t="str">
        <f>Squads!$R$470</f>
        <v>Vacant</v>
      </c>
      <c r="E40" s="504" t="inlineStr">
        <is>
          <t>Hold</t>
        </is>
      </c>
      <c r="F40" s="442">
        <f>SUMIF('Added data'!$C$2:$C$549,Squads!$C$470,'Added data'!$AA$2:$AA$549)/COUNTIF('Added data'!$C$2:$C$549,Squads!$C$470)</f>
        <v>198688.05</v>
      </c>
    </row>
    <row r="41">
      <c r="B41" s="429" t="str">
        <f>Squads!$B$471</f>
        <v>Vacant</v>
      </c>
      <c r="C41" s="429" t="str">
        <f>SUBSTITUTE(SUBSTITUTE(Squads!$C$471,"–","-"),"—","-")</f>
        <v>Lead Engineer (Automation Test)</v>
      </c>
      <c r="D41" s="439" t="str">
        <f>Squads!$R$471</f>
        <v>Vacant</v>
      </c>
      <c r="E41" s="504" t="inlineStr">
        <is>
          <t>Hold</t>
        </is>
      </c>
      <c r="F41" s="442">
        <f>SUMIF('Added data'!$C$2:$C$549,Squads!$C$471,'Added data'!$AA$2:$AA$549)/COUNTIF('Added data'!$C$2:$C$549,Squads!$C$471)</f>
        <v>231689.25</v>
      </c>
    </row>
    <row r="42">
      <c r="B42" s="429" t="str">
        <f>Squads!$B$472</f>
        <v>Luke Hamer</v>
      </c>
      <c r="C42" s="429" t="str">
        <f>SUBSTITUTE(SUBSTITUTE(Squads!$C$472,"–","-"),"—","-")</f>
        <v>Lead Engineer - Devops</v>
      </c>
      <c r="D42" s="439" t="str">
        <f>Squads!$R$472</f>
        <v>Filled</v>
      </c>
    </row>
    <row r="43">
      <c r="B43" s="429" t="str">
        <f>Squads!$B$473</f>
        <v>Lucas Wang</v>
      </c>
      <c r="C43" s="429" t="str">
        <f>SUBSTITUTE(SUBSTITUTE(Squads!$C$473,"–","-"),"—","-")</f>
        <v>Senior Engineer (Automation Test)</v>
      </c>
      <c r="D43" s="439" t="str">
        <f>Squads!$R$473</f>
        <v>Filled</v>
      </c>
    </row>
    <row r="44">
      <c r="B44" s="429" t="str">
        <f>Squads!$B$474</f>
        <v>vacant</v>
      </c>
      <c r="C44" s="429" t="str">
        <f>SUBSTITUTE(SUBSTITUTE(Squads!$C$474,"–","-"),"—","-")</f>
        <v>Environments and Test Data Manager</v>
      </c>
      <c r="D44" s="439" t="str">
        <f>Squads!$R$474</f>
        <v>Vacant</v>
      </c>
      <c r="E44" s="504" t="inlineStr">
        <is>
          <t>Hold</t>
        </is>
      </c>
      <c r="F44" s="442">
        <f>SUMIF('Added data'!$C$2:$C$549,Squads!$C$474,'Added data'!$AA$2:$AA$549)/COUNTIF('Added data'!$C$2:$C$549,Squads!$C$474)</f>
        <v>202853.25</v>
      </c>
    </row>
    <row r="45">
      <c r="B45" s="429" t="str">
        <f>Squads!$B$475</f>
        <v>Mike Lealamanu</v>
      </c>
      <c r="C45" s="429" t="str">
        <f>SUBSTITUTE(SUBSTITUTE(Squads!$C$475,"–","-"),"—","-")</f>
        <v>Quality Assurance</v>
      </c>
      <c r="D45" s="439" t="str">
        <f>Squads!$R$475</f>
        <v>Filled</v>
      </c>
    </row>
    <row r="46">
      <c r="B46" s="429" t="str">
        <f>Squads!$B$476</f>
        <v>Sunny Arya</v>
      </c>
      <c r="C46" s="429" t="str">
        <f>SUBSTITUTE(SUBSTITUTE(Squads!$C$476,"–","-"),"—","-")</f>
        <v>Lead Engineer, Devops</v>
      </c>
      <c r="D46" s="439" t="str">
        <f>Squads!$R$476</f>
        <v>Filled</v>
      </c>
    </row>
    <row r="47">
      <c r="B47" s="464" t="inlineStr">
        <is>
          <t>Integration</t>
        </is>
      </c>
      <c r="C47" s="465" t="n"/>
      <c r="D47" s="465" t="n"/>
      <c r="E47" s="465" t="n"/>
    </row>
    <row r="48">
      <c r="B48" s="429" t="str">
        <f>Squads!$B$484</f>
        <v>Bala Thiruvadi</v>
      </c>
      <c r="C48" s="429" t="str">
        <f>SUBSTITUTE(SUBSTITUTE(Squads!$C$484,"–","-"),"—","-")</f>
        <v>Integration Architect - Boomi</v>
      </c>
      <c r="D48" s="439" t="str">
        <f>Squads!$R$484</f>
        <v>Filled</v>
      </c>
    </row>
    <row r="49">
      <c r="B49" s="429" t="str">
        <f>Squads!$B$485</f>
        <v>Vacant</v>
      </c>
      <c r="C49" s="429" t="str">
        <f>SUBSTITUTE(SUBSTITUTE(Squads!$C$485,"–","-"),"—","-")</f>
        <v>RPA Lead</v>
      </c>
      <c r="D49" s="439" t="str">
        <f>Squads!$R$485</f>
        <v>Vacant</v>
      </c>
      <c r="E49" s="504" t="inlineStr">
        <is>
          <t>Hold</t>
        </is>
      </c>
      <c r="F49" s="442">
        <f>SUMIF('Added data'!$C$2:$C$549,Squads!$C$485,'Added data'!$AA$2:$AA$549)/COUNTIF('Added data'!$C$2:$C$549,Squads!$C$485)</f>
        <v>231689.25</v>
      </c>
    </row>
    <row r="50">
      <c r="B50" s="429" t="str">
        <f>Squads!$B$486</f>
        <v>Lisa Rademakers</v>
      </c>
      <c r="C50" s="429" t="str">
        <f>SUBSTITUTE(SUBSTITUTE(Squads!$C$486,"–","-"),"—","-")</f>
        <v>Delivery Lead (Integrations)</v>
      </c>
      <c r="D50" s="439" t="str">
        <f>Squads!$R$486</f>
        <v>Filled</v>
      </c>
    </row>
    <row r="51">
      <c r="B51" s="429" t="str">
        <f>Squads!$B$487</f>
        <v>Michael Weng</v>
      </c>
      <c r="C51" s="429" t="str">
        <f>SUBSTITUTE(SUBSTITUTE(Squads!$C$487,"–","-"),"—","-")</f>
        <v>Solution Architect</v>
      </c>
      <c r="D51" s="439" t="str">
        <f>Squads!$R$487</f>
        <v>Filled</v>
      </c>
    </row>
    <row r="52">
      <c r="B52" s="429" t="str">
        <f>Squads!$B$488</f>
        <v>Thandava Krishna Kakarala</v>
      </c>
      <c r="C52" s="429" t="str">
        <f>SUBSTITUTE(SUBSTITUTE(Squads!$C$488,"–","-"),"—","-")</f>
        <v>Snr Engineer - Boomi</v>
      </c>
      <c r="D52" s="439" t="str">
        <f>Squads!$R$488</f>
        <v>Filled</v>
      </c>
    </row>
    <row r="53">
      <c r="B53" s="429" t="str">
        <f>Squads!$B$489</f>
        <v>Vacant</v>
      </c>
      <c r="C53" s="429" t="str">
        <f>SUBSTITUTE(SUBSTITUTE(Squads!$C$489,"–","-"),"—","-")</f>
        <v>Business Analyst (Integrations)</v>
      </c>
      <c r="D53" s="439" t="str">
        <f>Squads!$R$489</f>
        <v>Vacant</v>
      </c>
      <c r="E53" s="504" t="inlineStr">
        <is>
          <t>Hold</t>
        </is>
      </c>
      <c r="F53" s="442">
        <f>SUMIF('Added data'!$C$2:$C$549,Squads!$C$489,'Added data'!$AA$2:$AA$549)/COUNTIF('Added data'!$C$2:$C$549,Squads!$C$489)</f>
        <v>201585.0</v>
      </c>
    </row>
    <row r="54">
      <c r="B54" s="429" t="str">
        <f>Squads!$B$490</f>
        <v>Mike Seales</v>
      </c>
      <c r="C54" s="429" t="str">
        <f>SUBSTITUTE(SUBSTITUTE(Squads!$C$490,"–","-"),"—","-")</f>
        <v>Technology Manager, Integration &amp; Process Automation</v>
      </c>
      <c r="D54" s="439" t="str">
        <f>Squads!$R$490</f>
        <v>Filled</v>
      </c>
    </row>
    <row r="55">
      <c r="B55" s="429" t="str">
        <f>Squads!$B$491</f>
        <v>Lisa Rademakers</v>
      </c>
      <c r="C55" s="429" t="str">
        <f>SUBSTITUTE(SUBSTITUTE(Squads!$C$491,"–","-"),"—","-")</f>
        <v>Delivery Lead- Integrations</v>
      </c>
      <c r="D55" s="439" t="str">
        <f>Squads!$R$491</f>
        <v>Filled</v>
      </c>
    </row>
    <row r="56">
      <c r="B56" s="464" t="inlineStr">
        <is>
          <t>EGI TDD</t>
        </is>
      </c>
      <c r="C56" s="465" t="n"/>
      <c r="D56" s="465" t="n"/>
      <c r="E56" s="465" t="n"/>
    </row>
    <row r="57">
      <c r="B57" s="429" t="str">
        <f>Squads!$B$91</f>
        <v>Viren Khatri</v>
      </c>
      <c r="C57" s="429" t="str">
        <f>SUBSTITUTE(SUBSTITUTE(Squads!$C$91,"–","-"),"—","-")</f>
        <v>Data Migration Lead</v>
      </c>
      <c r="D57" s="439" t="str">
        <f>Squads!$R$91</f>
        <v>Filled</v>
      </c>
    </row>
    <row r="58">
      <c r="B58" s="429" t="str">
        <f>Squads!$B$479</f>
        <v>Arun Tahlan</v>
      </c>
      <c r="C58" s="429" t="str">
        <f>SUBSTITUTE(SUBSTITUTE(Squads!$C$479,"–","-"),"—","-")</f>
        <v>Integration Architect (C) - Boomi</v>
      </c>
      <c r="D58" s="439" t="str">
        <f>Squads!$R$479</f>
        <v>Filled</v>
      </c>
    </row>
    <row r="59">
      <c r="B59" s="429" t="str">
        <f>Squads!$B$480</f>
        <v>Kris Thornley</v>
      </c>
      <c r="C59" s="429" t="str">
        <f>SUBSTITUTE(SUBSTITUTE(Squads!$C$480,"–","-"),"—","-")</f>
        <v>Integration Architect (C)</v>
      </c>
      <c r="D59" s="439" t="str">
        <f>Squads!$R$480</f>
        <v>Filled</v>
      </c>
    </row>
    <row r="60">
      <c r="B60" s="429" t="str">
        <f>Squads!$B$481</f>
        <v>Shobhit Mittal</v>
      </c>
      <c r="C60" s="429" t="str">
        <f>SUBSTITUTE(SUBSTITUTE(Squads!$C$481,"–","-"),"—","-")</f>
        <v>Lead Engineer - Automation Test</v>
      </c>
      <c r="D60" s="439" t="str">
        <f>Squads!$R$481</f>
        <v>Filled</v>
      </c>
    </row>
    <row r="61">
      <c r="B61" s="429" t="str">
        <f>Squads!$B$482</f>
        <v>Anjali Patra</v>
      </c>
      <c r="C61" s="429" t="str">
        <f>SUBSTITUTE(SUBSTITUTE(Squads!$C$482,"–","-"),"—","-")</f>
        <v>Delivery Lead - EGI</v>
      </c>
      <c r="D61" s="439" t="str">
        <f>Squads!$R$482</f>
        <v>Filled</v>
      </c>
    </row>
  </sheetData>
  <conditionalFormatting sqref="D19:D61">
    <cfRule type="cellIs" priority="1" operator="equal" dxfId="1">
      <formula>"Vacant"</formula>
    </cfRule>
  </conditionalFormatting>
  <conditionalFormatting sqref="I6:I11">
    <cfRule type="expression" priority="2" dxfId="1">
      <formula>AND(ISNUMBER(I6),I6&gt;0)</formula>
    </cfRule>
    <cfRule type="expression" priority="3" dxfId="0">
      <formula>AND(ISNUMBER(I6),I6&lt;=0)</formula>
    </cfRule>
  </conditionalFormatting>
  <dataValidations count="1">
    <dataValidation sqref="E22 E25 E29 E39 E40 E41 E44 E49 E53" showDropDown="0" showInputMessage="0" showErrorMessage="1" allowBlank="0" errorTitle="Invalid entry" error="Pick Hire or Hold" type="list">
      <formula1>"Hire,Hold"</formula1>
    </dataValidation>
  </dataValidations>
  <pageMargins left="0.75" right="0.75" top="1" bottom="1" header="0.5" footer="0.5"/>
</worksheet>
</file>

<file path=xl/worksheets/sheet33.xml><?xml version="1.0" encoding="utf-8"?>
<worksheet xmlns="http://schemas.openxmlformats.org/spreadsheetml/2006/main">
  <sheetPr>
    <tabColor rgb="00BF8F00"/>
    <outlinePr summaryBelow="1" summaryRight="1"/>
    <pageSetUpPr/>
  </sheetPr>
  <dimension ref="A1:J34"/>
  <sheetViews>
    <sheetView showGridLines="0" workbookViewId="0">
      <selection activeCell="A1" sqref="A1"/>
    </sheetView>
  </sheetViews>
  <sheetFormatPr baseColWidth="8" defaultRowHeight="14.5" outlineLevelCol="0"/>
  <cols>
    <col width="3" customWidth="1" style="506" min="1" max="1"/>
    <col width="44" customWidth="1" style="506" min="2" max="2"/>
    <col width="46" customWidth="1" style="506" min="3" max="3"/>
    <col width="12" customWidth="1" style="506" min="4" max="4"/>
    <col width="13" customWidth="1" style="506" min="5" max="5"/>
    <col width="14" customWidth="1" style="506" min="6" max="6"/>
    <col width="15" customWidth="1" style="506" min="7" max="7"/>
    <col width="17" customWidth="1" style="506" min="8" max="8"/>
    <col width="15" customWidth="1" style="506" min="9" max="9"/>
    <col width="30" customWidth="1" style="506" min="10" max="10"/>
  </cols>
  <sheetData>
    <row r="1"/>
    <row r="2" ht="21" customHeight="1" s="506">
      <c r="B2" s="437" t="str">
        <f>CONCATENATE('1.5 P&amp;C'!$B$2," GM working copy")</f>
        <v>P&amp;C GM working copy</v>
      </c>
    </row>
    <row r="3"/>
    <row r="4">
      <c r="B4" s="443" t="inlineStr">
        <is>
          <t>Position by squad</t>
        </is>
      </c>
      <c r="C4" s="444" t="n"/>
      <c r="D4" s="444" t="n"/>
      <c r="E4" s="444" t="n"/>
      <c r="F4" s="444" t="n"/>
      <c r="G4" s="444" t="n"/>
      <c r="H4" s="444" t="n"/>
      <c r="I4" s="444" t="n"/>
      <c r="J4" s="444" t="n"/>
    </row>
    <row r="5">
      <c r="B5" s="438" t="inlineStr">
        <is>
          <t>Squad</t>
        </is>
      </c>
      <c r="C5" s="667" t="inlineStr">
        <is>
          <t>Archetype type and size</t>
        </is>
      </c>
      <c r="D5" s="438" t="inlineStr">
        <is>
          <t>Archetype roles</t>
        </is>
      </c>
      <c r="E5" s="438" t="inlineStr">
        <is>
          <t>Filled</t>
        </is>
      </c>
      <c r="F5" s="438" t="inlineStr">
        <is>
          <t>Vacant</t>
        </is>
      </c>
      <c r="G5" s="438" t="inlineStr">
        <is>
          <t>Planning to hire</t>
        </is>
      </c>
      <c r="H5" s="438" t="inlineStr">
        <is>
          <t>Vacancies after calls</t>
        </is>
      </c>
      <c r="I5" s="438" t="inlineStr">
        <is>
          <t>vs archetype</t>
        </is>
      </c>
      <c r="J5" s="438" t="inlineStr">
        <is>
          <t>Flag</t>
        </is>
      </c>
    </row>
    <row r="6">
      <c r="B6" s="429" t="inlineStr">
        <is>
          <t>P&amp;C</t>
        </is>
      </c>
      <c r="C6" s="692" t="str">
        <f>IF(OR('2.7 Squad Detail'!$F$52=0,'2.7 Squad Detail'!$F$52=""),'2.7 Squad Detail'!$E$52,'2.7 Squad Detail'!$E$52&amp;" - "&amp;'2.7 Squad Detail'!$F$52)</f>
        <v>Configuration / Integration - M</v>
      </c>
      <c r="D6" s="697">
        <f>'2.7 Squad Detail'!$G$52</f>
        <v>9.0</v>
      </c>
      <c r="E6" s="439">
        <f>COUNTIFS(Squads!$N:$N,"P&amp;C",Squads!$P:$P,"P&amp;C",Squads!$R:$R,"Filled")</f>
        <v>5.0</v>
      </c>
      <c r="F6" s="439">
        <f>COUNTIFS(Squads!$N:$N,"P&amp;C",Squads!$P:$P,"P&amp;C",Squads!$R:$R,"Vacant")</f>
        <v>3.0</v>
      </c>
      <c r="G6" s="439">
        <f>COUNTIF(E19:E24,"Hire")</f>
        <v>0.0</v>
      </c>
      <c r="H6" s="458">
        <f>F6-G6</f>
        <v>3.0</v>
      </c>
      <c r="I6" s="697">
        <f>IFERROR(E6+G6-D6,"-")</f>
        <v>-4.0</v>
      </c>
      <c r="J6" s="429" t="str">
        <f>IF(ISNUMBER(D6),IF(E6&gt;D6,"Filled already over archetype",IF(E6+G6&gt;D6,"Over archetype after hire calls","")),"Outside the archetype model - no target set")</f>
        <v/>
      </c>
    </row>
    <row r="7">
      <c r="B7" s="429" t="inlineStr">
        <is>
          <t>P&amp;C - RTA</t>
        </is>
      </c>
      <c r="C7" s="692" t="str">
        <f>IF(OR('2.7 Squad Detail'!$F$53=0,'2.7 Squad Detail'!$F$53=""),'2.7 Squad Detail'!$E$53,'2.7 Squad Detail'!$E$53&amp;" - "&amp;'2.7 Squad Detail'!$F$53)</f>
        <v>Configuration / Integration - S</v>
      </c>
      <c r="D7" s="697">
        <f>'2.7 Squad Detail'!$G$53</f>
        <v>6.0</v>
      </c>
      <c r="E7" s="439">
        <f>COUNTIFS(Squads!$N:$N,"P&amp;C",Squads!$P:$P,"P&amp;C - RTA",Squads!$R:$R,"Filled")</f>
        <v>1.0</v>
      </c>
      <c r="F7" s="439">
        <f>COUNTIFS(Squads!$N:$N,"P&amp;C",Squads!$P:$P,"P&amp;C - RTA",Squads!$R:$R,"Vacant")</f>
        <v>5.0</v>
      </c>
      <c r="G7" s="439">
        <f>COUNTIF(E27:E32,"Hire")</f>
        <v>0.0</v>
      </c>
      <c r="H7" s="458">
        <f>F7-G7</f>
        <v>5.0</v>
      </c>
      <c r="I7" s="697">
        <f>IFERROR(E7+G7-D7,"-")</f>
        <v>-5.0</v>
      </c>
      <c r="J7" s="429" t="str">
        <f>IF(ISNUMBER(D7),IF(E7&gt;D7,"Filled already over archetype",IF(E7+G7&gt;D7,"Over archetype after hire calls","")),"Outside the archetype model - no target set")</f>
        <v/>
      </c>
    </row>
    <row r="8">
      <c r="B8" s="429" t="inlineStr">
        <is>
          <t>EGI P&amp;C</t>
        </is>
      </c>
      <c r="C8" s="692" t="str">
        <f>IF(OR('2.7 Squad Detail'!$F$55=0,'2.7 Squad Detail'!$F$55=""),'2.7 Squad Detail'!$E$55,'2.7 Squad Detail'!$E$55&amp;" - "&amp;'2.7 Squad Detail'!$F$55)</f>
        <v>Strategic Programs</v>
      </c>
      <c r="D8" s="697" t="str">
        <f>'2.7 Squad Detail'!$G$55</f>
        <v>-</v>
      </c>
      <c r="E8" s="439">
        <f>COUNTIFS(Squads!$N:$N,"P&amp;C",Squads!$P:$P,"EGI P&amp;C",Squads!$R:$R,"Filled")</f>
        <v>1.0</v>
      </c>
      <c r="F8" s="439">
        <f>COUNTIFS(Squads!$N:$N,"P&amp;C",Squads!$P:$P,"EGI P&amp;C",Squads!$R:$R,"Vacant")</f>
        <v>0.0</v>
      </c>
      <c r="G8" s="748">
        <f>COUNTIF(E34:E34,"Hire")</f>
        <v>0.0</v>
      </c>
      <c r="H8" s="458">
        <f>F8-G8</f>
        <v>0.0</v>
      </c>
      <c r="I8" s="697" t="str">
        <f>IFERROR(E8+G8-D8,"-")</f>
        <v>-</v>
      </c>
      <c r="J8" s="429" t="str">
        <f>IF(ISNUMBER(D8),IF(E8&gt;D8,"Filled already over archetype",IF(E8+G8&gt;D8,"Over archetype after hire calls","")),"Outside the archetype model - no target set")</f>
        <v>Outside the archetype model - no target set</v>
      </c>
    </row>
    <row r="9">
      <c r="B9" s="431" t="inlineStr">
        <is>
          <t>Total</t>
        </is>
      </c>
      <c r="D9" s="698">
        <f>SUM(D6:D8)</f>
        <v>15.0</v>
      </c>
      <c r="E9" s="447">
        <f>SUM(E6:E8)</f>
        <v>7.0</v>
      </c>
      <c r="F9" s="447">
        <f>SUM(F6:F8)</f>
        <v>8.0</v>
      </c>
      <c r="G9" s="447">
        <f>SUM(G6:G8)</f>
        <v>0.0</v>
      </c>
      <c r="H9" s="447">
        <f>SUM(H6:H8)</f>
        <v>8.0</v>
      </c>
      <c r="I9" s="698">
        <f>IF(COUNT(I6:I8)=0,"-",SUM(I6:I8))</f>
        <v>-9.0</v>
      </c>
    </row>
    <row r="10">
      <c r="B10" s="492" t="inlineStr">
        <is>
          <t>Cost to hire all vacancies ($m)</t>
        </is>
      </c>
      <c r="C10" s="497">
        <f>SUM(F17:F34)/1000000</f>
        <v>1.5614026980869564</v>
      </c>
    </row>
    <row r="11">
      <c r="B11" s="492" t="inlineStr">
        <is>
          <t>Cost of roles marked Hire ($m)</t>
        </is>
      </c>
      <c r="C11" s="497">
        <f>SUMIF(E17:E34,"Hire",F17:F34)/1000000</f>
        <v>0.0</v>
      </c>
    </row>
    <row r="12">
      <c r="B12" s="429" t="inlineStr">
        <is>
          <t>Vacant roles are priced at standard title rates - indicative until an offer is made.</t>
        </is>
      </c>
    </row>
    <row r="13">
      <c r="B13" s="429" t="inlineStr">
        <is>
          <t>Leadership roles are funded via the portfolio overheads and sit on 2.7 Squad Detail, not here.</t>
        </is>
      </c>
    </row>
    <row r="14">
      <c r="B14" s="695" t="inlineStr">
        <is>
          <t>vs archetype: positive = over the allowance, negative = under.</t>
        </is>
      </c>
    </row>
    <row r="15">
      <c r="B15" s="749" t="inlineStr">
        <is>
          <t>Roster - Hire or Hold each vacancy</t>
        </is>
      </c>
      <c r="C15" s="750" t="n"/>
      <c r="D15" s="750" t="n"/>
      <c r="E15" s="750" t="n"/>
      <c r="F15" s="750" t="n"/>
      <c r="G15" s="751" t="n"/>
      <c r="H15" s="751" t="n"/>
      <c r="I15" s="751" t="n"/>
      <c r="J15" s="751" t="n"/>
    </row>
    <row r="16">
      <c r="B16" s="438" t="inlineStr">
        <is>
          <t>Name</t>
        </is>
      </c>
      <c r="C16" s="438" t="inlineStr">
        <is>
          <t>Role</t>
        </is>
      </c>
      <c r="D16" s="438" t="inlineStr">
        <is>
          <t>Status</t>
        </is>
      </c>
      <c r="E16" s="438" t="inlineStr">
        <is>
          <t>Call</t>
        </is>
      </c>
      <c r="F16" s="438" t="inlineStr">
        <is>
          <t>Cost if hired ($)</t>
        </is>
      </c>
    </row>
    <row r="17">
      <c r="B17" s="464" t="inlineStr">
        <is>
          <t>P&amp;C</t>
        </is>
      </c>
      <c r="C17" s="465" t="n"/>
      <c r="D17" s="465" t="n"/>
      <c r="E17" s="465" t="n"/>
    </row>
    <row r="18">
      <c r="B18" s="429" t="str">
        <f>Squads!$B$509</f>
        <v>Grace Hadiwijaya</v>
      </c>
      <c r="C18" s="429" t="str">
        <f>SUBSTITUTE(SUBSTITUTE(Squads!$C$509,"–","-"),"—","-")</f>
        <v>Lead P&amp;C Platforms</v>
      </c>
      <c r="D18" s="439" t="str">
        <f>Squads!$R$509</f>
        <v>Filled</v>
      </c>
    </row>
    <row r="19">
      <c r="B19" s="429" t="str">
        <f>Squads!$B$510</f>
        <v>Vacant</v>
      </c>
      <c r="C19" s="429" t="str">
        <f>SUBSTITUTE(SUBSTITUTE(Squads!$C$510,"–","-"),"—","-")</f>
        <v>Quality Assurance</v>
      </c>
      <c r="D19" s="439" t="str">
        <f>Squads!$R$510</f>
        <v>Vacant</v>
      </c>
      <c r="E19" s="504" t="inlineStr">
        <is>
          <t>Hold</t>
        </is>
      </c>
      <c r="F19" s="442">
        <f>SUMIF('Added data'!$C$2:$C$549,Squads!$C$510,'Added data'!$AA$2:$AA$549)/COUNTIF('Added data'!$C$2:$C$549,Squads!$C$510)</f>
        <v>169798.89904347828</v>
      </c>
    </row>
    <row r="20">
      <c r="B20" s="429" t="str">
        <f>Squads!$B$511</f>
        <v>Prerna Sharma</v>
      </c>
      <c r="C20" s="429" t="str">
        <f>SUBSTITUTE(SUBSTITUTE(Squads!$C$511,"–","-"),"—","-")</f>
        <v>SAP HR Specialist</v>
      </c>
      <c r="D20" s="439" t="str">
        <f>Squads!$R$511</f>
        <v>Filled</v>
      </c>
    </row>
    <row r="21">
      <c r="B21" s="429" t="str">
        <f>Squads!$B$512</f>
        <v>Vacant</v>
      </c>
      <c r="C21" s="429" t="str">
        <f>SUBSTITUTE(SUBSTITUTE(Squads!$C$512,"–","-"),"—","-")</f>
        <v>Engineer</v>
      </c>
      <c r="D21" s="439" t="str">
        <f>Squads!$R$512</f>
        <v>Vacant</v>
      </c>
      <c r="E21" s="504" t="inlineStr">
        <is>
          <t>Hold</t>
        </is>
      </c>
      <c r="F21" s="442">
        <f>SUMIF('Added data'!$C$2:$C$549,Squads!$C$512,'Added data'!$AA$2:$AA$549)/COUNTIF('Added data'!$C$2:$C$549,Squads!$C$512)</f>
        <v>202853.25</v>
      </c>
    </row>
    <row r="22">
      <c r="B22" s="429" t="str">
        <f>Squads!$B$513</f>
        <v>Maadhu Suresh</v>
      </c>
      <c r="C22" s="429" t="str">
        <f>SUBSTITUTE(SUBSTITUTE(Squads!$C$513,"–","-"),"—","-")</f>
        <v>Solution Architect</v>
      </c>
      <c r="D22" s="439" t="str">
        <f>Squads!$R$513</f>
        <v>Filled</v>
      </c>
    </row>
    <row r="23">
      <c r="B23" s="429" t="str">
        <f>Squads!$B$514</f>
        <v>Michael Pollock</v>
      </c>
      <c r="C23" s="429" t="str">
        <f>SUBSTITUTE(SUBSTITUTE(Squads!$C$514,"–","-"),"—","-")</f>
        <v>Lead Business Analyst</v>
      </c>
      <c r="D23" s="439" t="str">
        <f>Squads!$R$514</f>
        <v>Filled</v>
      </c>
    </row>
    <row r="24">
      <c r="B24" s="429" t="str">
        <f>Squads!$B$515</f>
        <v>Vacant</v>
      </c>
      <c r="C24" s="429" t="str">
        <f>SUBSTITUTE(SUBSTITUTE(Squads!$C$515,"–","-"),"—","-")</f>
        <v>Engineer</v>
      </c>
      <c r="D24" s="439" t="str">
        <f>Squads!$R$515</f>
        <v>Vacant</v>
      </c>
      <c r="E24" s="504" t="inlineStr">
        <is>
          <t>Hold</t>
        </is>
      </c>
      <c r="F24" s="442">
        <f>SUMIF('Added data'!$C$2:$C$549,Squads!$C$515,'Added data'!$AA$2:$AA$549)/COUNTIF('Added data'!$C$2:$C$549,Squads!$C$515)</f>
        <v>202853.25</v>
      </c>
    </row>
    <row r="25">
      <c r="B25" s="429" t="str">
        <f>Squads!$B$516</f>
        <v>Thai Pung</v>
      </c>
      <c r="C25" s="429" t="str">
        <f>SUBSTITUTE(SUBSTITUTE(Squads!$C$516,"–","-"),"—","-")</f>
        <v>Delivery Lead - (P&amp;C)</v>
      </c>
      <c r="D25" s="439" t="str">
        <f>Squads!$R$516</f>
        <v>Filled</v>
      </c>
    </row>
    <row r="26">
      <c r="B26" s="464" t="inlineStr">
        <is>
          <t>P&amp;C - RTA</t>
        </is>
      </c>
      <c r="C26" s="465" t="n"/>
      <c r="D26" s="465" t="n"/>
      <c r="E26" s="465" t="n"/>
    </row>
    <row r="27">
      <c r="B27" s="429" t="str">
        <f>Squads!$B$517</f>
        <v>Vacant</v>
      </c>
      <c r="C27" s="429" t="str">
        <f>SUBSTITUTE(SUBSTITUTE(Squads!$C$517,"–","-"),"—","-")</f>
        <v>Systems Specialist</v>
      </c>
      <c r="D27" s="439" t="str">
        <f>Squads!$R$517</f>
        <v>Vacant</v>
      </c>
      <c r="E27" s="504" t="inlineStr">
        <is>
          <t>Hold</t>
        </is>
      </c>
      <c r="F27" s="442">
        <f>SUMIF('Added data'!$C$2:$C$549,Squads!$C$517,'Added data'!$AA$2:$AA$549)/COUNTIF('Added data'!$C$2:$C$549,Squads!$C$517)</f>
        <v>179970.9</v>
      </c>
    </row>
    <row r="28">
      <c r="B28" s="429" t="str">
        <f>Squads!$B$518</f>
        <v>Kurniaty Widjaya</v>
      </c>
      <c r="C28" s="429" t="str">
        <f>SUBSTITUTE(SUBSTITUTE(Squads!$C$518,"–","-"),"—","-")</f>
        <v>ERP HR Pay Functional Lead</v>
      </c>
      <c r="D28" s="439" t="str">
        <f>Squads!$R$518</f>
        <v>Filled</v>
      </c>
    </row>
    <row r="29">
      <c r="B29" s="429" t="str">
        <f>Squads!$B$519</f>
        <v>Vacant</v>
      </c>
      <c r="C29" s="429" t="str">
        <f>SUBSTITUTE(SUBSTITUTE(Squads!$C$519,"–","-"),"—","-")</f>
        <v>Delivery Lead (RTA)</v>
      </c>
      <c r="D29" s="439" t="str">
        <f>Squads!$R$519</f>
        <v>Vacant</v>
      </c>
      <c r="E29" s="504" t="inlineStr">
        <is>
          <t>Hold</t>
        </is>
      </c>
      <c r="F29" s="442">
        <f>SUMIF('Added data'!$C$2:$C$549,Squads!$C$519,'Added data'!$AA$2:$AA$549)/COUNTIF('Added data'!$C$2:$C$549,Squads!$C$519)</f>
        <v>231689.25</v>
      </c>
    </row>
    <row r="30">
      <c r="B30" s="429" t="str">
        <f>Squads!$B$520</f>
        <v>Vacant</v>
      </c>
      <c r="C30" s="429" t="str">
        <f>SUBSTITUTE(SUBSTITUTE(Squads!$C$520,"–","-"),"—","-")</f>
        <v>Engineer</v>
      </c>
      <c r="D30" s="439" t="str">
        <f>Squads!$R$520</f>
        <v>Vacant</v>
      </c>
      <c r="E30" s="504" t="inlineStr">
        <is>
          <t>Hold</t>
        </is>
      </c>
      <c r="F30" s="442">
        <f>SUMIF('Added data'!$C$2:$C$549,Squads!$C$520,'Added data'!$AA$2:$AA$549)/COUNTIF('Added data'!$C$2:$C$549,Squads!$C$520)</f>
        <v>202853.25</v>
      </c>
    </row>
    <row r="31">
      <c r="B31" s="429" t="str">
        <f>Squads!$B$521</f>
        <v>Vacant</v>
      </c>
      <c r="C31" s="429" t="str">
        <f>SUBSTITUTE(SUBSTITUTE(Squads!$C$521,"–","-"),"—","-")</f>
        <v>Quality Assurance</v>
      </c>
      <c r="D31" s="439" t="str">
        <f>Squads!$R$521</f>
        <v>Vacant</v>
      </c>
      <c r="E31" s="504" t="inlineStr">
        <is>
          <t>Hold</t>
        </is>
      </c>
      <c r="F31" s="442">
        <f>SUMIF('Added data'!$C$2:$C$549,Squads!$C$521,'Added data'!$AA$2:$AA$549)/COUNTIF('Added data'!$C$2:$C$549,Squads!$C$521)</f>
        <v>169798.89904347828</v>
      </c>
    </row>
    <row r="32">
      <c r="B32" s="429" t="str">
        <f>Squads!$B$522</f>
        <v>Vacant</v>
      </c>
      <c r="C32" s="429" t="str">
        <f>SUBSTITUTE(SUBSTITUTE(Squads!$C$522,"–","-"),"—","-")</f>
        <v>Business Analyst (P&amp;C RTA)</v>
      </c>
      <c r="D32" s="439" t="str">
        <f>Squads!$R$522</f>
        <v>Vacant</v>
      </c>
      <c r="E32" s="504" t="inlineStr">
        <is>
          <t>Hold</t>
        </is>
      </c>
      <c r="F32" s="442">
        <f>SUMIF('Added data'!$C$2:$C$549,Squads!$C$522,'Added data'!$AA$2:$AA$549)/COUNTIF('Added data'!$C$2:$C$549,Squads!$C$522)</f>
        <v>201585.0</v>
      </c>
    </row>
    <row r="33">
      <c r="B33" s="464" t="inlineStr">
        <is>
          <t>EGI P&amp;C</t>
        </is>
      </c>
      <c r="C33" s="465" t="n"/>
      <c r="D33" s="465" t="n"/>
      <c r="E33" s="465" t="n"/>
    </row>
    <row r="34">
      <c r="B34" s="429" t="str">
        <f>Squads!$B$478</f>
        <v>Vikram Chhahira</v>
      </c>
      <c r="C34" s="429" t="str">
        <f>SUBSTITUTE(SUBSTITUTE(Squads!$C$478,"–","-"),"—","-")</f>
        <v>Delivery Lead, EGI</v>
      </c>
      <c r="D34" s="439" t="str">
        <f>Squads!$R$478</f>
        <v>Filled</v>
      </c>
    </row>
  </sheetData>
  <conditionalFormatting sqref="D17:D34">
    <cfRule type="cellIs" priority="1" operator="equal" dxfId="1">
      <formula>"Vacant"</formula>
    </cfRule>
  </conditionalFormatting>
  <conditionalFormatting sqref="I6:I9">
    <cfRule type="expression" priority="2" dxfId="1">
      <formula>AND(ISNUMBER(I6),I6&gt;0)</formula>
    </cfRule>
    <cfRule type="expression" priority="3" dxfId="0">
      <formula>AND(ISNUMBER(I6),I6&lt;=0)</formula>
    </cfRule>
  </conditionalFormatting>
  <dataValidations count="1">
    <dataValidation sqref="E19 E21 E24 E27 E29 E30 E31 E32" showDropDown="0" showInputMessage="0" showErrorMessage="1" allowBlank="0" errorTitle="Invalid entry" error="Pick Hire or Hold" type="list">
      <formula1>"Hire,Hold"</formula1>
    </dataValidation>
  </dataValidations>
  <pageMargins left="0.75" right="0.75" top="1" bottom="1" header="0.5" footer="0.5"/>
</worksheet>
</file>

<file path=xl/worksheets/sheet34.xml><?xml version="1.0" encoding="utf-8"?>
<worksheet xmlns="http://schemas.openxmlformats.org/spreadsheetml/2006/main">
  <sheetPr>
    <tabColor rgb="00BF8F00"/>
    <outlinePr summaryBelow="1" summaryRight="1"/>
    <pageSetUpPr/>
  </sheetPr>
  <dimension ref="A1:J34"/>
  <sheetViews>
    <sheetView showGridLines="0" workbookViewId="0">
      <selection activeCell="A1" sqref="A1"/>
    </sheetView>
  </sheetViews>
  <sheetFormatPr baseColWidth="8" defaultRowHeight="14.5" outlineLevelCol="0"/>
  <cols>
    <col width="3" customWidth="1" style="506" min="1" max="1"/>
    <col width="44" customWidth="1" style="506" min="2" max="2"/>
    <col width="46" customWidth="1" style="506" min="3" max="3"/>
    <col width="12" customWidth="1" style="506" min="4" max="4"/>
    <col width="13" customWidth="1" style="506" min="5" max="5"/>
    <col width="14" customWidth="1" style="506" min="6" max="6"/>
    <col width="15" customWidth="1" style="506" min="7" max="7"/>
    <col width="17" customWidth="1" style="506" min="8" max="8"/>
    <col width="15" customWidth="1" style="506" min="9" max="9"/>
    <col width="30" customWidth="1" style="506" min="10" max="10"/>
  </cols>
  <sheetData>
    <row r="1"/>
    <row r="2" ht="21" customHeight="1" s="506">
      <c r="B2" s="437" t="str">
        <f>CONCATENATE('1.6 Finance'!$B$2," GM working copy")</f>
        <v>Finance GM working copy</v>
      </c>
    </row>
    <row r="3"/>
    <row r="4">
      <c r="B4" s="443" t="inlineStr">
        <is>
          <t>Position by squad</t>
        </is>
      </c>
      <c r="C4" s="444" t="n"/>
      <c r="D4" s="444" t="n"/>
      <c r="E4" s="444" t="n"/>
      <c r="F4" s="444" t="n"/>
      <c r="G4" s="444" t="n"/>
      <c r="H4" s="444" t="n"/>
      <c r="I4" s="444" t="n"/>
      <c r="J4" s="444" t="n"/>
    </row>
    <row r="5">
      <c r="B5" s="438" t="inlineStr">
        <is>
          <t>Squad</t>
        </is>
      </c>
      <c r="C5" s="667" t="inlineStr">
        <is>
          <t>Archetype type and size</t>
        </is>
      </c>
      <c r="D5" s="438" t="inlineStr">
        <is>
          <t>Archetype roles</t>
        </is>
      </c>
      <c r="E5" s="438" t="inlineStr">
        <is>
          <t>Filled</t>
        </is>
      </c>
      <c r="F5" s="438" t="inlineStr">
        <is>
          <t>Vacant</t>
        </is>
      </c>
      <c r="G5" s="438" t="inlineStr">
        <is>
          <t>Planning to hire</t>
        </is>
      </c>
      <c r="H5" s="438" t="inlineStr">
        <is>
          <t>Vacancies after calls</t>
        </is>
      </c>
      <c r="I5" s="438" t="inlineStr">
        <is>
          <t>vs archetype</t>
        </is>
      </c>
      <c r="J5" s="438" t="inlineStr">
        <is>
          <t>Flag</t>
        </is>
      </c>
    </row>
    <row r="6">
      <c r="B6" s="429" t="inlineStr">
        <is>
          <t>AU Finance</t>
        </is>
      </c>
      <c r="C6" s="692" t="str">
        <f>IF(OR('2.7 Squad Detail'!$F$58=0,'2.7 Squad Detail'!$F$58=""),'2.7 Squad Detail'!$E$58,'2.7 Squad Detail'!$E$58&amp;" - "&amp;'2.7 Squad Detail'!$F$58)</f>
        <v>Configuration / Integration - L</v>
      </c>
      <c r="D6" s="697">
        <f>'2.7 Squad Detail'!$G$58</f>
        <v>14.0</v>
      </c>
      <c r="E6" s="439">
        <f>COUNTIFS(Squads!$N:$N,"Finance",Squads!$P:$P,"AU Finance",Squads!$R:$R,"Filled")</f>
        <v>2.0</v>
      </c>
      <c r="F6" s="439">
        <f>COUNTIFS(Squads!$N:$N,"Finance",Squads!$P:$P,"AU Finance",Squads!$R:$R,"Vacant")</f>
        <v>7.0</v>
      </c>
      <c r="G6" s="439">
        <f>COUNTIF(E18:E26,"Hire")</f>
        <v>0.0</v>
      </c>
      <c r="H6" s="458">
        <f>F6-G6</f>
        <v>7.0</v>
      </c>
      <c r="I6" s="697">
        <f>IFERROR(E6+G6-D6,"-")</f>
        <v>-12.0</v>
      </c>
      <c r="J6" s="429" t="str">
        <f>IF(ISNUMBER(D6),IF(E6&gt;D6,"Filled already over archetype",IF(E6+G6&gt;D6,"Over archetype after hire calls","")),"Outside the archetype model - no target set")</f>
        <v/>
      </c>
    </row>
    <row r="7">
      <c r="B7" s="429" t="inlineStr">
        <is>
          <t>NZ Finance</t>
        </is>
      </c>
      <c r="C7" s="692" t="str">
        <f>IF(OR('2.7 Squad Detail'!$F$59=0,'2.7 Squad Detail'!$F$59=""),'2.7 Squad Detail'!$E$59,'2.7 Squad Detail'!$E$59&amp;" - "&amp;'2.7 Squad Detail'!$F$59)</f>
        <v>Configuration / Integration - S</v>
      </c>
      <c r="D7" s="697">
        <f>'2.7 Squad Detail'!$G$59</f>
        <v>6.0</v>
      </c>
      <c r="E7" s="439">
        <f>COUNTIFS(Squads!$N:$N,"Finance",Squads!$P:$P,"NZ Finance",Squads!$R:$R,"Filled")</f>
        <v>4.0</v>
      </c>
      <c r="F7" s="439">
        <f>COUNTIFS(Squads!$N:$N,"Finance",Squads!$P:$P,"NZ Finance",Squads!$R:$R,"Vacant")</f>
        <v>1.0</v>
      </c>
      <c r="G7" s="439">
        <f>COUNTIF(E32:E32,"Hire")</f>
        <v>0.0</v>
      </c>
      <c r="H7" s="458">
        <f>F7-G7</f>
        <v>1.0</v>
      </c>
      <c r="I7" s="697">
        <f>IFERROR(E7+G7-D7,"-")</f>
        <v>-2.0</v>
      </c>
      <c r="J7" s="429" t="str">
        <f>IF(ISNUMBER(D7),IF(E7&gt;D7,"Filled already over archetype",IF(E7+G7&gt;D7,"Over archetype after hire calls","")),"Outside the archetype model - no target set")</f>
        <v/>
      </c>
    </row>
    <row r="8">
      <c r="B8" s="429" t="inlineStr">
        <is>
          <t>EGI Finance</t>
        </is>
      </c>
      <c r="C8" s="692" t="str">
        <f>IF(OR('2.7 Squad Detail'!$F$61=0,'2.7 Squad Detail'!$F$61=""),'2.7 Squad Detail'!$E$61,'2.7 Squad Detail'!$E$61&amp;" - "&amp;'2.7 Squad Detail'!$F$61)</f>
        <v>Strategic Programs</v>
      </c>
      <c r="D8" s="697" t="str">
        <f>'2.7 Squad Detail'!$G$61</f>
        <v>-</v>
      </c>
      <c r="E8" s="439">
        <f>COUNTIFS(Squads!$N:$N,"Finance",Squads!$P:$P,"EGI Finance",Squads!$R:$R,"Filled")</f>
        <v>1.0</v>
      </c>
      <c r="F8" s="439">
        <f>COUNTIFS(Squads!$N:$N,"Finance",Squads!$P:$P,"EGI Finance",Squads!$R:$R,"Vacant")</f>
        <v>0.0</v>
      </c>
      <c r="G8" s="748">
        <f>COUNTIF(E34:E34,"Hire")</f>
        <v>0.0</v>
      </c>
      <c r="H8" s="458">
        <f>F8-G8</f>
        <v>0.0</v>
      </c>
      <c r="I8" s="697" t="str">
        <f>IFERROR(E8+G8-D8,"-")</f>
        <v>-</v>
      </c>
      <c r="J8" s="429" t="str">
        <f>IF(ISNUMBER(D8),IF(E8&gt;D8,"Filled already over archetype",IF(E8+G8&gt;D8,"Over archetype after hire calls","")),"Outside the archetype model - no target set")</f>
        <v>Outside the archetype model - no target set</v>
      </c>
    </row>
    <row r="9">
      <c r="B9" s="431" t="inlineStr">
        <is>
          <t>Total</t>
        </is>
      </c>
      <c r="D9" s="698">
        <f>SUM(D6:D8)</f>
        <v>20.0</v>
      </c>
      <c r="E9" s="447">
        <f>SUM(E6:E8)</f>
        <v>7.0</v>
      </c>
      <c r="F9" s="447">
        <f>SUM(F6:F8)</f>
        <v>8.0</v>
      </c>
      <c r="G9" s="447">
        <f>SUM(G6:G8)</f>
        <v>0.0</v>
      </c>
      <c r="H9" s="447">
        <f>SUM(H6:H8)</f>
        <v>8.0</v>
      </c>
      <c r="I9" s="698">
        <f>IF(COUNT(I6:I8)=0,"-",SUM(I6:I8))</f>
        <v>-14.0</v>
      </c>
    </row>
    <row r="10">
      <c r="B10" s="492" t="inlineStr">
        <is>
          <t>Cost to hire all vacancies ($m)</t>
        </is>
      </c>
      <c r="C10" s="497">
        <f>SUM(F17:F34)/1000000</f>
        <v>1.7966813700000002</v>
      </c>
    </row>
    <row r="11">
      <c r="B11" s="492" t="inlineStr">
        <is>
          <t>Cost of roles marked Hire ($m)</t>
        </is>
      </c>
      <c r="C11" s="497">
        <f>SUMIF(E17:E34,"Hire",F17:F34)/1000000</f>
        <v>0.0</v>
      </c>
    </row>
    <row r="12">
      <c r="B12" s="429" t="inlineStr">
        <is>
          <t>Vacant roles are priced at standard title rates - indicative until an offer is made.</t>
        </is>
      </c>
    </row>
    <row r="13">
      <c r="B13" s="429" t="inlineStr">
        <is>
          <t>Leadership roles are funded via the portfolio overheads and sit on 2.7 Squad Detail, not here.</t>
        </is>
      </c>
    </row>
    <row r="14">
      <c r="B14" s="695" t="inlineStr">
        <is>
          <t>vs archetype: positive = over the allowance, negative = under.</t>
        </is>
      </c>
    </row>
    <row r="15">
      <c r="B15" s="749" t="inlineStr">
        <is>
          <t>Roster - Hire or Hold each vacancy</t>
        </is>
      </c>
      <c r="C15" s="750" t="n"/>
      <c r="D15" s="750" t="n"/>
      <c r="E15" s="750" t="n"/>
      <c r="F15" s="750" t="n"/>
      <c r="G15" s="751" t="n"/>
      <c r="H15" s="751" t="n"/>
      <c r="I15" s="751" t="n"/>
      <c r="J15" s="751" t="n"/>
    </row>
    <row r="16">
      <c r="B16" s="438" t="inlineStr">
        <is>
          <t>Name</t>
        </is>
      </c>
      <c r="C16" s="438" t="inlineStr">
        <is>
          <t>Role</t>
        </is>
      </c>
      <c r="D16" s="438" t="inlineStr">
        <is>
          <t>Status</t>
        </is>
      </c>
      <c r="E16" s="438" t="inlineStr">
        <is>
          <t>Call</t>
        </is>
      </c>
      <c r="F16" s="438" t="inlineStr">
        <is>
          <t>Cost if hired ($)</t>
        </is>
      </c>
    </row>
    <row r="17">
      <c r="B17" s="464" t="inlineStr">
        <is>
          <t>AU Finance</t>
        </is>
      </c>
      <c r="C17" s="465" t="n"/>
      <c r="D17" s="465" t="n"/>
      <c r="E17" s="465" t="n"/>
    </row>
    <row r="18">
      <c r="B18" s="429" t="str">
        <f>Squads!$B$523</f>
        <v>Vacant</v>
      </c>
      <c r="C18" s="429" t="str">
        <f>SUBSTITUTE(SUBSTITUTE(Squads!$C$523,"–","-"),"—","-")</f>
        <v>SAP Functional Specialist</v>
      </c>
      <c r="D18" s="439" t="str">
        <f>Squads!$R$523</f>
        <v>Vacant</v>
      </c>
      <c r="E18" s="504" t="inlineStr">
        <is>
          <t>Hold</t>
        </is>
      </c>
      <c r="F18" s="442">
        <f>SUMIF('Added data'!$C$2:$C$549,Squads!$C$523,'Added data'!$AA$2:$AA$549)/COUNTIF('Added data'!$C$2:$C$549,Squads!$C$523)</f>
        <v>231689.25</v>
      </c>
    </row>
    <row r="19">
      <c r="B19" s="429" t="str">
        <f>Squads!$B$524</f>
        <v>Vacant</v>
      </c>
      <c r="C19" s="429" t="str">
        <f>SUBSTITUTE(SUBSTITUTE(Squads!$C$524,"–","-"),"—","-")</f>
        <v>SAP Functional Specialist</v>
      </c>
      <c r="D19" s="439" t="str">
        <f>Squads!$R$524</f>
        <v>Vacant</v>
      </c>
      <c r="E19" s="504" t="inlineStr">
        <is>
          <t>Hold</t>
        </is>
      </c>
      <c r="F19" s="442">
        <f>SUMIF('Added data'!$C$2:$C$549,Squads!$C$524,'Added data'!$AA$2:$AA$549)/COUNTIF('Added data'!$C$2:$C$549,Squads!$C$524)</f>
        <v>231689.25</v>
      </c>
    </row>
    <row r="20">
      <c r="B20" s="429" t="str">
        <f>Squads!$B$525</f>
        <v>Vacant</v>
      </c>
      <c r="C20" s="429" t="str">
        <f>SUBSTITUTE(SUBSTITUTE(Squads!$C$525,"–","-"),"—","-")</f>
        <v>SAP Functional Specialist</v>
      </c>
      <c r="D20" s="439" t="str">
        <f>Squads!$R$525</f>
        <v>Vacant</v>
      </c>
      <c r="E20" s="504" t="inlineStr">
        <is>
          <t>Hold</t>
        </is>
      </c>
      <c r="F20" s="442">
        <f>SUMIF('Added data'!$C$2:$C$549,Squads!$C$525,'Added data'!$AA$2:$AA$549)/COUNTIF('Added data'!$C$2:$C$549,Squads!$C$525)</f>
        <v>231689.25</v>
      </c>
    </row>
    <row r="21">
      <c r="B21" s="429" t="str">
        <f>Squads!$B$526</f>
        <v>Maudud Chaudhury</v>
      </c>
      <c r="C21" s="429" t="str">
        <f>SUBSTITUTE(SUBSTITUTE(Squads!$C$526,"–","-"),"—","-")</f>
        <v>SAP ERP Application Lead</v>
      </c>
      <c r="D21" s="439" t="str">
        <f>Squads!$R$526</f>
        <v>Filled</v>
      </c>
    </row>
    <row r="22">
      <c r="B22" s="429" t="str">
        <f>Squads!$B$527</f>
        <v>Vacant</v>
      </c>
      <c r="C22" s="429" t="str">
        <f>SUBSTITUTE(SUBSTITUTE(Squads!$C$527,"–","-"),"—","-")</f>
        <v>Solution Architect - Finance</v>
      </c>
      <c r="D22" s="439" t="str">
        <f>Squads!$R$527</f>
        <v>Vacant</v>
      </c>
      <c r="E22" s="504" t="inlineStr">
        <is>
          <t>Hold</t>
        </is>
      </c>
      <c r="F22" s="442">
        <f>SUMIF('Added data'!$C$2:$C$549,Squads!$C$527,'Added data'!$AA$2:$AA$549)/COUNTIF('Added data'!$C$2:$C$549,Squads!$C$527)</f>
        <v>231689.25</v>
      </c>
    </row>
    <row r="23">
      <c r="B23" s="429" t="str">
        <f>Squads!$B$528</f>
        <v>Julma Bhagwani</v>
      </c>
      <c r="C23" s="429" t="str">
        <f>SUBSTITUTE(SUBSTITUTE(Squads!$C$528,"–","-"),"—","-")</f>
        <v>SAP ERP Application Lead</v>
      </c>
      <c r="D23" s="439" t="str">
        <f>Squads!$R$528</f>
        <v>Filled</v>
      </c>
    </row>
    <row r="24">
      <c r="B24" s="429" t="str">
        <f>Squads!$B$529</f>
        <v>Vacant </v>
      </c>
      <c r="C24" s="429" t="str">
        <f>SUBSTITUTE(SUBSTITUTE(Squads!$C$529,"–","-"),"—","-")</f>
        <v>Integration Specialist (ASAPIO CTRM)</v>
      </c>
      <c r="D24" s="439" t="str">
        <f>Squads!$R$529</f>
        <v>Vacant</v>
      </c>
      <c r="E24" s="504" t="inlineStr">
        <is>
          <t>Hold</t>
        </is>
      </c>
      <c r="F24" s="442">
        <f>SUMIF('Added data'!$C$2:$C$549,Squads!$C$529,'Added data'!$AA$2:$AA$549)/COUNTIF('Added data'!$C$2:$C$549,Squads!$C$529)</f>
        <v>174856.62</v>
      </c>
    </row>
    <row r="25">
      <c r="B25" s="429" t="str">
        <f>Squads!$B$530</f>
        <v>Vacant</v>
      </c>
      <c r="C25" s="429" t="str">
        <f>SUBSTITUTE(SUBSTITUTE(Squads!$C$530,"–","-"),"—","-")</f>
        <v>SAP Functional Specialist</v>
      </c>
      <c r="D25" s="439" t="str">
        <f>Squads!$R$530</f>
        <v>Vacant</v>
      </c>
      <c r="E25" s="504" t="inlineStr">
        <is>
          <t>Hold</t>
        </is>
      </c>
      <c r="F25" s="442">
        <f>SUMIF('Added data'!$C$2:$C$549,Squads!$C$530,'Added data'!$AA$2:$AA$549)/COUNTIF('Added data'!$C$2:$C$549,Squads!$C$530)</f>
        <v>231689.25</v>
      </c>
    </row>
    <row r="26">
      <c r="B26" s="429" t="str">
        <f>Squads!$B$531</f>
        <v>Vacant</v>
      </c>
      <c r="C26" s="429" t="str">
        <f>SUBSTITUTE(SUBSTITUTE(Squads!$C$531,"–","-"),"—","-")</f>
        <v>Delivery Lead (SAP)</v>
      </c>
      <c r="D26" s="439" t="str">
        <f>Squads!$R$531</f>
        <v>Vacant</v>
      </c>
      <c r="E26" s="504" t="inlineStr">
        <is>
          <t>Hold</t>
        </is>
      </c>
      <c r="F26" s="442">
        <f>SUMIF('Added data'!$C$2:$C$549,Squads!$C$531,'Added data'!$AA$2:$AA$549)/COUNTIF('Added data'!$C$2:$C$549,Squads!$C$531)</f>
        <v>231689.25</v>
      </c>
    </row>
    <row r="27">
      <c r="B27" s="464" t="inlineStr">
        <is>
          <t>NZ Finance</t>
        </is>
      </c>
      <c r="C27" s="465" t="n"/>
      <c r="D27" s="465" t="n"/>
      <c r="E27" s="465" t="n"/>
    </row>
    <row r="28">
      <c r="B28" s="429" t="str">
        <f>Squads!$B$504</f>
        <v>Leilanie Avilla</v>
      </c>
      <c r="C28" s="429" t="str">
        <f>SUBSTITUTE(SUBSTITUTE(Squads!$C$504,"–","-"),"—","-")</f>
        <v>JDE Systems Specialist</v>
      </c>
      <c r="D28" s="439" t="str">
        <f>Squads!$R$504</f>
        <v>Filled</v>
      </c>
    </row>
    <row r="29">
      <c r="B29" s="429" t="str">
        <f>Squads!$B$505</f>
        <v>Kamal Patel</v>
      </c>
      <c r="C29" s="429" t="str">
        <f>SUBSTITUTE(SUBSTITUTE(Squads!$C$505,"–","-"),"—","-")</f>
        <v>JDE Senior Systems Specialist</v>
      </c>
      <c r="D29" s="439" t="str">
        <f>Squads!$R$505</f>
        <v>Filled</v>
      </c>
    </row>
    <row r="30">
      <c r="B30" s="429" t="str">
        <f>Squads!$B$506</f>
        <v>Martyn Rudduck</v>
      </c>
      <c r="C30" s="429" t="str">
        <f>SUBSTITUTE(SUBSTITUTE(Squads!$C$506,"–","-"),"—","-")</f>
        <v>JDE Senior Systems Specialist</v>
      </c>
      <c r="D30" s="439" t="str">
        <f>Squads!$R$506</f>
        <v>Filled</v>
      </c>
    </row>
    <row r="31">
      <c r="B31" s="429" t="str">
        <f>Squads!$B$507</f>
        <v>Lydia Pritchard</v>
      </c>
      <c r="C31" s="429" t="str">
        <f>SUBSTITUTE(SUBSTITUTE(Squads!$C$507,"–","-"),"—","-")</f>
        <v>Lead JDE Systems Specialist</v>
      </c>
      <c r="D31" s="439" t="str">
        <f>Squads!$R$507</f>
        <v>Filled</v>
      </c>
    </row>
    <row r="32">
      <c r="B32" s="429" t="str">
        <f>Squads!$B$508</f>
        <v>Vacant</v>
      </c>
      <c r="C32" s="429" t="str">
        <f>SUBSTITUTE(SUBSTITUTE(Squads!$C$508,"–","-"),"—","-")</f>
        <v>Delivery Lead (JDE)</v>
      </c>
      <c r="D32" s="439" t="str">
        <f>Squads!$R$508</f>
        <v>Vacant</v>
      </c>
      <c r="E32" s="504" t="inlineStr">
        <is>
          <t>Hold</t>
        </is>
      </c>
      <c r="F32" s="442">
        <f>SUMIF('Added data'!$C$2:$C$549,Squads!$C$508,'Added data'!$AA$2:$AA$549)/COUNTIF('Added data'!$C$2:$C$549,Squads!$C$508)</f>
        <v>231689.25</v>
      </c>
    </row>
    <row r="33">
      <c r="B33" s="464" t="inlineStr">
        <is>
          <t>EGI Finance</t>
        </is>
      </c>
      <c r="C33" s="465" t="n"/>
      <c r="D33" s="465" t="n"/>
      <c r="E33" s="465" t="n"/>
    </row>
    <row r="34">
      <c r="B34" s="429" t="str">
        <f>Squads!$B$477</f>
        <v>Ee Lynn Yap</v>
      </c>
      <c r="C34" s="429" t="str">
        <f>SUBSTITUTE(SUBSTITUTE(Squads!$C$477,"–","-"),"—","-")</f>
        <v>SAP ERP Application Lead</v>
      </c>
      <c r="D34" s="439" t="str">
        <f>Squads!$R$477</f>
        <v>Filled</v>
      </c>
    </row>
  </sheetData>
  <conditionalFormatting sqref="D17:D34">
    <cfRule type="cellIs" priority="1" operator="equal" dxfId="1">
      <formula>"Vacant"</formula>
    </cfRule>
  </conditionalFormatting>
  <conditionalFormatting sqref="I6:I9">
    <cfRule type="expression" priority="2" dxfId="1">
      <formula>AND(ISNUMBER(I6),I6&gt;0)</formula>
    </cfRule>
    <cfRule type="expression" priority="3" dxfId="0">
      <formula>AND(ISNUMBER(I6),I6&lt;=0)</formula>
    </cfRule>
  </conditionalFormatting>
  <dataValidations count="1">
    <dataValidation sqref="E18 E19 E20 E22 E24 E25 E26 E32" showDropDown="0" showInputMessage="0" showErrorMessage="1" allowBlank="0" errorTitle="Invalid entry" error="Pick Hire or Hold" type="list">
      <formula1>"Hire,Hold"</formula1>
    </dataValidation>
  </dataValidations>
  <pageMargins left="0.75" right="0.75" top="1" bottom="1" header="0.5" footer="0.5"/>
</worksheet>
</file>

<file path=xl/worksheets/sheet35.xml><?xml version="1.0" encoding="utf-8"?>
<worksheet xmlns="http://schemas.openxmlformats.org/spreadsheetml/2006/main">
  <sheetPr>
    <tabColor rgb="00BF8F00"/>
    <outlinePr summaryBelow="1" summaryRight="1"/>
    <pageSetUpPr/>
  </sheetPr>
  <dimension ref="A1:J51"/>
  <sheetViews>
    <sheetView showGridLines="0" workbookViewId="0">
      <selection activeCell="A1" sqref="A1"/>
    </sheetView>
  </sheetViews>
  <sheetFormatPr baseColWidth="8" defaultRowHeight="14.5" outlineLevelCol="0"/>
  <cols>
    <col width="3" customWidth="1" style="506" min="1" max="1"/>
    <col width="44" customWidth="1" style="506" min="2" max="2"/>
    <col width="46" customWidth="1" style="506" min="3" max="3"/>
    <col width="12" customWidth="1" style="506" min="4" max="4"/>
    <col width="13" customWidth="1" style="506" min="5" max="5"/>
    <col width="14" customWidth="1" style="506" min="6" max="6"/>
    <col width="15" customWidth="1" style="506" min="7" max="7"/>
    <col width="17" customWidth="1" style="506" min="8" max="8"/>
    <col width="15" customWidth="1" style="506" min="9" max="9"/>
    <col width="30" customWidth="1" style="506" min="10" max="10"/>
  </cols>
  <sheetData>
    <row r="1"/>
    <row r="2" ht="21" customHeight="1" s="506">
      <c r="B2" s="437" t="str">
        <f>CONCATENATE('1.7 Infrastructure'!$B$2," GM working copy")</f>
        <v>Infrastructure GM working copy</v>
      </c>
    </row>
    <row r="3"/>
    <row r="4">
      <c r="B4" s="443" t="inlineStr">
        <is>
          <t>Position by squad</t>
        </is>
      </c>
      <c r="C4" s="444" t="n"/>
      <c r="D4" s="444" t="n"/>
      <c r="E4" s="444" t="n"/>
      <c r="F4" s="444" t="n"/>
      <c r="G4" s="444" t="n"/>
      <c r="H4" s="444" t="n"/>
      <c r="I4" s="444" t="n"/>
      <c r="J4" s="444" t="n"/>
    </row>
    <row r="5">
      <c r="B5" s="438" t="inlineStr">
        <is>
          <t>Squad</t>
        </is>
      </c>
      <c r="C5" s="667" t="inlineStr">
        <is>
          <t>Archetype type and size</t>
        </is>
      </c>
      <c r="D5" s="438" t="inlineStr">
        <is>
          <t>Archetype roles</t>
        </is>
      </c>
      <c r="E5" s="438" t="inlineStr">
        <is>
          <t>Filled</t>
        </is>
      </c>
      <c r="F5" s="438" t="inlineStr">
        <is>
          <t>Vacant</t>
        </is>
      </c>
      <c r="G5" s="438" t="inlineStr">
        <is>
          <t>Planning to hire</t>
        </is>
      </c>
      <c r="H5" s="438" t="inlineStr">
        <is>
          <t>Vacancies after calls</t>
        </is>
      </c>
      <c r="I5" s="438" t="inlineStr">
        <is>
          <t>vs archetype</t>
        </is>
      </c>
      <c r="J5" s="438" t="inlineStr">
        <is>
          <t>Flag</t>
        </is>
      </c>
    </row>
    <row r="6">
      <c r="B6" s="429" t="inlineStr">
        <is>
          <t>Distribution, Sales &amp; Services</t>
        </is>
      </c>
      <c r="C6" s="692" t="str">
        <f>IF(OR('2.7 Squad Detail'!$F$64=0,'2.7 Squad Detail'!$F$64=""),'2.7 Squad Detail'!$E$64,'2.7 Squad Detail'!$E$64&amp;" - "&amp;'2.7 Squad Detail'!$F$64)</f>
        <v>Configuration / Integration - M</v>
      </c>
      <c r="D6" s="697">
        <f>'2.7 Squad Detail'!$G$64</f>
        <v>9.0</v>
      </c>
      <c r="E6" s="439">
        <f>COUNTIFS(Squads!$N:$N,"Infrastructure",Squads!$P:$P,"Distribution, Sales &amp; Services",Squads!$R:$R,"Filled")</f>
        <v>6.0</v>
      </c>
      <c r="F6" s="439">
        <f>COUNTIFS(Squads!$N:$N,"Infrastructure",Squads!$P:$P,"Distribution, Sales &amp; Services",Squads!$R:$R,"Vacant")</f>
        <v>4.0</v>
      </c>
      <c r="G6" s="439">
        <f>COUNTIF(E23:E28,"Hire")</f>
        <v>0.0</v>
      </c>
      <c r="H6" s="458">
        <f>F6-G6</f>
        <v>4.0</v>
      </c>
      <c r="I6" s="697">
        <f>IFERROR(E6+G6-D6,"-")</f>
        <v>-3.0</v>
      </c>
      <c r="J6" s="429" t="str">
        <f>IF(ISNUMBER(D6),IF(E6&gt;D6,"Filled already over archetype",IF(E6+G6&gt;D6,"Over archetype after hire calls","")),"Outside the archetype model - no target set")</f>
        <v/>
      </c>
    </row>
    <row r="7">
      <c r="B7" s="429" t="inlineStr">
        <is>
          <t>Manufacturing &amp; Group Projects</t>
        </is>
      </c>
      <c r="C7" s="692" t="str">
        <f>IF(OR('2.7 Squad Detail'!$F$66=0,'2.7 Squad Detail'!$F$66=""),'2.7 Squad Detail'!$E$66,'2.7 Squad Detail'!$E$66&amp;" - "&amp;'2.7 Squad Detail'!$F$66)</f>
        <v>Configuration / Integration - M</v>
      </c>
      <c r="D7" s="697">
        <f>'2.7 Squad Detail'!$G$66</f>
        <v>9.0</v>
      </c>
      <c r="E7" s="439">
        <f>COUNTIFS(Squads!$N:$N,"Infrastructure",Squads!$P:$P,"Manufacturing &amp; Group Projects",Squads!$R:$R,"Filled")</f>
        <v>6.0</v>
      </c>
      <c r="F7" s="439">
        <f>COUNTIFS(Squads!$N:$N,"Infrastructure",Squads!$P:$P,"Manufacturing &amp; Group Projects",Squads!$R:$R,"Vacant")</f>
        <v>3.0</v>
      </c>
      <c r="G7" s="439">
        <f>COUNTIF(E33:E38,"Hire")</f>
        <v>0.0</v>
      </c>
      <c r="H7" s="458">
        <f>F7-G7</f>
        <v>3.0</v>
      </c>
      <c r="I7" s="697">
        <f>IFERROR(E7+G7-D7,"-")</f>
        <v>-3.0</v>
      </c>
      <c r="J7" s="429" t="str">
        <f>IF(ISNUMBER(D7),IF(E7&gt;D7,"Filled already over archetype",IF(E7+G7&gt;D7,"Over archetype after hire calls","")),"Outside the archetype model - no target set")</f>
        <v/>
      </c>
    </row>
    <row r="8">
      <c r="B8" s="429" t="inlineStr">
        <is>
          <t>Technology Support</t>
        </is>
      </c>
      <c r="C8" s="692" t="str">
        <f>IF(OR('2.7 Squad Detail'!$F$67=0,'2.7 Squad Detail'!$F$67=""),'2.7 Squad Detail'!$E$67,'2.7 Squad Detail'!$E$67&amp;" - "&amp;'2.7 Squad Detail'!$F$67)</f>
        <v>Operations - S</v>
      </c>
      <c r="D8" s="697">
        <f>'2.7 Squad Detail'!$G$67</f>
        <v>4.0</v>
      </c>
      <c r="E8" s="439">
        <f>COUNTIFS(Squads!$N:$N,"Infrastructure",Squads!$P:$P,"Technology Support",Squads!$R:$R,"Filled")</f>
        <v>3.0</v>
      </c>
      <c r="F8" s="439">
        <f>COUNTIFS(Squads!$N:$N,"Infrastructure",Squads!$P:$P,"Technology Support",Squads!$R:$R,"Vacant")</f>
        <v>1.0</v>
      </c>
      <c r="G8" s="439">
        <f>COUNTIF(E41:E41,"Hire")</f>
        <v>0.0</v>
      </c>
      <c r="H8" s="458">
        <f>F8-G8</f>
        <v>1.0</v>
      </c>
      <c r="I8" s="697">
        <f>IFERROR(E8+G8-D8,"-")</f>
        <v>-1.0</v>
      </c>
      <c r="J8" s="429" t="str">
        <f>IF(ISNUMBER(D8),IF(E8&gt;D8,"Filled already over archetype",IF(E8+G8&gt;D8,"Over archetype after hire calls","")),"Outside the archetype model - no target set")</f>
        <v/>
      </c>
    </row>
    <row r="9">
      <c r="B9" s="429" t="inlineStr">
        <is>
          <t>Data &amp; Insights</t>
        </is>
      </c>
      <c r="C9" s="692" t="str">
        <f>IF(OR('2.7 Squad Detail'!$F$69=0,'2.7 Squad Detail'!$F$69=""),'2.7 Squad Detail'!$E$69,'2.7 Squad Detail'!$E$69&amp;" - "&amp;'2.7 Squad Detail'!$F$69)</f>
        <v>Configuration / Integration - S</v>
      </c>
      <c r="D9" s="697">
        <f>'2.7 Squad Detail'!$G$69</f>
        <v>6.0</v>
      </c>
      <c r="E9" s="439">
        <f>COUNTIFS(Squads!$N:$N,"Infrastructure",Squads!$P:$P,"Data &amp; Insights",Squads!$R:$R,"Filled")</f>
        <v>2.0</v>
      </c>
      <c r="F9" s="439">
        <f>COUNTIFS(Squads!$N:$N,"Infrastructure",Squads!$P:$P,"Data &amp; Insights",Squads!$R:$R,"Vacant")</f>
        <v>5.0</v>
      </c>
      <c r="G9" s="439">
        <f>COUNTIF(E46:E51,"Hire")</f>
        <v>0.0</v>
      </c>
      <c r="H9" s="458">
        <f>F9-G9</f>
        <v>5.0</v>
      </c>
      <c r="I9" s="697">
        <f>IFERROR(E9+G9-D9,"-")</f>
        <v>-4.0</v>
      </c>
      <c r="J9" s="429" t="str">
        <f>IF(ISNUMBER(D9),IF(E9&gt;D9,"Filled already over archetype",IF(E9+G9&gt;D9,"Over archetype after hire calls","")),"Outside the archetype model - no target set")</f>
        <v/>
      </c>
    </row>
    <row r="10">
      <c r="B10" s="431" t="inlineStr">
        <is>
          <t>Total</t>
        </is>
      </c>
      <c r="D10" s="698">
        <f>SUM(D6:D9)</f>
        <v>28.0</v>
      </c>
      <c r="E10" s="447">
        <f>SUM(E6:E9)</f>
        <v>17.0</v>
      </c>
      <c r="F10" s="447">
        <f>SUM(F6:F9)</f>
        <v>13.0</v>
      </c>
      <c r="G10" s="447">
        <f>SUM(G6:G9)</f>
        <v>0.0</v>
      </c>
      <c r="H10" s="447">
        <f>SUM(H6:H9)</f>
        <v>13.0</v>
      </c>
      <c r="I10" s="698">
        <f>IF(COUNT(I6:I9)=0,"-",SUM(I6:I9))</f>
        <v>-11.0</v>
      </c>
    </row>
    <row r="11">
      <c r="B11" s="492" t="inlineStr">
        <is>
          <t>Cost to hire all vacancies ($m)</t>
        </is>
      </c>
      <c r="C11" s="497">
        <f>SUM(F18:F51)/1000000</f>
        <v>2.632608502332648</v>
      </c>
    </row>
    <row r="12">
      <c r="B12" s="492" t="inlineStr">
        <is>
          <t>Cost of roles marked Hire ($m)</t>
        </is>
      </c>
      <c r="C12" s="497">
        <f>SUMIF(E18:E51,"Hire",F18:F51)/1000000</f>
        <v>0.0</v>
      </c>
    </row>
    <row r="13">
      <c r="B13" s="429" t="inlineStr">
        <is>
          <t>Vacant roles are priced at standard title rates - indicative until an offer is made.</t>
        </is>
      </c>
    </row>
    <row r="14">
      <c r="B14" s="429" t="inlineStr">
        <is>
          <t>Leadership roles are funded via the portfolio overheads and sit on 2.7 Squad Detail, not here.</t>
        </is>
      </c>
    </row>
    <row r="15">
      <c r="B15" s="695" t="inlineStr">
        <is>
          <t>vs archetype: positive = over the allowance, negative = under.</t>
        </is>
      </c>
    </row>
    <row r="16">
      <c r="B16" s="749" t="inlineStr">
        <is>
          <t>Roster - Hire or Hold each vacancy</t>
        </is>
      </c>
      <c r="C16" s="750" t="n"/>
      <c r="D16" s="750" t="n"/>
      <c r="E16" s="750" t="n"/>
      <c r="F16" s="750" t="n"/>
      <c r="G16" s="751" t="n"/>
      <c r="H16" s="751" t="n"/>
      <c r="I16" s="751" t="n"/>
      <c r="J16" s="751" t="n"/>
    </row>
    <row r="17">
      <c r="B17" s="438" t="inlineStr">
        <is>
          <t>Name</t>
        </is>
      </c>
      <c r="C17" s="438" t="inlineStr">
        <is>
          <t>Role</t>
        </is>
      </c>
      <c r="D17" s="438" t="inlineStr">
        <is>
          <t>Status</t>
        </is>
      </c>
      <c r="E17" s="438" t="inlineStr">
        <is>
          <t>Call</t>
        </is>
      </c>
      <c r="F17" s="438" t="inlineStr">
        <is>
          <t>Cost if hired ($)</t>
        </is>
      </c>
    </row>
    <row r="18">
      <c r="B18" s="464" t="inlineStr">
        <is>
          <t>Distribution, Sales &amp; Services</t>
        </is>
      </c>
      <c r="C18" s="465" t="n"/>
      <c r="D18" s="465" t="n"/>
      <c r="E18" s="465" t="n"/>
    </row>
    <row r="19">
      <c r="B19" s="429" t="str">
        <f>Squads!$B$368</f>
        <v>Anvitha Kurra</v>
      </c>
      <c r="C19" s="429" t="str">
        <f>SUBSTITUTE(SUBSTITUTE(Squads!$C$368,"–","-"),"—","-")</f>
        <v>Senior Systems Analyst</v>
      </c>
      <c r="D19" s="439" t="str">
        <f>Squads!$R$368</f>
        <v>Filled</v>
      </c>
    </row>
    <row r="20">
      <c r="B20" s="429" t="str">
        <f>Squads!$B$369</f>
        <v>Angus Gibson</v>
      </c>
      <c r="C20" s="429" t="str">
        <f>SUBSTITUTE(SUBSTITUTE(Squads!$C$369,"–","-"),"—","-")</f>
        <v>Senior Systems Analyst</v>
      </c>
      <c r="D20" s="439" t="str">
        <f>Squads!$R$369</f>
        <v>Filled</v>
      </c>
    </row>
    <row r="21">
      <c r="B21" s="429" t="str">
        <f>Squads!$B$370</f>
        <v>Rohan Patel</v>
      </c>
      <c r="C21" s="429" t="str">
        <f>SUBSTITUTE(SUBSTITUTE(Squads!$C$370,"–","-"),"—","-")</f>
        <v>Senior Systems Analyst</v>
      </c>
      <c r="D21" s="439" t="str">
        <f>Squads!$R$370</f>
        <v>Filled</v>
      </c>
    </row>
    <row r="22">
      <c r="B22" s="429" t="str">
        <f>Squads!$B$371</f>
        <v>Sriramani Deyyala</v>
      </c>
      <c r="C22" s="429" t="str">
        <f>SUBSTITUTE(SUBSTITUTE(Squads!$C$371,"–","-"),"—","-")</f>
        <v>Systems Analyst</v>
      </c>
      <c r="D22" s="439" t="str">
        <f>Squads!$R$371</f>
        <v>Filled</v>
      </c>
    </row>
    <row r="23">
      <c r="B23" s="429" t="str">
        <f>Squads!$B$372</f>
        <v>Vacant</v>
      </c>
      <c r="C23" s="429" t="str">
        <f>SUBSTITUTE(SUBSTITUTE(Squads!$C$372,"–","-"),"—","-")</f>
        <v>Systems Analyst</v>
      </c>
      <c r="D23" s="439" t="str">
        <f>Squads!$R$372</f>
        <v>Vacant</v>
      </c>
      <c r="E23" s="504" t="inlineStr">
        <is>
          <t>Hold</t>
        </is>
      </c>
      <c r="F23" s="442">
        <f>SUMIF('Added data'!$C$2:$C$549,Squads!$C$372,'Added data'!$AA$2:$AA$549)/COUNTIF('Added data'!$C$2:$C$549,Squads!$C$372)</f>
        <v>193260.22177777777</v>
      </c>
    </row>
    <row r="24">
      <c r="B24" s="429" t="str">
        <f>Squads!$B$385</f>
        <v>Siva Chimmani</v>
      </c>
      <c r="C24" s="429" t="str">
        <f>SUBSTITUTE(SUBSTITUTE(Squads!$C$385,"–","-"),"—","-")</f>
        <v>Senior Engineer</v>
      </c>
      <c r="D24" s="439" t="str">
        <f>Squads!$R$385</f>
        <v>Filled</v>
      </c>
    </row>
    <row r="25">
      <c r="B25" s="429" t="str">
        <f>Squads!$B$431</f>
        <v>Vacant</v>
      </c>
      <c r="C25" s="429" t="str">
        <f>SUBSTITUTE(SUBSTITUTE(Squads!$C$431,"–","-"),"—","-")</f>
        <v>Quality Assurance</v>
      </c>
      <c r="D25" s="439" t="str">
        <f>Squads!$R$431</f>
        <v>Vacant</v>
      </c>
      <c r="E25" s="504" t="inlineStr">
        <is>
          <t>Hold</t>
        </is>
      </c>
      <c r="F25" s="442">
        <f>SUMIF('Added data'!$C$2:$C$549,Squads!$C$431,'Added data'!$AA$2:$AA$549)/COUNTIF('Added data'!$C$2:$C$549,Squads!$C$431)</f>
        <v>169798.89904347828</v>
      </c>
    </row>
    <row r="26">
      <c r="B26" s="429" t="str">
        <f>Squads!$B$437</f>
        <v>Jodi Higgins</v>
      </c>
      <c r="C26" s="429" t="str">
        <f>SUBSTITUTE(SUBSTITUTE(Squads!$C$437,"–","-"),"—","-")</f>
        <v>Delivery Lead</v>
      </c>
      <c r="D26" s="439" t="str">
        <f>Squads!$R$437</f>
        <v>Filled</v>
      </c>
    </row>
    <row r="27">
      <c r="B27" s="429" t="str">
        <f>Squads!$B$447</f>
        <v>Vacant</v>
      </c>
      <c r="C27" s="429" t="str">
        <f>SUBSTITUTE(SUBSTITUTE(Squads!$C$447,"–","-"),"—","-")</f>
        <v>Snr Business Analyst</v>
      </c>
      <c r="D27" s="439" t="str">
        <f>Squads!$R$447</f>
        <v>Vacant</v>
      </c>
      <c r="E27" s="504" t="inlineStr">
        <is>
          <t>Hold</t>
        </is>
      </c>
      <c r="F27" s="442">
        <f>SUMIF('Added data'!$C$2:$C$549,Squads!$C$447,'Added data'!$AA$2:$AA$549)/COUNTIF('Added data'!$C$2:$C$549,Squads!$C$447)</f>
        <v>236102.16</v>
      </c>
    </row>
    <row r="28">
      <c r="B28" s="429" t="str">
        <f>Squads!$B$452</f>
        <v>Vacant</v>
      </c>
      <c r="C28" s="429" t="str">
        <f>SUBSTITUTE(SUBSTITUTE(Squads!$C$452,"–","-"),"—","-")</f>
        <v>Business Analyst</v>
      </c>
      <c r="D28" s="439" t="str">
        <f>Squads!$R$452</f>
        <v>Vacant</v>
      </c>
      <c r="E28" s="504" t="inlineStr">
        <is>
          <t>Hold</t>
        </is>
      </c>
      <c r="F28" s="442">
        <f>SUMIF('Added data'!$C$2:$C$549,Squads!$C$452,'Added data'!$AA$2:$AA$549)/COUNTIF('Added data'!$C$2:$C$549,Squads!$C$452)</f>
        <v>198578.016</v>
      </c>
    </row>
    <row r="29">
      <c r="B29" s="464" t="inlineStr">
        <is>
          <t>Manufacturing &amp; Group Projects</t>
        </is>
      </c>
      <c r="C29" s="465" t="n"/>
      <c r="D29" s="465" t="n"/>
      <c r="E29" s="465" t="n"/>
    </row>
    <row r="30">
      <c r="B30" s="429" t="str">
        <f>Squads!$B$352</f>
        <v>Jaya Ganasan</v>
      </c>
      <c r="C30" s="429" t="str">
        <f>SUBSTITUTE(SUBSTITUTE(Squads!$C$352,"–","-"),"—","-")</f>
        <v>B2B &amp; Energy+B452:I452</v>
      </c>
      <c r="D30" s="439" t="str">
        <f>Squads!$R$352</f>
        <v>Filled</v>
      </c>
    </row>
    <row r="31">
      <c r="B31" s="429" t="str">
        <f>Squads!$B$363</f>
        <v>Tyler Meggs</v>
      </c>
      <c r="C31" s="429" t="str">
        <f>SUBSTITUTE(SUBSTITUTE(Squads!$C$363,"–","-"),"—","-")</f>
        <v>System Analyst</v>
      </c>
      <c r="D31" s="439" t="str">
        <f>Squads!$R$363</f>
        <v>Filled</v>
      </c>
    </row>
    <row r="32">
      <c r="B32" s="429" t="str">
        <f>Squads!$B$364</f>
        <v>Victor Olasanoye</v>
      </c>
      <c r="C32" s="429" t="str">
        <f>SUBSTITUTE(SUBSTITUTE(Squads!$C$364,"–","-"),"—","-")</f>
        <v>Senior Systems Analyst</v>
      </c>
      <c r="D32" s="439" t="str">
        <f>Squads!$R$364</f>
        <v>Filled</v>
      </c>
    </row>
    <row r="33">
      <c r="B33" s="429" t="str">
        <f>Squads!$B$365</f>
        <v>Vacant </v>
      </c>
      <c r="C33" s="429" t="str">
        <f>SUBSTITUTE(SUBSTITUTE(Squads!$C$365,"–","-"),"—","-")</f>
        <v>Solution Architect</v>
      </c>
      <c r="D33" s="439" t="str">
        <f>Squads!$R$365</f>
        <v>Vacant</v>
      </c>
      <c r="E33" s="504" t="inlineStr">
        <is>
          <t>Hold</t>
        </is>
      </c>
      <c r="F33" s="442">
        <f>SUMIF('Added data'!$C$2:$C$549,Squads!$C$365,'Added data'!$AA$2:$AA$549)/COUNTIF('Added data'!$C$2:$C$549,Squads!$C$365)</f>
        <v>240502.89705882352</v>
      </c>
    </row>
    <row r="34">
      <c r="B34" s="429" t="str">
        <f>Squads!$B$366</f>
        <v>Chris Camacho</v>
      </c>
      <c r="C34" s="429" t="str">
        <f>SUBSTITUTE(SUBSTITUTE(Squads!$C$366,"–","-"),"—","-")</f>
        <v>Senior Systems Analyst</v>
      </c>
      <c r="D34" s="439" t="str">
        <f>Squads!$R$366</f>
        <v>Filled</v>
      </c>
    </row>
    <row r="35">
      <c r="B35" s="429" t="str">
        <f>Squads!$B$367</f>
        <v>Fabian Moreno Cortes</v>
      </c>
      <c r="C35" s="429" t="str">
        <f>SUBSTITUTE(SUBSTITUTE(Squads!$C$367,"–","-"),"—","-")</f>
        <v>Engineer - Software</v>
      </c>
      <c r="D35" s="439" t="str">
        <f>Squads!$R$367</f>
        <v>Filled</v>
      </c>
    </row>
    <row r="36">
      <c r="B36" s="429" t="str">
        <f>Squads!$B$436</f>
        <v>Vacant</v>
      </c>
      <c r="C36" s="429" t="str">
        <f>SUBSTITUTE(SUBSTITUTE(Squads!$C$436,"–","-"),"—","-")</f>
        <v>Quality Assurance</v>
      </c>
      <c r="D36" s="439" t="str">
        <f>Squads!$R$436</f>
        <v>Vacant</v>
      </c>
      <c r="E36" s="504" t="inlineStr">
        <is>
          <t>Hold</t>
        </is>
      </c>
      <c r="F36" s="442">
        <f>SUMIF('Added data'!$C$2:$C$549,Squads!$C$436,'Added data'!$AA$2:$AA$549)/COUNTIF('Added data'!$C$2:$C$549,Squads!$C$436)</f>
        <v>169798.89904347828</v>
      </c>
    </row>
    <row r="37">
      <c r="B37" s="429" t="str">
        <f>Squads!$B$443</f>
        <v>Louis Ballington</v>
      </c>
      <c r="C37" s="429" t="str">
        <f>SUBSTITUTE(SUBSTITUTE(Squads!$C$443,"–","-"),"—","-")</f>
        <v>Delivery Lead</v>
      </c>
      <c r="D37" s="439" t="str">
        <f>Squads!$R$443</f>
        <v>Filled</v>
      </c>
    </row>
    <row r="38">
      <c r="B38" s="429" t="str">
        <f>Squads!$B$448</f>
        <v>Vacant</v>
      </c>
      <c r="C38" s="429" t="str">
        <f>SUBSTITUTE(SUBSTITUTE(Squads!$C$448,"–","-"),"—","-")</f>
        <v>Snr Business Analyst</v>
      </c>
      <c r="D38" s="439" t="str">
        <f>Squads!$R$448</f>
        <v>Vacant</v>
      </c>
      <c r="E38" s="504" t="inlineStr">
        <is>
          <t>Hold</t>
        </is>
      </c>
      <c r="F38" s="442">
        <f>SUMIF('Added data'!$C$2:$C$549,Squads!$C$448,'Added data'!$AA$2:$AA$549)/COUNTIF('Added data'!$C$2:$C$549,Squads!$C$448)</f>
        <v>236102.16</v>
      </c>
    </row>
    <row r="39">
      <c r="B39" s="464" t="inlineStr">
        <is>
          <t>Technology Support</t>
        </is>
      </c>
      <c r="C39" s="465" t="n"/>
      <c r="D39" s="465" t="n"/>
      <c r="E39" s="465" t="n"/>
    </row>
    <row r="40">
      <c r="B40" s="429" t="str">
        <f>Squads!$B$361</f>
        <v>Scott Hasson</v>
      </c>
      <c r="C40" s="429" t="str">
        <f>SUBSTITUTE(SUBSTITUTE(Squads!$C$361,"–","-"),"—","-")</f>
        <v>Technology Support Engineer - Infrastructure</v>
      </c>
      <c r="D40" s="439" t="str">
        <f>Squads!$R$361</f>
        <v>Filled</v>
      </c>
    </row>
    <row r="41">
      <c r="B41" s="429" t="str">
        <f>Squads!$B$362</f>
        <v>Vacant</v>
      </c>
      <c r="C41" s="429" t="str">
        <f>SUBSTITUTE(SUBSTITUTE(Squads!$C$362,"–","-"),"—","-")</f>
        <v>Technology Support Engineer - Infrastructure</v>
      </c>
      <c r="D41" s="439" t="str">
        <f>Squads!$R$362</f>
        <v>Vacant</v>
      </c>
      <c r="E41" s="504" t="inlineStr">
        <is>
          <t>Hold</t>
        </is>
      </c>
      <c r="F41" s="442">
        <f>SUMIF('Added data'!$C$2:$C$549,Squads!$C$362,'Added data'!$AA$2:$AA$549)/COUNTIF('Added data'!$C$2:$C$549,Squads!$C$362)</f>
        <v>142510.84749999997</v>
      </c>
    </row>
    <row r="42">
      <c r="B42" s="429" t="str">
        <f>Squads!$B$403</f>
        <v>Tom Moore</v>
      </c>
      <c r="C42" s="429" t="str">
        <f>SUBSTITUTE(SUBSTITUTE(Squads!$C$403,"–","-"),"—","-")</f>
        <v>Technology Support Engineer - Infrastructure</v>
      </c>
      <c r="D42" s="439" t="str">
        <f>Squads!$R$403</f>
        <v>Filled</v>
      </c>
    </row>
    <row r="43">
      <c r="B43" s="429" t="str">
        <f>Squads!$B$415</f>
        <v>Glenn Earl</v>
      </c>
      <c r="C43" s="429" t="str">
        <f>SUBSTITUTE(SUBSTITUTE(Squads!$C$415,"–","-"),"—","-")</f>
        <v>Lead Technology Support - Infrastructure</v>
      </c>
      <c r="D43" s="439" t="str">
        <f>Squads!$R$415</f>
        <v>Filled</v>
      </c>
    </row>
    <row r="44">
      <c r="B44" s="464" t="inlineStr">
        <is>
          <t>Data &amp; Insights</t>
        </is>
      </c>
      <c r="C44" s="465" t="n"/>
      <c r="D44" s="465" t="n"/>
      <c r="E44" s="465" t="n"/>
    </row>
    <row r="45">
      <c r="B45" s="429" t="str">
        <f>Squads!$B$411</f>
        <v>Stevani Kho</v>
      </c>
      <c r="C45" s="429" t="str">
        <f>SUBSTITUTE(SUBSTITUTE(Squads!$C$411,"–","-"),"—","-")</f>
        <v>Delivery Lead</v>
      </c>
      <c r="D45" s="439" t="str">
        <f>Squads!$R$411</f>
        <v>Filled</v>
      </c>
    </row>
    <row r="46">
      <c r="B46" s="429" t="str">
        <f>Squads!$B$412</f>
        <v>vacant</v>
      </c>
      <c r="C46" s="429" t="str">
        <f>SUBSTITUTE(SUBSTITUTE(Squads!$C$412,"–","-"),"—","-")</f>
        <v>Senior Engineer Data</v>
      </c>
      <c r="D46" s="439" t="str">
        <f>Squads!$R$412</f>
        <v>Vacant</v>
      </c>
      <c r="E46" s="504" t="inlineStr">
        <is>
          <t>Hold</t>
        </is>
      </c>
      <c r="F46" s="442">
        <f>SUMIF('Added data'!$C$2:$C$549,Squads!$C$412,'Added data'!$AA$2:$AA$549)/COUNTIF('Added data'!$C$2:$C$549,Squads!$C$412)</f>
        <v>202853.25</v>
      </c>
    </row>
    <row r="47">
      <c r="B47" s="429" t="str">
        <f>Squads!$B$414</f>
        <v>Simrat Singh</v>
      </c>
      <c r="C47" s="429" t="str">
        <f>SUBSTITUTE(SUBSTITUTE(Squads!$C$414,"–","-"),"—","-")</f>
        <v>Reporting Analyst (Contractor)</v>
      </c>
      <c r="D47" s="439" t="str">
        <f>Squads!$R$414</f>
        <v>Filled</v>
      </c>
    </row>
    <row r="48">
      <c r="B48" s="429" t="str">
        <f>Squads!$B$416</f>
        <v>Vacant</v>
      </c>
      <c r="C48" s="429" t="str">
        <f>SUBSTITUTE(SUBSTITUTE(Squads!$C$416,"–","-"),"—","-")</f>
        <v>Lead Data Analyst</v>
      </c>
      <c r="D48" s="439" t="str">
        <f>Squads!$R$416</f>
        <v>Vacant</v>
      </c>
      <c r="E48" s="504" t="inlineStr">
        <is>
          <t>Hold</t>
        </is>
      </c>
      <c r="F48" s="442">
        <f>SUMIF('Added data'!$C$2:$C$549,Squads!$C$416,'Added data'!$AA$2:$AA$549)/COUNTIF('Added data'!$C$2:$C$549,Squads!$C$416)</f>
        <v>231689.25</v>
      </c>
    </row>
    <row r="49">
      <c r="B49" s="429" t="str">
        <f>Squads!$B$427</f>
        <v>Vacant</v>
      </c>
      <c r="C49" s="429" t="str">
        <f>SUBSTITUTE(SUBSTITUTE(Squads!$C$427,"–","-"),"—","-")</f>
        <v>Reporting Analyst</v>
      </c>
      <c r="D49" s="439" t="str">
        <f>Squads!$R$427</f>
        <v>Vacant</v>
      </c>
      <c r="E49" s="504" t="inlineStr">
        <is>
          <t>Hold</t>
        </is>
      </c>
      <c r="F49" s="442">
        <f>SUMIF('Added data'!$C$2:$C$549,Squads!$C$427,'Added data'!$AA$2:$AA$549)/COUNTIF('Added data'!$C$2:$C$549,Squads!$C$427)</f>
        <v>200603.775</v>
      </c>
    </row>
    <row r="50">
      <c r="B50" s="429" t="str">
        <f>Squads!$B$446</f>
        <v>Vacant</v>
      </c>
      <c r="C50" s="429" t="str">
        <f>SUBSTITUTE(SUBSTITUTE(Squads!$C$446,"–","-"),"—","-")</f>
        <v>Data Analyst</v>
      </c>
      <c r="D50" s="439" t="str">
        <f>Squads!$R$446</f>
        <v>Vacant</v>
      </c>
      <c r="E50" s="504" t="inlineStr">
        <is>
          <t>Hold</t>
        </is>
      </c>
      <c r="F50" s="442">
        <f>SUMIF('Added data'!$C$2:$C$549,Squads!$C$446,'Added data'!$AA$2:$AA$549)/COUNTIF('Added data'!$C$2:$C$549,Squads!$C$446)</f>
        <v>178925.75290909092</v>
      </c>
    </row>
    <row r="51">
      <c r="B51" s="429" t="str">
        <f>Squads!$B$450</f>
        <v>Vacant</v>
      </c>
      <c r="C51" s="429" t="str">
        <f>SUBSTITUTE(SUBSTITUTE(Squads!$C$450,"–","-"),"—","-")</f>
        <v>Engineer Data</v>
      </c>
      <c r="D51" s="439" t="str">
        <f>Squads!$R$450</f>
        <v>Vacant</v>
      </c>
      <c r="E51" s="504" t="inlineStr">
        <is>
          <t>Hold</t>
        </is>
      </c>
      <c r="F51" s="442">
        <f>SUMIF('Added data'!$C$2:$C$549,Squads!$C$450,'Added data'!$AA$2:$AA$549)/COUNTIF('Added data'!$C$2:$C$549,Squads!$C$450)</f>
        <v>231882.374</v>
      </c>
    </row>
  </sheetData>
  <conditionalFormatting sqref="D18:D51">
    <cfRule type="cellIs" priority="1" operator="equal" dxfId="1">
      <formula>"Vacant"</formula>
    </cfRule>
  </conditionalFormatting>
  <conditionalFormatting sqref="I6:I10">
    <cfRule type="expression" priority="2" dxfId="1">
      <formula>AND(ISNUMBER(I6),I6&gt;0)</formula>
    </cfRule>
    <cfRule type="expression" priority="3" dxfId="0">
      <formula>AND(ISNUMBER(I6),I6&lt;=0)</formula>
    </cfRule>
  </conditionalFormatting>
  <dataValidations count="1">
    <dataValidation sqref="E23 E25 E27 E28 E33 E36 E38 E41 E46 E48 E49 E50 E51" showDropDown="0" showInputMessage="0" showErrorMessage="1" allowBlank="0" errorTitle="Invalid entry" error="Pick Hire or Hold" type="list">
      <formula1>"Hire,Hold"</formula1>
    </dataValidation>
  </dataValidations>
  <pageMargins left="0.75" right="0.75" top="1" bottom="1" header="0.5" footer="0.5"/>
</worksheet>
</file>

<file path=xl/worksheets/sheet36.xml><?xml version="1.0" encoding="utf-8"?>
<worksheet xmlns="http://schemas.openxmlformats.org/spreadsheetml/2006/main">
  <sheetPr>
    <tabColor rgb="00BF8F00"/>
    <outlinePr summaryBelow="1" summaryRight="1"/>
    <pageSetUpPr/>
  </sheetPr>
  <dimension ref="A1:J52"/>
  <sheetViews>
    <sheetView showGridLines="0" workbookViewId="0">
      <selection activeCell="A1" sqref="A1"/>
    </sheetView>
  </sheetViews>
  <sheetFormatPr baseColWidth="8" defaultRowHeight="14.5" outlineLevelCol="0"/>
  <cols>
    <col width="3" customWidth="1" style="506" min="1" max="1"/>
    <col width="44" customWidth="1" style="506" min="2" max="2"/>
    <col width="46" customWidth="1" style="506" min="3" max="3"/>
    <col width="12" customWidth="1" style="506" min="4" max="4"/>
    <col width="13" customWidth="1" style="506" min="5" max="5"/>
    <col width="14" customWidth="1" style="506" min="6" max="6"/>
    <col width="15" customWidth="1" style="506" min="7" max="7"/>
    <col width="17" customWidth="1" style="506" min="8" max="8"/>
    <col width="15" customWidth="1" style="506" min="9" max="9"/>
    <col width="30" customWidth="1" style="506" min="10" max="10"/>
  </cols>
  <sheetData>
    <row r="1"/>
    <row r="2" ht="21" customHeight="1" s="506">
      <c r="B2" s="437" t="str">
        <f>CONCATENATE('1.8 Energy Solutions &amp; B2B'!$B$2," GM working copy")</f>
        <v>Energy Solutions &amp; B2B GM working copy</v>
      </c>
    </row>
    <row r="3"/>
    <row r="4">
      <c r="B4" s="443" t="inlineStr">
        <is>
          <t>Position by squad</t>
        </is>
      </c>
      <c r="C4" s="444" t="n"/>
      <c r="D4" s="444" t="n"/>
      <c r="E4" s="444" t="n"/>
      <c r="F4" s="444" t="n"/>
      <c r="G4" s="444" t="n"/>
      <c r="H4" s="444" t="n"/>
      <c r="I4" s="444" t="n"/>
      <c r="J4" s="444" t="n"/>
    </row>
    <row r="5">
      <c r="B5" s="438" t="inlineStr">
        <is>
          <t>Squad</t>
        </is>
      </c>
      <c r="C5" s="667" t="inlineStr">
        <is>
          <t>Archetype type and size</t>
        </is>
      </c>
      <c r="D5" s="438" t="inlineStr">
        <is>
          <t>Archetype roles</t>
        </is>
      </c>
      <c r="E5" s="438" t="inlineStr">
        <is>
          <t>Filled</t>
        </is>
      </c>
      <c r="F5" s="438" t="inlineStr">
        <is>
          <t>Vacant</t>
        </is>
      </c>
      <c r="G5" s="438" t="inlineStr">
        <is>
          <t>Planning to hire</t>
        </is>
      </c>
      <c r="H5" s="438" t="inlineStr">
        <is>
          <t>Vacancies after calls</t>
        </is>
      </c>
      <c r="I5" s="438" t="inlineStr">
        <is>
          <t>vs archetype</t>
        </is>
      </c>
      <c r="J5" s="438" t="inlineStr">
        <is>
          <t>Flag</t>
        </is>
      </c>
    </row>
    <row r="6">
      <c r="B6" s="429" t="inlineStr">
        <is>
          <t>Energy</t>
        </is>
      </c>
      <c r="C6" s="692" t="str">
        <f>IF(OR('2.7 Squad Detail'!$F$72=0,'2.7 Squad Detail'!$F$72=""),'2.7 Squad Detail'!$E$72,'2.7 Squad Detail'!$E$72&amp;" - "&amp;'2.7 Squad Detail'!$F$72)</f>
        <v>Engineering - M</v>
      </c>
      <c r="D6" s="697">
        <f>'2.7 Squad Detail'!$G$72</f>
        <v>9.0</v>
      </c>
      <c r="E6" s="439">
        <f>COUNTIFS(Squads!$N:$N,"Energy Solutions &amp; B2B",Squads!$P:$P,"Energy",Squads!$R:$R,"Filled")</f>
        <v>5.0</v>
      </c>
      <c r="F6" s="439">
        <f>COUNTIFS(Squads!$N:$N,"Energy Solutions &amp; B2B",Squads!$P:$P,"Energy",Squads!$R:$R,"Vacant")</f>
        <v>6.0</v>
      </c>
      <c r="G6" s="439">
        <f>COUNTIF(E18:E26,"Hire")</f>
        <v>0.0</v>
      </c>
      <c r="H6" s="458">
        <f>F6-G6</f>
        <v>6.0</v>
      </c>
      <c r="I6" s="697">
        <f>IFERROR(E6+G6-D6,"-")</f>
        <v>-4.0</v>
      </c>
      <c r="J6" s="429" t="str">
        <f>IF(ISNUMBER(D6),IF(E6&gt;D6,"Filled already over archetype",IF(E6+G6&gt;D6,"Over archetype after hire calls","")),"Outside the archetype model - no target set")</f>
        <v/>
      </c>
    </row>
    <row r="7">
      <c r="B7" s="429" t="inlineStr">
        <is>
          <t>EVCI</t>
        </is>
      </c>
      <c r="C7" s="692" t="str">
        <f>IF(OR('2.7 Squad Detail'!$F$73=0,'2.7 Squad Detail'!$F$73=""),'2.7 Squad Detail'!$E$73,'2.7 Squad Detail'!$E$73&amp;" - "&amp;'2.7 Squad Detail'!$F$73)</f>
        <v>Engineering - M</v>
      </c>
      <c r="D7" s="697">
        <f>'2.7 Squad Detail'!$G$73</f>
        <v>9.0</v>
      </c>
      <c r="E7" s="439">
        <f>COUNTIFS(Squads!$N:$N,"Energy Solutions &amp; B2B",Squads!$P:$P,"EVCI",Squads!$R:$R,"Filled")</f>
        <v>5.0</v>
      </c>
      <c r="F7" s="439">
        <f>COUNTIFS(Squads!$N:$N,"Energy Solutions &amp; B2B",Squads!$P:$P,"EVCI",Squads!$R:$R,"Vacant")</f>
        <v>1.0</v>
      </c>
      <c r="G7" s="439">
        <f>COUNTIF(E34:E34,"Hire")</f>
        <v>0.0</v>
      </c>
      <c r="H7" s="458">
        <f>F7-G7</f>
        <v>1.0</v>
      </c>
      <c r="I7" s="697">
        <f>IFERROR(E7+G7-D7,"-")</f>
        <v>-4.0</v>
      </c>
      <c r="J7" s="429" t="str">
        <f>IF(ISNUMBER(D7),IF(E7&gt;D7,"Filled already over archetype",IF(E7+G7&gt;D7,"Over archetype after hire calls","")),"Outside the archetype model - no target set")</f>
        <v/>
      </c>
    </row>
    <row r="8">
      <c r="B8" s="429" t="inlineStr">
        <is>
          <t>B2B</t>
        </is>
      </c>
      <c r="C8" s="692" t="str">
        <f>IF(OR('2.7 Squad Detail'!$F$75=0,'2.7 Squad Detail'!$F$75=""),'2.7 Squad Detail'!$E$75,'2.7 Squad Detail'!$E$75&amp;" - "&amp;'2.7 Squad Detail'!$F$75)</f>
        <v>Configuration / Integration - L</v>
      </c>
      <c r="D8" s="697">
        <f>'2.7 Squad Detail'!$G$75</f>
        <v>14.0</v>
      </c>
      <c r="E8" s="439">
        <f>COUNTIFS(Squads!$N:$N,"Energy Solutions &amp; B2B",Squads!$P:$P,"B2B",Squads!$R:$R,"Filled")</f>
        <v>13.0</v>
      </c>
      <c r="F8" s="439">
        <f>COUNTIFS(Squads!$N:$N,"Energy Solutions &amp; B2B",Squads!$P:$P,"B2B",Squads!$R:$R,"Vacant")</f>
        <v>3.0</v>
      </c>
      <c r="G8" s="439">
        <f>COUNTIF(E47:E51,"Hire")</f>
        <v>0.0</v>
      </c>
      <c r="H8" s="458">
        <f>F8-G8</f>
        <v>3.0</v>
      </c>
      <c r="I8" s="697">
        <f>IFERROR(E8+G8-D8,"-")</f>
        <v>-1.0</v>
      </c>
      <c r="J8" s="429" t="str">
        <f>IF(ISNUMBER(D8),IF(E8&gt;D8,"Filled already over archetype",IF(E8+G8&gt;D8,"Over archetype after hire calls","")),"Outside the archetype model - no target set")</f>
        <v/>
      </c>
    </row>
    <row r="9">
      <c r="B9" s="431" t="inlineStr">
        <is>
          <t>Total</t>
        </is>
      </c>
      <c r="D9" s="698">
        <f>SUM(D6:D8)</f>
        <v>32.0</v>
      </c>
      <c r="E9" s="447">
        <f>SUM(E6:E8)</f>
        <v>23.0</v>
      </c>
      <c r="F9" s="447">
        <f>SUM(F6:F8)</f>
        <v>10.0</v>
      </c>
      <c r="G9" s="447">
        <f>SUM(G6:G8)</f>
        <v>0.0</v>
      </c>
      <c r="H9" s="447">
        <f>SUM(H6:H8)</f>
        <v>10.0</v>
      </c>
      <c r="I9" s="698">
        <f>IF(COUNT(I6:I8)=0,"-",SUM(I6:I8))</f>
        <v>-9.0</v>
      </c>
    </row>
    <row r="10">
      <c r="B10" s="492" t="inlineStr">
        <is>
          <t>Cost to hire all vacancies ($m)</t>
        </is>
      </c>
      <c r="C10" s="497">
        <f>SUM(F17:F52)/1000000</f>
        <v>1.9509985851497327</v>
      </c>
    </row>
    <row r="11">
      <c r="B11" s="492" t="inlineStr">
        <is>
          <t>Cost of roles marked Hire ($m)</t>
        </is>
      </c>
      <c r="C11" s="497">
        <f>SUMIF(E17:E52,"Hire",F17:F52)/1000000</f>
        <v>0.0</v>
      </c>
    </row>
    <row r="12">
      <c r="B12" s="429" t="inlineStr">
        <is>
          <t>Vacant roles are priced at standard title rates - indicative until an offer is made.</t>
        </is>
      </c>
    </row>
    <row r="13">
      <c r="B13" s="429" t="inlineStr">
        <is>
          <t>Leadership roles are funded via the portfolio overheads and sit on 2.7 Squad Detail, not here.</t>
        </is>
      </c>
    </row>
    <row r="14">
      <c r="B14" s="695" t="inlineStr">
        <is>
          <t>vs archetype: positive = over the allowance, negative = under.</t>
        </is>
      </c>
    </row>
    <row r="15">
      <c r="B15" s="749" t="inlineStr">
        <is>
          <t>Roster - Hire or Hold each vacancy</t>
        </is>
      </c>
      <c r="C15" s="750" t="n"/>
      <c r="D15" s="750" t="n"/>
      <c r="E15" s="750" t="n"/>
      <c r="F15" s="750" t="n"/>
      <c r="G15" s="751" t="n"/>
      <c r="H15" s="751" t="n"/>
      <c r="I15" s="751" t="n"/>
      <c r="J15" s="751" t="n"/>
    </row>
    <row r="16">
      <c r="B16" s="438" t="inlineStr">
        <is>
          <t>Name</t>
        </is>
      </c>
      <c r="C16" s="438" t="inlineStr">
        <is>
          <t>Role</t>
        </is>
      </c>
      <c r="D16" s="438" t="inlineStr">
        <is>
          <t>Status</t>
        </is>
      </c>
      <c r="E16" s="438" t="inlineStr">
        <is>
          <t>Call</t>
        </is>
      </c>
      <c r="F16" s="438" t="inlineStr">
        <is>
          <t>Cost if hired ($)</t>
        </is>
      </c>
    </row>
    <row r="17">
      <c r="B17" s="464" t="inlineStr">
        <is>
          <t>Energy</t>
        </is>
      </c>
      <c r="C17" s="465" t="n"/>
      <c r="D17" s="465" t="n"/>
      <c r="E17" s="465" t="n"/>
    </row>
    <row r="18">
      <c r="B18" s="429" t="str">
        <f>Squads!$B$125</f>
        <v>vacant</v>
      </c>
      <c r="C18" s="429" t="str">
        <f>SUBSTITUTE(SUBSTITUTE(Squads!$C$125,"–","-"),"—","-")</f>
        <v>engineer - BE</v>
      </c>
      <c r="D18" s="439" t="str">
        <f>Squads!$R$125</f>
        <v>Vacant</v>
      </c>
      <c r="E18" s="504" t="inlineStr">
        <is>
          <t>Hold</t>
        </is>
      </c>
      <c r="F18" s="442">
        <f>SUMIF('Added data'!$C$2:$C$549,Squads!$C$125,'Added data'!$AA$2:$AA$549)/COUNTIF('Added data'!$C$2:$C$549,Squads!$C$125)</f>
        <v>221784.0790909091</v>
      </c>
    </row>
    <row r="19">
      <c r="B19" s="429" t="str">
        <f>Squads!$B$170</f>
        <v>Jasper Na</v>
      </c>
      <c r="C19" s="429" t="str">
        <f>SUBSTITUTE(SUBSTITUTE(Squads!$C$170,"–","-"),"—","-")</f>
        <v>Associate Engineer - BE</v>
      </c>
      <c r="D19" s="439" t="str">
        <f>Squads!$R$170</f>
        <v>Filled</v>
      </c>
    </row>
    <row r="20">
      <c r="B20" s="429" t="str">
        <f>Squads!$B$390</f>
        <v>Gunjan Vasudeva</v>
      </c>
      <c r="C20" s="429" t="str">
        <f>SUBSTITUTE(SUBSTITUTE(Squads!$C$390,"–","-"),"—","-")</f>
        <v>Lead Quality Assurance</v>
      </c>
      <c r="D20" s="439" t="str">
        <f>Squads!$R$390</f>
        <v>Filled</v>
      </c>
    </row>
    <row r="21">
      <c r="B21" s="429" t="str">
        <f>Squads!$B$392</f>
        <v>Vacant</v>
      </c>
      <c r="C21" s="429" t="str">
        <f>SUBSTITUTE(SUBSTITUTE(Squads!$C$392,"–","-"),"—","-")</f>
        <v>Engineer Automation - Testing</v>
      </c>
      <c r="D21" s="439" t="str">
        <f>Squads!$R$392</f>
        <v>Vacant</v>
      </c>
      <c r="E21" s="504" t="inlineStr">
        <is>
          <t>Hold</t>
        </is>
      </c>
      <c r="F21" s="442">
        <f>SUMIF('Added data'!$C$2:$C$549,Squads!$C$392,'Added data'!$AA$2:$AA$549)/COUNTIF('Added data'!$C$2:$C$549,Squads!$C$392)</f>
        <v>202853.25</v>
      </c>
    </row>
    <row r="22">
      <c r="B22" s="429" t="str">
        <f>Squads!$B$394</f>
        <v>Vacant</v>
      </c>
      <c r="C22" s="429" t="str">
        <f>SUBSTITUTE(SUBSTITUTE(Squads!$C$394,"–","-"),"—","-")</f>
        <v>Snr Engineer Software</v>
      </c>
      <c r="D22" s="439" t="str">
        <f>Squads!$R$394</f>
        <v>Vacant</v>
      </c>
      <c r="E22" s="504" t="inlineStr">
        <is>
          <t>Hold</t>
        </is>
      </c>
      <c r="F22" s="442">
        <f>SUMIF('Added data'!$C$2:$C$549,Squads!$C$394,'Added data'!$AA$2:$AA$549)/COUNTIF('Added data'!$C$2:$C$549,Squads!$C$394)</f>
        <v>170345.59</v>
      </c>
    </row>
    <row r="23">
      <c r="B23" s="429" t="str">
        <f>Squads!$B$422</f>
        <v>Nico Lender</v>
      </c>
      <c r="C23" s="429" t="str">
        <f>SUBSTITUTE(SUBSTITUTE(Squads!$C$422,"–","-"),"—","-")</f>
        <v>Solution Architect</v>
      </c>
      <c r="D23" s="439" t="str">
        <f>Squads!$R$422</f>
        <v>Filled</v>
      </c>
    </row>
    <row r="24">
      <c r="B24" s="429" t="str">
        <f>Squads!$B$429</f>
        <v>Vacant </v>
      </c>
      <c r="C24" s="429" t="str">
        <f>SUBSTITUTE(SUBSTITUTE(Squads!$C$429,"–","-"),"—","-")</f>
        <v>Business Analyst</v>
      </c>
      <c r="D24" s="439" t="str">
        <f>Squads!$R$429</f>
        <v>Vacant</v>
      </c>
      <c r="E24" s="504" t="inlineStr">
        <is>
          <t>Hold</t>
        </is>
      </c>
      <c r="F24" s="442">
        <f>SUMIF('Added data'!$C$2:$C$549,Squads!$C$429,'Added data'!$AA$2:$AA$549)/COUNTIF('Added data'!$C$2:$C$549,Squads!$C$429)</f>
        <v>198578.016</v>
      </c>
    </row>
    <row r="25">
      <c r="B25" s="429" t="str">
        <f>Squads!$B$441</f>
        <v>Vacant</v>
      </c>
      <c r="C25" s="429" t="str">
        <f>SUBSTITUTE(SUBSTITUTE(Squads!$C$441,"–","-"),"—","-")</f>
        <v>System Specialist</v>
      </c>
      <c r="D25" s="439" t="str">
        <f>Squads!$R$441</f>
        <v>Vacant</v>
      </c>
      <c r="E25" s="504" t="inlineStr">
        <is>
          <t>Hold</t>
        </is>
      </c>
      <c r="F25" s="442">
        <f>SUMIF('Added data'!$C$2:$C$549,Squads!$C$441,'Added data'!$AA$2:$AA$549)/COUNTIF('Added data'!$C$2:$C$549,Squads!$C$441)</f>
        <v>197904.0</v>
      </c>
    </row>
    <row r="26">
      <c r="B26" s="429" t="str">
        <f>Squads!$B$445</f>
        <v>Vacant</v>
      </c>
      <c r="C26" s="429" t="str">
        <f>SUBSTITUTE(SUBSTITUTE(Squads!$C$445,"–","-"),"—","-")</f>
        <v>System Specialist</v>
      </c>
      <c r="D26" s="439" t="str">
        <f>Squads!$R$445</f>
        <v>Vacant</v>
      </c>
      <c r="E26" s="504" t="inlineStr">
        <is>
          <t>Hold</t>
        </is>
      </c>
      <c r="F26" s="442">
        <f>SUMIF('Added data'!$C$2:$C$549,Squads!$C$445,'Added data'!$AA$2:$AA$549)/COUNTIF('Added data'!$C$2:$C$549,Squads!$C$445)</f>
        <v>197904.0</v>
      </c>
    </row>
    <row r="27">
      <c r="B27" s="429" t="str">
        <f>Squads!$B$449</f>
        <v>Caitlin Naylor</v>
      </c>
      <c r="C27" s="429" t="str">
        <f>SUBSTITUTE(SUBSTITUTE(Squads!$C$449,"–","-"),"—","-")</f>
        <v>Associate Engineer- Software</v>
      </c>
      <c r="D27" s="439" t="str">
        <f>Squads!$R$449</f>
        <v>Filled</v>
      </c>
    </row>
    <row r="28">
      <c r="B28" s="429" t="str">
        <f>Squads!$B$483</f>
        <v>Jason Satoso</v>
      </c>
      <c r="C28" s="429" t="str">
        <f>SUBSTITUTE(SUBSTITUTE(Squads!$C$483,"–","-"),"—","-")</f>
        <v>Cloud Operations Engineer</v>
      </c>
      <c r="D28" s="439" t="str">
        <f>Squads!$R$483</f>
        <v>Filled</v>
      </c>
    </row>
    <row r="29">
      <c r="B29" s="464" t="inlineStr">
        <is>
          <t>EVCI</t>
        </is>
      </c>
      <c r="C29" s="465" t="n"/>
      <c r="D29" s="465" t="n"/>
      <c r="E29" s="465" t="n"/>
    </row>
    <row r="30">
      <c r="B30" s="429" t="str">
        <f>Squads!$B$393</f>
        <v>Josh Campbell</v>
      </c>
      <c r="C30" s="429" t="str">
        <f>SUBSTITUTE(SUBSTITUTE(Squads!$C$393,"–","-"),"—","-")</f>
        <v>Engineer Software</v>
      </c>
      <c r="D30" s="439" t="str">
        <f>Squads!$R$393</f>
        <v>Filled</v>
      </c>
    </row>
    <row r="31">
      <c r="B31" s="429" t="str">
        <f>Squads!$B$402</f>
        <v>Anie Camerino</v>
      </c>
      <c r="C31" s="429" t="str">
        <f>SUBSTITUTE(SUBSTITUTE(Squads!$C$402,"–","-"),"—","-")</f>
        <v>Snr Quality Assurance</v>
      </c>
      <c r="D31" s="439" t="str">
        <f>Squads!$R$402</f>
        <v>Filled</v>
      </c>
    </row>
    <row r="32">
      <c r="B32" s="429" t="str">
        <f>Squads!$B$409</f>
        <v>Gokila Mylsamy</v>
      </c>
      <c r="C32" s="429" t="str">
        <f>SUBSTITUTE(SUBSTITUTE(Squads!$C$409,"–","-"),"—","-")</f>
        <v>Lead Engineer Software</v>
      </c>
      <c r="D32" s="439" t="str">
        <f>Squads!$R$409</f>
        <v>Filled</v>
      </c>
    </row>
    <row r="33">
      <c r="B33" s="429" t="str">
        <f>Squads!$B$438</f>
        <v>Angela Ross</v>
      </c>
      <c r="C33" s="429" t="str">
        <f>SUBSTITUTE(SUBSTITUTE(Squads!$C$438,"–","-"),"—","-")</f>
        <v>Delivery Lead</v>
      </c>
      <c r="D33" s="439" t="str">
        <f>Squads!$R$438</f>
        <v>Filled</v>
      </c>
    </row>
    <row r="34">
      <c r="B34" s="429" t="str">
        <f>Squads!$B$440</f>
        <v>Vacant</v>
      </c>
      <c r="C34" s="429" t="str">
        <f>SUBSTITUTE(SUBSTITUTE(Squads!$C$440,"–","-"),"—","-")</f>
        <v>Snr Engineer Software</v>
      </c>
      <c r="D34" s="439" t="str">
        <f>Squads!$R$440</f>
        <v>Vacant</v>
      </c>
      <c r="E34" s="504" t="inlineStr">
        <is>
          <t>Hold</t>
        </is>
      </c>
      <c r="F34" s="442">
        <f>SUMIF('Added data'!$C$2:$C$549,Squads!$C$440,'Added data'!$AA$2:$AA$549)/COUNTIF('Added data'!$C$2:$C$549,Squads!$C$440)</f>
        <v>170345.59</v>
      </c>
    </row>
    <row r="35">
      <c r="B35" s="429" t="str">
        <f>Squads!$B$454</f>
        <v>Lana Wagner</v>
      </c>
      <c r="C35" s="429" t="str">
        <f>SUBSTITUTE(SUBSTITUTE(Squads!$C$454,"–","-"),"—","-")</f>
        <v>Senior Business Analyst</v>
      </c>
      <c r="D35" s="439" t="str">
        <f>Squads!$R$454</f>
        <v>Filled</v>
      </c>
    </row>
    <row r="36">
      <c r="B36" s="464" t="inlineStr">
        <is>
          <t>B2B</t>
        </is>
      </c>
      <c r="C36" s="465" t="n"/>
      <c r="D36" s="465" t="n"/>
      <c r="E36" s="465" t="n"/>
    </row>
    <row r="37">
      <c r="B37" s="429" t="str">
        <f>Squads!$B$144</f>
        <v>Vacant (B2B)</v>
      </c>
      <c r="C37" s="429" t="str">
        <f>SUBSTITUTE(SUBSTITUTE(Squads!$C$144,"–","-"),"—","-")</f>
        <v>Engineer - BE</v>
      </c>
      <c r="D37" s="439" t="str">
        <f>Squads!$R$144</f>
        <v>Filled</v>
      </c>
    </row>
    <row r="38">
      <c r="B38" s="429" t="str">
        <f>Squads!$B$159</f>
        <v>Vacant (B2B)</v>
      </c>
      <c r="C38" s="429" t="str">
        <f>SUBSTITUTE(SUBSTITUTE(Squads!$C$159,"–","-"),"—","-")</f>
        <v>Engineer - BE</v>
      </c>
      <c r="D38" s="439" t="str">
        <f>Squads!$R$159</f>
        <v>Filled</v>
      </c>
    </row>
    <row r="39">
      <c r="B39" s="429" t="str">
        <f>Squads!$B$355</f>
        <v>Rod Santillan</v>
      </c>
      <c r="C39" s="429" t="str">
        <f>SUBSTITUTE(SUBSTITUTE(Squads!$C$355,"–","-"),"—","-")</f>
        <v>Snr Engineer Software</v>
      </c>
      <c r="D39" s="439" t="str">
        <f>Squads!$R$355</f>
        <v>Filled</v>
      </c>
    </row>
    <row r="40">
      <c r="B40" s="429" t="str">
        <f>Squads!$B$356</f>
        <v>Vacant  (Contract)</v>
      </c>
      <c r="C40" s="429" t="str">
        <f>SUBSTITUTE(SUBSTITUTE(Squads!$C$356,"–","-"),"—","-")</f>
        <v>Senior Systems Analyst - Card</v>
      </c>
      <c r="D40" s="439" t="str">
        <f>Squads!$R$356</f>
        <v>Filled</v>
      </c>
    </row>
    <row r="41">
      <c r="B41" s="429" t="str">
        <f>Squads!$B$357</f>
        <v>Frank Liang</v>
      </c>
      <c r="C41" s="429" t="str">
        <f>SUBSTITUTE(SUBSTITUTE(Squads!$C$357,"–","-"),"—","-")</f>
        <v>Senior Systems Analyst</v>
      </c>
      <c r="D41" s="439" t="str">
        <f>Squads!$R$357</f>
        <v>Filled</v>
      </c>
    </row>
    <row r="42">
      <c r="B42" s="429" t="str">
        <f>Squads!$B$358</f>
        <v>Lindsay Baipas</v>
      </c>
      <c r="C42" s="429" t="str">
        <f>SUBSTITUTE(SUBSTITUTE(Squads!$C$358,"–","-"),"—","-")</f>
        <v>System Analyst Card</v>
      </c>
      <c r="D42" s="439" t="str">
        <f>Squads!$R$358</f>
        <v>Filled</v>
      </c>
    </row>
    <row r="43">
      <c r="B43" s="429" t="str">
        <f>Squads!$B$359</f>
        <v>Alex Abelita</v>
      </c>
      <c r="C43" s="429" t="str">
        <f>SUBSTITUTE(SUBSTITUTE(Squads!$C$359,"–","-"),"—","-")</f>
        <v>Associate Engineer - Automation Testing</v>
      </c>
      <c r="D43" s="439" t="str">
        <f>Squads!$R$359</f>
        <v>Filled</v>
      </c>
    </row>
    <row r="44">
      <c r="B44" s="429" t="str">
        <f>Squads!$B$360</f>
        <v>Allyn Puente</v>
      </c>
      <c r="C44" s="429" t="str">
        <f>SUBSTITUTE(SUBSTITUTE(Squads!$C$360,"–","-"),"—","-")</f>
        <v>Graduate</v>
      </c>
      <c r="D44" s="439" t="str">
        <f>Squads!$R$360</f>
        <v>Filled</v>
      </c>
    </row>
    <row r="45">
      <c r="B45" s="429" t="str">
        <f>Squads!$B$383</f>
        <v>Belinda Ford</v>
      </c>
      <c r="C45" s="429" t="str">
        <f>SUBSTITUTE(SUBSTITUTE(Squads!$C$383,"–","-"),"—","-")</f>
        <v>Quality Assurance</v>
      </c>
      <c r="D45" s="439" t="str">
        <f>Squads!$R$383</f>
        <v>Filled</v>
      </c>
    </row>
    <row r="46">
      <c r="B46" s="429" t="str">
        <f>Squads!$B$388</f>
        <v>Debbie Gor</v>
      </c>
      <c r="C46" s="429" t="str">
        <f>SUBSTITUTE(SUBSTITUTE(Squads!$C$388,"–","-"),"—","-")</f>
        <v>Delivery Lead</v>
      </c>
      <c r="D46" s="439" t="str">
        <f>Squads!$R$388</f>
        <v>Filled</v>
      </c>
    </row>
    <row r="47">
      <c r="B47" s="429" t="str">
        <f>Squads!$B$391</f>
        <v>Vacant</v>
      </c>
      <c r="C47" s="429" t="str">
        <f>SUBSTITUTE(SUBSTITUTE(Squads!$C$391,"–","-"),"—","-")</f>
        <v>Engineer Software</v>
      </c>
      <c r="D47" s="439" t="str">
        <f>Squads!$R$391</f>
        <v>Vacant</v>
      </c>
      <c r="E47" s="504" t="inlineStr">
        <is>
          <t>Hold</t>
        </is>
      </c>
      <c r="F47" s="442">
        <f>SUMIF('Added data'!$C$2:$C$549,Squads!$C$391,'Added data'!$AA$2:$AA$549)/COUNTIF('Added data'!$C$2:$C$549,Squads!$C$391)</f>
        <v>152203.147</v>
      </c>
    </row>
    <row r="48">
      <c r="B48" s="429" t="str">
        <f>Squads!$B$395</f>
        <v>vacant</v>
      </c>
      <c r="C48" s="429" t="str">
        <f>SUBSTITUTE(SUBSTITUTE(Squads!$C$395,"–","-"),"—","-")</f>
        <v>Solution Architect</v>
      </c>
      <c r="D48" s="439" t="str">
        <f>Squads!$R$395</f>
        <v>Vacant</v>
      </c>
      <c r="E48" s="504" t="inlineStr">
        <is>
          <t>Hold</t>
        </is>
      </c>
      <c r="F48" s="442">
        <f>SUMIF('Added data'!$C$2:$C$549,Squads!$C$395,'Added data'!$AA$2:$AA$549)/COUNTIF('Added data'!$C$2:$C$549,Squads!$C$395)</f>
        <v>240502.89705882352</v>
      </c>
    </row>
    <row r="49">
      <c r="B49" s="429" t="str">
        <f>Squads!$B$404</f>
        <v>Mick DaSilva</v>
      </c>
      <c r="C49" s="429" t="str">
        <f>SUBSTITUTE(SUBSTITUTE(Squads!$C$404,"–","-"),"—","-")</f>
        <v>Senior Business Analyst</v>
      </c>
      <c r="D49" s="439" t="str">
        <f>Squads!$R$404</f>
        <v>Filled</v>
      </c>
    </row>
    <row r="50">
      <c r="B50" s="429" t="str">
        <f>Squads!$B$430</f>
        <v>Jessica Calla</v>
      </c>
      <c r="C50" s="429" t="str">
        <f>SUBSTITUTE(SUBSTITUTE(Squads!$C$430,"–","-"),"—","-")</f>
        <v>System Analyst Card</v>
      </c>
      <c r="D50" s="439" t="str">
        <f>Squads!$R$430</f>
        <v>Filled</v>
      </c>
    </row>
    <row r="51">
      <c r="B51" s="429" t="str">
        <f>Squads!$B$434</f>
        <v>Vacant </v>
      </c>
      <c r="C51" s="429" t="str">
        <f>SUBSTITUTE(SUBSTITUTE(Squads!$C$434,"–","-"),"—","-")</f>
        <v>Business Analyst</v>
      </c>
      <c r="D51" s="439" t="str">
        <f>Squads!$R$434</f>
        <v>Vacant</v>
      </c>
      <c r="E51" s="504" t="inlineStr">
        <is>
          <t>Hold</t>
        </is>
      </c>
      <c r="F51" s="442">
        <f>SUMIF('Added data'!$C$2:$C$549,Squads!$C$434,'Added data'!$AA$2:$AA$549)/COUNTIF('Added data'!$C$2:$C$549,Squads!$C$434)</f>
        <v>198578.016</v>
      </c>
    </row>
    <row r="52">
      <c r="B52" s="429" t="str">
        <f>Squads!$B$439</f>
        <v>Ming Shao</v>
      </c>
      <c r="C52" s="429" t="str">
        <f>SUBSTITUTE(SUBSTITUTE(Squads!$C$439,"–","-"),"—","-")</f>
        <v>Senior Systems Analyst Card</v>
      </c>
      <c r="D52" s="439" t="str">
        <f>Squads!$R$439</f>
        <v>Filled</v>
      </c>
    </row>
  </sheetData>
  <conditionalFormatting sqref="D17:D52">
    <cfRule type="cellIs" priority="1" operator="equal" dxfId="1">
      <formula>"Vacant"</formula>
    </cfRule>
  </conditionalFormatting>
  <conditionalFormatting sqref="I6:I9">
    <cfRule type="expression" priority="2" dxfId="1">
      <formula>AND(ISNUMBER(I6),I6&gt;0)</formula>
    </cfRule>
    <cfRule type="expression" priority="3" dxfId="0">
      <formula>AND(ISNUMBER(I6),I6&lt;=0)</formula>
    </cfRule>
  </conditionalFormatting>
  <dataValidations count="1">
    <dataValidation sqref="E18 E21 E22 E24 E25 E26 E34 E47 E48 E51" showDropDown="0" showInputMessage="0" showErrorMessage="1" allowBlank="0" errorTitle="Invalid entry" error="Pick Hire or Hold" type="list">
      <formula1>"Hire,Hold"</formula1>
    </dataValidation>
  </dataValidations>
  <pageMargins left="0.75" right="0.75" top="1" bottom="1" header="0.5" footer="0.5"/>
</worksheet>
</file>

<file path=xl/worksheets/sheet37.xml><?xml version="1.0" encoding="utf-8"?>
<worksheet xmlns="http://schemas.openxmlformats.org/spreadsheetml/2006/main">
  <sheetPr>
    <tabColor rgb="00BF8F00"/>
    <outlinePr summaryBelow="1" summaryRight="1"/>
    <pageSetUpPr/>
  </sheetPr>
  <dimension ref="A1:J61"/>
  <sheetViews>
    <sheetView showGridLines="0" workbookViewId="0">
      <selection activeCell="B2" sqref="B2"/>
    </sheetView>
  </sheetViews>
  <sheetFormatPr baseColWidth="8" defaultRowHeight="14.5" outlineLevelCol="0"/>
  <cols>
    <col width="3" customWidth="1" style="506" min="1" max="1"/>
    <col width="44" customWidth="1" style="506" min="2" max="2"/>
    <col width="46" customWidth="1" style="506" min="3" max="3"/>
    <col width="13" bestFit="1" customWidth="1" style="506" min="4" max="4"/>
    <col width="13" customWidth="1" style="506" min="5" max="5"/>
    <col width="14" customWidth="1" style="506" min="6" max="6"/>
    <col width="15" customWidth="1" style="506" min="7" max="7"/>
    <col width="17" customWidth="1" style="506" min="8" max="8"/>
    <col width="15" customWidth="1" style="506" min="9" max="9"/>
    <col width="30" customWidth="1" style="506" min="10" max="10"/>
  </cols>
  <sheetData>
    <row r="1"/>
    <row r="2" ht="21" customHeight="1" s="506">
      <c r="B2" s="437" t="str">
        <f>CONCATENATE('1.9 Commercial Fuels'!$B$2," GM working copy")</f>
        <v>Commercial Fuels GM working copy</v>
      </c>
    </row>
    <row r="3"/>
    <row r="4">
      <c r="B4" s="443" t="inlineStr">
        <is>
          <t>Position by squad</t>
        </is>
      </c>
      <c r="C4" s="444" t="n"/>
      <c r="D4" s="444" t="n"/>
      <c r="E4" s="444" t="n"/>
      <c r="F4" s="444" t="n"/>
      <c r="G4" s="444" t="n"/>
      <c r="H4" s="444" t="n"/>
      <c r="I4" s="444" t="n"/>
      <c r="J4" s="444" t="n"/>
    </row>
    <row r="5">
      <c r="B5" s="438" t="inlineStr">
        <is>
          <t>Squad</t>
        </is>
      </c>
      <c r="C5" s="667" t="inlineStr">
        <is>
          <t>Archetype type and size</t>
        </is>
      </c>
      <c r="D5" s="577" t="inlineStr">
        <is>
          <t>Archetype roles</t>
        </is>
      </c>
      <c r="E5" s="438" t="inlineStr">
        <is>
          <t>Filled</t>
        </is>
      </c>
      <c r="F5" s="438" t="inlineStr">
        <is>
          <t>Vacant</t>
        </is>
      </c>
      <c r="G5" s="438" t="inlineStr">
        <is>
          <t>Planning to hire</t>
        </is>
      </c>
      <c r="H5" s="438" t="inlineStr">
        <is>
          <t>Vacancies after calls</t>
        </is>
      </c>
      <c r="I5" s="438" t="inlineStr">
        <is>
          <t>vs archetype</t>
        </is>
      </c>
      <c r="J5" s="438" t="inlineStr">
        <is>
          <t>Flag</t>
        </is>
      </c>
    </row>
    <row r="6">
      <c r="B6" s="429" t="inlineStr">
        <is>
          <t>Trading &amp; Shipping</t>
        </is>
      </c>
      <c r="C6" s="692" t="str">
        <f>IF(OR('2.7 Squad Detail'!$F$78=0,'2.7 Squad Detail'!$F$78=""),'2.7 Squad Detail'!$E$78,'2.7 Squad Detail'!$E$78&amp;" - "&amp;'2.7 Squad Detail'!$F$78)</f>
        <v>Configuration / Integration - M</v>
      </c>
      <c r="D6" s="697">
        <f>'2.7 Squad Detail'!$G$78</f>
        <v>9.0</v>
      </c>
      <c r="E6" s="439">
        <f>COUNTIFS(Squads!$N:$N,"Commercial Fuels",Squads!$P:$P,"Trading &amp; Shipping",Squads!$R:$R,"Filled")</f>
        <v>9.0</v>
      </c>
      <c r="F6" s="439">
        <f>COUNTIFS(Squads!$N:$N,"Commercial Fuels",Squads!$P:$P,"Trading &amp; Shipping",Squads!$R:$R,"Vacant")</f>
        <v>5.0</v>
      </c>
      <c r="G6" s="439">
        <f>COUNTIF(E19:E32,"Hire")</f>
        <v>0.0</v>
      </c>
      <c r="H6" s="458">
        <f>F6-G6</f>
        <v>5.0</v>
      </c>
      <c r="I6" s="697">
        <f>IFERROR(E6+G6-D6,"-")</f>
        <v>0.0</v>
      </c>
      <c r="J6" s="429" t="str">
        <f>IF(ISNUMBER(D6),IF(E6&gt;D6,"Filled already over archetype",IF(E6+G6&gt;D6,"Over archetype after hire calls","")),"Outside the archetype model - no target set")</f>
        <v/>
      </c>
    </row>
    <row r="7">
      <c r="B7" s="429" t="inlineStr">
        <is>
          <t>Trading &amp; Shipping Data</t>
        </is>
      </c>
      <c r="C7" s="692" t="str">
        <f>IF(OR('2.7 Squad Detail'!$F$79=0,'2.7 Squad Detail'!$F$79=""),'2.7 Squad Detail'!$E$79,'2.7 Squad Detail'!$E$79&amp;" - "&amp;'2.7 Squad Detail'!$F$79)</f>
        <v>Enterprise Data and Insights - M</v>
      </c>
      <c r="D7" s="697">
        <f>'2.7 Squad Detail'!$G$79</f>
        <v>7.5</v>
      </c>
      <c r="E7" s="439">
        <f>COUNTIFS(Squads!$N:$N,"Commercial Fuels",Squads!$P:$P,"Trading &amp; Shipping Data",Squads!$R:$R,"Filled")</f>
        <v>7.0</v>
      </c>
      <c r="F7" s="439">
        <f>COUNTIFS(Squads!$N:$N,"Commercial Fuels",Squads!$P:$P,"Trading &amp; Shipping Data",Squads!$R:$R,"Vacant")</f>
        <v>0.0</v>
      </c>
      <c r="G7" s="748">
        <f>COUNTIF(E34:E40,"Hire")</f>
        <v>0.0</v>
      </c>
      <c r="H7" s="458">
        <f>F7-G7</f>
        <v>0.0</v>
      </c>
      <c r="I7" s="697">
        <f>IFERROR(E7+G7-D7,"-")</f>
        <v>-0.5</v>
      </c>
      <c r="J7" s="429" t="str">
        <f>IF(ISNUMBER(D7),IF(E7&gt;D7,"Filled already over archetype",IF(E7+G7&gt;D7,"Over archetype after hire calls","")),"Outside the archetype model - no target set")</f>
        <v/>
      </c>
    </row>
    <row r="8">
      <c r="B8" s="429" t="inlineStr">
        <is>
          <t>Supply</t>
        </is>
      </c>
      <c r="C8" s="692" t="str">
        <f>IF(OR('2.7 Squad Detail'!$F$81=0,'2.7 Squad Detail'!$F$81=""),'2.7 Squad Detail'!$E$81,'2.7 Squad Detail'!$E$81&amp;" - "&amp;'2.7 Squad Detail'!$F$81)</f>
        <v>Configuration / Integration - M</v>
      </c>
      <c r="D8" s="697">
        <f>'2.7 Squad Detail'!$G$81</f>
        <v>9.0</v>
      </c>
      <c r="E8" s="439">
        <f>COUNTIFS(Squads!$N:$N,"Commercial Fuels",Squads!$P:$P,"Supply",Squads!$R:$R,"Filled")</f>
        <v>2.0</v>
      </c>
      <c r="F8" s="439">
        <f>COUNTIFS(Squads!$N:$N,"Commercial Fuels",Squads!$P:$P,"Supply",Squads!$R:$R,"Vacant")</f>
        <v>3.0</v>
      </c>
      <c r="G8" s="439">
        <f>COUNTIF(E42:E46,"Hire")</f>
        <v>0.0</v>
      </c>
      <c r="H8" s="458">
        <f>F8-G8</f>
        <v>3.0</v>
      </c>
      <c r="I8" s="697">
        <f>IFERROR(E8+G8-D8,"-")</f>
        <v>-7.0</v>
      </c>
      <c r="J8" s="429" t="str">
        <f>IF(ISNUMBER(D8),IF(E8&gt;D8,"Filled already over archetype",IF(E8+G8&gt;D8,"Over archetype after hire calls","")),"Outside the archetype model - no target set")</f>
        <v/>
      </c>
    </row>
    <row r="9">
      <c r="B9" s="429" t="inlineStr">
        <is>
          <t>CTRM</t>
        </is>
      </c>
      <c r="C9" s="692" t="str">
        <f>IF(OR('2.7 Squad Detail'!$F$83=0,'2.7 Squad Detail'!$F$83=""),'2.7 Squad Detail'!$E$83,'2.7 Squad Detail'!$E$83&amp;" - "&amp;'2.7 Squad Detail'!$F$83)</f>
        <v>Strategic Programs</v>
      </c>
      <c r="D9" s="697" t="str">
        <f>'2.7 Squad Detail'!$G$83</f>
        <v>-</v>
      </c>
      <c r="E9" s="439">
        <f>COUNTIFS(Squads!$N:$N,"Commercial Fuels",Squads!$P:$P,"CTRM",Squads!$R:$R,"Filled")</f>
        <v>14.0</v>
      </c>
      <c r="F9" s="439">
        <f>COUNTIFS(Squads!$N:$N,"Commercial Fuels",Squads!$P:$P,"CTRM",Squads!$R:$R,"Vacant")</f>
        <v>0.0</v>
      </c>
      <c r="G9" s="748">
        <f>COUNTIF(E48:E61,"Hire")</f>
        <v>0.0</v>
      </c>
      <c r="H9" s="458">
        <f>F9-G9</f>
        <v>0.0</v>
      </c>
      <c r="I9" s="697" t="str">
        <f>IFERROR(E9+G9-D9,"-")</f>
        <v>-</v>
      </c>
      <c r="J9" s="429" t="str">
        <f>IF(ISNUMBER(D9),IF(E9&gt;D9,"Filled already over archetype",IF(E9+G9&gt;D9,"Over archetype after hire calls","")),"Outside the archetype model - no target set")</f>
        <v>Outside the archetype model - no target set</v>
      </c>
    </row>
    <row r="10">
      <c r="B10" s="431" t="inlineStr">
        <is>
          <t>Total</t>
        </is>
      </c>
      <c r="D10" s="698">
        <f>SUM(D6:D9)</f>
        <v>25.5</v>
      </c>
      <c r="E10" s="447">
        <f>SUM(E6:E9)</f>
        <v>32.0</v>
      </c>
      <c r="F10" s="447">
        <f>SUM(F6:F9)</f>
        <v>8.0</v>
      </c>
      <c r="G10" s="447">
        <f>SUM(G6:G9)</f>
        <v>0.0</v>
      </c>
      <c r="H10" s="447">
        <f>SUM(H6:H9)</f>
        <v>8.0</v>
      </c>
      <c r="I10" s="698">
        <f>IF(COUNT(I6:I9)=0,"-",SUM(I6:I9))</f>
        <v>-7.5</v>
      </c>
    </row>
    <row r="11">
      <c r="B11" s="578" t="inlineStr">
        <is>
          <t>Cost to hire all vacancies ($m)</t>
        </is>
      </c>
      <c r="C11" s="497">
        <f>SUM(F18:F61)/1000000</f>
        <v>1.5651438064138483</v>
      </c>
    </row>
    <row r="12">
      <c r="B12" s="578" t="inlineStr">
        <is>
          <t>Cost of roles marked Hire ($m)</t>
        </is>
      </c>
      <c r="C12" s="497">
        <f>SUMIF(E18:E61,"Hire",F18:F61)/1000000</f>
        <v>0.0</v>
      </c>
    </row>
    <row r="13">
      <c r="B13" s="429" t="inlineStr">
        <is>
          <t>Vacant roles are priced at standard title rates - indicative until an offer is made.</t>
        </is>
      </c>
    </row>
    <row r="14">
      <c r="B14" s="429" t="inlineStr">
        <is>
          <t>Leadership roles are funded via the portfolio overheads and sit on 2.7 Squad Detail, not here.</t>
        </is>
      </c>
    </row>
    <row r="15">
      <c r="B15" s="695" t="inlineStr">
        <is>
          <t>vs archetype: positive = over the allowance, negative = under.</t>
        </is>
      </c>
    </row>
    <row r="16">
      <c r="B16" s="749" t="inlineStr">
        <is>
          <t>Roster - Hire or Hold each vacancy</t>
        </is>
      </c>
      <c r="C16" s="750" t="n"/>
      <c r="D16" s="750" t="n"/>
      <c r="E16" s="750" t="n"/>
      <c r="F16" s="750" t="n"/>
      <c r="G16" s="751" t="n"/>
      <c r="H16" s="751" t="n"/>
      <c r="I16" s="751" t="n"/>
      <c r="J16" s="751" t="n"/>
    </row>
    <row r="17">
      <c r="B17" s="438" t="inlineStr">
        <is>
          <t>Name</t>
        </is>
      </c>
      <c r="C17" s="438" t="inlineStr">
        <is>
          <t>Role</t>
        </is>
      </c>
      <c r="D17" s="438" t="inlineStr">
        <is>
          <t>Status</t>
        </is>
      </c>
      <c r="E17" s="438" t="inlineStr">
        <is>
          <t>Call</t>
        </is>
      </c>
      <c r="F17" s="438" t="inlineStr">
        <is>
          <t>Cost if hired ($)</t>
        </is>
      </c>
    </row>
    <row r="18">
      <c r="B18" s="464" t="inlineStr">
        <is>
          <t>Trading &amp; Shipping</t>
        </is>
      </c>
      <c r="C18" s="465" t="n"/>
      <c r="D18" s="465" t="n"/>
      <c r="E18" s="465" t="n"/>
    </row>
    <row r="19">
      <c r="B19" s="429" t="str">
        <f>Squads!$B$343</f>
        <v>Vacant</v>
      </c>
      <c r="C19" s="429" t="str">
        <f>SUBSTITUTE(SUBSTITUTE(Squads!$C$343,"–","-"),"—","-")</f>
        <v>Tech Support Technician</v>
      </c>
      <c r="D19" s="439" t="str">
        <f>Squads!$R$343</f>
        <v>Vacant</v>
      </c>
      <c r="E19" s="504" t="inlineStr">
        <is>
          <t>Hold</t>
        </is>
      </c>
      <c r="F19" s="442">
        <f>SUMIF('Added data'!$C$2:$C$549,Squads!$C$343,'Added data'!$AA$2:$AA$549)/COUNTIF('Added data'!$C$2:$C$549,Squads!$C$343)</f>
        <v>111760.42233333334</v>
      </c>
    </row>
    <row r="20">
      <c r="B20" s="429" t="str">
        <f>Squads!$B$345</f>
        <v>Leo Machin</v>
      </c>
      <c r="C20" s="429" t="str">
        <f>SUBSTITUTE(SUBSTITUTE(Squads!$C$345,"–","-"),"—","-")</f>
        <v>Lead Engineer Applications</v>
      </c>
      <c r="D20" s="439" t="str">
        <f>Squads!$R$345</f>
        <v>Filled</v>
      </c>
    </row>
    <row r="21">
      <c r="B21" s="429" t="str">
        <f>Squads!$B$346</f>
        <v>Kevin Li</v>
      </c>
      <c r="C21" s="429" t="str">
        <f>SUBSTITUTE(SUBSTITUTE(Squads!$C$346,"–","-"),"—","-")</f>
        <v>System Specialist</v>
      </c>
      <c r="D21" s="439" t="str">
        <f>Squads!$R$346</f>
        <v>Filled</v>
      </c>
    </row>
    <row r="22">
      <c r="B22" s="429" t="str">
        <f>Squads!$B$347</f>
        <v>JR Panganiban</v>
      </c>
      <c r="C22" s="429" t="str">
        <f>SUBSTITUTE(SUBSTITUTE(Squads!$C$347,"–","-"),"—","-")</f>
        <v>Technology Support Engineer</v>
      </c>
      <c r="D22" s="439" t="str">
        <f>Squads!$R$347</f>
        <v>Filled</v>
      </c>
    </row>
    <row r="23">
      <c r="B23" s="429" t="str">
        <f>Squads!$B$348</f>
        <v>Poch Fernandez</v>
      </c>
      <c r="C23" s="429" t="str">
        <f>SUBSTITUTE(SUBSTITUTE(Squads!$C$348,"–","-"),"—","-")</f>
        <v>Lead Technology Support  </v>
      </c>
      <c r="D23" s="439" t="str">
        <f>Squads!$R$348</f>
        <v>Filled</v>
      </c>
    </row>
    <row r="24">
      <c r="B24" s="429" t="str">
        <f>Squads!$B$349</f>
        <v>Jem Cruz</v>
      </c>
      <c r="C24" s="429" t="str">
        <f>SUBSTITUTE(SUBSTITUTE(Squads!$C$349,"–","-"),"—","-")</f>
        <v>System Specialist</v>
      </c>
      <c r="D24" s="439" t="str">
        <f>Squads!$R$349</f>
        <v>Filled</v>
      </c>
    </row>
    <row r="25">
      <c r="B25" s="429" t="str">
        <f>Squads!$B$350</f>
        <v>Chin Fang Kwek</v>
      </c>
      <c r="C25" s="429" t="str">
        <f>SUBSTITUTE(SUBSTITUTE(Squads!$C$350,"–","-"),"—","-")</f>
        <v>System Analyst</v>
      </c>
      <c r="D25" s="439" t="str">
        <f>Squads!$R$350</f>
        <v>Filled</v>
      </c>
    </row>
    <row r="26">
      <c r="B26" s="429" t="str">
        <f>Squads!$B$382</f>
        <v>Nakul Bharade</v>
      </c>
      <c r="C26" s="429" t="str">
        <f>SUBSTITUTE(SUBSTITUTE(Squads!$C$382,"–","-"),"—","-")</f>
        <v>Head of Technology, Commercial Fuels</v>
      </c>
      <c r="D26" s="439" t="str">
        <f>Squads!$R$382</f>
        <v>Filled</v>
      </c>
    </row>
    <row r="27">
      <c r="B27" s="429" t="str">
        <f>Squads!$B$384</f>
        <v>Vacant</v>
      </c>
      <c r="C27" s="429" t="str">
        <f>SUBSTITUTE(SUBSTITUTE(Squads!$C$384,"–","-"),"—","-")</f>
        <v>Quality Assurance</v>
      </c>
      <c r="D27" s="439" t="str">
        <f>Squads!$R$384</f>
        <v>Vacant</v>
      </c>
      <c r="E27" s="504" t="inlineStr">
        <is>
          <t>Hold</t>
        </is>
      </c>
      <c r="F27" s="442">
        <f>SUMIF('Added data'!$C$2:$C$549,Squads!$C$384,'Added data'!$AA$2:$AA$549)/COUNTIF('Added data'!$C$2:$C$549,Squads!$C$384)</f>
        <v>169798.89904347828</v>
      </c>
    </row>
    <row r="28">
      <c r="B28" s="429" t="str">
        <f>Squads!$B$406</f>
        <v>Hari Maneti</v>
      </c>
      <c r="C28" s="429" t="str">
        <f>SUBSTITUTE(SUBSTITUTE(Squads!$C$406,"–","-"),"—","-")</f>
        <v>Systems Analyst</v>
      </c>
      <c r="D28" s="439" t="str">
        <f>Squads!$R$406</f>
        <v>Filled</v>
      </c>
    </row>
    <row r="29">
      <c r="B29" s="429" t="str">
        <f>Squads!$B$407</f>
        <v>Allan Francia</v>
      </c>
      <c r="C29" s="429" t="str">
        <f>SUBSTITUTE(SUBSTITUTE(Squads!$C$407,"–","-"),"—","-")</f>
        <v>Technology Manager - T&amp;S</v>
      </c>
      <c r="D29" s="439" t="str">
        <f>Squads!$R$407</f>
        <v>Filled</v>
      </c>
    </row>
    <row r="30">
      <c r="B30" s="429" t="str">
        <f>Squads!$B$453</f>
        <v>Vacant</v>
      </c>
      <c r="C30" s="429" t="str">
        <f>SUBSTITUTE(SUBSTITUTE(Squads!$C$453,"–","-"),"—","-")</f>
        <v>Senior Business Analyst</v>
      </c>
      <c r="D30" s="439" t="str">
        <f>Squads!$R$453</f>
        <v>Vacant</v>
      </c>
      <c r="E30" s="504" t="inlineStr">
        <is>
          <t>Hold</t>
        </is>
      </c>
      <c r="F30" s="442">
        <f>SUMIF('Added data'!$C$2:$C$549,Squads!$C$453,'Added data'!$AA$2:$AA$549)/COUNTIF('Added data'!$C$2:$C$549,Squads!$C$453)</f>
        <v>234959.77272222223</v>
      </c>
    </row>
    <row r="31">
      <c r="B31" s="429" t="str">
        <f>Squads!$B$455</f>
        <v>Vacant</v>
      </c>
      <c r="C31" s="429" t="str">
        <f>SUBSTITUTE(SUBSTITUTE(Squads!$C$455,"–","-"),"—","-")</f>
        <v>Senior Business Analyst</v>
      </c>
      <c r="D31" s="439" t="str">
        <f>Squads!$R$455</f>
        <v>Vacant</v>
      </c>
      <c r="E31" s="504" t="inlineStr">
        <is>
          <t>Hold</t>
        </is>
      </c>
      <c r="F31" s="442">
        <f>SUMIF('Added data'!$C$2:$C$549,Squads!$C$455,'Added data'!$AA$2:$AA$549)/COUNTIF('Added data'!$C$2:$C$549,Squads!$C$455)</f>
        <v>234959.77272222223</v>
      </c>
    </row>
    <row r="32">
      <c r="B32" s="429" t="str">
        <f>Squads!$B$456</f>
        <v>Vacant</v>
      </c>
      <c r="C32" s="429" t="str">
        <f>SUBSTITUTE(SUBSTITUTE(Squads!$C$456,"–","-"),"—","-")</f>
        <v>Delivery Lead</v>
      </c>
      <c r="D32" s="439" t="str">
        <f>Squads!$R$456</f>
        <v>Vacant</v>
      </c>
      <c r="E32" s="504" t="inlineStr">
        <is>
          <t>Hold</t>
        </is>
      </c>
      <c r="F32" s="442">
        <f>SUMIF('Added data'!$C$2:$C$549,Squads!$C$456,'Added data'!$AA$2:$AA$549)/COUNTIF('Added data'!$C$2:$C$549,Squads!$C$456)</f>
        <v>231778.89629629627</v>
      </c>
    </row>
    <row r="33">
      <c r="B33" s="464" t="inlineStr">
        <is>
          <t>Trading &amp; Shipping Data</t>
        </is>
      </c>
      <c r="C33" s="465" t="n"/>
      <c r="D33" s="465" t="n"/>
      <c r="E33" s="465" t="n"/>
    </row>
    <row r="34">
      <c r="B34" s="429" t="str">
        <f>Squads!$B$419</f>
        <v>Soumya Choudhury</v>
      </c>
      <c r="C34" s="429" t="str">
        <f>SUBSTITUTE(SUBSTITUTE(Squads!$C$419,"–","-"),"—","-")</f>
        <v>Data Application Specialist </v>
      </c>
      <c r="D34" s="439" t="str">
        <f>Squads!$R$419</f>
        <v>Filled</v>
      </c>
    </row>
    <row r="35">
      <c r="B35" s="429" t="str">
        <f>Squads!$B$420</f>
        <v>Anusha Viswanatha</v>
      </c>
      <c r="C35" s="429" t="str">
        <f>SUBSTITUTE(SUBSTITUTE(Squads!$C$420,"–","-"),"—","-")</f>
        <v>Delivery Lead</v>
      </c>
      <c r="D35" s="439" t="str">
        <f>Squads!$R$420</f>
        <v>Filled</v>
      </c>
    </row>
    <row r="36">
      <c r="B36" s="429" t="str">
        <f>Squads!$B$423</f>
        <v>Jonathan Wong</v>
      </c>
      <c r="C36" s="429" t="str">
        <f>SUBSTITUTE(SUBSTITUTE(Squads!$C$423,"–","-"),"—","-")</f>
        <v>Senior Business Analyst</v>
      </c>
      <c r="D36" s="439" t="str">
        <f>Squads!$R$423</f>
        <v>Filled</v>
      </c>
    </row>
    <row r="37">
      <c r="B37" s="429" t="str">
        <f>Squads!$B$432</f>
        <v>Zijie Zhang</v>
      </c>
      <c r="C37" s="429" t="str">
        <f>SUBSTITUTE(SUBSTITUTE(Squads!$C$432,"–","-"),"—","-")</f>
        <v>Senior Data Analyst</v>
      </c>
      <c r="D37" s="439" t="str">
        <f>Squads!$R$432</f>
        <v>Filled</v>
      </c>
    </row>
    <row r="38">
      <c r="B38" s="429" t="str">
        <f>Squads!$B$433</f>
        <v>Kumar Siva</v>
      </c>
      <c r="C38" s="429" t="str">
        <f>SUBSTITUTE(SUBSTITUTE(Squads!$C$433,"–","-"),"—","-")</f>
        <v>Lead engineer Data</v>
      </c>
      <c r="D38" s="439" t="str">
        <f>Squads!$R$433</f>
        <v>Filled</v>
      </c>
    </row>
    <row r="39">
      <c r="B39" s="429" t="str">
        <f>Squads!$B$442</f>
        <v>Arun Prakash Jayaprakasam</v>
      </c>
      <c r="C39" s="429" t="str">
        <f>SUBSTITUTE(SUBSTITUTE(Squads!$C$442,"–","-"),"—","-")</f>
        <v>Data Engineer Analyst</v>
      </c>
      <c r="D39" s="439" t="str">
        <f>Squads!$R$442</f>
        <v>Filled</v>
      </c>
    </row>
    <row r="40">
      <c r="B40" s="429" t="str">
        <f>Squads!$B$451</f>
        <v>Ayushi Agarwal</v>
      </c>
      <c r="C40" s="429" t="str">
        <f>SUBSTITUTE(SUBSTITUTE(Squads!$C$451,"–","-"),"—","-")</f>
        <v>Engineer Data</v>
      </c>
      <c r="D40" s="439" t="str">
        <f>Squads!$R$451</f>
        <v>Filled</v>
      </c>
    </row>
    <row r="41">
      <c r="B41" s="464" t="inlineStr">
        <is>
          <t>Supply</t>
        </is>
      </c>
      <c r="C41" s="465" t="n"/>
      <c r="D41" s="465" t="n"/>
      <c r="E41" s="465" t="n"/>
    </row>
    <row r="42">
      <c r="B42" s="429" t="str">
        <f>Squads!$B$386</f>
        <v>Vacant</v>
      </c>
      <c r="C42" s="429" t="str">
        <f>SUBSTITUTE(SUBSTITUTE(Squads!$C$386,"–","-"),"—","-")</f>
        <v>System Specialist</v>
      </c>
      <c r="D42" s="439" t="str">
        <f>Squads!$R$386</f>
        <v>Vacant</v>
      </c>
      <c r="E42" s="504" t="inlineStr">
        <is>
          <t>Hold</t>
        </is>
      </c>
      <c r="F42" s="442">
        <f>SUMIF('Added data'!$C$2:$C$549,Squads!$C$386,'Added data'!$AA$2:$AA$549)/COUNTIF('Added data'!$C$2:$C$549,Squads!$C$386)</f>
        <v>197904.0</v>
      </c>
    </row>
    <row r="43">
      <c r="B43" s="429" t="str">
        <f>Squads!$B$389</f>
        <v>Vacant</v>
      </c>
      <c r="C43" s="429" t="str">
        <f>SUBSTITUTE(SUBSTITUTE(Squads!$C$389,"–","-"),"—","-")</f>
        <v>Delivery Lead</v>
      </c>
      <c r="D43" s="439" t="str">
        <f>Squads!$R$389</f>
        <v>Vacant</v>
      </c>
      <c r="E43" s="504" t="inlineStr">
        <is>
          <t>Hold</t>
        </is>
      </c>
      <c r="F43" s="442">
        <f>SUMIF('Added data'!$C$2:$C$549,Squads!$C$389,'Added data'!$AA$2:$AA$549)/COUNTIF('Added data'!$C$2:$C$549,Squads!$C$389)</f>
        <v>231778.89629629627</v>
      </c>
    </row>
    <row r="44">
      <c r="B44" s="429" t="str">
        <f>Squads!$B$399</f>
        <v>Vacant (anaplan)</v>
      </c>
      <c r="C44" s="429" t="str">
        <f>SUBSTITUTE(SUBSTITUTE(Squads!$C$399,"–","-"),"—","-")</f>
        <v>System Specialist</v>
      </c>
      <c r="D44" s="439" t="str">
        <f>Squads!$R$399</f>
        <v>Filled</v>
      </c>
    </row>
    <row r="45">
      <c r="B45" s="429" t="str">
        <f>Squads!$B$413</f>
        <v>Ann Aquino</v>
      </c>
      <c r="C45" s="429" t="str">
        <f>SUBSTITUTE(SUBSTITUTE(Squads!$C$413,"–","-"),"—","-")</f>
        <v>Senior Business Analyst</v>
      </c>
      <c r="D45" s="439" t="str">
        <f>Squads!$R$413</f>
        <v>Filled</v>
      </c>
    </row>
    <row r="46">
      <c r="B46" s="429" t="str">
        <f>Squads!$B$424</f>
        <v>Vacant </v>
      </c>
      <c r="C46" s="429" t="str">
        <f>SUBSTITUTE(SUBSTITUTE(Squads!$C$424,"–","-"),"—","-")</f>
        <v>Engineer Software</v>
      </c>
      <c r="D46" s="439" t="str">
        <f>Squads!$R$424</f>
        <v>Vacant</v>
      </c>
      <c r="E46" s="504" t="inlineStr">
        <is>
          <t>Hold</t>
        </is>
      </c>
      <c r="F46" s="442">
        <f>SUMIF('Added data'!$C$2:$C$549,Squads!$C$424,'Added data'!$AA$2:$AA$549)/COUNTIF('Added data'!$C$2:$C$549,Squads!$C$424)</f>
        <v>152203.147</v>
      </c>
    </row>
    <row r="47">
      <c r="B47" s="464" t="inlineStr">
        <is>
          <t>CTRM</t>
        </is>
      </c>
      <c r="C47" s="465" t="n"/>
      <c r="D47" s="465" t="n"/>
      <c r="E47" s="465" t="n"/>
    </row>
    <row r="48">
      <c r="B48" s="429" t="str">
        <f>Squads!$B$187</f>
        <v>Swapnil Pithwa</v>
      </c>
      <c r="C48" s="429" t="str">
        <f>SUBSTITUTE(SUBSTITUTE(Squads!$C$187,"–","-"),"—","-")</f>
        <v>Engineer - BE</v>
      </c>
      <c r="D48" s="439" t="str">
        <f>Squads!$R$187</f>
        <v>Filled</v>
      </c>
    </row>
    <row r="49">
      <c r="B49" s="429" t="str">
        <f>Squads!$B$344</f>
        <v>Trung Truong</v>
      </c>
      <c r="C49" s="429" t="str">
        <f>SUBSTITUTE(SUBSTITUTE(Squads!$C$344,"–","-"),"—","-")</f>
        <v>Engineer Applications</v>
      </c>
      <c r="D49" s="439" t="str">
        <f>Squads!$R$344</f>
        <v>Filled</v>
      </c>
    </row>
    <row r="50">
      <c r="B50" s="429" t="str">
        <f>Squads!$B$396</f>
        <v>Zhan Liu</v>
      </c>
      <c r="C50" s="429" t="str">
        <f>SUBSTITUTE(SUBSTITUTE(Squads!$C$396,"–","-"),"—","-")</f>
        <v>Engineer Applications</v>
      </c>
      <c r="D50" s="439" t="str">
        <f>Squads!$R$396</f>
        <v>Filled</v>
      </c>
    </row>
    <row r="51">
      <c r="B51" s="429" t="str">
        <f>Squads!$B$397</f>
        <v>Deepa Kaur</v>
      </c>
      <c r="C51" s="429" t="str">
        <f>SUBSTITUTE(SUBSTITUTE(Squads!$C$397,"–","-"),"—","-")</f>
        <v>Senior Engineer Automation Testing</v>
      </c>
      <c r="D51" s="439" t="str">
        <f>Squads!$R$397</f>
        <v>Filled</v>
      </c>
    </row>
    <row r="52">
      <c r="B52" s="429" t="str">
        <f>Squads!$B$398</f>
        <v>Laura Roberts</v>
      </c>
      <c r="C52" s="429" t="str">
        <f>SUBSTITUTE(SUBSTITUTE(Squads!$C$398,"–","-"),"—","-")</f>
        <v>Senior Engineer Software</v>
      </c>
      <c r="D52" s="439" t="str">
        <f>Squads!$R$398</f>
        <v>Filled</v>
      </c>
    </row>
    <row r="53">
      <c r="B53" s="429" t="str">
        <f>Squads!$B$400</f>
        <v>Amanda Turnbull</v>
      </c>
      <c r="C53" s="429" t="str">
        <f>SUBSTITUTE(SUBSTITUTE(Squads!$C$400,"–","-"),"—","-")</f>
        <v>Engineer Software</v>
      </c>
      <c r="D53" s="439" t="str">
        <f>Squads!$R$400</f>
        <v>Filled</v>
      </c>
    </row>
    <row r="54">
      <c r="B54" s="429" t="str">
        <f>Squads!$B$401</f>
        <v>Byron Leung</v>
      </c>
      <c r="C54" s="429" t="str">
        <f>SUBSTITUTE(SUBSTITUTE(Squads!$C$401,"–","-"),"—","-")</f>
        <v>Solution Architect</v>
      </c>
      <c r="D54" s="439" t="str">
        <f>Squads!$R$401</f>
        <v>Filled</v>
      </c>
    </row>
    <row r="55">
      <c r="B55" s="429" t="str">
        <f>Squads!$B$408</f>
        <v>Oliver Shanks</v>
      </c>
      <c r="C55" s="429" t="str">
        <f>SUBSTITUTE(SUBSTITUTE(Squads!$C$408,"–","-"),"—","-")</f>
        <v>Associate Engineer Software</v>
      </c>
      <c r="D55" s="439" t="str">
        <f>Squads!$R$408</f>
        <v>Filled</v>
      </c>
    </row>
    <row r="56">
      <c r="B56" s="429" t="str">
        <f>Squads!$B$410</f>
        <v>Fransiscus Setiawan</v>
      </c>
      <c r="C56" s="429" t="str">
        <f>SUBSTITUTE(SUBSTITUTE(Squads!$C$410,"–","-"),"—","-")</f>
        <v>Integration Architect   </v>
      </c>
      <c r="D56" s="439" t="str">
        <f>Squads!$R$410</f>
        <v>Filled</v>
      </c>
    </row>
    <row r="57">
      <c r="B57" s="429" t="str">
        <f>Squads!$B$417</f>
        <v>Rick Abainza</v>
      </c>
      <c r="C57" s="429" t="str">
        <f>SUBSTITUTE(SUBSTITUTE(Squads!$C$417,"–","-"),"—","-")</f>
        <v>Lead Business Analyst</v>
      </c>
      <c r="D57" s="439" t="str">
        <f>Squads!$R$417</f>
        <v>Filled</v>
      </c>
    </row>
    <row r="58">
      <c r="B58" s="429" t="str">
        <f>Squads!$B$421</f>
        <v>Oz Shaaban</v>
      </c>
      <c r="C58" s="429" t="str">
        <f>SUBSTITUTE(SUBSTITUTE(Squads!$C$421,"–","-"),"—","-")</f>
        <v>Delivery Lead</v>
      </c>
      <c r="D58" s="439" t="str">
        <f>Squads!$R$421</f>
        <v>Filled</v>
      </c>
    </row>
    <row r="59">
      <c r="B59" s="429" t="str">
        <f>Squads!$B$425</f>
        <v>Sijin Zhu</v>
      </c>
      <c r="C59" s="429" t="str">
        <f>SUBSTITUTE(SUBSTITUTE(Squads!$C$425,"–","-"),"—","-")</f>
        <v>Business Analyst</v>
      </c>
      <c r="D59" s="439" t="str">
        <f>Squads!$R$425</f>
        <v>Filled</v>
      </c>
    </row>
    <row r="60">
      <c r="B60" s="429" t="str">
        <f>Squads!$B$428</f>
        <v>Chantal Lynch</v>
      </c>
      <c r="C60" s="429" t="str">
        <f>SUBSTITUTE(SUBSTITUTE(Squads!$C$428,"–","-"),"—","-")</f>
        <v>Lead Quality Assurance</v>
      </c>
      <c r="D60" s="439" t="str">
        <f>Squads!$R$428</f>
        <v>Filled</v>
      </c>
    </row>
    <row r="61">
      <c r="B61" s="429" t="str">
        <f>Squads!$B$444</f>
        <v>Hayden Corney</v>
      </c>
      <c r="C61" s="429" t="str">
        <f>SUBSTITUTE(SUBSTITUTE(Squads!$C$444,"–","-"),"—","-")</f>
        <v>Lead Engineer Software</v>
      </c>
      <c r="D61" s="439" t="str">
        <f>Squads!$R$444</f>
        <v>Filled</v>
      </c>
    </row>
  </sheetData>
  <conditionalFormatting sqref="D18:D61">
    <cfRule type="cellIs" priority="1" operator="equal" dxfId="1">
      <formula>"Vacant"</formula>
    </cfRule>
  </conditionalFormatting>
  <conditionalFormatting sqref="I6:I10">
    <cfRule type="expression" priority="2" dxfId="1">
      <formula>AND(ISNUMBER(I6),I6&gt;0)</formula>
    </cfRule>
    <cfRule type="expression" priority="3" dxfId="0">
      <formula>AND(ISNUMBER(I6),I6&lt;=0)</formula>
    </cfRule>
  </conditionalFormatting>
  <dataValidations count="1">
    <dataValidation sqref="E19 E27 E30:E32 E42:E43 E46" showDropDown="0" showInputMessage="0" showErrorMessage="1" allowBlank="0" errorTitle="Invalid entry" error="Pick Hire or Hold" type="list">
      <formula1>"Hire,Hold"</formula1>
    </dataValidation>
  </dataValidations>
  <pageMargins left="0.75" right="0.75" top="1" bottom="1" header="0.5" footer="0.5"/>
</worksheet>
</file>

<file path=xl/worksheets/sheet38.xml><?xml version="1.0" encoding="utf-8"?>
<worksheet xmlns="http://schemas.openxmlformats.org/spreadsheetml/2006/main">
  <sheetPr>
    <tabColor rgb="00BF8F00"/>
    <outlinePr summaryBelow="1" summaryRight="1"/>
    <pageSetUpPr/>
  </sheetPr>
  <dimension ref="A1:J43"/>
  <sheetViews>
    <sheetView showGridLines="0" workbookViewId="0">
      <selection activeCell="E26" sqref="E26"/>
    </sheetView>
  </sheetViews>
  <sheetFormatPr baseColWidth="8" defaultRowHeight="14.5" outlineLevelCol="0"/>
  <cols>
    <col width="3" customWidth="1" style="506" min="1" max="1"/>
    <col width="44" customWidth="1" style="506" min="2" max="2"/>
    <col width="46" customWidth="1" style="506" min="3" max="3"/>
    <col width="12" customWidth="1" style="506" min="4" max="4"/>
    <col width="13" customWidth="1" style="506" min="5" max="5"/>
    <col width="14" customWidth="1" style="506" min="6" max="6"/>
    <col width="15" customWidth="1" style="506" min="7" max="7"/>
    <col width="17" customWidth="1" style="506" min="8" max="8"/>
    <col width="15" customWidth="1" style="506" min="9" max="9"/>
    <col width="30" customWidth="1" style="506" min="10" max="10"/>
  </cols>
  <sheetData>
    <row r="1"/>
    <row r="2" ht="21" customHeight="1" s="506">
      <c r="B2" s="437" t="str">
        <f>CONCATENATE('1.10 Z Retail'!$B$2," GM working copy")</f>
        <v>Z Retail GM working copy</v>
      </c>
    </row>
    <row r="3"/>
    <row r="4">
      <c r="B4" s="443" t="inlineStr">
        <is>
          <t>Position by squad</t>
        </is>
      </c>
      <c r="C4" s="444" t="n"/>
      <c r="D4" s="444" t="n"/>
      <c r="E4" s="444" t="n"/>
      <c r="F4" s="444" t="n"/>
      <c r="G4" s="444" t="n"/>
      <c r="H4" s="444" t="n"/>
      <c r="I4" s="444" t="n"/>
      <c r="J4" s="444" t="n"/>
    </row>
    <row r="5">
      <c r="B5" s="438" t="inlineStr">
        <is>
          <t>Squad</t>
        </is>
      </c>
      <c r="C5" s="667" t="inlineStr">
        <is>
          <t>Archetype type and size</t>
        </is>
      </c>
      <c r="D5" s="438" t="inlineStr">
        <is>
          <t>Archetype roles</t>
        </is>
      </c>
      <c r="E5" s="438" t="inlineStr">
        <is>
          <t>Filled</t>
        </is>
      </c>
      <c r="F5" s="438" t="inlineStr">
        <is>
          <t>Vacant</t>
        </is>
      </c>
      <c r="G5" s="438" t="inlineStr">
        <is>
          <t>Planning to hire</t>
        </is>
      </c>
      <c r="H5" s="438" t="inlineStr">
        <is>
          <t>Vacancies after calls</t>
        </is>
      </c>
      <c r="I5" s="438" t="inlineStr">
        <is>
          <t>vs archetype</t>
        </is>
      </c>
      <c r="J5" s="438" t="inlineStr">
        <is>
          <t>Flag</t>
        </is>
      </c>
    </row>
    <row r="6">
      <c r="B6" s="429" t="inlineStr">
        <is>
          <t>Z Supply</t>
        </is>
      </c>
      <c r="C6" s="692" t="str">
        <f>IF(OR('2.7 Squad Detail'!$F$86=0,'2.7 Squad Detail'!$F$86=""),'2.7 Squad Detail'!$E$86,'2.7 Squad Detail'!$E$86&amp;" - "&amp;'2.7 Squad Detail'!$F$86)</f>
        <v>Build and Run - M</v>
      </c>
      <c r="D6" s="697">
        <f>'2.7 Squad Detail'!$G$86</f>
        <v>9.0</v>
      </c>
      <c r="E6" s="439">
        <f>COUNTIFS(Squads!$N:$N,"Z Retail",Squads!$P:$P,"Z Supply",Squads!$R:$R,"Filled")</f>
        <v>7.0</v>
      </c>
      <c r="F6" s="439">
        <f>COUNTIFS(Squads!$N:$N,"Z Retail",Squads!$P:$P,"Z Supply",Squads!$R:$R,"Vacant")</f>
        <v>1.0</v>
      </c>
      <c r="G6" s="439">
        <f>COUNTIF(E19:E19,"Hire")</f>
        <v>0.0</v>
      </c>
      <c r="H6" s="458">
        <f>F6-G6</f>
        <v>1.0</v>
      </c>
      <c r="I6" s="697">
        <f>IFERROR(E6+G6-D6,"-")</f>
        <v>-2.0</v>
      </c>
      <c r="J6" s="429" t="str">
        <f>IF(ISNUMBER(D6),IF(E6&gt;D6,"Filled already over archetype",IF(E6+G6&gt;D6,"Over archetype after hire calls","")),"Outside the archetype model - no target set")</f>
        <v/>
      </c>
    </row>
    <row r="7">
      <c r="B7" s="429" t="inlineStr">
        <is>
          <t>Site Systems</t>
        </is>
      </c>
      <c r="C7" s="692" t="str">
        <f>IF(OR('2.7 Squad Detail'!$F$88=0,'2.7 Squad Detail'!$F$88=""),'2.7 Squad Detail'!$E$88,'2.7 Squad Detail'!$E$88&amp;" - "&amp;'2.7 Squad Detail'!$F$88)</f>
        <v>Configuration / Integration - M</v>
      </c>
      <c r="D7" s="697">
        <f>'2.7 Squad Detail'!$G$88</f>
        <v>9.0</v>
      </c>
      <c r="E7" s="439">
        <f>COUNTIFS(Squads!$N:$N,"Z Retail",Squads!$P:$P,"Site Systems",Squads!$R:$R,"Filled")</f>
        <v>8.0</v>
      </c>
      <c r="F7" s="439">
        <f>COUNTIFS(Squads!$N:$N,"Z Retail",Squads!$P:$P,"Site Systems",Squads!$R:$R,"Vacant")</f>
        <v>0.0</v>
      </c>
      <c r="G7" s="748">
        <f>COUNTIF(E27:E34,"Hire")</f>
        <v>0.0</v>
      </c>
      <c r="H7" s="458">
        <f>F7-G7</f>
        <v>0.0</v>
      </c>
      <c r="I7" s="697">
        <f>IFERROR(E7+G7-D7,"-")</f>
        <v>-1.0</v>
      </c>
      <c r="J7" s="429" t="str">
        <f>IF(ISNUMBER(D7),IF(E7&gt;D7,"Filled already over archetype",IF(E7+G7&gt;D7,"Over archetype after hire calls","")),"Outside the archetype model - no target set")</f>
        <v/>
      </c>
    </row>
    <row r="8">
      <c r="B8" s="429" t="inlineStr">
        <is>
          <t>Z Retail Backend</t>
        </is>
      </c>
      <c r="C8" s="692" t="str">
        <f>IF(OR('2.7 Squad Detail'!$F$89=0,'2.7 Squad Detail'!$F$89=""),'2.7 Squad Detail'!$E$89,'2.7 Squad Detail'!$E$89&amp;" - "&amp;'2.7 Squad Detail'!$F$89)</f>
        <v>Build and Run - M</v>
      </c>
      <c r="D8" s="697">
        <f>'2.7 Squad Detail'!$G$89</f>
        <v>9.0</v>
      </c>
      <c r="E8" s="439">
        <f>COUNTIFS(Squads!$N:$N,"Z Retail",Squads!$P:$P,"Z Retail Backend",Squads!$R:$R,"Filled")</f>
        <v>6.0</v>
      </c>
      <c r="F8" s="439">
        <f>COUNTIFS(Squads!$N:$N,"Z Retail",Squads!$P:$P,"Z Retail Backend",Squads!$R:$R,"Vacant")</f>
        <v>2.0</v>
      </c>
      <c r="G8" s="439">
        <f>COUNTIF(E39:E43,"Hire")</f>
        <v>0.0</v>
      </c>
      <c r="H8" s="458">
        <f>F8-G8</f>
        <v>2.0</v>
      </c>
      <c r="I8" s="697">
        <f>IFERROR(E8+G8-D8,"-")</f>
        <v>-3.0</v>
      </c>
      <c r="J8" s="429" t="str">
        <f>IF(ISNUMBER(D8),IF(E8&gt;D8,"Filled already over archetype",IF(E8+G8&gt;D8,"Over archetype after hire calls","")),"Outside the archetype model - no target set")</f>
        <v/>
      </c>
    </row>
    <row r="9">
      <c r="B9" s="431" t="inlineStr">
        <is>
          <t>Total</t>
        </is>
      </c>
      <c r="D9" s="698">
        <f>SUM(D6:D8)</f>
        <v>27.0</v>
      </c>
      <c r="E9" s="447">
        <f>SUM(E6:E8)</f>
        <v>21.0</v>
      </c>
      <c r="F9" s="447">
        <f>SUM(F6:F8)</f>
        <v>3.0</v>
      </c>
      <c r="G9" s="447">
        <f>SUM(G6:G8)</f>
        <v>0.0</v>
      </c>
      <c r="H9" s="447">
        <f>SUM(H6:H8)</f>
        <v>3.0</v>
      </c>
      <c r="I9" s="698">
        <f>IF(COUNT(I6:I8)=0,"-",SUM(I6:I8))</f>
        <v>-6.0</v>
      </c>
    </row>
    <row r="10">
      <c r="B10" s="492" t="inlineStr">
        <is>
          <t>Cost to hire all vacancies ($m)</t>
        </is>
      </c>
      <c r="C10" s="497">
        <f>SUM(F17:F43)/1000000</f>
        <v>0.5437478991387164</v>
      </c>
    </row>
    <row r="11">
      <c r="B11" s="492" t="inlineStr">
        <is>
          <t>Cost of roles marked Hire ($m)</t>
        </is>
      </c>
      <c r="C11" s="497">
        <f>SUMIF(E17:E43,"Hire",F17:F43)/1000000</f>
        <v>0.0</v>
      </c>
    </row>
    <row r="12">
      <c r="B12" s="429" t="inlineStr">
        <is>
          <t>Vacant roles are priced at standard title rates - indicative until an offer is made.</t>
        </is>
      </c>
    </row>
    <row r="13">
      <c r="B13" s="429" t="inlineStr">
        <is>
          <t>Leadership roles are funded via the portfolio overheads and sit on 2.7 Squad Detail, not here.</t>
        </is>
      </c>
    </row>
    <row r="14">
      <c r="B14" s="695" t="inlineStr">
        <is>
          <t>vs archetype: positive = over the allowance, negative = under.</t>
        </is>
      </c>
    </row>
    <row r="15">
      <c r="B15" s="749" t="inlineStr">
        <is>
          <t>Roster - Hire or Hold each vacancy</t>
        </is>
      </c>
      <c r="C15" s="750" t="n"/>
      <c r="D15" s="750" t="n"/>
      <c r="E15" s="750" t="n"/>
      <c r="F15" s="750" t="n"/>
      <c r="G15" s="751" t="n"/>
      <c r="H15" s="751" t="n"/>
      <c r="I15" s="751" t="n"/>
      <c r="J15" s="751" t="n"/>
    </row>
    <row r="16">
      <c r="B16" s="438" t="inlineStr">
        <is>
          <t>Name</t>
        </is>
      </c>
      <c r="C16" s="438" t="inlineStr">
        <is>
          <t>Role</t>
        </is>
      </c>
      <c r="D16" s="438" t="inlineStr">
        <is>
          <t>Status</t>
        </is>
      </c>
      <c r="E16" s="438" t="inlineStr">
        <is>
          <t>Call</t>
        </is>
      </c>
      <c r="F16" s="438" t="inlineStr">
        <is>
          <t>Cost if hired ($)</t>
        </is>
      </c>
    </row>
    <row r="17">
      <c r="B17" s="464" t="inlineStr">
        <is>
          <t>Z Supply</t>
        </is>
      </c>
      <c r="C17" s="465" t="n"/>
      <c r="D17" s="465" t="n"/>
      <c r="E17" s="465" t="n"/>
    </row>
    <row r="18">
      <c r="B18" s="429" t="str">
        <f>Squads!$B$30</f>
        <v>Isuru Herath</v>
      </c>
      <c r="C18" s="429" t="str">
        <f>SUBSTITUTE(SUBSTITUTE(Squads!$C$30,"–","-"),"—","-")</f>
        <v>Senior Engineer - Software</v>
      </c>
      <c r="D18" s="439" t="str">
        <f>Squads!$R$30</f>
        <v>Filled</v>
      </c>
    </row>
    <row r="19">
      <c r="B19" s="429" t="str">
        <f>Squads!$B$33</f>
        <v>Vacant</v>
      </c>
      <c r="C19" s="429" t="str">
        <f>SUBSTITUTE(SUBSTITUTE(Squads!$C$33,"–","-"),"—","-")</f>
        <v>Quality Assurance</v>
      </c>
      <c r="D19" s="439" t="str">
        <f>Squads!$R$33</f>
        <v>Vacant</v>
      </c>
      <c r="E19" s="504" t="inlineStr">
        <is>
          <t>Hold</t>
        </is>
      </c>
      <c r="F19" s="442">
        <f>SUMIF('Added data'!$C$2:$C$549,Squads!$C$33,'Added data'!$AA$2:$AA$549)/COUNTIF('Added data'!$C$2:$C$549,Squads!$C$33)</f>
        <v>169798.89904347828</v>
      </c>
    </row>
    <row r="20">
      <c r="B20" s="429" t="str">
        <f>Squads!$B$45</f>
        <v>Anna Koot</v>
      </c>
      <c r="C20" s="429" t="str">
        <f>SUBSTITUTE(SUBSTITUTE(Squads!$C$45,"–","-"),"—","-")</f>
        <v>Senior Business Analyst</v>
      </c>
      <c r="D20" s="439" t="str">
        <f>Squads!$R$45</f>
        <v>Filled</v>
      </c>
    </row>
    <row r="21">
      <c r="B21" s="429" t="str">
        <f>Squads!$B$59</f>
        <v>Johanah Gloria</v>
      </c>
      <c r="C21" s="429" t="str">
        <f>SUBSTITUTE(SUBSTITUTE(Squads!$C$59,"–","-"),"—","-")</f>
        <v>Engineer - Software</v>
      </c>
      <c r="D21" s="439" t="str">
        <f>Squads!$R$59</f>
        <v>Filled</v>
      </c>
    </row>
    <row r="22">
      <c r="B22" s="429" t="str">
        <f>Squads!$B$73</f>
        <v>Eugene Yeo</v>
      </c>
      <c r="C22" s="429" t="str">
        <f>SUBSTITUTE(SUBSTITUTE(Squads!$C$73,"–","-"),"—","-")</f>
        <v>Engineer - DevOps</v>
      </c>
      <c r="D22" s="439" t="str">
        <f>Squads!$R$73</f>
        <v>Filled</v>
      </c>
    </row>
    <row r="23">
      <c r="B23" s="429" t="str">
        <f>Squads!$B$77</f>
        <v>Benjamin Sheffield</v>
      </c>
      <c r="C23" s="429" t="str">
        <f>SUBSTITUTE(SUBSTITUTE(Squads!$C$77,"–","-"),"—","-")</f>
        <v>Lead Engineer - Software</v>
      </c>
      <c r="D23" s="439" t="str">
        <f>Squads!$R$77</f>
        <v>Filled</v>
      </c>
    </row>
    <row r="24">
      <c r="B24" s="429" t="str">
        <f>Squads!$B$82</f>
        <v>Gayan Liyana Arachchige</v>
      </c>
      <c r="C24" s="429" t="str">
        <f>SUBSTITUTE(SUBSTITUTE(Squads!$C$82,"–","-"),"—","-")</f>
        <v>Engineer - DevOps</v>
      </c>
      <c r="D24" s="439" t="str">
        <f>Squads!$R$82</f>
        <v>Filled</v>
      </c>
    </row>
    <row r="25">
      <c r="B25" s="429" t="str">
        <f>Squads!$B$85</f>
        <v>Helen Jones</v>
      </c>
      <c r="C25" s="429" t="str">
        <f>SUBSTITUTE(SUBSTITUTE(Squads!$C$85,"–","-"),"—","-")</f>
        <v>Delivery Lead</v>
      </c>
      <c r="D25" s="439" t="str">
        <f>Squads!$R$85</f>
        <v>Filled</v>
      </c>
    </row>
    <row r="26">
      <c r="B26" s="464" t="inlineStr">
        <is>
          <t>Site Systems</t>
        </is>
      </c>
      <c r="C26" s="465" t="n"/>
      <c r="D26" s="465" t="n"/>
      <c r="E26" s="465" t="n"/>
    </row>
    <row r="27">
      <c r="B27" s="429" t="str">
        <f>Squads!$B$2</f>
        <v>Warren Grieve</v>
      </c>
      <c r="C27" s="429" t="str">
        <f>SUBSTITUTE(SUBSTITUTE(Squads!$C$2,"–","-"),"—","-")</f>
        <v>Senior Site Systems Analyst</v>
      </c>
      <c r="D27" s="439" t="str">
        <f>Squads!$R$2</f>
        <v>Filled</v>
      </c>
    </row>
    <row r="28">
      <c r="B28" s="429" t="str">
        <f>Squads!$B$3</f>
        <v>Chris Mitchell</v>
      </c>
      <c r="C28" s="429" t="str">
        <f>SUBSTITUTE(SUBSTITUTE(Squads!$C$3,"–","-"),"—","-")</f>
        <v>Deployment Lead</v>
      </c>
      <c r="D28" s="439" t="str">
        <f>Squads!$R$3</f>
        <v>Filled</v>
      </c>
    </row>
    <row r="29">
      <c r="B29" s="429" t="str">
        <f>Squads!$B$5</f>
        <v>Vanessa King</v>
      </c>
      <c r="C29" s="429" t="str">
        <f>SUBSTITUTE(SUBSTITUTE(Squads!$C$5,"–","-"),"—","-")</f>
        <v>Lead Quality Assurance</v>
      </c>
      <c r="D29" s="439" t="str">
        <f>Squads!$R$5</f>
        <v>Filled</v>
      </c>
    </row>
    <row r="30">
      <c r="B30" s="429" t="str">
        <f>Squads!$B$6</f>
        <v>Bradley Cunningham</v>
      </c>
      <c r="C30" s="429" t="str">
        <f>SUBSTITUTE(SUBSTITUTE(Squads!$C$6,"–","-"),"—","-")</f>
        <v>Site Systems Analyst</v>
      </c>
      <c r="D30" s="439" t="str">
        <f>Squads!$R$6</f>
        <v>Filled</v>
      </c>
    </row>
    <row r="31">
      <c r="B31" s="429" t="str">
        <f>Squads!$B$7</f>
        <v>Sakshi Sachdeva</v>
      </c>
      <c r="C31" s="429" t="str">
        <f>SUBSTITUTE(SUBSTITUTE(Squads!$C$7,"–","-"),"—","-")</f>
        <v>Senior Quality Assurance </v>
      </c>
      <c r="D31" s="439" t="str">
        <f>Squads!$R$7</f>
        <v>Filled</v>
      </c>
    </row>
    <row r="32">
      <c r="B32" s="429" t="str">
        <f>Squads!$B$8</f>
        <v>Alex Sutherland</v>
      </c>
      <c r="C32" s="429" t="str">
        <f>SUBSTITUTE(SUBSTITUTE(Squads!$C$8,"–","-"),"—","-")</f>
        <v>Site Systems Analyst</v>
      </c>
      <c r="D32" s="439" t="str">
        <f>Squads!$R$8</f>
        <v>Filled</v>
      </c>
    </row>
    <row r="33">
      <c r="B33" s="429" t="str">
        <f>Squads!$B$68</f>
        <v>Tim Gurnsey</v>
      </c>
      <c r="C33" s="429" t="str">
        <f>SUBSTITUTE(SUBSTITUTE(Squads!$C$68,"–","-"),"—","-")</f>
        <v>Delivery Lead</v>
      </c>
      <c r="D33" s="439" t="str">
        <f>Squads!$R$68</f>
        <v>Filled</v>
      </c>
    </row>
    <row r="34">
      <c r="B34" s="429" t="str">
        <f>Squads!$B$75</f>
        <v>Kelly Russell</v>
      </c>
      <c r="C34" s="429" t="str">
        <f>SUBSTITUTE(SUBSTITUTE(Squads!$C$75,"–","-"),"—","-")</f>
        <v>Lead Quality Assurance</v>
      </c>
      <c r="D34" s="439" t="str">
        <f>Squads!$R$75</f>
        <v>Filled</v>
      </c>
    </row>
    <row r="35">
      <c r="B35" s="464" t="inlineStr">
        <is>
          <t>Z Retail Backend</t>
        </is>
      </c>
      <c r="C35" s="465" t="n"/>
      <c r="D35" s="465" t="n"/>
      <c r="E35" s="465" t="n"/>
    </row>
    <row r="36">
      <c r="B36" s="429" t="str">
        <f>Squads!$B$4</f>
        <v>Christian Guo</v>
      </c>
      <c r="C36" s="429" t="str">
        <f>SUBSTITUTE(SUBSTITUTE(Squads!$C$4,"–","-"),"—","-")</f>
        <v>Solution Architect</v>
      </c>
      <c r="D36" s="439" t="str">
        <f>Squads!$R$4</f>
        <v>Filled</v>
      </c>
    </row>
    <row r="37">
      <c r="B37" s="429" t="str">
        <f>Squads!$B$31</f>
        <v>Malachi Ah Hoi</v>
      </c>
      <c r="C37" s="429" t="str">
        <f>SUBSTITUTE(SUBSTITUTE(Squads!$C$31,"–","-"),"—","-")</f>
        <v>Senior Quality Assurance</v>
      </c>
      <c r="D37" s="439" t="str">
        <f>Squads!$R$31</f>
        <v>Filled</v>
      </c>
    </row>
    <row r="38">
      <c r="B38" s="429" t="str">
        <f>Squads!$B$38</f>
        <v>Trevor Weaver</v>
      </c>
      <c r="C38" s="429" t="str">
        <f>SUBSTITUTE(SUBSTITUTE(Squads!$C$38,"–","-"),"—","-")</f>
        <v>Lead  Engineer - Software</v>
      </c>
      <c r="D38" s="439" t="str">
        <f>Squads!$R$38</f>
        <v>Filled</v>
      </c>
    </row>
    <row r="39">
      <c r="B39" s="429" t="str">
        <f>Squads!$B$66</f>
        <v>Vacant</v>
      </c>
      <c r="C39" s="429" t="str">
        <f>SUBSTITUTE(SUBSTITUTE(Squads!$C$66,"–","-"),"—","-")</f>
        <v>Lead Quality Assurance</v>
      </c>
      <c r="D39" s="439" t="str">
        <f>Squads!$R$66</f>
        <v>Vacant</v>
      </c>
      <c r="E39" s="504" t="inlineStr">
        <is>
          <t>Hold</t>
        </is>
      </c>
      <c r="F39" s="442">
        <f>SUMIF('Added data'!$C$2:$C$549,Squads!$C$66,'Added data'!$AA$2:$AA$549)/COUNTIF('Added data'!$C$2:$C$549,Squads!$C$66)</f>
        <v>206951.05542857148</v>
      </c>
    </row>
    <row r="40">
      <c r="B40" s="429" t="str">
        <f>Squads!$B$78</f>
        <v>Mark Dickson</v>
      </c>
      <c r="C40" s="429" t="str">
        <f>SUBSTITUTE(SUBSTITUTE(Squads!$C$78,"–","-"),"—","-")</f>
        <v>Delivery Lead</v>
      </c>
      <c r="D40" s="439" t="str">
        <f>Squads!$R$78</f>
        <v>Filled</v>
      </c>
    </row>
    <row r="41">
      <c r="B41" s="429" t="str">
        <f>Squads!$B$79</f>
        <v>Adrian Alcance</v>
      </c>
      <c r="C41" s="429" t="str">
        <f>SUBSTITUTE(SUBSTITUTE(Squads!$C$79,"–","-"),"—","-")</f>
        <v>Senior Engineer - DevOps</v>
      </c>
      <c r="D41" s="439" t="str">
        <f>Squads!$R$79</f>
        <v>Filled</v>
      </c>
    </row>
    <row r="42">
      <c r="B42" s="429" t="str">
        <f>Squads!$B$80</f>
        <v>Allana Arbuckle</v>
      </c>
      <c r="C42" s="429" t="str">
        <f>SUBSTITUTE(SUBSTITUTE(Squads!$C$80,"–","-"),"—","-")</f>
        <v>Business Analyst</v>
      </c>
      <c r="D42" s="439" t="str">
        <f>Squads!$R$80</f>
        <v>Filled</v>
      </c>
    </row>
    <row r="43">
      <c r="B43" s="429" t="str">
        <f>Squads!$B$84</f>
        <v>Vacant</v>
      </c>
      <c r="C43" s="429" t="str">
        <f>SUBSTITUTE(SUBSTITUTE(Squads!$C$84,"–","-"),"—","-")</f>
        <v>Engineer - Software</v>
      </c>
      <c r="D43" s="439" t="str">
        <f>Squads!$R$84</f>
        <v>Vacant</v>
      </c>
      <c r="E43" s="504" t="inlineStr">
        <is>
          <t>Hold</t>
        </is>
      </c>
      <c r="F43" s="442">
        <f>SUMIF('Added data'!$C$2:$C$549,Squads!$C$84,'Added data'!$AA$2:$AA$549)/COUNTIF('Added data'!$C$2:$C$549,Squads!$C$84)</f>
        <v>166997.94466666668</v>
      </c>
    </row>
  </sheetData>
  <conditionalFormatting sqref="D17:D43">
    <cfRule type="cellIs" priority="1" operator="equal" dxfId="1">
      <formula>"Vacant"</formula>
    </cfRule>
  </conditionalFormatting>
  <conditionalFormatting sqref="I6:I9">
    <cfRule type="expression" priority="2" dxfId="1">
      <formula>AND(ISNUMBER(I6),I6&gt;0)</formula>
    </cfRule>
    <cfRule type="expression" priority="3" dxfId="0">
      <formula>AND(ISNUMBER(I6),I6&lt;=0)</formula>
    </cfRule>
  </conditionalFormatting>
  <dataValidations count="1">
    <dataValidation sqref="E19 E39 E43" showDropDown="0" showInputMessage="0" showErrorMessage="1" allowBlank="0" errorTitle="Invalid entry" error="Pick Hire or Hold" type="list">
      <formula1>"Hire,Hold"</formula1>
    </dataValidation>
  </dataValidations>
  <pageMargins left="0.75" right="0.75" top="1" bottom="1" header="0.5" footer="0.5"/>
</worksheet>
</file>

<file path=xl/worksheets/sheet39.xml><?xml version="1.0" encoding="utf-8"?>
<worksheet xmlns="http://schemas.openxmlformats.org/spreadsheetml/2006/main">
  <sheetPr>
    <tabColor rgb="00BF8F00"/>
    <outlinePr summaryBelow="1" summaryRight="1"/>
    <pageSetUpPr/>
  </sheetPr>
  <dimension ref="A1:J64"/>
  <sheetViews>
    <sheetView showGridLines="0" workbookViewId="0">
      <selection activeCell="G14" sqref="G14:J14"/>
    </sheetView>
  </sheetViews>
  <sheetFormatPr baseColWidth="8" defaultRowHeight="14.5" outlineLevelCol="0"/>
  <cols>
    <col width="3" customWidth="1" style="506" min="1" max="1"/>
    <col width="44" customWidth="1" style="506" min="2" max="2"/>
    <col width="46" customWidth="1" style="506" min="3" max="3"/>
    <col width="13" bestFit="1" customWidth="1" style="506" min="4" max="4"/>
    <col width="13" customWidth="1" style="506" min="5" max="5"/>
    <col width="14" customWidth="1" style="506" min="6" max="6"/>
    <col width="15" customWidth="1" style="506" min="7" max="7"/>
    <col width="17" customWidth="1" style="506" min="8" max="8"/>
    <col width="15" customWidth="1" style="506" min="9" max="9"/>
    <col width="30" customWidth="1" style="506" min="10" max="10"/>
  </cols>
  <sheetData>
    <row r="1"/>
    <row r="2" ht="21" customHeight="1" s="506">
      <c r="B2" s="437" t="str">
        <f>CONCATENATE('1.11 TDD Cyber'!$B$2," GM working copy")</f>
        <v>TDD Cyber GM working copy</v>
      </c>
    </row>
    <row r="3"/>
    <row r="4">
      <c r="B4" s="443" t="inlineStr">
        <is>
          <t>Position by squad</t>
        </is>
      </c>
      <c r="C4" s="444" t="n"/>
      <c r="D4" s="444" t="n"/>
      <c r="E4" s="444" t="n"/>
      <c r="F4" s="444" t="n"/>
      <c r="G4" s="444" t="n"/>
      <c r="H4" s="444" t="n"/>
      <c r="I4" s="444" t="n"/>
      <c r="J4" s="444" t="n"/>
    </row>
    <row r="5">
      <c r="B5" s="438" t="inlineStr">
        <is>
          <t>Squad</t>
        </is>
      </c>
      <c r="C5" s="667" t="inlineStr">
        <is>
          <t>Archetype type and size</t>
        </is>
      </c>
      <c r="D5" s="438" t="inlineStr">
        <is>
          <t>Archetype roles</t>
        </is>
      </c>
      <c r="E5" s="438" t="inlineStr">
        <is>
          <t>Filled</t>
        </is>
      </c>
      <c r="F5" s="438" t="inlineStr">
        <is>
          <t>Vacant</t>
        </is>
      </c>
      <c r="G5" s="438" t="inlineStr">
        <is>
          <t>Planning to hire</t>
        </is>
      </c>
      <c r="H5" s="438" t="inlineStr">
        <is>
          <t>Vacancies after calls</t>
        </is>
      </c>
      <c r="I5" s="438" t="inlineStr">
        <is>
          <t>vs archetype</t>
        </is>
      </c>
      <c r="J5" s="438" t="inlineStr">
        <is>
          <t>Flag</t>
        </is>
      </c>
    </row>
    <row r="6">
      <c r="B6" s="429" t="inlineStr">
        <is>
          <t>TDD Cyber</t>
        </is>
      </c>
      <c r="C6" s="673" t="str">
        <f>"-"</f>
        <v>-</v>
      </c>
      <c r="D6" s="670" t="str">
        <f>"-"</f>
        <v>-</v>
      </c>
      <c r="E6" s="439">
        <f>COUNTIFS(Squads!$N:$N,"TDD Cyber",Squads!$P:$P,"TDD Cyber",Squads!$R:$R,"Filled")</f>
        <v>40.0</v>
      </c>
      <c r="F6" s="439">
        <f>COUNTIFS(Squads!$N:$N,"TDD Cyber",Squads!$P:$P,"TDD Cyber",Squads!$R:$R,"Vacant")</f>
        <v>8.0</v>
      </c>
      <c r="G6" s="439">
        <f>COUNTIF(E17:E63,"Hire")</f>
        <v>1.0</v>
      </c>
      <c r="H6" s="458">
        <f>F6-G6</f>
        <v>7.0</v>
      </c>
      <c r="I6" s="697" t="str">
        <f>IFERROR(E6+G6-D6,"-")</f>
        <v>-</v>
      </c>
      <c r="J6" s="429" t="str">
        <f>IF(ISNUMBER(D6),IF(E6&gt;D6,"Filled already over archetype",IF(E6+G6&gt;D6,"Over archetype after hire calls","")),"Outside the archetype model - no target set")</f>
        <v>Outside the archetype model - no target set</v>
      </c>
    </row>
    <row r="7">
      <c r="B7" s="431" t="inlineStr">
        <is>
          <t>Total</t>
        </is>
      </c>
      <c r="D7" s="752" t="str">
        <f>"-"</f>
        <v>-</v>
      </c>
      <c r="E7" s="447">
        <f>SUM(E6:E6)</f>
        <v>40.0</v>
      </c>
      <c r="F7" s="447">
        <f>SUM(F6:F6)</f>
        <v>8.0</v>
      </c>
      <c r="G7" s="447">
        <f>SUM(G6:G6)</f>
        <v>1.0</v>
      </c>
      <c r="H7" s="447">
        <f>SUM(H6:H6)</f>
        <v>7.0</v>
      </c>
      <c r="I7" s="698" t="str">
        <f>IF(COUNT(I6:I6)=0,"-",SUM(I6:I6))</f>
        <v>-</v>
      </c>
    </row>
    <row r="8">
      <c r="B8" s="492" t="inlineStr">
        <is>
          <t>Cost to hire all vacancies ($m)</t>
        </is>
      </c>
      <c r="C8" s="497">
        <f>SUM(F16:F64)/1000000</f>
        <v>1.4530706333333332</v>
      </c>
    </row>
    <row r="9">
      <c r="B9" s="492" t="inlineStr">
        <is>
          <t>Cost of roles marked Hire ($m)</t>
        </is>
      </c>
      <c r="C9" s="497">
        <f>SUMIF(E16:E64,"Hire",F16:F64)/1000000</f>
        <v>0.17048975</v>
      </c>
    </row>
    <row r="10">
      <c r="B10" s="429" t="inlineStr">
        <is>
          <t>Vacant roles are priced at standard title rates - indicative until an offer is made.</t>
        </is>
      </c>
    </row>
    <row r="11">
      <c r="B11" s="429" t="inlineStr">
        <is>
          <t>Leadership roles are funded via the portfolio overheads and sit on 2.7 Squad Detail, not here.</t>
        </is>
      </c>
    </row>
    <row r="12">
      <c r="B12" s="429" t="inlineStr">
        <is>
          <t>Cyber vacancies include risk and security roles - confirm with cyber risk before holding.</t>
        </is>
      </c>
    </row>
    <row r="13">
      <c r="B13" s="695" t="inlineStr">
        <is>
          <t>vs archetype: positive = over the allowance, negative = under.</t>
        </is>
      </c>
    </row>
    <row r="14">
      <c r="B14" s="749" t="inlineStr">
        <is>
          <t>Roster - Hire or Hold each vacancy</t>
        </is>
      </c>
      <c r="C14" s="750" t="n"/>
      <c r="D14" s="750" t="n"/>
      <c r="E14" s="750" t="n"/>
      <c r="F14" s="750" t="n"/>
      <c r="G14" s="751" t="n"/>
      <c r="H14" s="751" t="n"/>
      <c r="I14" s="751" t="n"/>
      <c r="J14" s="751" t="n"/>
    </row>
    <row r="15">
      <c r="B15" s="438" t="inlineStr">
        <is>
          <t>Name</t>
        </is>
      </c>
      <c r="C15" s="438" t="inlineStr">
        <is>
          <t>Role</t>
        </is>
      </c>
      <c r="D15" s="438" t="inlineStr">
        <is>
          <t>Status</t>
        </is>
      </c>
      <c r="E15" s="438" t="inlineStr">
        <is>
          <t>Call</t>
        </is>
      </c>
      <c r="F15" s="438" t="inlineStr">
        <is>
          <t>Cost if hired ($)</t>
        </is>
      </c>
    </row>
    <row r="16">
      <c r="B16" s="464" t="inlineStr">
        <is>
          <t>TDD Cyber</t>
        </is>
      </c>
      <c r="C16" s="465" t="n"/>
      <c r="D16" s="465" t="n"/>
      <c r="E16" s="465" t="n"/>
    </row>
    <row r="17">
      <c r="B17" s="429" t="str">
        <f>Squads!$B$203</f>
        <v>Vacant </v>
      </c>
      <c r="C17" s="429" t="str">
        <f>SUBSTITUTE(SUBSTITUTE(Squads!$C$203,"–","-"),"—","-")</f>
        <v>Data Risk Analyst</v>
      </c>
      <c r="D17" s="439" t="str">
        <f>Squads!$R$203</f>
        <v>Vacant</v>
      </c>
      <c r="E17" s="504" t="inlineStr">
        <is>
          <t>Hire</t>
        </is>
      </c>
      <c r="F17" s="442">
        <f>SUMIF('Added data'!$C$2:$C$549,Squads!$C$203,'Added data'!$AA$2:$AA$549)/COUNTIF('Added data'!$C$2:$C$549,Squads!$C$203)</f>
        <v>170489.75</v>
      </c>
    </row>
    <row r="18">
      <c r="B18" s="429" t="str">
        <f>Squads!$B$204</f>
        <v>Lynda Niewidok</v>
      </c>
      <c r="C18" s="429" t="str">
        <f>SUBSTITUTE(SUBSTITUTE(Squads!$C$204,"–","-"),"—","-")</f>
        <v>Lead - Service Desk</v>
      </c>
      <c r="D18" s="439" t="str">
        <f>Squads!$R$204</f>
        <v>Filled</v>
      </c>
    </row>
    <row r="19">
      <c r="B19" s="429" t="str">
        <f>Squads!$B$205</f>
        <v>Mark Pearson</v>
      </c>
      <c r="C19" s="429" t="str">
        <f>SUBSTITUTE(SUBSTITUTE(Squads!$C$205,"–","-"),"—","-")</f>
        <v>Lead - Technology Support</v>
      </c>
      <c r="D19" s="439" t="str">
        <f>Squads!$R$205</f>
        <v>Filled</v>
      </c>
    </row>
    <row r="20">
      <c r="B20" s="429" t="str">
        <f>Squads!$B$206</f>
        <v>Vacant</v>
      </c>
      <c r="C20" s="429" t="str">
        <f>SUBSTITUTE(SUBSTITUTE(Squads!$C$206,"–","-"),"—","-")</f>
        <v>Lead - Problem Management</v>
      </c>
      <c r="D20" s="439" t="str">
        <f>Squads!$R$206</f>
        <v>Vacant</v>
      </c>
      <c r="E20" s="504" t="inlineStr">
        <is>
          <t>Hold</t>
        </is>
      </c>
      <c r="F20" s="442">
        <f>SUMIF('Added data'!$C$2:$C$549,Squads!$C$206,'Added data'!$AA$2:$AA$549)/COUNTIF('Added data'!$C$2:$C$549,Squads!$C$206)</f>
        <v>170489.75</v>
      </c>
    </row>
    <row r="21">
      <c r="B21" s="429" t="str">
        <f>Squads!$B$207</f>
        <v>Vanessa Castro</v>
      </c>
      <c r="C21" s="429" t="str">
        <f>SUBSTITUTE(SUBSTITUTE(Squads!$C$207,"–","-"),"—","-")</f>
        <v>Cyber GRC Analyst</v>
      </c>
      <c r="D21" s="439" t="str">
        <f>Squads!$R$207</f>
        <v>Filled</v>
      </c>
    </row>
    <row r="22">
      <c r="B22" s="429" t="str">
        <f>Squads!$B$208</f>
        <v>Prashanth Chandran</v>
      </c>
      <c r="C22" s="429" t="str">
        <f>SUBSTITUTE(SUBSTITUTE(Squads!$C$208,"–","-"),"—","-")</f>
        <v>Senior Cyber GRC Specialist</v>
      </c>
      <c r="D22" s="439" t="str">
        <f>Squads!$R$208</f>
        <v>Filled</v>
      </c>
    </row>
    <row r="23">
      <c r="B23" s="429" t="str">
        <f>Squads!$B$209</f>
        <v>Pooja Kuperkar</v>
      </c>
      <c r="C23" s="429" t="str">
        <f>SUBSTITUTE(SUBSTITUTE(Squads!$C$209,"–","-"),"—","-")</f>
        <v>Cyber GRC Analyst</v>
      </c>
      <c r="D23" s="439" t="str">
        <f>Squads!$R$209</f>
        <v>Filled</v>
      </c>
    </row>
    <row r="24">
      <c r="B24" s="429" t="str">
        <f>Squads!$B$210</f>
        <v>Brian Gates</v>
      </c>
      <c r="C24" s="429" t="str">
        <f>SUBSTITUTE(SUBSTITUTE(Squads!$C$210,"–","-"),"—","-")</f>
        <v>Manager Risk &amp; Resilience</v>
      </c>
      <c r="D24" s="439" t="str">
        <f>Squads!$R$210</f>
        <v>Filled</v>
      </c>
    </row>
    <row r="25">
      <c r="B25" s="429" t="str">
        <f>Squads!$B$213</f>
        <v>Kevin Sheerin</v>
      </c>
      <c r="C25" s="429" t="str">
        <f>SUBSTITUTE(SUBSTITUTE(Squads!$C$213,"–","-"),"—","-")</f>
        <v>Cyber Architecture Lead</v>
      </c>
      <c r="D25" s="439" t="str">
        <f>Squads!$R$213</f>
        <v>Filled</v>
      </c>
    </row>
    <row r="26">
      <c r="B26" s="429" t="str">
        <f>Squads!$B$214</f>
        <v>Joe Nahma</v>
      </c>
      <c r="C26" s="429" t="str">
        <f>SUBSTITUTE(SUBSTITUTE(Squads!$C$214,"–","-"),"—","-")</f>
        <v>Manager Identity &amp; Access Management</v>
      </c>
      <c r="D26" s="439" t="str">
        <f>Squads!$R$214</f>
        <v>Filled</v>
      </c>
    </row>
    <row r="27">
      <c r="B27" s="429" t="str">
        <f>Squads!$B$215</f>
        <v>Vivienne Vasak</v>
      </c>
      <c r="C27" s="429" t="str">
        <f>SUBSTITUTE(SUBSTITUTE(Squads!$C$215,"–","-"),"—","-")</f>
        <v>Portfolio Manager Cyber Security</v>
      </c>
      <c r="D27" s="439" t="str">
        <f>Squads!$R$215</f>
        <v>Filled</v>
      </c>
    </row>
    <row r="28">
      <c r="B28" s="429" t="str">
        <f>Squads!$B$216</f>
        <v>Cameron Watman</v>
      </c>
      <c r="C28" s="429" t="str">
        <f>SUBSTITUTE(SUBSTITUTE(Squads!$C$216,"–","-"),"—","-")</f>
        <v>Engineer - IDAM</v>
      </c>
      <c r="D28" s="439" t="str">
        <f>Squads!$R$216</f>
        <v>Filled</v>
      </c>
    </row>
    <row r="29">
      <c r="B29" s="429" t="str">
        <f>Squads!$B$217</f>
        <v>Raymond Cheung</v>
      </c>
      <c r="C29" s="429" t="str">
        <f>SUBSTITUTE(SUBSTITUTE(Squads!$C$217,"–","-"),"—","-")</f>
        <v>Engineer - IDAM</v>
      </c>
      <c r="D29" s="439" t="str">
        <f>Squads!$R$217</f>
        <v>Filled</v>
      </c>
    </row>
    <row r="30">
      <c r="B30" s="429" t="str">
        <f>Squads!$B$218</f>
        <v>Chris Lyons</v>
      </c>
      <c r="C30" s="429" t="str">
        <f>SUBSTITUTE(SUBSTITUTE(Squads!$C$218,"–","-"),"—","-")</f>
        <v>Cyber Security Architect</v>
      </c>
      <c r="D30" s="439" t="str">
        <f>Squads!$R$218</f>
        <v>Filled</v>
      </c>
    </row>
    <row r="31">
      <c r="B31" s="429" t="str">
        <f>Squads!$B$219</f>
        <v>Darshan Suvama</v>
      </c>
      <c r="C31" s="429" t="str">
        <f>SUBSTITUTE(SUBSTITUTE(Squads!$C$219,"–","-"),"—","-")</f>
        <v>Cyber Offensive Security Lead</v>
      </c>
      <c r="D31" s="439" t="str">
        <f>Squads!$R$219</f>
        <v>Filled</v>
      </c>
    </row>
    <row r="32">
      <c r="B32" s="429" t="str">
        <f>Squads!$B$220</f>
        <v>Rahul Sahni</v>
      </c>
      <c r="C32" s="429" t="str">
        <f>SUBSTITUTE(SUBSTITUTE(Squads!$C$220,"–","-"),"—","-")</f>
        <v>Cyber Security Architect</v>
      </c>
      <c r="D32" s="439" t="str">
        <f>Squads!$R$220</f>
        <v>Filled</v>
      </c>
    </row>
    <row r="33">
      <c r="B33" s="429" t="str">
        <f>Squads!$B$221</f>
        <v>Vacant</v>
      </c>
      <c r="C33" s="429" t="str">
        <f>SUBSTITUTE(SUBSTITUTE(Squads!$C$221,"–","-"),"—","-")</f>
        <v>Cyber Architect (backfill for EGI Secondment)</v>
      </c>
      <c r="D33" s="439" t="str">
        <f>Squads!$R$221</f>
        <v>Vacant</v>
      </c>
      <c r="E33" s="504" t="inlineStr">
        <is>
          <t>Hold</t>
        </is>
      </c>
      <c r="F33" s="442">
        <f>SUMIF('Added data'!$C$2:$C$549,Squads!$C$221,'Added data'!$AA$2:$AA$549)/COUNTIF('Added data'!$C$2:$C$549,Squads!$C$221)</f>
        <v>213600.0</v>
      </c>
    </row>
    <row r="34">
      <c r="B34" s="429" t="str">
        <f>Squads!$B$222</f>
        <v>Jack Jenkins</v>
      </c>
      <c r="C34" s="429" t="str">
        <f>SUBSTITUTE(SUBSTITUTE(Squads!$C$222,"–","-"),"—","-")</f>
        <v>Asset Analyst</v>
      </c>
      <c r="D34" s="439" t="str">
        <f>Squads!$R$222</f>
        <v>Filled</v>
      </c>
    </row>
    <row r="35">
      <c r="B35" s="429" t="str">
        <f>Squads!$B$223</f>
        <v>Ritika Salaria</v>
      </c>
      <c r="C35" s="429" t="str">
        <f>SUBSTITUTE(SUBSTITUTE(Squads!$C$223,"–","-"),"—","-")</f>
        <v>Configuration Analyst</v>
      </c>
      <c r="D35" s="439" t="str">
        <f>Squads!$R$223</f>
        <v>Filled</v>
      </c>
    </row>
    <row r="36">
      <c r="B36" s="429" t="str">
        <f>Squads!$B$224</f>
        <v>Kaaviya Salai Manimudian</v>
      </c>
      <c r="C36" s="429" t="str">
        <f>SUBSTITUTE(SUBSTITUTE(Squads!$C$224,"–","-"),"—","-")</f>
        <v>Graduate</v>
      </c>
      <c r="D36" s="439" t="str">
        <f>Squads!$R$224</f>
        <v>Filled</v>
      </c>
    </row>
    <row r="37">
      <c r="B37" s="429" t="str">
        <f>Squads!$B$225</f>
        <v>Vacant (SYD)</v>
      </c>
      <c r="C37" s="429" t="str">
        <f>SUBSTITUTE(SUBSTITUTE(Squads!$C$225,"–","-"),"—","-")</f>
        <v>Tech Support Technician</v>
      </c>
      <c r="D37" s="439" t="str">
        <f>Squads!$R$225</f>
        <v>Filled</v>
      </c>
    </row>
    <row r="38">
      <c r="B38" s="429" t="str">
        <f>Squads!$B$226</f>
        <v>Jas Mann</v>
      </c>
      <c r="C38" s="429" t="str">
        <f>SUBSTITUTE(SUBSTITUTE(Squads!$C$226,"–","-"),"—","-")</f>
        <v>Technology Support Engineer</v>
      </c>
      <c r="D38" s="439" t="str">
        <f>Squads!$R$226</f>
        <v>Filled</v>
      </c>
    </row>
    <row r="39">
      <c r="B39" s="429" t="str">
        <f>Squads!$B$227</f>
        <v>Vacant</v>
      </c>
      <c r="C39" s="429" t="str">
        <f>SUBSTITUTE(SUBSTITUTE(Squads!$C$227,"–","-"),"—","-")</f>
        <v>Technology Support Engineer</v>
      </c>
      <c r="D39" s="439" t="str">
        <f>Squads!$R$227</f>
        <v>Vacant</v>
      </c>
      <c r="E39" s="504" t="inlineStr">
        <is>
          <t>Hold</t>
        </is>
      </c>
      <c r="F39" s="442">
        <f>SUMIF('Added data'!$C$2:$C$549,Squads!$C$227,'Added data'!$AA$2:$AA$549)/COUNTIF('Added data'!$C$2:$C$549,Squads!$C$227)</f>
        <v>151805.13333333333</v>
      </c>
    </row>
    <row r="40">
      <c r="B40" s="429" t="str">
        <f>Squads!$B$229</f>
        <v>Ashley Mueller</v>
      </c>
      <c r="C40" s="429" t="str">
        <f>SUBSTITUTE(SUBSTITUTE(Squads!$C$229,"–","-"),"—","-")</f>
        <v>Lead - Service Assurance</v>
      </c>
      <c r="D40" s="439" t="str">
        <f>Squads!$R$229</f>
        <v>Filled</v>
      </c>
    </row>
    <row r="41">
      <c r="B41" s="429" t="str">
        <f>Squads!$B$230</f>
        <v>Vacant</v>
      </c>
      <c r="C41" s="429" t="str">
        <f>SUBSTITUTE(SUBSTITUTE(Squads!$C$230,"–","-"),"—","-")</f>
        <v>Lead - Asset &amp; Configuration</v>
      </c>
      <c r="D41" s="439" t="str">
        <f>Squads!$R$230</f>
        <v>Vacant</v>
      </c>
      <c r="E41" s="504" t="inlineStr">
        <is>
          <t>Hold</t>
        </is>
      </c>
      <c r="F41" s="442">
        <f>SUMIF('Added data'!$C$2:$C$549,Squads!$C$230,'Added data'!$AA$2:$AA$549)/COUNTIF('Added data'!$C$2:$C$549,Squads!$C$230)</f>
        <v>202853.25</v>
      </c>
    </row>
    <row r="42">
      <c r="B42" s="429" t="str">
        <f>Squads!$B$231</f>
        <v>Darren Koller</v>
      </c>
      <c r="C42" s="429" t="str">
        <f>SUBSTITUTE(SUBSTITUTE(Squads!$C$231,"–","-"),"—","-")</f>
        <v>Manager, Service Management &amp; Major Incident Mgmt Lead</v>
      </c>
      <c r="D42" s="439" t="str">
        <f>Squads!$R$231</f>
        <v>Filled</v>
      </c>
    </row>
    <row r="43">
      <c r="B43" s="429" t="str">
        <f>Squads!$B$232</f>
        <v>Lisa Ng</v>
      </c>
      <c r="C43" s="429" t="str">
        <f>SUBSTITUTE(SUBSTITUTE(Squads!$C$232,"–","-"),"—","-")</f>
        <v>Cyber Security Analyst</v>
      </c>
      <c r="D43" s="439" t="str">
        <f>Squads!$R$232</f>
        <v>Filled</v>
      </c>
    </row>
    <row r="44">
      <c r="B44" s="429" t="str">
        <f>Squads!$B$233</f>
        <v>Stafford Dowling</v>
      </c>
      <c r="C44" s="429" t="str">
        <f>SUBSTITUTE(SUBSTITUTE(Squads!$C$233,"–","-"),"—","-")</f>
        <v>Cyber Security Analyst</v>
      </c>
      <c r="D44" s="439" t="str">
        <f>Squads!$R$233</f>
        <v>Filled</v>
      </c>
    </row>
    <row r="45">
      <c r="B45" s="429" t="str">
        <f>Squads!$B$234</f>
        <v>Nischal Bhusal</v>
      </c>
      <c r="C45" s="429" t="str">
        <f>SUBSTITUTE(SUBSTITUTE(Squads!$C$234,"–","-"),"—","-")</f>
        <v>Cyber Security Analyst</v>
      </c>
      <c r="D45" s="439" t="str">
        <f>Squads!$R$234</f>
        <v>Filled</v>
      </c>
    </row>
    <row r="46">
      <c r="B46" s="429" t="str">
        <f>Squads!$B$235</f>
        <v>Sameer Pattanaik</v>
      </c>
      <c r="C46" s="429" t="str">
        <f>SUBSTITUTE(SUBSTITUTE(Squads!$C$235,"–","-"),"—","-")</f>
        <v>Cyber Security Operations Lead</v>
      </c>
      <c r="D46" s="439" t="str">
        <f>Squads!$R$235</f>
        <v>Filled</v>
      </c>
    </row>
    <row r="47">
      <c r="B47" s="429" t="str">
        <f>Squads!$B$236</f>
        <v>Dan Balsamo</v>
      </c>
      <c r="C47" s="429" t="str">
        <f>SUBSTITUTE(SUBSTITUTE(Squads!$C$236,"–","-"),"—","-")</f>
        <v>Senior Cyber Project Manager</v>
      </c>
      <c r="D47" s="439" t="str">
        <f>Squads!$R$236</f>
        <v>Filled</v>
      </c>
    </row>
    <row r="48">
      <c r="B48" s="429" t="str">
        <f>Squads!$B$237</f>
        <v>Iwan Wibisono</v>
      </c>
      <c r="C48" s="429" t="str">
        <f>SUBSTITUTE(SUBSTITUTE(Squads!$C$237,"–","-"),"—","-")</f>
        <v>Engineer - IDAM</v>
      </c>
      <c r="D48" s="439" t="str">
        <f>Squads!$R$237</f>
        <v>Filled</v>
      </c>
    </row>
    <row r="49">
      <c r="B49" s="429" t="str">
        <f>Squads!$B$238</f>
        <v>Remya Pookat</v>
      </c>
      <c r="C49" s="429" t="str">
        <f>SUBSTITUTE(SUBSTITUTE(Squads!$C$238,"–","-"),"—","-")</f>
        <v>Lead - Change &amp; Release Management</v>
      </c>
      <c r="D49" s="439" t="str">
        <f>Squads!$R$238</f>
        <v>Filled</v>
      </c>
    </row>
    <row r="50">
      <c r="B50" s="429" t="str">
        <f>Squads!$B$239</f>
        <v>Mick Collins</v>
      </c>
      <c r="C50" s="429" t="str">
        <f>SUBSTITUTE(SUBSTITUTE(Squads!$C$239,"–","-"),"—","-")</f>
        <v>Manager, Service Performance &amp; Assurance</v>
      </c>
      <c r="D50" s="439" t="str">
        <f>Squads!$R$239</f>
        <v>Filled</v>
      </c>
    </row>
    <row r="51">
      <c r="B51" s="429" t="str">
        <f>Squads!$B$240</f>
        <v>Spoilagi Bhutwala</v>
      </c>
      <c r="C51" s="429" t="str">
        <f>SUBSTITUTE(SUBSTITUTE(Squads!$C$240,"–","-"),"—","-")</f>
        <v>Tech Support Technician</v>
      </c>
      <c r="D51" s="439" t="str">
        <f>Squads!$R$240</f>
        <v>Filled</v>
      </c>
    </row>
    <row r="52">
      <c r="B52" s="429" t="str">
        <f>Squads!$B$241</f>
        <v>Shomiya Shayal</v>
      </c>
      <c r="C52" s="429" t="str">
        <f>SUBSTITUTE(SUBSTITUTE(Squads!$C$241,"–","-"),"—","-")</f>
        <v>Risk &amp; Resilience Lead</v>
      </c>
      <c r="D52" s="439" t="str">
        <f>Squads!$R$241</f>
        <v>Filled</v>
      </c>
    </row>
    <row r="53">
      <c r="B53" s="429" t="str">
        <f>Squads!$B$242</f>
        <v>Vacant</v>
      </c>
      <c r="C53" s="429" t="str">
        <f>SUBSTITUTE(SUBSTITUTE(Squads!$C$242,"–","-"),"—","-")</f>
        <v>Operations Analyst</v>
      </c>
      <c r="D53" s="439" t="str">
        <f>Squads!$R$242</f>
        <v>Vacant</v>
      </c>
      <c r="E53" s="504" t="inlineStr">
        <is>
          <t>Hold</t>
        </is>
      </c>
      <c r="F53" s="442">
        <f>SUMIF('Added data'!$C$2:$C$549,Squads!$C$242,'Added data'!$AA$2:$AA$549)/COUNTIF('Added data'!$C$2:$C$549,Squads!$C$242)</f>
        <v>170489.75</v>
      </c>
    </row>
    <row r="54">
      <c r="B54" s="429" t="str">
        <f>Squads!$B$243</f>
        <v>Mary-Grace Rivera</v>
      </c>
      <c r="C54" s="429" t="str">
        <f>SUBSTITUTE(SUBSTITUTE(Squads!$C$243,"–","-"),"—","-")</f>
        <v>Lead, Service Management</v>
      </c>
      <c r="D54" s="439" t="str">
        <f>Squads!$R$243</f>
        <v>Filled</v>
      </c>
    </row>
    <row r="55">
      <c r="B55" s="429" t="str">
        <f>Squads!$B$244</f>
        <v>Rajini Onteddu Reddy</v>
      </c>
      <c r="C55" s="429" t="str">
        <f>SUBSTITUTE(SUBSTITUTE(Squads!$C$244,"–","-"),"—","-")</f>
        <v>Head of Service Operations &amp; Assurance</v>
      </c>
      <c r="D55" s="439" t="str">
        <f>Squads!$R$244</f>
        <v>Filled</v>
      </c>
    </row>
    <row r="56">
      <c r="B56" s="429" t="str">
        <f>Squads!$B$245</f>
        <v>Catherine Gire</v>
      </c>
      <c r="C56" s="429" t="str">
        <f>SUBSTITUTE(SUBSTITUTE(Squads!$C$245,"–","-"),"—","-")</f>
        <v>Cyber Technical Business Analyst</v>
      </c>
      <c r="D56" s="439" t="str">
        <f>Squads!$R$245</f>
        <v>Filled</v>
      </c>
    </row>
    <row r="57">
      <c r="B57" s="429" t="str">
        <f>Squads!$B$246</f>
        <v>Ethan Lamhert (FT)</v>
      </c>
      <c r="C57" s="429" t="str">
        <f>SUBSTITUTE(SUBSTITUTE(Squads!$C$246,"–","-"),"—","-")</f>
        <v>Tech Support Technician</v>
      </c>
      <c r="D57" s="439" t="str">
        <f>Squads!$R$246</f>
        <v>Filled</v>
      </c>
    </row>
    <row r="58">
      <c r="B58" s="429" t="str">
        <f>Squads!$B$247</f>
        <v>Vacant  (AKL )</v>
      </c>
      <c r="C58" s="429" t="str">
        <f>SUBSTITUTE(SUBSTITUTE(Squads!$C$247,"–","-"),"—","-")</f>
        <v>Tech Support Technician</v>
      </c>
      <c r="D58" s="439" t="str">
        <f>Squads!$R$247</f>
        <v>Filled</v>
      </c>
    </row>
    <row r="59">
      <c r="B59" s="429" t="str">
        <f>Squads!$B$248</f>
        <v>Daniel Jolley</v>
      </c>
      <c r="C59" s="429" t="str">
        <f>SUBSTITUTE(SUBSTITUTE(Squads!$C$248,"–","-"),"—","-")</f>
        <v>Tech Support Technician</v>
      </c>
      <c r="D59" s="439" t="str">
        <f>Squads!$R$248</f>
        <v>Filled</v>
      </c>
    </row>
    <row r="60">
      <c r="B60" s="429" t="str">
        <f>Squads!$B$249</f>
        <v>Vacant </v>
      </c>
      <c r="C60" s="429" t="str">
        <f>SUBSTITUTE(SUBSTITUTE(Squads!$C$249,"–","-"),"—","-")</f>
        <v>Data Risk Analyst</v>
      </c>
      <c r="D60" s="439" t="str">
        <f>Squads!$R$249</f>
        <v>Vacant</v>
      </c>
      <c r="E60" s="504" t="inlineStr">
        <is>
          <t>Hold</t>
        </is>
      </c>
      <c r="F60" s="442">
        <f>SUMIF('Added data'!$C$2:$C$549,Squads!$C$249,'Added data'!$AA$2:$AA$549)/COUNTIF('Added data'!$C$2:$C$549,Squads!$C$249)</f>
        <v>170489.75</v>
      </c>
    </row>
    <row r="61">
      <c r="B61" s="429" t="str">
        <f>Squads!$B$250</f>
        <v>Chris Rojas</v>
      </c>
      <c r="C61" s="429" t="str">
        <f>SUBSTITUTE(SUBSTITUTE(Squads!$C$250,"–","-"),"—","-")</f>
        <v>Manager, Customer Support Operations</v>
      </c>
      <c r="D61" s="439" t="str">
        <f>Squads!$R$250</f>
        <v>Filled</v>
      </c>
    </row>
    <row r="62">
      <c r="B62" s="429" t="str">
        <f>Squads!$B$251</f>
        <v>Steven Atcheson</v>
      </c>
      <c r="C62" s="429" t="str">
        <f>SUBSTITUTE(SUBSTITUTE(Squads!$C$251,"–","-"),"—","-")</f>
        <v>Manager Cyber Security Operations</v>
      </c>
      <c r="D62" s="439" t="str">
        <f>Squads!$R$251</f>
        <v>Filled</v>
      </c>
    </row>
    <row r="63">
      <c r="B63" s="429" t="str">
        <f>Squads!$B$253</f>
        <v>Vacant</v>
      </c>
      <c r="C63" s="429" t="str">
        <f>SUBSTITUTE(SUBSTITUTE(Squads!$C$253,"–","-"),"—","-")</f>
        <v>Lead - Service Performance &amp; Insights</v>
      </c>
      <c r="D63" s="439" t="str">
        <f>Squads!$R$253</f>
        <v>Vacant</v>
      </c>
      <c r="E63" s="504" t="inlineStr">
        <is>
          <t>Hold</t>
        </is>
      </c>
      <c r="F63" s="442">
        <f>SUMIF('Added data'!$C$2:$C$549,Squads!$C$253,'Added data'!$AA$2:$AA$549)/COUNTIF('Added data'!$C$2:$C$549,Squads!$C$253)</f>
        <v>202853.25</v>
      </c>
    </row>
    <row r="64">
      <c r="B64" s="429" t="str">
        <f>Squads!$B$254</f>
        <v>Tony Keeler</v>
      </c>
      <c r="C64" s="429" t="str">
        <f>SUBSTITUTE(SUBSTITUTE(Squads!$C$254,"–","-"),"—","-")</f>
        <v>Cyber Business Analyst</v>
      </c>
      <c r="D64" s="439" t="str">
        <f>Squads!$R$254</f>
        <v>Filled</v>
      </c>
    </row>
  </sheetData>
  <conditionalFormatting sqref="D16:D64">
    <cfRule type="cellIs" priority="1" operator="equal" dxfId="1">
      <formula>"Vacant"</formula>
    </cfRule>
  </conditionalFormatting>
  <conditionalFormatting sqref="I6:I7">
    <cfRule type="expression" priority="2" dxfId="1">
      <formula>AND(ISNUMBER(I6),I6&gt;0)</formula>
    </cfRule>
    <cfRule type="expression" priority="3" dxfId="0">
      <formula>AND(ISNUMBER(I6),I6&lt;=0)</formula>
    </cfRule>
  </conditionalFormatting>
  <dataValidations count="1">
    <dataValidation sqref="E17 E20 E33 E39 E41 E53 E60 E63" showDropDown="0" showInputMessage="0" showErrorMessage="1" allowBlank="0" errorTitle="Invalid entry" error="Pick Hire or Hold" type="list">
      <formula1>"Hire,Hold"</formula1>
    </dataValidation>
  </dataValidations>
  <pageMargins left="0.75" right="0.75" top="1" bottom="1" header="0.5" footer="0.5"/>
</worksheet>
</file>

<file path=xl/worksheets/sheet40.xml><?xml version="1.0" encoding="utf-8"?>
<worksheet xmlns="http://schemas.openxmlformats.org/spreadsheetml/2006/main">
  <sheetPr>
    <tabColor rgb="00BF8F00"/>
    <outlinePr summaryBelow="1" summaryRight="1"/>
    <pageSetUpPr/>
  </sheetPr>
  <dimension ref="A1:G39"/>
  <sheetViews>
    <sheetView showGridLines="0" workbookViewId="0">
      <selection activeCell="A1" sqref="A1"/>
    </sheetView>
  </sheetViews>
  <sheetFormatPr baseColWidth="8" defaultRowHeight="15"/>
  <cols>
    <col width="3" customWidth="1" style="506" min="1" max="1"/>
    <col width="30" customWidth="1" style="506" min="2" max="2"/>
    <col width="40" customWidth="1" style="506" min="3" max="3"/>
    <col width="26" customWidth="1" style="506" min="4" max="4"/>
    <col width="12" customWidth="1" style="506" min="5" max="5"/>
    <col width="10" customWidth="1" style="506" min="6" max="6"/>
    <col width="16" customWidth="1" style="506" min="7" max="7"/>
  </cols>
  <sheetData>
    <row r="1"/>
    <row r="2">
      <c r="B2" s="753" t="inlineStr">
        <is>
          <t>Business Partnering &amp; Transformation GM working copy</t>
        </is>
      </c>
    </row>
    <row r="3"/>
    <row r="4">
      <c r="B4" s="666" t="inlineStr">
        <is>
          <t>Position</t>
        </is>
      </c>
    </row>
    <row r="5">
      <c r="B5" s="686" t="inlineStr">
        <is>
          <t>Roles</t>
        </is>
      </c>
      <c r="C5" s="687">
        <f>COUNTA(B14:B37)</f>
        <v>24.0</v>
      </c>
    </row>
    <row r="6">
      <c r="B6" s="686" t="inlineStr">
        <is>
          <t>Filled</t>
        </is>
      </c>
      <c r="C6" s="687">
        <f>COUNTIF(E14:E37,"Filled")+COUNTIF(E14:E37,"Contractor")</f>
        <v>15.0</v>
      </c>
    </row>
    <row r="7">
      <c r="B7" s="686" t="inlineStr">
        <is>
          <t>Vacant</t>
        </is>
      </c>
      <c r="C7" s="687">
        <f>COUNTIF(E14:E37,"Vacant")</f>
        <v>9.0</v>
      </c>
    </row>
    <row r="8">
      <c r="B8" s="686" t="inlineStr">
        <is>
          <t>Paused</t>
        </is>
      </c>
      <c r="C8" s="687">
        <f>COUNTIF(E14:E37,"Paused")</f>
        <v>0.0</v>
      </c>
    </row>
    <row r="9">
      <c r="B9" s="686" t="inlineStr">
        <is>
          <t>Cost to hire all vacancies ($m)</t>
        </is>
      </c>
      <c r="C9" s="669">
        <f>SUMIF(E14:E37,"Vacant",G14:G37)/1000000</f>
        <v>2.34751398</v>
      </c>
    </row>
    <row r="10">
      <c r="B10" s="686" t="inlineStr">
        <is>
          <t>Cost of roles marked Hire ($m)</t>
        </is>
      </c>
      <c r="C10" s="669">
        <f>SUMIF(F14:F37,"Hire",G14:G37)/1000000</f>
        <v>0.0</v>
      </c>
    </row>
    <row r="11"/>
    <row r="12"/>
    <row r="13">
      <c r="B13" s="696" t="inlineStr">
        <is>
          <t>Name</t>
        </is>
      </c>
      <c r="C13" s="696" t="inlineStr">
        <is>
          <t>Role</t>
        </is>
      </c>
      <c r="D13" s="696" t="inlineStr">
        <is>
          <t>Department</t>
        </is>
      </c>
      <c r="E13" s="696" t="inlineStr">
        <is>
          <t>Status</t>
        </is>
      </c>
      <c r="F13" s="696" t="inlineStr">
        <is>
          <t>Call</t>
        </is>
      </c>
      <c r="G13" s="696" t="inlineStr">
        <is>
          <t>Cost if hired ($)</t>
        </is>
      </c>
    </row>
    <row r="14">
      <c r="B14" s="686" t="str">
        <f>Sheet2!$B$70</f>
        <v>Briony Scott</v>
      </c>
      <c r="C14" s="692" t="str">
        <f>SUBSTITUTE(SUBSTITUTE(Sheet2!$C$70,"–","-"),"—","-")</f>
        <v>Service &amp; Contract Specialist AU</v>
      </c>
      <c r="D14" s="686" t="str">
        <f>Sheet2!$G$70</f>
        <v>Commercial</v>
      </c>
      <c r="E14" s="673" t="str">
        <f>IF(LOWER(Sheet2!$Q$70)="v","Vacant",IF(LOWER(Sheet2!$Q$70)="pause","Paused",IF(LOWER(Sheet2!$Q$70)="cxc","Contractor","Filled")))</f>
        <v>Filled</v>
      </c>
    </row>
    <row r="15">
      <c r="B15" s="686" t="str">
        <f>Sheet2!$B$71</f>
        <v>Conli Mills</v>
      </c>
      <c r="C15" s="692" t="str">
        <f>SUBSTITUTE(SUBSTITUTE(Sheet2!$C$71,"–","-"),"—","-")</f>
        <v>TDD BP - Infrastructure</v>
      </c>
      <c r="D15" s="686" t="str">
        <f>Sheet2!$G$71</f>
        <v>TDD Business Partner</v>
      </c>
      <c r="E15" s="673" t="str">
        <f>IF(LOWER(Sheet2!$Q$71)="v","Vacant",IF(LOWER(Sheet2!$Q$71)="pause","Paused",IF(LOWER(Sheet2!$Q$71)="cxc","Contractor","Filled")))</f>
        <v>Filled</v>
      </c>
    </row>
    <row r="16">
      <c r="B16" s="686" t="str">
        <f>Sheet2!$B$72</f>
        <v>Helen Ngu</v>
      </c>
      <c r="C16" s="692" t="str">
        <f>SUBSTITUTE(SUBSTITUTE(Sheet2!$C$72,"–","-"),"—","-")</f>
        <v>Service &amp; Contract Specialist NZ</v>
      </c>
      <c r="D16" s="686" t="str">
        <f>Sheet2!$G$72</f>
        <v>Commercial</v>
      </c>
      <c r="E16" s="673" t="str">
        <f>IF(LOWER(Sheet2!$Q$72)="v","Vacant",IF(LOWER(Sheet2!$Q$72)="pause","Paused",IF(LOWER(Sheet2!$Q$72)="cxc","Contractor","Filled")))</f>
        <v>Filled</v>
      </c>
    </row>
    <row r="17">
      <c r="B17" s="686" t="str">
        <f>Sheet2!$B$73</f>
        <v>Jane Esclandra</v>
      </c>
      <c r="C17" s="692" t="str">
        <f>SUBSTITUTE(SUBSTITUTE(Sheet2!$C$73,"–","-"),"—","-")</f>
        <v>Software Asset Specialist</v>
      </c>
      <c r="D17" s="686" t="str">
        <f>Sheet2!$G$73</f>
        <v>Commercial</v>
      </c>
      <c r="E17" s="673" t="str">
        <f>IF(LOWER(Sheet2!$Q$73)="v","Vacant",IF(LOWER(Sheet2!$Q$73)="pause","Paused",IF(LOWER(Sheet2!$Q$73)="cxc","Contractor","Filled")))</f>
        <v>Filled</v>
      </c>
    </row>
    <row r="18">
      <c r="B18" s="686" t="str">
        <f>Sheet2!$B$74</f>
        <v>Jeannie Chu</v>
      </c>
      <c r="C18" s="692" t="str">
        <f>SUBSTITUTE(SUBSTITUTE(Sheet2!$C$74,"–","-"),"—","-")</f>
        <v>Snr Finance Support Administrator</v>
      </c>
      <c r="D18" s="686" t="str">
        <f>Sheet2!$G$74</f>
        <v>Transformation</v>
      </c>
      <c r="E18" s="673" t="str">
        <f>IF(LOWER(Sheet2!$Q$74)="v","Vacant",IF(LOWER(Sheet2!$Q$74)="pause","Paused",IF(LOWER(Sheet2!$Q$74)="cxc","Contractor","Filled")))</f>
        <v>Filled</v>
      </c>
    </row>
    <row r="19">
      <c r="B19" s="686" t="str">
        <f>Sheet2!$B$75</f>
        <v>Jenny Chan</v>
      </c>
      <c r="C19" s="692" t="str">
        <f>SUBSTITUTE(SUBSTITUTE(Sheet2!$C$75,"–","-"),"—","-")</f>
        <v>Project Finance Lead</v>
      </c>
      <c r="D19" s="686" t="str">
        <f>Sheet2!$G$75</f>
        <v>Transformation</v>
      </c>
      <c r="E19" s="673" t="str">
        <f>IF(LOWER(Sheet2!$Q$75)="v","Vacant",IF(LOWER(Sheet2!$Q$75)="pause","Paused",IF(LOWER(Sheet2!$Q$75)="cxc","Contractor","Filled")))</f>
        <v>Filled</v>
      </c>
    </row>
    <row r="20">
      <c r="B20" s="686" t="str">
        <f>Sheet2!$B$76</f>
        <v>Malcolm Deare</v>
      </c>
      <c r="C20" s="692" t="str">
        <f>SUBSTITUTE(SUBSTITUTE(Sheet2!$C$76,"–","-"),"—","-")</f>
        <v>TDD BP, Group Functions</v>
      </c>
      <c r="D20" s="686" t="str">
        <f>Sheet2!$G$76</f>
        <v>TDD Business Partner</v>
      </c>
      <c r="E20" s="673" t="str">
        <f>IF(LOWER(Sheet2!$Q$76)="v","Vacant",IF(LOWER(Sheet2!$Q$76)="pause","Paused",IF(LOWER(Sheet2!$Q$76)="cxc","Contractor","Filled")))</f>
        <v>Filled</v>
      </c>
    </row>
    <row r="21">
      <c r="B21" s="686" t="str">
        <f>Sheet2!$B$77</f>
        <v>Maria Somera</v>
      </c>
      <c r="C21" s="692" t="str">
        <f>SUBSTITUTE(SUBSTITUTE(Sheet2!$C$77,"–","-"),"—","-")</f>
        <v>Technology Finance Analyst</v>
      </c>
      <c r="D21" s="686" t="str">
        <f>Sheet2!$G$77</f>
        <v>Transformation</v>
      </c>
      <c r="E21" s="673" t="str">
        <f>IF(LOWER(Sheet2!$Q$77)="v","Vacant",IF(LOWER(Sheet2!$Q$77)="pause","Paused",IF(LOWER(Sheet2!$Q$77)="cxc","Contractor","Filled")))</f>
        <v>Filled</v>
      </c>
    </row>
    <row r="22">
      <c r="B22" s="686" t="str">
        <f>Sheet2!$B$78</f>
        <v>Matt Saunders</v>
      </c>
      <c r="C22" s="692" t="str">
        <f>SUBSTITUTE(SUBSTITUTE(Sheet2!$C$78,"–","-"),"—","-")</f>
        <v>Scrum Master</v>
      </c>
      <c r="D22" s="686" t="str">
        <f>Sheet2!$G$78</f>
        <v>Transformation</v>
      </c>
      <c r="E22" s="673" t="str">
        <f>IF(LOWER(Sheet2!$Q$78)="v","Vacant",IF(LOWER(Sheet2!$Q$78)="pause","Paused",IF(LOWER(Sheet2!$Q$78)="cxc","Contractor","Filled")))</f>
        <v>Filled</v>
      </c>
    </row>
    <row r="23">
      <c r="B23" s="686" t="str">
        <f>Sheet2!$B$79</f>
        <v>Neil Reilly</v>
      </c>
      <c r="C23" s="692" t="str">
        <f>SUBSTITUTE(SUBSTITUTE(Sheet2!$C$79,"–","-"),"—","-")</f>
        <v>TDD BP - T&amp;S</v>
      </c>
      <c r="D23" s="686" t="str">
        <f>Sheet2!$G$79</f>
        <v>TDD Business Partner</v>
      </c>
      <c r="E23" s="673" t="str">
        <f>IF(LOWER(Sheet2!$Q$79)="v","Vacant",IF(LOWER(Sheet2!$Q$79)="pause","Paused",IF(LOWER(Sheet2!$Q$79)="cxc","Contractor","Filled")))</f>
        <v>Filled</v>
      </c>
    </row>
    <row r="24">
      <c r="B24" s="686" t="str">
        <f>Sheet2!$B$80</f>
        <v>Ruth Chou</v>
      </c>
      <c r="C24" s="692" t="str">
        <f>SUBSTITUTE(SUBSTITUTE(Sheet2!$C$80,"–","-"),"—","-")</f>
        <v>Portfolio Reporting Manager</v>
      </c>
      <c r="D24" s="686" t="str">
        <f>Sheet2!$G$80</f>
        <v>Transformation</v>
      </c>
      <c r="E24" s="673" t="str">
        <f>IF(LOWER(Sheet2!$Q$80)="v","Vacant",IF(LOWER(Sheet2!$Q$80)="pause","Paused",IF(LOWER(Sheet2!$Q$80)="cxc","Contractor","Filled")))</f>
        <v>Filled</v>
      </c>
    </row>
    <row r="25">
      <c r="B25" s="686" t="str">
        <f>Sheet2!$B$81</f>
        <v>Sam Chan</v>
      </c>
      <c r="C25" s="692" t="str">
        <f>SUBSTITUTE(SUBSTITUTE(Sheet2!$C$81,"–","-"),"—","-")</f>
        <v>FinOps Manager</v>
      </c>
      <c r="D25" s="686" t="str">
        <f>Sheet2!$G$81</f>
        <v>Transformation</v>
      </c>
      <c r="E25" s="673" t="str">
        <f>IF(LOWER(Sheet2!$Q$81)="v","Vacant",IF(LOWER(Sheet2!$Q$81)="pause","Paused",IF(LOWER(Sheet2!$Q$81)="cxc","Contractor","Filled")))</f>
        <v>Filled</v>
      </c>
    </row>
    <row r="26">
      <c r="B26" s="686" t="str">
        <f>Sheet2!$B$82</f>
        <v>Shelley Crawford</v>
      </c>
      <c r="C26" s="692" t="str">
        <f>SUBSTITUTE(SUBSTITUTE(Sheet2!$C$82,"–","-"),"—","-")</f>
        <v>TDD BP - Z</v>
      </c>
      <c r="D26" s="686" t="str">
        <f>Sheet2!$G$82</f>
        <v>TDD Business Partner</v>
      </c>
      <c r="E26" s="673" t="str">
        <f>IF(LOWER(Sheet2!$Q$82)="v","Vacant",IF(LOWER(Sheet2!$Q$82)="pause","Paused",IF(LOWER(Sheet2!$Q$82)="cxc","Contractor","Filled")))</f>
        <v>Filled</v>
      </c>
    </row>
    <row r="27">
      <c r="B27" s="686" t="str">
        <f>Sheet2!$B$83</f>
        <v>Thomas Reid</v>
      </c>
      <c r="C27" s="692" t="str">
        <f>SUBSTITUTE(SUBSTITUTE(Sheet2!$C$83,"–","-"),"—","-")</f>
        <v>TDD BP - Retail &amp; Customer - Store Digital</v>
      </c>
      <c r="D27" s="686" t="str">
        <f>Sheet2!$G$83</f>
        <v>TDD Business Partner</v>
      </c>
      <c r="E27" s="673" t="str">
        <f>IF(LOWER(Sheet2!$Q$83)="v","Vacant",IF(LOWER(Sheet2!$Q$83)="pause","Paused",IF(LOWER(Sheet2!$Q$83)="cxc","Contractor","Filled")))</f>
        <v>Filled</v>
      </c>
    </row>
    <row r="28">
      <c r="B28" s="686" t="str">
        <f>Sheet2!$B$84</f>
        <v>Vacant</v>
      </c>
      <c r="C28" s="692" t="str">
        <f>SUBSTITUTE(SUBSTITUTE(Sheet2!$C$84,"–","-"),"—","-")</f>
        <v>Commercial Director</v>
      </c>
      <c r="D28" s="686" t="str">
        <f>Sheet2!$G$84</f>
        <v>Commercial</v>
      </c>
      <c r="E28" s="673" t="str">
        <f>IF(LOWER(Sheet2!$Q$84)="v","Vacant",IF(LOWER(Sheet2!$Q$84)="pause","Paused",IF(LOWER(Sheet2!$Q$84)="cxc","Contractor","Filled")))</f>
        <v>Vacant</v>
      </c>
      <c r="F28" s="693" t="inlineStr">
        <is>
          <t>Hold</t>
        </is>
      </c>
      <c r="G28" s="694">
        <f>Sheet2!$AA$84</f>
        <v>439499.99999999994</v>
      </c>
    </row>
    <row r="29">
      <c r="B29" s="686" t="str">
        <f>Sheet2!$B$85</f>
        <v>Vacant</v>
      </c>
      <c r="C29" s="692" t="str">
        <f>SUBSTITUTE(SUBSTITUTE(Sheet2!$C$85,"–","-"),"—","-")</f>
        <v>Head of Transformation</v>
      </c>
      <c r="D29" s="686" t="str">
        <f>Sheet2!$G$85</f>
        <v>Transformation</v>
      </c>
      <c r="E29" s="673" t="str">
        <f>IF(LOWER(Sheet2!$Q$85)="v","Vacant",IF(LOWER(Sheet2!$Q$85)="pause","Paused",IF(LOWER(Sheet2!$Q$85)="cxc","Contractor","Filled")))</f>
        <v>Vacant</v>
      </c>
      <c r="F29" s="693" t="inlineStr">
        <is>
          <t>Hold</t>
        </is>
      </c>
      <c r="G29" s="694">
        <f>Sheet2!$AA$85</f>
        <v>367900.0</v>
      </c>
    </row>
    <row r="30">
      <c r="B30" s="686" t="str">
        <f>Sheet2!$B$86</f>
        <v>Vacant</v>
      </c>
      <c r="C30" s="692" t="str">
        <f>SUBSTITUTE(SUBSTITUTE(Sheet2!$C$86,"–","-"),"—","-")</f>
        <v>Delivery Systems Analyst</v>
      </c>
      <c r="D30" s="686" t="str">
        <f>Sheet2!$G$86</f>
        <v>Transformation</v>
      </c>
      <c r="E30" s="673" t="str">
        <f>IF(LOWER(Sheet2!$Q$86)="v","Vacant",IF(LOWER(Sheet2!$Q$86)="pause","Paused",IF(LOWER(Sheet2!$Q$86)="cxc","Contractor","Filled")))</f>
        <v>Vacant</v>
      </c>
      <c r="F30" s="693" t="inlineStr">
        <is>
          <t>Hold</t>
        </is>
      </c>
      <c r="G30" s="694">
        <f>Sheet2!$AA$86</f>
        <v>202853.25</v>
      </c>
    </row>
    <row r="31">
      <c r="B31" s="686" t="str">
        <f>Sheet2!$B$87</f>
        <v>Vacant</v>
      </c>
      <c r="C31" s="692" t="str">
        <f>SUBSTITUTE(SUBSTITUTE(Sheet2!$C$87,"–","-"),"—","-")</f>
        <v>Business Analysis Practice Lead</v>
      </c>
      <c r="D31" s="686" t="str">
        <f>Sheet2!$G$87</f>
        <v>Transformation</v>
      </c>
      <c r="E31" s="673" t="str">
        <f>IF(LOWER(Sheet2!$Q$87)="v","Vacant",IF(LOWER(Sheet2!$Q$87)="pause","Paused",IF(LOWER(Sheet2!$Q$87)="cxc","Contractor","Filled")))</f>
        <v>Vacant</v>
      </c>
      <c r="F31" s="693" t="inlineStr">
        <is>
          <t>Hold</t>
        </is>
      </c>
      <c r="G31" s="694">
        <f>Sheet2!$AA$87</f>
        <v>231689.25</v>
      </c>
    </row>
    <row r="32">
      <c r="B32" s="686" t="str">
        <f>Sheet2!$B$88</f>
        <v>Vacant</v>
      </c>
      <c r="C32" s="692" t="str">
        <f>SUBSTITUTE(SUBSTITUTE(Sheet2!$C$88,"–","-"),"—","-")</f>
        <v>Delivery Assurance Manager</v>
      </c>
      <c r="D32" s="686" t="str">
        <f>Sheet2!$G$88</f>
        <v>Transformation</v>
      </c>
      <c r="E32" s="673" t="str">
        <f>IF(LOWER(Sheet2!$Q$88)="v","Vacant",IF(LOWER(Sheet2!$Q$88)="pause","Paused",IF(LOWER(Sheet2!$Q$88)="cxc","Contractor","Filled")))</f>
        <v>Vacant</v>
      </c>
      <c r="F32" s="693" t="inlineStr">
        <is>
          <t>Hold</t>
        </is>
      </c>
      <c r="G32" s="694">
        <f>Sheet2!$AA$88</f>
        <v>275810.25</v>
      </c>
    </row>
    <row r="33">
      <c r="B33" s="686" t="str">
        <f>Sheet2!$B$89</f>
        <v>Vacant</v>
      </c>
      <c r="C33" s="692" t="str">
        <f>SUBSTITUTE(SUBSTITUTE(Sheet2!$C$89,"–","-"),"—","-")</f>
        <v>Delivery Capacity &amp; Assurance Lead</v>
      </c>
      <c r="D33" s="686" t="str">
        <f>Sheet2!$G$89</f>
        <v>Transformation</v>
      </c>
      <c r="E33" s="673" t="str">
        <f>IF(LOWER(Sheet2!$Q$89)="v","Vacant",IF(LOWER(Sheet2!$Q$89)="pause","Paused",IF(LOWER(Sheet2!$Q$89)="cxc","Contractor","Filled")))</f>
        <v>Vacant</v>
      </c>
      <c r="F33" s="693" t="inlineStr">
        <is>
          <t>Hold</t>
        </is>
      </c>
      <c r="G33" s="694">
        <f>Sheet2!$AA$89</f>
        <v>231689.25</v>
      </c>
    </row>
    <row r="34">
      <c r="B34" s="686" t="str">
        <f>Sheet2!$B$90</f>
        <v>Vacant</v>
      </c>
      <c r="C34" s="692" t="str">
        <f>SUBSTITUTE(SUBSTITUTE(Sheet2!$C$90,"–","-"),"—","-")</f>
        <v>Delivery Excellence Manager</v>
      </c>
      <c r="D34" s="686" t="str">
        <f>Sheet2!$G$90</f>
        <v>Transformation</v>
      </c>
      <c r="E34" s="673" t="str">
        <f>IF(LOWER(Sheet2!$Q$90)="v","Vacant",IF(LOWER(Sheet2!$Q$90)="pause","Paused",IF(LOWER(Sheet2!$Q$90)="cxc","Contractor","Filled")))</f>
        <v>Vacant</v>
      </c>
      <c r="F34" s="693" t="inlineStr">
        <is>
          <t>Hold</t>
        </is>
      </c>
      <c r="G34" s="694">
        <f>Sheet2!$AA$90</f>
        <v>275810.25</v>
      </c>
    </row>
    <row r="35">
      <c r="B35" s="686" t="str">
        <f>Sheet2!$B$91</f>
        <v>Vacant</v>
      </c>
      <c r="C35" s="692" t="str">
        <f>SUBSTITUTE(SUBSTITUTE(Sheet2!$C$91,"–","-"),"—","-")</f>
        <v>Scrum Master</v>
      </c>
      <c r="D35" s="686" t="str">
        <f>Sheet2!$G$91</f>
        <v>Transformation</v>
      </c>
      <c r="E35" s="673" t="str">
        <f>IF(LOWER(Sheet2!$Q$91)="v","Vacant",IF(LOWER(Sheet2!$Q$91)="pause","Paused",IF(LOWER(Sheet2!$Q$91)="cxc","Contractor","Filled")))</f>
        <v>Vacant</v>
      </c>
      <c r="F35" s="693" t="inlineStr">
        <is>
          <t>Hold</t>
        </is>
      </c>
      <c r="G35" s="694">
        <f>Sheet2!$AA$91</f>
        <v>151771.98</v>
      </c>
    </row>
    <row r="36">
      <c r="B36" s="686" t="str">
        <f>Sheet2!$B$92</f>
        <v>Vacant </v>
      </c>
      <c r="C36" s="692" t="str">
        <f>SUBSTITUTE(SUBSTITUTE(Sheet2!$C$92,"–","-"),"—","-")</f>
        <v>Portfolio Analyst</v>
      </c>
      <c r="D36" s="686" t="str">
        <f>Sheet2!$G$92</f>
        <v>Transformation</v>
      </c>
      <c r="E36" s="673" t="str">
        <f>IF(LOWER(Sheet2!$Q$92)="v","Vacant",IF(LOWER(Sheet2!$Q$92)="pause","Paused",IF(LOWER(Sheet2!$Q$92)="cxc","Contractor","Filled")))</f>
        <v>Vacant</v>
      </c>
      <c r="F36" s="693" t="inlineStr">
        <is>
          <t>Hold</t>
        </is>
      </c>
      <c r="G36" s="694">
        <f>Sheet2!$AA$92</f>
        <v>170489.75</v>
      </c>
    </row>
    <row r="37">
      <c r="B37" s="686" t="str">
        <f>Sheet2!$B$93</f>
        <v>Vaughn Scott</v>
      </c>
      <c r="C37" s="692" t="str">
        <f>SUBSTITUTE(SUBSTITUTE(Sheet2!$C$93,"–","-"),"—","-")</f>
        <v>TDD BP - ES</v>
      </c>
      <c r="D37" s="686" t="str">
        <f>Sheet2!$G$93</f>
        <v>TDD Business Partner</v>
      </c>
      <c r="E37" s="673" t="str">
        <f>IF(LOWER(Sheet2!$Q$93)="v","Vacant",IF(LOWER(Sheet2!$Q$93)="pause","Paused",IF(LOWER(Sheet2!$Q$93)="cxc","Contractor","Filled")))</f>
        <v>Filled</v>
      </c>
    </row>
    <row r="38"/>
    <row r="39">
      <c r="B39" s="695" t="inlineStr">
        <is>
          <t>Funding for these roles is on 2.1 BP&amp;T. Roles and costs come from Sheet2.</t>
        </is>
      </c>
    </row>
  </sheetData>
  <dataValidations count="1">
    <dataValidation sqref="F28 F29 F30 F31 F32 F33 F34 F35 F36" showDropDown="0" showInputMessage="0" showErrorMessage="1" allowBlank="0" type="list">
      <formula1>"Hire,Hold"</formula1>
    </dataValidation>
  </dataValidations>
  <pageMargins left="0.75" right="0.75" top="1" bottom="1" header="0.5" footer="0.5"/>
</worksheet>
</file>

<file path=xl/worksheets/sheet41.xml><?xml version="1.0" encoding="utf-8"?>
<worksheet xmlns="http://schemas.openxmlformats.org/spreadsheetml/2006/main">
  <sheetPr>
    <tabColor rgb="00BF8F00"/>
    <outlinePr summaryBelow="1" summaryRight="1"/>
    <pageSetUpPr/>
  </sheetPr>
  <dimension ref="A1:G44"/>
  <sheetViews>
    <sheetView showGridLines="0" workbookViewId="0">
      <selection activeCell="A1" sqref="A1"/>
    </sheetView>
  </sheetViews>
  <sheetFormatPr baseColWidth="8" defaultRowHeight="15"/>
  <cols>
    <col width="3" customWidth="1" style="506" min="1" max="1"/>
    <col width="30" customWidth="1" style="506" min="2" max="2"/>
    <col width="40" customWidth="1" style="506" min="3" max="3"/>
    <col width="26" customWidth="1" style="506" min="4" max="4"/>
    <col width="12" customWidth="1" style="506" min="5" max="5"/>
    <col width="10" customWidth="1" style="506" min="6" max="6"/>
    <col width="16" customWidth="1" style="506" min="7" max="7"/>
  </cols>
  <sheetData>
    <row r="1"/>
    <row r="2">
      <c r="B2" s="753" t="inlineStr">
        <is>
          <t>Strategy, Architecture &amp; Data GM working copy</t>
        </is>
      </c>
    </row>
    <row r="3"/>
    <row r="4">
      <c r="B4" s="666" t="inlineStr">
        <is>
          <t>Position</t>
        </is>
      </c>
    </row>
    <row r="5">
      <c r="B5" s="686" t="inlineStr">
        <is>
          <t>Roles</t>
        </is>
      </c>
      <c r="C5" s="687">
        <f>COUNTA(B14:B42)</f>
        <v>29.0</v>
      </c>
    </row>
    <row r="6">
      <c r="B6" s="686" t="inlineStr">
        <is>
          <t>Filled</t>
        </is>
      </c>
      <c r="C6" s="687">
        <f>COUNTIF(E14:E42,"Filled")+COUNTIF(E14:E42,"Contractor")</f>
        <v>14.0</v>
      </c>
    </row>
    <row r="7">
      <c r="B7" s="686" t="inlineStr">
        <is>
          <t>Vacant</t>
        </is>
      </c>
      <c r="C7" s="687">
        <f>COUNTIF(E14:E42,"Vacant")</f>
        <v>12.0</v>
      </c>
    </row>
    <row r="8">
      <c r="B8" s="686" t="inlineStr">
        <is>
          <t>Paused</t>
        </is>
      </c>
      <c r="C8" s="687">
        <f>COUNTIF(E14:E42,"Paused")</f>
        <v>3.0</v>
      </c>
    </row>
    <row r="9">
      <c r="B9" s="686" t="inlineStr">
        <is>
          <t>Cost to hire all vacancies ($m)</t>
        </is>
      </c>
      <c r="C9" s="669">
        <f>SUMIF(E14:E42,"Vacant",G14:G42)/1000000</f>
        <v>2.9620632999999996</v>
      </c>
    </row>
    <row r="10">
      <c r="B10" s="686" t="inlineStr">
        <is>
          <t>Cost of roles marked Hire ($m)</t>
        </is>
      </c>
      <c r="C10" s="669">
        <f>SUMIF(F14:F42,"Hire",G14:G42)/1000000</f>
        <v>0.0</v>
      </c>
    </row>
    <row r="11"/>
    <row r="12"/>
    <row r="13">
      <c r="B13" s="696" t="inlineStr">
        <is>
          <t>Name</t>
        </is>
      </c>
      <c r="C13" s="696" t="inlineStr">
        <is>
          <t>Role</t>
        </is>
      </c>
      <c r="D13" s="696" t="inlineStr">
        <is>
          <t>Department</t>
        </is>
      </c>
      <c r="E13" s="696" t="inlineStr">
        <is>
          <t>Status</t>
        </is>
      </c>
      <c r="F13" s="696" t="inlineStr">
        <is>
          <t>Call</t>
        </is>
      </c>
      <c r="G13" s="696" t="inlineStr">
        <is>
          <t>Cost if hired ($)</t>
        </is>
      </c>
    </row>
    <row r="14">
      <c r="B14" s="686" t="str">
        <f>Sheet2!$B$97</f>
        <v>Craig Ambrose</v>
      </c>
      <c r="C14" s="692" t="str">
        <f>SUBSTITUTE(SUBSTITUTE(Sheet2!$C$97,"–","-"),"—","-")</f>
        <v>Domain Architect - Group Functions</v>
      </c>
      <c r="D14" s="686" t="str">
        <f>Sheet2!$G$97</f>
        <v>Architecture</v>
      </c>
      <c r="E14" s="673" t="str">
        <f>IF(LOWER(Sheet2!$Q$97)="v","Vacant",IF(LOWER(Sheet2!$Q$97)="pause","Paused",IF(LOWER(Sheet2!$Q$97)="cxc","Contractor","Filled")))</f>
        <v>Filled</v>
      </c>
    </row>
    <row r="15">
      <c r="B15" s="686" t="str">
        <f>Sheet2!$B$100</f>
        <v>James Holgate</v>
      </c>
      <c r="C15" s="692" t="str">
        <f>SUBSTITUTE(SUBSTITUTE(Sheet2!$C$100,"–","-"),"—","-")</f>
        <v>Head of Technology,  Group Data</v>
      </c>
      <c r="D15" s="686" t="str">
        <f>Sheet2!$G$100</f>
        <v>Group Data</v>
      </c>
      <c r="E15" s="673" t="str">
        <f>IF(LOWER(Sheet2!$Q$100)="v","Vacant",IF(LOWER(Sheet2!$Q$100)="pause","Paused",IF(LOWER(Sheet2!$Q$100)="cxc","Contractor","Filled")))</f>
        <v>Filled</v>
      </c>
    </row>
    <row r="16">
      <c r="B16" s="686" t="str">
        <f>Sheet2!$B$102</f>
        <v>Joel Vijayakumar</v>
      </c>
      <c r="C16" s="692" t="str">
        <f>SUBSTITUTE(SUBSTITUTE(Sheet2!$C$102,"–","-"),"—","-")</f>
        <v>Delivery Manager, Strategy, Architecture &amp; Data</v>
      </c>
      <c r="D16" s="686" t="str">
        <f>Sheet2!$G$102</f>
        <v>Delivery, SADA</v>
      </c>
      <c r="E16" s="673" t="str">
        <f>IF(LOWER(Sheet2!$Q$102)="v","Vacant",IF(LOWER(Sheet2!$Q$102)="pause","Paused",IF(LOWER(Sheet2!$Q$102)="cxc","Contractor","Filled")))</f>
        <v>Filled</v>
      </c>
    </row>
    <row r="17">
      <c r="B17" s="686" t="str">
        <f>Sheet2!$B$103</f>
        <v>John Forde</v>
      </c>
      <c r="C17" s="692" t="str">
        <f>SUBSTITUTE(SUBSTITUTE(Sheet2!$C$103,"–","-"),"—","-")</f>
        <v>Enterprise Architect</v>
      </c>
      <c r="D17" s="686" t="str">
        <f>Sheet2!$G$103</f>
        <v>Architecture</v>
      </c>
      <c r="E17" s="673" t="str">
        <f>IF(LOWER(Sheet2!$Q$103)="v","Vacant",IF(LOWER(Sheet2!$Q$103)="pause","Paused",IF(LOWER(Sheet2!$Q$103)="cxc","Contractor","Filled")))</f>
        <v>Filled</v>
      </c>
    </row>
    <row r="18">
      <c r="B18" s="686" t="str">
        <f>Sheet2!$B$106</f>
        <v>Lynn Yiew</v>
      </c>
      <c r="C18" s="692" t="str">
        <f>SUBSTITUTE(SUBSTITUTE(Sheet2!$C$106,"–","-"),"—","-")</f>
        <v>Data Governance Specialist</v>
      </c>
      <c r="D18" s="686" t="str">
        <f>Sheet2!$G$106</f>
        <v>Group Data</v>
      </c>
      <c r="E18" s="673" t="str">
        <f>IF(LOWER(Sheet2!$Q$106)="v","Vacant",IF(LOWER(Sheet2!$Q$106)="pause","Paused",IF(LOWER(Sheet2!$Q$106)="cxc","Contractor","Filled")))</f>
        <v>Filled</v>
      </c>
    </row>
    <row r="19">
      <c r="B19" s="686" t="str">
        <f>Sheet2!$B$107</f>
        <v>Mike Gilbert</v>
      </c>
      <c r="C19" s="692" t="str">
        <f>SUBSTITUTE(SUBSTITUTE(Sheet2!$C$107,"–","-"),"—","-")</f>
        <v>Domain Architect - CFE &amp; Infrastructure </v>
      </c>
      <c r="D19" s="686" t="str">
        <f>Sheet2!$G$107</f>
        <v>Architecture</v>
      </c>
      <c r="E19" s="673" t="str">
        <f>IF(LOWER(Sheet2!$Q$107)="v","Vacant",IF(LOWER(Sheet2!$Q$107)="pause","Paused",IF(LOWER(Sheet2!$Q$107)="cxc","Contractor","Filled")))</f>
        <v>Filled</v>
      </c>
    </row>
    <row r="20">
      <c r="B20" s="686" t="str">
        <f>Sheet2!$B$108</f>
        <v>Milan Patel</v>
      </c>
      <c r="C20" s="692" t="str">
        <f>SUBSTITUTE(SUBSTITUTE(Sheet2!$C$108,"–","-"),"—","-")</f>
        <v>Platform Architect</v>
      </c>
      <c r="D20" s="686" t="str">
        <f>Sheet2!$G$108</f>
        <v>Group Data</v>
      </c>
      <c r="E20" s="673" t="str">
        <f>IF(LOWER(Sheet2!$Q$108)="v","Vacant",IF(LOWER(Sheet2!$Q$108)="pause","Paused",IF(LOWER(Sheet2!$Q$108)="cxc","Contractor","Filled")))</f>
        <v>Filled</v>
      </c>
    </row>
    <row r="21">
      <c r="B21" s="686" t="str">
        <f>Sheet2!$B$109</f>
        <v>Mitchell Clarke</v>
      </c>
      <c r="C21" s="692" t="str">
        <f>SUBSTITUTE(SUBSTITUTE(Sheet2!$C$109,"–","-"),"—","-")</f>
        <v>Snr Data Governance Specialist</v>
      </c>
      <c r="D21" s="686" t="str">
        <f>Sheet2!$G$109</f>
        <v>Group Data</v>
      </c>
      <c r="E21" s="673" t="str">
        <f>IF(LOWER(Sheet2!$Q$109)="v","Vacant",IF(LOWER(Sheet2!$Q$109)="pause","Paused",IF(LOWER(Sheet2!$Q$109)="cxc","Contractor","Filled")))</f>
        <v>Filled</v>
      </c>
    </row>
    <row r="22">
      <c r="B22" s="686" t="str">
        <f>Sheet2!$B$114</f>
        <v>Raymond Bai</v>
      </c>
      <c r="C22" s="692" t="str">
        <f>SUBSTITUTE(SUBSTITUTE(Sheet2!$C$114,"–","-"),"—","-")</f>
        <v>Data Adoption Specialist</v>
      </c>
      <c r="D22" s="686" t="str">
        <f>Sheet2!$G$114</f>
        <v>Group Data</v>
      </c>
      <c r="E22" s="673" t="str">
        <f>IF(LOWER(Sheet2!$Q$114)="v","Vacant",IF(LOWER(Sheet2!$Q$114)="pause","Paused",IF(LOWER(Sheet2!$Q$114)="cxc","Contractor","Filled")))</f>
        <v>Filled</v>
      </c>
    </row>
    <row r="23">
      <c r="B23" s="686" t="str">
        <f>Sheet2!$B$115</f>
        <v>Renosh Matthew Thomas</v>
      </c>
      <c r="C23" s="692" t="str">
        <f>SUBSTITUTE(SUBSTITUTE(Sheet2!$C$115,"–","-"),"—","-")</f>
        <v>Data Enablement Lead</v>
      </c>
      <c r="D23" s="686" t="str">
        <f>Sheet2!$G$115</f>
        <v>Group Data</v>
      </c>
      <c r="E23" s="673" t="str">
        <f>IF(LOWER(Sheet2!$Q$115)="v","Vacant",IF(LOWER(Sheet2!$Q$115)="pause","Paused",IF(LOWER(Sheet2!$Q$115)="cxc","Contractor","Filled")))</f>
        <v>Filled</v>
      </c>
    </row>
    <row r="24">
      <c r="B24" s="686" t="str">
        <f>Sheet2!$B$116</f>
        <v>Rihan Schalkwyk</v>
      </c>
      <c r="C24" s="692" t="str">
        <f>SUBSTITUTE(SUBSTITUTE(Sheet2!$C$116,"–","-"),"—","-")</f>
        <v>Senior Business Analyst</v>
      </c>
      <c r="D24" s="686" t="str">
        <f>Sheet2!$G$116</f>
        <v>Delivery, SADA</v>
      </c>
      <c r="E24" s="673" t="str">
        <f>IF(LOWER(Sheet2!$Q$116)="v","Vacant",IF(LOWER(Sheet2!$Q$116)="pause","Paused",IF(LOWER(Sheet2!$Q$116)="cxc","Contractor","Filled")))</f>
        <v>Filled</v>
      </c>
    </row>
    <row r="25">
      <c r="B25" s="686" t="str">
        <f>Sheet2!$B$117</f>
        <v>ring fenced</v>
      </c>
      <c r="C25" s="692" t="str">
        <f>SUBSTITUTE(SUBSTITUTE(Sheet2!$C$117,"–","-"),"—","-")</f>
        <v>Enterprise Architect</v>
      </c>
      <c r="D25" s="686" t="str">
        <f>Sheet2!$G$117</f>
        <v>Architecture</v>
      </c>
      <c r="E25" s="673" t="str">
        <f>IF(LOWER(Sheet2!$Q$117)="v","Vacant",IF(LOWER(Sheet2!$Q$117)="pause","Paused",IF(LOWER(Sheet2!$Q$117)="cxc","Contractor","Filled")))</f>
        <v>Paused</v>
      </c>
      <c r="F25" s="693" t="inlineStr">
        <is>
          <t>Hold</t>
        </is>
      </c>
      <c r="G25" s="694">
        <f>Sheet2!$AA$117</f>
        <v>275810.25</v>
      </c>
    </row>
    <row r="26">
      <c r="B26" s="686" t="str">
        <f>Sheet2!$B$118</f>
        <v>ring fenced</v>
      </c>
      <c r="C26" s="692" t="str">
        <f>SUBSTITUTE(SUBSTITUTE(Sheet2!$C$118,"–","-"),"—","-")</f>
        <v>Domain Architect - Customer &amp; Digital Tech</v>
      </c>
      <c r="D26" s="686" t="str">
        <f>Sheet2!$G$118</f>
        <v>Architecture</v>
      </c>
      <c r="E26" s="673" t="str">
        <f>IF(LOWER(Sheet2!$Q$118)="v","Vacant",IF(LOWER(Sheet2!$Q$118)="pause","Paused",IF(LOWER(Sheet2!$Q$118)="cxc","Contractor","Filled")))</f>
        <v>Vacant</v>
      </c>
      <c r="F26" s="693" t="inlineStr">
        <is>
          <t>Hold</t>
        </is>
      </c>
      <c r="G26" s="694">
        <f>Sheet2!$AA$118</f>
        <v>231689.25</v>
      </c>
    </row>
    <row r="27">
      <c r="B27" s="686" t="str">
        <f>Sheet2!$B$119</f>
        <v>ring fenced</v>
      </c>
      <c r="C27" s="692" t="str">
        <f>SUBSTITUTE(SUBSTITUTE(Sheet2!$C$119,"–","-"),"—","-")</f>
        <v>Domain Architect - Retail &amp; Z</v>
      </c>
      <c r="D27" s="686" t="str">
        <f>Sheet2!$G$119</f>
        <v>Architecture</v>
      </c>
      <c r="E27" s="673" t="str">
        <f>IF(LOWER(Sheet2!$Q$119)="v","Vacant",IF(LOWER(Sheet2!$Q$119)="pause","Paused",IF(LOWER(Sheet2!$Q$119)="cxc","Contractor","Filled")))</f>
        <v>Vacant</v>
      </c>
      <c r="F27" s="693" t="inlineStr">
        <is>
          <t>Hold</t>
        </is>
      </c>
      <c r="G27" s="694">
        <f>Sheet2!$AA$119</f>
        <v>231689.25</v>
      </c>
    </row>
    <row r="28">
      <c r="B28" s="686" t="str">
        <f>Sheet2!$B$120</f>
        <v>ring fenced</v>
      </c>
      <c r="C28" s="692" t="str">
        <f>SUBSTITUTE(SUBSTITUTE(Sheet2!$C$120,"–","-"),"—","-")</f>
        <v>Domain Architect - TDD</v>
      </c>
      <c r="D28" s="686" t="str">
        <f>Sheet2!$G$120</f>
        <v>Architecture</v>
      </c>
      <c r="E28" s="673" t="str">
        <f>IF(LOWER(Sheet2!$Q$120)="v","Vacant",IF(LOWER(Sheet2!$Q$120)="pause","Paused",IF(LOWER(Sheet2!$Q$120)="cxc","Contractor","Filled")))</f>
        <v>Vacant</v>
      </c>
      <c r="F28" s="693" t="inlineStr">
        <is>
          <t>Hold</t>
        </is>
      </c>
      <c r="G28" s="694">
        <f>Sheet2!$AA$120</f>
        <v>231689.25</v>
      </c>
    </row>
    <row r="29">
      <c r="B29" s="686" t="str">
        <f>Sheet2!$B$121</f>
        <v>Roger Blazey</v>
      </c>
      <c r="C29" s="692" t="str">
        <f>SUBSTITUTE(SUBSTITUTE(Sheet2!$C$121,"–","-"),"—","-")</f>
        <v>Architect (AI Innovation)</v>
      </c>
      <c r="D29" s="686" t="str">
        <f>Sheet2!$G$121</f>
        <v>Technology Strategy &amp; AI Capability</v>
      </c>
      <c r="E29" s="673" t="str">
        <f>IF(LOWER(Sheet2!$Q$121)="v","Vacant",IF(LOWER(Sheet2!$Q$121)="pause","Paused",IF(LOWER(Sheet2!$Q$121)="cxc","Contractor","Filled")))</f>
        <v>Filled</v>
      </c>
    </row>
    <row r="30">
      <c r="B30" s="686" t="str">
        <f>Sheet2!$B$124</f>
        <v>Sanjay Tikoo</v>
      </c>
      <c r="C30" s="692" t="str">
        <f>SUBSTITUTE(SUBSTITUTE(Sheet2!$C$124,"–","-"),"—","-")</f>
        <v>Principal, Data Architecture &amp; Governance</v>
      </c>
      <c r="D30" s="686" t="str">
        <f>Sheet2!$G$124</f>
        <v>Group Data</v>
      </c>
      <c r="E30" s="673" t="str">
        <f>IF(LOWER(Sheet2!$Q$124)="v","Vacant",IF(LOWER(Sheet2!$Q$124)="pause","Paused",IF(LOWER(Sheet2!$Q$124)="cxc","Contractor","Filled")))</f>
        <v>Filled</v>
      </c>
    </row>
    <row r="31">
      <c r="B31" s="686" t="str">
        <f>Sheet2!$B$127</f>
        <v>Tim Snedden</v>
      </c>
      <c r="C31" s="692" t="str">
        <f>SUBSTITUTE(SUBSTITUTE(Sheet2!$C$127,"–","-"),"—","-")</f>
        <v>Delivery Lead</v>
      </c>
      <c r="D31" s="686" t="str">
        <f>Sheet2!$G$127</f>
        <v>Delivery, SADA</v>
      </c>
      <c r="E31" s="673" t="str">
        <f>IF(LOWER(Sheet2!$Q$127)="v","Vacant",IF(LOWER(Sheet2!$Q$127)="pause","Paused",IF(LOWER(Sheet2!$Q$127)="cxc","Contractor","Filled")))</f>
        <v>Filled</v>
      </c>
    </row>
    <row r="32">
      <c r="B32" s="686" t="str">
        <f>Sheet2!$B$133</f>
        <v>Vacant</v>
      </c>
      <c r="C32" s="692" t="str">
        <f>SUBSTITUTE(SUBSTITUTE(Sheet2!$C$133,"–","-"),"—","-")</f>
        <v>Business Analyst</v>
      </c>
      <c r="D32" s="686" t="str">
        <f>Sheet2!$G$133</f>
        <v>Delivery, SADA</v>
      </c>
      <c r="E32" s="673" t="str">
        <f>IF(LOWER(Sheet2!$Q$133)="v","Vacant",IF(LOWER(Sheet2!$Q$133)="pause","Paused",IF(LOWER(Sheet2!$Q$133)="cxc","Contractor","Filled")))</f>
        <v>Vacant</v>
      </c>
      <c r="F32" s="693" t="inlineStr">
        <is>
          <t>Hold</t>
        </is>
      </c>
      <c r="G32" s="694">
        <f>Sheet2!$AA$133</f>
        <v>202853.25</v>
      </c>
    </row>
    <row r="33">
      <c r="B33" s="686" t="str">
        <f>Sheet2!$B$134</f>
        <v>Vacant</v>
      </c>
      <c r="C33" s="692" t="str">
        <f>SUBSTITUTE(SUBSTITUTE(Sheet2!$C$134,"–","-"),"—","-")</f>
        <v>Business Analyst</v>
      </c>
      <c r="D33" s="686" t="str">
        <f>Sheet2!$G$134</f>
        <v>Delivery, SADA</v>
      </c>
      <c r="E33" s="673" t="str">
        <f>IF(LOWER(Sheet2!$Q$134)="v","Vacant",IF(LOWER(Sheet2!$Q$134)="pause","Paused",IF(LOWER(Sheet2!$Q$134)="cxc","Contractor","Filled")))</f>
        <v>Paused</v>
      </c>
      <c r="F33" s="693" t="inlineStr">
        <is>
          <t>Hold</t>
        </is>
      </c>
      <c r="G33" s="694">
        <f>Sheet2!$AA$134</f>
        <v>202853.25</v>
      </c>
    </row>
    <row r="34">
      <c r="B34" s="686" t="str">
        <f>Sheet2!$B$141</f>
        <v>Vacant</v>
      </c>
      <c r="C34" s="692" t="str">
        <f>SUBSTITUTE(SUBSTITUTE(Sheet2!$C$141,"–","-"),"—","-")</f>
        <v>Data Governance Lead</v>
      </c>
      <c r="D34" s="686" t="str">
        <f>Sheet2!$G$141</f>
        <v>Group Data</v>
      </c>
      <c r="E34" s="673" t="str">
        <f>IF(LOWER(Sheet2!$Q$141)="v","Vacant",IF(LOWER(Sheet2!$Q$141)="pause","Paused",IF(LOWER(Sheet2!$Q$141)="cxc","Contractor","Filled")))</f>
        <v>Vacant</v>
      </c>
      <c r="F34" s="693" t="inlineStr">
        <is>
          <t>Hold</t>
        </is>
      </c>
      <c r="G34" s="694">
        <f>Sheet2!$AA$141</f>
        <v>389606.10000000003</v>
      </c>
    </row>
    <row r="35">
      <c r="B35" s="686" t="str">
        <f>Sheet2!$B$142</f>
        <v>Vacant</v>
      </c>
      <c r="C35" s="692" t="str">
        <f>SUBSTITUTE(SUBSTITUTE(Sheet2!$C$142,"–","-"),"—","-")</f>
        <v>Head of Architecture</v>
      </c>
      <c r="D35" s="686" t="str">
        <f>Sheet2!$G$142</f>
        <v>Architecture</v>
      </c>
      <c r="E35" s="673" t="str">
        <f>IF(LOWER(Sheet2!$Q$142)="v","Vacant",IF(LOWER(Sheet2!$Q$142)="pause","Paused",IF(LOWER(Sheet2!$Q$142)="cxc","Contractor","Filled")))</f>
        <v>Vacant</v>
      </c>
      <c r="F35" s="693" t="inlineStr">
        <is>
          <t>Hold</t>
        </is>
      </c>
      <c r="G35" s="694">
        <f>Sheet2!$AA$142</f>
        <v>334972.95</v>
      </c>
    </row>
    <row r="36">
      <c r="B36" s="686" t="str">
        <f>Sheet2!$B$143</f>
        <v>Vacant</v>
      </c>
      <c r="C36" s="692" t="str">
        <f>SUBSTITUTE(SUBSTITUTE(Sheet2!$C$143,"–","-"),"—","-")</f>
        <v>Head of Technology Strategy &amp; AI Capability</v>
      </c>
      <c r="D36" s="686" t="str">
        <f>Sheet2!$G$143</f>
        <v>Technology Strategy &amp; AI Capability</v>
      </c>
      <c r="E36" s="673" t="str">
        <f>IF(LOWER(Sheet2!$Q$143)="v","Vacant",IF(LOWER(Sheet2!$Q$143)="pause","Paused",IF(LOWER(Sheet2!$Q$143)="cxc","Contractor","Filled")))</f>
        <v>Vacant</v>
      </c>
      <c r="F36" s="693" t="inlineStr">
        <is>
          <t>Hold</t>
        </is>
      </c>
      <c r="G36" s="694">
        <f>Sheet2!$AA$143</f>
        <v>333020.25</v>
      </c>
    </row>
    <row r="37">
      <c r="B37" s="686" t="str">
        <f>Sheet2!$B$144</f>
        <v>Vacant</v>
      </c>
      <c r="C37" s="692" t="str">
        <f>SUBSTITUTE(SUBSTITUTE(Sheet2!$C$144,"–","-"),"—","-")</f>
        <v>Senior Communications Advisor</v>
      </c>
      <c r="D37" s="686" t="str">
        <f>Sheet2!$G$144</f>
        <v>na</v>
      </c>
      <c r="E37" s="673" t="str">
        <f>IF(LOWER(Sheet2!$Q$144)="v","Vacant",IF(LOWER(Sheet2!$Q$144)="pause","Paused",IF(LOWER(Sheet2!$Q$144)="cxc","Contractor","Filled")))</f>
        <v>Vacant</v>
      </c>
      <c r="F37" s="693" t="inlineStr">
        <is>
          <t>Hold</t>
        </is>
      </c>
      <c r="G37" s="694">
        <f>Sheet2!$AA$144</f>
        <v>186900.0</v>
      </c>
    </row>
    <row r="38">
      <c r="B38" s="686" t="str">
        <f>Sheet2!$B$145</f>
        <v>Vacant</v>
      </c>
      <c r="C38" s="692" t="str">
        <f>SUBSTITUTE(SUBSTITUTE(Sheet2!$C$145,"–","-"),"—","-")</f>
        <v>Enterprise Data Architect</v>
      </c>
      <c r="D38" s="686" t="str">
        <f>Sheet2!$G$145</f>
        <v>Group Data</v>
      </c>
      <c r="E38" s="673" t="str">
        <f>IF(LOWER(Sheet2!$Q$145)="v","Vacant",IF(LOWER(Sheet2!$Q$145)="pause","Paused",IF(LOWER(Sheet2!$Q$145)="cxc","Contractor","Filled")))</f>
        <v>Paused</v>
      </c>
      <c r="F38" s="693" t="inlineStr">
        <is>
          <t>Hold</t>
        </is>
      </c>
      <c r="G38" s="694">
        <f>Sheet2!$AA$145</f>
        <v>275810.25</v>
      </c>
    </row>
    <row r="39">
      <c r="B39" s="686" t="str">
        <f>Sheet2!$B$146</f>
        <v>Vacant</v>
      </c>
      <c r="C39" s="692" t="str">
        <f>SUBSTITUTE(SUBSTITUTE(Sheet2!$C$146,"–","-"),"—","-")</f>
        <v>AI Capability Lead</v>
      </c>
      <c r="D39" s="686" t="str">
        <f>Sheet2!$G$146</f>
        <v>Technology Strategy &amp; AI Capability</v>
      </c>
      <c r="E39" s="673" t="str">
        <f>IF(LOWER(Sheet2!$Q$146)="v","Vacant",IF(LOWER(Sheet2!$Q$146)="pause","Paused",IF(LOWER(Sheet2!$Q$146)="cxc","Contractor","Filled")))</f>
        <v>Vacant</v>
      </c>
      <c r="F39" s="693" t="inlineStr">
        <is>
          <t>Hold</t>
        </is>
      </c>
      <c r="G39" s="694">
        <f>Sheet2!$AA$146</f>
        <v>275810.25</v>
      </c>
    </row>
    <row r="40">
      <c r="B40" s="686" t="str">
        <f>Sheet2!$B$147</f>
        <v>Vacant</v>
      </c>
      <c r="C40" s="692" t="str">
        <f>SUBSTITUTE(SUBSTITUTE(Sheet2!$C$147,"–","-"),"—","-")</f>
        <v>Enterprise Process Lead</v>
      </c>
      <c r="D40" s="686" t="str">
        <f>Sheet2!$G$147</f>
        <v>Technology Strategy &amp; AI Capability</v>
      </c>
      <c r="E40" s="673" t="str">
        <f>IF(LOWER(Sheet2!$Q$147)="v","Vacant",IF(LOWER(Sheet2!$Q$147)="pause","Paused",IF(LOWER(Sheet2!$Q$147)="cxc","Contractor","Filled")))</f>
        <v>Vacant</v>
      </c>
      <c r="F40" s="693" t="inlineStr">
        <is>
          <t>Hold</t>
        </is>
      </c>
      <c r="G40" s="694">
        <f>Sheet2!$AA$147</f>
        <v>202853.25</v>
      </c>
    </row>
    <row r="41">
      <c r="B41" s="686" t="str">
        <f>Sheet2!$B$148</f>
        <v>Vacant</v>
      </c>
      <c r="C41" s="692" t="str">
        <f>SUBSTITUTE(SUBSTITUTE(Sheet2!$C$148,"–","-"),"—","-")</f>
        <v>EnterpriseProcess Analyst</v>
      </c>
      <c r="D41" s="686" t="str">
        <f>Sheet2!$G$148</f>
        <v>Technology Strategy &amp; AI Capability</v>
      </c>
      <c r="E41" s="673" t="str">
        <f>IF(LOWER(Sheet2!$Q$148)="v","Vacant",IF(LOWER(Sheet2!$Q$148)="pause","Paused",IF(LOWER(Sheet2!$Q$148)="cxc","Contractor","Filled")))</f>
        <v>Vacant</v>
      </c>
      <c r="F41" s="693" t="inlineStr">
        <is>
          <t>Hold</t>
        </is>
      </c>
      <c r="G41" s="694">
        <f>Sheet2!$AA$148</f>
        <v>170489.75</v>
      </c>
    </row>
    <row r="42">
      <c r="B42" s="686" t="str">
        <f>Sheet2!$B$149</f>
        <v>Vacant</v>
      </c>
      <c r="C42" s="692" t="str">
        <f>SUBSTITUTE(SUBSTITUTE(Sheet2!$C$149,"–","-"),"—","-")</f>
        <v>Strategy Analyst</v>
      </c>
      <c r="D42" s="686" t="str">
        <f>Sheet2!$G$149</f>
        <v>Technology Strategy &amp; AI Capability</v>
      </c>
      <c r="E42" s="673" t="str">
        <f>IF(LOWER(Sheet2!$Q$149)="v","Vacant",IF(LOWER(Sheet2!$Q$149)="pause","Paused",IF(LOWER(Sheet2!$Q$149)="cxc","Contractor","Filled")))</f>
        <v>Vacant</v>
      </c>
      <c r="F42" s="693" t="inlineStr">
        <is>
          <t>Hold</t>
        </is>
      </c>
      <c r="G42" s="694">
        <f>Sheet2!$AA$149</f>
        <v>170489.75</v>
      </c>
    </row>
    <row r="43"/>
    <row r="44">
      <c r="B44" s="695" t="inlineStr">
        <is>
          <t>COE roles only - squad-based SA&amp;D roles sit on 4.3 (Group Data portfolio). Funding is on 2.2 SA&amp;D.</t>
        </is>
      </c>
    </row>
  </sheetData>
  <dataValidations count="1">
    <dataValidation sqref="F25 F26 F27 F28 F32 F33 F34 F35 F36 F37 F38 F39 F40 F41 F42" showDropDown="0" showInputMessage="0" showErrorMessage="1" allowBlank="0" type="list">
      <formula1>"Hire,Hold"</formula1>
    </dataValidation>
  </dataValidations>
  <pageMargins left="0.75" right="0.75" top="1" bottom="1" header="0.5" footer="0.5"/>
</worksheet>
</file>

<file path=xl/worksheets/sheet42.xml><?xml version="1.0" encoding="utf-8"?>
<worksheet xmlns="http://schemas.openxmlformats.org/spreadsheetml/2006/main">
  <sheetPr>
    <tabColor rgb="00BF8F00"/>
    <outlinePr summaryBelow="1" summaryRight="1"/>
    <pageSetUpPr/>
  </sheetPr>
  <dimension ref="A1:G233"/>
  <sheetViews>
    <sheetView showGridLines="0" workbookViewId="0">
      <selection activeCell="A1" sqref="A1"/>
    </sheetView>
  </sheetViews>
  <sheetFormatPr baseColWidth="8" defaultRowHeight="15"/>
  <cols>
    <col width="3" customWidth="1" style="506" min="1" max="1"/>
    <col width="30" customWidth="1" style="506" min="2" max="2"/>
    <col width="40" customWidth="1" style="506" min="3" max="3"/>
    <col width="26" customWidth="1" style="506" min="4" max="4"/>
    <col width="12" customWidth="1" style="506" min="5" max="5"/>
    <col width="10" customWidth="1" style="506" min="6" max="6"/>
    <col width="16" customWidth="1" style="506" min="7" max="7"/>
  </cols>
  <sheetData>
    <row r="1"/>
    <row r="2">
      <c r="B2" s="753" t="inlineStr">
        <is>
          <t>EGI &amp; Central Roles working copy</t>
        </is>
      </c>
    </row>
    <row r="3"/>
    <row r="4">
      <c r="B4" s="666" t="inlineStr">
        <is>
          <t>Position</t>
        </is>
      </c>
    </row>
    <row r="5">
      <c r="B5" s="686" t="inlineStr">
        <is>
          <t>Roles</t>
        </is>
      </c>
      <c r="C5" s="687">
        <f>COUNTA(B14:B29)+COUNTA(B33:B85)+COUNTA(B89:B108)+COUNTA(B112:B115)</f>
        <v>93.0</v>
      </c>
    </row>
    <row r="6">
      <c r="B6" s="686" t="inlineStr">
        <is>
          <t>Filled</t>
        </is>
      </c>
      <c r="C6" s="687">
        <f>COUNTIF(E14:E115,"Filled")+COUNTIF(E14:E115,"Contractor")</f>
        <v>66.0</v>
      </c>
    </row>
    <row r="7">
      <c r="B7" s="686" t="inlineStr">
        <is>
          <t>Vacant</t>
        </is>
      </c>
      <c r="C7" s="687">
        <f>COUNTIF(E14:E115,"Vacant")</f>
        <v>27.0</v>
      </c>
    </row>
    <row r="8">
      <c r="B8" s="686" t="inlineStr">
        <is>
          <t>Paused</t>
        </is>
      </c>
      <c r="C8" s="687">
        <f>COUNTIF(E14:E115,"Paused")</f>
        <v>0.0</v>
      </c>
    </row>
    <row r="9">
      <c r="B9" s="686" t="inlineStr">
        <is>
          <t>Cost to hire all vacancies ($m)</t>
        </is>
      </c>
      <c r="C9" s="669">
        <f>SUMIF(E14:E115,"Vacant",G14:G115)/1000000</f>
        <v>6.920032769629629</v>
      </c>
    </row>
    <row r="10">
      <c r="B10" s="686" t="inlineStr">
        <is>
          <t>Cost of roles marked Hire ($m)</t>
        </is>
      </c>
      <c r="C10" s="669">
        <f>SUMIF(F14:F115,"Hire",G14:G115)/1000000</f>
        <v>0.0</v>
      </c>
    </row>
    <row r="11"/>
    <row r="12">
      <c r="B12" s="666" t="inlineStr">
        <is>
          <t>EGI strategic delivery (Sheet2) - contractors, funded from Significant Items</t>
        </is>
      </c>
    </row>
    <row r="13">
      <c r="B13" s="696" t="inlineStr">
        <is>
          <t>Name</t>
        </is>
      </c>
      <c r="C13" s="696" t="inlineStr">
        <is>
          <t>Role</t>
        </is>
      </c>
      <c r="D13" s="696" t="inlineStr">
        <is>
          <t>Department</t>
        </is>
      </c>
      <c r="E13" s="696" t="inlineStr">
        <is>
          <t>Status</t>
        </is>
      </c>
      <c r="F13" s="696" t="inlineStr">
        <is>
          <t>Call</t>
        </is>
      </c>
      <c r="G13" s="696" t="inlineStr">
        <is>
          <t>Cost if hired ($)</t>
        </is>
      </c>
    </row>
    <row r="14">
      <c r="B14" s="686" t="str">
        <f>Sheet2!$B$54</f>
        <v>Ahmed Yehya</v>
      </c>
      <c r="C14" s="692" t="str">
        <f>SUBSTITUTE(SUBSTITUTE(Sheet2!$C$54,"–","-"),"—","-")</f>
        <v>TDD Strategic Delivery</v>
      </c>
      <c r="D14" s="686" t="str">
        <f>Sheet2!$G$54</f>
        <v>EGI</v>
      </c>
      <c r="E14" s="673" t="str">
        <f>IF(LOWER(Sheet2!$Q$54)="v","Vacant",IF(LOWER(Sheet2!$Q$54)="pause","Paused",IF(LOWER(Sheet2!$Q$54)="cxc","Contractor","Filled")))</f>
        <v>Contractor</v>
      </c>
    </row>
    <row r="15">
      <c r="B15" s="686" t="str">
        <f>Sheet2!$B$55</f>
        <v>Anthony Huynh</v>
      </c>
      <c r="C15" s="692" t="str">
        <f>SUBSTITUTE(SUBSTITUTE(Sheet2!$C$55,"–","-"),"—","-")</f>
        <v>Strategic Delivery Consultant</v>
      </c>
      <c r="D15" s="686" t="str">
        <f>Sheet2!$G$55</f>
        <v>EGI</v>
      </c>
      <c r="E15" s="673" t="str">
        <f>IF(LOWER(Sheet2!$Q$55)="v","Vacant",IF(LOWER(Sheet2!$Q$55)="pause","Paused",IF(LOWER(Sheet2!$Q$55)="cxc","Contractor","Filled")))</f>
        <v>Contractor</v>
      </c>
    </row>
    <row r="16">
      <c r="B16" s="686" t="str">
        <f>Sheet2!$B$56</f>
        <v>Areum Kim Lee</v>
      </c>
      <c r="C16" s="692" t="str">
        <f>SUBSTITUTE(SUBSTITUTE(Sheet2!$C$56,"–","-"),"—","-")</f>
        <v>Program Manager (PEP13-EGI-UKG)</v>
      </c>
      <c r="D16" s="686" t="str">
        <f>Sheet2!$G$56</f>
        <v>EGI</v>
      </c>
      <c r="E16" s="673" t="str">
        <f>IF(LOWER(Sheet2!$Q$56)="v","Vacant",IF(LOWER(Sheet2!$Q$56)="pause","Paused",IF(LOWER(Sheet2!$Q$56)="cxc","Contractor","Filled")))</f>
        <v>Contractor</v>
      </c>
    </row>
    <row r="17">
      <c r="B17" s="686" t="str">
        <f>Sheet2!$B$57</f>
        <v>Ernesto Pereira</v>
      </c>
      <c r="C17" s="692" t="str">
        <f>SUBSTITUTE(SUBSTITUTE(Sheet2!$C$57,"–","-"),"—","-")</f>
        <v>Project Manger</v>
      </c>
      <c r="D17" s="686" t="str">
        <f>Sheet2!$G$57</f>
        <v>EGI</v>
      </c>
      <c r="E17" s="673" t="str">
        <f>IF(LOWER(Sheet2!$Q$57)="v","Vacant",IF(LOWER(Sheet2!$Q$57)="pause","Paused",IF(LOWER(Sheet2!$Q$57)="cxc","Contractor","Filled")))</f>
        <v>Contractor</v>
      </c>
    </row>
    <row r="18">
      <c r="B18" s="686" t="str">
        <f>Sheet2!$B$58</f>
        <v>Harish Dasari</v>
      </c>
      <c r="C18" s="692" t="str">
        <f>SUBSTITUTE(SUBSTITUTE(Sheet2!$C$58,"–","-"),"—","-")</f>
        <v>Business Analyst (SAP Payroll)</v>
      </c>
      <c r="D18" s="686" t="str">
        <f>Sheet2!$G$58</f>
        <v>EGI</v>
      </c>
      <c r="E18" s="673" t="str">
        <f>IF(LOWER(Sheet2!$Q$58)="v","Vacant",IF(LOWER(Sheet2!$Q$58)="pause","Paused",IF(LOWER(Sheet2!$Q$58)="cxc","Contractor","Filled")))</f>
        <v>Contractor</v>
      </c>
    </row>
    <row r="19">
      <c r="B19" s="686" t="str">
        <f>Sheet2!$B$59</f>
        <v>James Munt</v>
      </c>
      <c r="C19" s="692" t="str">
        <f>SUBSTITUTE(SUBSTITUTE(Sheet2!$C$59,"–","-"),"—","-")</f>
        <v>Program Manager Tech &amp; P&amp;C</v>
      </c>
      <c r="D19" s="686" t="str">
        <f>Sheet2!$G$59</f>
        <v>EGI</v>
      </c>
      <c r="E19" s="673" t="str">
        <f>IF(LOWER(Sheet2!$Q$59)="v","Vacant",IF(LOWER(Sheet2!$Q$59)="pause","Paused",IF(LOWER(Sheet2!$Q$59)="cxc","Contractor","Filled")))</f>
        <v>Contractor</v>
      </c>
    </row>
    <row r="20">
      <c r="B20" s="686" t="str">
        <f>Sheet2!$B$60</f>
        <v>Jason McNamara</v>
      </c>
      <c r="C20" s="692" t="str">
        <f>SUBSTITUTE(SUBSTITUTE(Sheet2!$C$60,"–","-"),"—","-")</f>
        <v>Project Manager Retail</v>
      </c>
      <c r="D20" s="686" t="str">
        <f>Sheet2!$G$60</f>
        <v>EGI</v>
      </c>
      <c r="E20" s="673" t="str">
        <f>IF(LOWER(Sheet2!$Q$60)="v","Vacant",IF(LOWER(Sheet2!$Q$60)="pause","Paused",IF(LOWER(Sheet2!$Q$60)="cxc","Contractor","Filled")))</f>
        <v>Contractor</v>
      </c>
    </row>
    <row r="21">
      <c r="B21" s="686" t="str">
        <f>Sheet2!$B$61</f>
        <v>Jason Sipkovic</v>
      </c>
      <c r="C21" s="692" t="str">
        <f>SUBSTITUTE(SUBSTITUTE(Sheet2!$C$61,"–","-"),"—","-")</f>
        <v>strategic program architect</v>
      </c>
      <c r="D21" s="686" t="str">
        <f>Sheet2!$G$61</f>
        <v>EGI</v>
      </c>
      <c r="E21" s="673" t="str">
        <f>IF(LOWER(Sheet2!$Q$61)="v","Vacant",IF(LOWER(Sheet2!$Q$61)="pause","Paused",IF(LOWER(Sheet2!$Q$61)="cxc","Contractor","Filled")))</f>
        <v>Contractor</v>
      </c>
    </row>
    <row r="22">
      <c r="B22" s="686" t="str">
        <f>Sheet2!$B$62</f>
        <v>Kanika Narula</v>
      </c>
      <c r="C22" s="692" t="str">
        <f>SUBSTITUTE(SUBSTITUTE(Sheet2!$C$62,"–","-"),"—","-")</f>
        <v>Business Analyst Digital</v>
      </c>
      <c r="D22" s="686" t="str">
        <f>Sheet2!$G$62</f>
        <v>EGI</v>
      </c>
      <c r="E22" s="673" t="str">
        <f>IF(LOWER(Sheet2!$Q$62)="v","Vacant",IF(LOWER(Sheet2!$Q$62)="pause","Paused",IF(LOWER(Sheet2!$Q$62)="cxc","Contractor","Filled")))</f>
        <v>Contractor</v>
      </c>
    </row>
    <row r="23">
      <c r="B23" s="686" t="str">
        <f>Sheet2!$B$63</f>
        <v>Karl Reyneke</v>
      </c>
      <c r="C23" s="692" t="str">
        <f>SUBSTITUTE(SUBSTITUTE(Sheet2!$C$63,"–","-"),"—","-")</f>
        <v>Strategic Delivery Consultant</v>
      </c>
      <c r="D23" s="686" t="str">
        <f>Sheet2!$G$63</f>
        <v>EGI</v>
      </c>
      <c r="E23" s="673" t="str">
        <f>IF(LOWER(Sheet2!$Q$63)="v","Vacant",IF(LOWER(Sheet2!$Q$63)="pause","Paused",IF(LOWER(Sheet2!$Q$63)="cxc","Contractor","Filled")))</f>
        <v>Contractor</v>
      </c>
    </row>
    <row r="24">
      <c r="B24" s="686" t="str">
        <f>Sheet2!$B$64</f>
        <v>michelle Siegman</v>
      </c>
      <c r="C24" s="692" t="str">
        <f>SUBSTITUTE(SUBSTITUTE(Sheet2!$C$64,"–","-"),"—","-")</f>
        <v>Strategic Delivery Consultant</v>
      </c>
      <c r="D24" s="686" t="str">
        <f>Sheet2!$G$64</f>
        <v>EGI</v>
      </c>
      <c r="E24" s="673" t="str">
        <f>IF(LOWER(Sheet2!$Q$64)="v","Vacant",IF(LOWER(Sheet2!$Q$64)="pause","Paused",IF(LOWER(Sheet2!$Q$64)="cxc","Contractor","Filled")))</f>
        <v>Contractor</v>
      </c>
    </row>
    <row r="25">
      <c r="B25" s="686" t="str">
        <f>Sheet2!$B$65</f>
        <v>Moitri Pal</v>
      </c>
      <c r="C25" s="692" t="str">
        <f>SUBSTITUTE(SUBSTITUTE(Sheet2!$C$65,"–","-"),"—","-")</f>
        <v>Portfolio Mnager</v>
      </c>
      <c r="D25" s="686" t="str">
        <f>Sheet2!$G$65</f>
        <v>EGI</v>
      </c>
      <c r="E25" s="673" t="str">
        <f>IF(LOWER(Sheet2!$Q$65)="v","Vacant",IF(LOWER(Sheet2!$Q$65)="pause","Paused",IF(LOWER(Sheet2!$Q$65)="cxc","Contractor","Filled")))</f>
        <v>Filled</v>
      </c>
    </row>
    <row r="26">
      <c r="B26" s="686" t="str">
        <f>Sheet2!$B$66</f>
        <v>Niall Greene</v>
      </c>
      <c r="C26" s="692" t="str">
        <f>SUBSTITUTE(SUBSTITUTE(Sheet2!$C$66,"–","-"),"—","-")</f>
        <v>Project Manager (PEP13-EGI-UKG)</v>
      </c>
      <c r="D26" s="686" t="str">
        <f>Sheet2!$G$66</f>
        <v>EGI</v>
      </c>
      <c r="E26" s="673" t="str">
        <f>IF(LOWER(Sheet2!$Q$66)="v","Vacant",IF(LOWER(Sheet2!$Q$66)="pause","Paused",IF(LOWER(Sheet2!$Q$66)="cxc","Contractor","Filled")))</f>
        <v>Contractor</v>
      </c>
    </row>
    <row r="27">
      <c r="B27" s="686" t="str">
        <f>Sheet2!$B$67</f>
        <v>Paul Hassey</v>
      </c>
      <c r="C27" s="692" t="str">
        <f>SUBSTITUTE(SUBSTITUTE(Sheet2!$C$67,"–","-"),"—","-")</f>
        <v>Program Architect</v>
      </c>
      <c r="D27" s="686" t="str">
        <f>Sheet2!$G$67</f>
        <v>EGI</v>
      </c>
      <c r="E27" s="673" t="str">
        <f>IF(LOWER(Sheet2!$Q$67)="v","Vacant",IF(LOWER(Sheet2!$Q$67)="pause","Paused",IF(LOWER(Sheet2!$Q$67)="cxc","Contractor","Filled")))</f>
        <v>Contractor</v>
      </c>
    </row>
    <row r="28">
      <c r="B28" s="686" t="str">
        <f>Sheet2!$B$68</f>
        <v>vijay Solanki</v>
      </c>
      <c r="C28" s="692" t="str">
        <f>SUBSTITUTE(SUBSTITUTE(Sheet2!$C$68,"–","-"),"—","-")</f>
        <v>Project Manager Deployment</v>
      </c>
      <c r="D28" s="686">
        <f>Sheet2!$G$68</f>
        <v>0.0</v>
      </c>
      <c r="E28" s="673" t="str">
        <f>IF(LOWER(Sheet2!$Q$68)="v","Vacant",IF(LOWER(Sheet2!$Q$68)="pause","Paused",IF(LOWER(Sheet2!$Q$68)="cxc","Contractor","Filled")))</f>
        <v>Contractor</v>
      </c>
    </row>
    <row r="29">
      <c r="B29" s="686" t="str">
        <f>Sheet2!$B$69</f>
        <v>Winnie Fernandes</v>
      </c>
      <c r="C29" s="692" t="str">
        <f>SUBSTITUTE(SUBSTITUTE(Sheet2!$C$69,"–","-"),"—","-")</f>
        <v>Delivery Lead - Integration</v>
      </c>
      <c r="D29" s="686" t="str">
        <f>Sheet2!$G$69</f>
        <v>EGI</v>
      </c>
      <c r="E29" s="673" t="str">
        <f>IF(LOWER(Sheet2!$Q$69)="v","Vacant",IF(LOWER(Sheet2!$Q$69)="pause","Paused",IF(LOWER(Sheet2!$Q$69)="cxc","Contractor","Filled")))</f>
        <v>Contractor</v>
      </c>
    </row>
    <row r="30"/>
    <row r="31">
      <c r="B31" s="666" t="inlineStr">
        <is>
          <t>Leadership roles - funded via portfolio overheads</t>
        </is>
      </c>
    </row>
    <row r="32">
      <c r="B32" s="696" t="inlineStr">
        <is>
          <t>Name</t>
        </is>
      </c>
      <c r="C32" s="696" t="inlineStr">
        <is>
          <t>Role</t>
        </is>
      </c>
      <c r="D32" s="696" t="inlineStr">
        <is>
          <t>Department</t>
        </is>
      </c>
      <c r="E32" s="696" t="inlineStr">
        <is>
          <t>Status</t>
        </is>
      </c>
      <c r="F32" s="696" t="inlineStr">
        <is>
          <t>Call</t>
        </is>
      </c>
      <c r="G32" s="696" t="inlineStr">
        <is>
          <t>Cost if hired ($)</t>
        </is>
      </c>
    </row>
    <row r="33">
      <c r="B33" s="686" t="str">
        <f>IF(Squads!$R$15="Vacant","Vacant",Squads!$B$15)</f>
        <v>Vanessa Allen</v>
      </c>
      <c r="C33" s="692" t="str">
        <f>SUBSTITUTE(SUBSTITUTE(Squads!$C$15,"–","-"),"—","-")</f>
        <v>Delivery Manager</v>
      </c>
      <c r="D33" s="686" t="str">
        <f>Squads!$N$15</f>
        <v>Ampol Retail</v>
      </c>
      <c r="E33" s="673" t="str">
        <f>Squads!$R$15</f>
        <v>Filled</v>
      </c>
    </row>
    <row r="34">
      <c r="B34" s="686" t="str">
        <f>IF(Squads!$R$16="Vacant","Vacant",Squads!$B$16)</f>
        <v>Vaishnavi Viswanathan</v>
      </c>
      <c r="C34" s="692" t="str">
        <f>SUBSTITUTE(SUBSTITUTE(Squads!$C$16,"–","-"),"—","-")</f>
        <v>Technology Manager, Store Platform</v>
      </c>
      <c r="D34" s="686" t="str">
        <f>Squads!$N$16</f>
        <v>Ampol Retail</v>
      </c>
      <c r="E34" s="673" t="str">
        <f>Squads!$R$16</f>
        <v>Filled</v>
      </c>
    </row>
    <row r="35">
      <c r="B35" s="686" t="str">
        <f>IF(Squads!$R$17="Vacant","Vacant",Squads!$B$17)</f>
        <v>Tracy Lee Reaper</v>
      </c>
      <c r="C35" s="692" t="str">
        <f>SUBSTITUTE(SUBSTITUTE(Squads!$C$17,"–","-"),"—","-")</f>
        <v>Technology Manager, Merchandising &amp; WFM</v>
      </c>
      <c r="D35" s="686" t="str">
        <f>Squads!$N$17</f>
        <v>Ampol Retail</v>
      </c>
      <c r="E35" s="673" t="str">
        <f>Squads!$R$17</f>
        <v>Filled</v>
      </c>
    </row>
    <row r="36">
      <c r="B36" s="686" t="str">
        <f>IF(Squads!$R$32="Vacant","Vacant",Squads!$B$32)</f>
        <v>Vacant</v>
      </c>
      <c r="C36" s="692" t="str">
        <f>SUBSTITUTE(SUBSTITUTE(Squads!$C$32,"–","-"),"—","-")</f>
        <v>Delivery Manager</v>
      </c>
      <c r="D36" s="686" t="str">
        <f>Squads!$N$32</f>
        <v>Z Retail</v>
      </c>
      <c r="E36" s="673" t="str">
        <f>Squads!$R$32</f>
        <v>Vacant</v>
      </c>
      <c r="F36" s="693" t="inlineStr">
        <is>
          <t>Hold</t>
        </is>
      </c>
      <c r="G36" s="694">
        <f>SUMIF('Added data'!$C$2:$C$549,Squads!$C$32,'Added data'!$AA$2:$AA$549)/COUNTIF('Added data'!$C$2:$C$549,Squads!$C$32)</f>
        <v>278824.3722222222</v>
      </c>
    </row>
    <row r="37">
      <c r="B37" s="686" t="str">
        <f>IF(Squads!$R$35="Vacant","Vacant",Squads!$B$35)</f>
        <v>Emma Natoli</v>
      </c>
      <c r="C37" s="692" t="str">
        <f>SUBSTITUTE(SUBSTITUTE(Squads!$C$35,"–","-"),"—","-")</f>
        <v>Technology Manager, Engineering</v>
      </c>
      <c r="D37" s="686" t="str">
        <f>Squads!$N$35</f>
        <v>Z Retail</v>
      </c>
      <c r="E37" s="673" t="str">
        <f>Squads!$R$35</f>
        <v>Filled</v>
      </c>
    </row>
    <row r="38">
      <c r="B38" s="686" t="str">
        <f>IF(Squads!$R$57="Vacant","Vacant",Squads!$B$57)</f>
        <v>Callan McLaughlin</v>
      </c>
      <c r="C38" s="692" t="str">
        <f>SUBSTITUTE(SUBSTITUTE(Squads!$C$57,"–","-"),"—","-")</f>
        <v>Technology Manager, Site Systems</v>
      </c>
      <c r="D38" s="686" t="str">
        <f>Squads!$N$57</f>
        <v>Z Retail</v>
      </c>
      <c r="E38" s="673" t="str">
        <f>Squads!$R$57</f>
        <v>Filled</v>
      </c>
    </row>
    <row r="39">
      <c r="B39" s="686" t="str">
        <f>IF(Squads!$R$71="Vacant","Vacant",Squads!$B$71)</f>
        <v>Vedran Jukic</v>
      </c>
      <c r="C39" s="692" t="str">
        <f>SUBSTITUTE(SUBSTITUTE(Squads!$C$71,"–","-"),"—","-")</f>
        <v>Technology Manager, Retail</v>
      </c>
      <c r="D39" s="686" t="str">
        <f>Squads!$N$71</f>
        <v>Ampol Retail</v>
      </c>
      <c r="E39" s="673" t="str">
        <f>Squads!$R$71</f>
        <v>Filled</v>
      </c>
    </row>
    <row r="40">
      <c r="B40" s="686" t="str">
        <f>IF(Squads!$R$97="Vacant","Vacant",Squads!$B$97)</f>
        <v>Madan Murthy</v>
      </c>
      <c r="C40" s="692" t="str">
        <f>SUBSTITUTE(SUBSTITUTE(Squads!$C$97,"–","-"),"—","-")</f>
        <v>Head of Technology, AU Retail</v>
      </c>
      <c r="D40" s="686" t="str">
        <f>Squads!$N$97</f>
        <v>Ampol Retail</v>
      </c>
      <c r="E40" s="673" t="str">
        <f>Squads!$R$97</f>
        <v>Filled</v>
      </c>
    </row>
    <row r="41">
      <c r="B41" s="686" t="str">
        <f>IF(Squads!$R$98="Vacant","Vacant",Squads!$B$98)</f>
        <v>Vacant</v>
      </c>
      <c r="C41" s="692" t="str">
        <f>SUBSTITUTE(SUBSTITUTE(Squads!$C$98,"–","-"),"—","-")</f>
        <v>Head of Technology, Z and Group Retail Platforms</v>
      </c>
      <c r="D41" s="686" t="str">
        <f>Squads!$N$98</f>
        <v>Z Retail</v>
      </c>
      <c r="E41" s="673" t="str">
        <f>Squads!$R$98</f>
        <v>Vacant</v>
      </c>
      <c r="F41" s="693" t="inlineStr">
        <is>
          <t>Hold</t>
        </is>
      </c>
      <c r="G41" s="694">
        <f>SUMIF('Added data'!$C$2:$C$549,Squads!$C$98,'Added data'!$AA$2:$AA$549)/COUNTIF('Added data'!$C$2:$C$549,Squads!$C$98)</f>
        <v>291422.0</v>
      </c>
    </row>
    <row r="42">
      <c r="B42" s="686" t="str">
        <f>IF(Squads!$R$115="Vacant","Vacant",Squads!$B$115)</f>
        <v>Jill Martin</v>
      </c>
      <c r="C42" s="692" t="str">
        <f>SUBSTITUTE(SUBSTITUTE(Squads!$C$115,"–","-"),"—","-")</f>
        <v>Delivery Manager</v>
      </c>
      <c r="D42" s="686" t="str">
        <f>Squads!$N$115</f>
        <v>Customer</v>
      </c>
      <c r="E42" s="673" t="str">
        <f>Squads!$R$115</f>
        <v>Filled</v>
      </c>
    </row>
    <row r="43">
      <c r="B43" s="686" t="str">
        <f>IF(Squads!$R$123="Vacant","Vacant",Squads!$B$123)</f>
        <v>Vacant</v>
      </c>
      <c r="C43" s="692" t="str">
        <f>SUBSTITUTE(SUBSTITUTE(Squads!$C$123,"–","-"),"—","-")</f>
        <v>Program Manager</v>
      </c>
      <c r="D43" s="686" t="str">
        <f>Squads!$N$123</f>
        <v>Customer</v>
      </c>
      <c r="E43" s="673" t="str">
        <f>Squads!$R$123</f>
        <v>Vacant</v>
      </c>
      <c r="F43" s="693" t="inlineStr">
        <is>
          <t>Hold</t>
        </is>
      </c>
      <c r="G43" s="694">
        <f>SUMIF('Added data'!$C$2:$C$549,Squads!$C$123,'Added data'!$AA$2:$AA$549)/COUNTIF('Added data'!$C$2:$C$549,Squads!$C$123)</f>
        <v>275810.25</v>
      </c>
    </row>
    <row r="44">
      <c r="B44" s="686" t="str">
        <f>IF(Squads!$R$124="Vacant","Vacant",Squads!$B$124)</f>
        <v>Shona Paul</v>
      </c>
      <c r="C44" s="692" t="str">
        <f>SUBSTITUTE(SUBSTITUTE(Squads!$C$124,"–","-"),"—","-")</f>
        <v>Head of Technology - Digital</v>
      </c>
      <c r="D44" s="686" t="str">
        <f>Squads!$N$124</f>
        <v>Customer</v>
      </c>
      <c r="E44" s="673" t="str">
        <f>Squads!$R$124</f>
        <v>Filled</v>
      </c>
    </row>
    <row r="45">
      <c r="B45" s="686" t="str">
        <f>IF(Squads!$R$142="Vacant","Vacant",Squads!$B$142)</f>
        <v>Byron Thornhill</v>
      </c>
      <c r="C45" s="692" t="str">
        <f>SUBSTITUTE(SUBSTITUTE(Squads!$C$142,"–","-"),"—","-")</f>
        <v>Design Manager</v>
      </c>
      <c r="D45" s="686" t="str">
        <f>Squads!$N$142</f>
        <v>Customer</v>
      </c>
      <c r="E45" s="673" t="str">
        <f>Squads!$R$142</f>
        <v>Filled</v>
      </c>
    </row>
    <row r="46">
      <c r="B46" s="686" t="str">
        <f>IF(Squads!$R$143="Vacant","Vacant",Squads!$B$143)</f>
        <v>Adriel Jeyanandhan</v>
      </c>
      <c r="C46" s="692" t="str">
        <f>SUBSTITUTE(SUBSTITUTE(Squads!$C$143,"–","-"),"—","-")</f>
        <v>Delivery Manager</v>
      </c>
      <c r="D46" s="686" t="str">
        <f>Squads!$N$143</f>
        <v>Customer</v>
      </c>
      <c r="E46" s="673" t="str">
        <f>Squads!$R$143</f>
        <v>Filled</v>
      </c>
    </row>
    <row r="47">
      <c r="B47" s="686" t="str">
        <f>IF(Squads!$R$152="Vacant","Vacant",Squads!$B$152)</f>
        <v>Zoe Udy</v>
      </c>
      <c r="C47" s="692" t="str">
        <f>SUBSTITUTE(SUBSTITUTE(Squads!$C$152,"–","-"),"—","-")</f>
        <v>Technology Manager - Data &amp; Engineering</v>
      </c>
      <c r="D47" s="686" t="str">
        <f>Squads!$N$152</f>
        <v>Customer</v>
      </c>
      <c r="E47" s="673" t="str">
        <f>Squads!$R$152</f>
        <v>Filled</v>
      </c>
    </row>
    <row r="48">
      <c r="B48" s="686" t="str">
        <f>IF(Squads!$R$154="Vacant","Vacant",Squads!$B$154)</f>
        <v>Mitesh Shah</v>
      </c>
      <c r="C48" s="692" t="str">
        <f>SUBSTITUTE(SUBSTITUTE(Squads!$C$154,"–","-"),"—","-")</f>
        <v>Technology Manager - Digital</v>
      </c>
      <c r="D48" s="686" t="str">
        <f>Squads!$N$154</f>
        <v>Customer</v>
      </c>
      <c r="E48" s="673" t="str">
        <f>Squads!$R$154</f>
        <v>Filled</v>
      </c>
    </row>
    <row r="49">
      <c r="B49" s="686" t="str">
        <f>IF(Squads!$R$155="Vacant","Vacant",Squads!$B$155)</f>
        <v>Kris Hamilton</v>
      </c>
      <c r="C49" s="692" t="str">
        <f>SUBSTITUTE(SUBSTITUTE(Squads!$C$155,"–","-"),"—","-")</f>
        <v>Technology Manager - Loyalty &amp; Martech</v>
      </c>
      <c r="D49" s="686" t="str">
        <f>Squads!$N$155</f>
        <v>Customer</v>
      </c>
      <c r="E49" s="673" t="str">
        <f>Squads!$R$155</f>
        <v>Filled</v>
      </c>
    </row>
    <row r="50">
      <c r="B50" s="686" t="str">
        <f>IF(Squads!$R$160="Vacant","Vacant",Squads!$B$160)</f>
        <v>Vacant</v>
      </c>
      <c r="C50" s="692" t="str">
        <f>SUBSTITUTE(SUBSTITUTE(Squads!$C$160,"–","-"),"—","-")</f>
        <v>AI Enablement Lead</v>
      </c>
      <c r="D50" s="686" t="str">
        <f>Squads!$N$160</f>
        <v>Customer</v>
      </c>
      <c r="E50" s="673" t="str">
        <f>Squads!$R$160</f>
        <v>Vacant</v>
      </c>
      <c r="F50" s="693" t="inlineStr">
        <is>
          <t>Hold</t>
        </is>
      </c>
      <c r="G50" s="694">
        <f>SUMIF('Added data'!$C$2:$C$549,Squads!$C$160,'Added data'!$AA$2:$AA$549)/COUNTIF('Added data'!$C$2:$C$549,Squads!$C$160)</f>
        <v>275810.25</v>
      </c>
    </row>
    <row r="51">
      <c r="B51" s="686" t="str">
        <f>IF(Squads!$R$175="Vacant","Vacant",Squads!$B$175)</f>
        <v>Christian Lazano</v>
      </c>
      <c r="C51" s="692" t="str">
        <f>SUBSTITUTE(SUBSTITUTE(Squads!$C$175,"–","-"),"—","-")</f>
        <v>Business Analyst</v>
      </c>
      <c r="D51" s="686" t="str">
        <f>Squads!$N$175</f>
        <v>Customer</v>
      </c>
      <c r="E51" s="673" t="str">
        <f>Squads!$R$175</f>
        <v>Filled</v>
      </c>
    </row>
    <row r="52">
      <c r="B52" s="686" t="str">
        <f>IF(Squads!$R$176="Vacant","Vacant",Squads!$B$176)</f>
        <v>Abhilash Reddy</v>
      </c>
      <c r="C52" s="692" t="str">
        <f>SUBSTITUTE(SUBSTITUTE(Squads!$C$176,"–","-"),"—","-")</f>
        <v>Project Manager</v>
      </c>
      <c r="D52" s="686" t="str">
        <f>Squads!$N$176</f>
        <v>Customer</v>
      </c>
      <c r="E52" s="673" t="str">
        <f>Squads!$R$176</f>
        <v>Filled</v>
      </c>
    </row>
    <row r="53">
      <c r="B53" s="686" t="str">
        <f>IF(Squads!$R$188="Vacant","Vacant",Squads!$B$188)</f>
        <v>Vacant</v>
      </c>
      <c r="C53" s="692" t="str">
        <f>SUBSTITUTE(SUBSTITUTE(Squads!$C$188,"–","-"),"—","-")</f>
        <v>Technology Manager, Engineering</v>
      </c>
      <c r="D53" s="686" t="str">
        <f>Squads!$N$188</f>
        <v>Customer</v>
      </c>
      <c r="E53" s="673" t="str">
        <f>Squads!$R$188</f>
        <v>Vacant</v>
      </c>
      <c r="F53" s="693" t="inlineStr">
        <is>
          <t>Hold</t>
        </is>
      </c>
      <c r="G53" s="694">
        <f>SUMIF('Added data'!$C$2:$C$549,Squads!$C$188,'Added data'!$AA$2:$AA$549)/COUNTIF('Added data'!$C$2:$C$549,Squads!$C$188)</f>
        <v>275810.25</v>
      </c>
    </row>
    <row r="54">
      <c r="B54" s="686" t="str">
        <f>IF(Squads!$R$190="Vacant","Vacant",Squads!$B$190)</f>
        <v>Andy Stewart</v>
      </c>
      <c r="C54" s="692" t="str">
        <f>SUBSTITUTE(SUBSTITUTE(Squads!$C$190,"–","-"),"—","-")</f>
        <v>Head of Technology, Loyalty &amp; Martech</v>
      </c>
      <c r="D54" s="686" t="str">
        <f>Squads!$N$190</f>
        <v>Customer</v>
      </c>
      <c r="E54" s="673" t="str">
        <f>Squads!$R$190</f>
        <v>Filled</v>
      </c>
    </row>
    <row r="55">
      <c r="B55" s="686" t="str">
        <f>IF(Squads!$R$201="Vacant","Vacant",Squads!$B$201)</f>
        <v>Vacant</v>
      </c>
      <c r="C55" s="692" t="str">
        <f>SUBSTITUTE(SUBSTITUTE(Squads!$C$201,"–","-"),"—","-")</f>
        <v>Snr Business Analyst</v>
      </c>
      <c r="D55" s="686" t="str">
        <f>Squads!$N$201</f>
        <v>Customer</v>
      </c>
      <c r="E55" s="673" t="str">
        <f>Squads!$R$201</f>
        <v>Vacant</v>
      </c>
      <c r="F55" s="693" t="inlineStr">
        <is>
          <t>Hold</t>
        </is>
      </c>
      <c r="G55" s="694">
        <f>SUMIF('Added data'!$C$2:$C$549,Squads!$C$201,'Added data'!$AA$2:$AA$549)/COUNTIF('Added data'!$C$2:$C$549,Squads!$C$201)</f>
        <v>236102.16</v>
      </c>
    </row>
    <row r="56">
      <c r="B56" s="686" t="str">
        <f>IF(Squads!$R$252="Vacant","Vacant",Squads!$B$252)</f>
        <v>Shruti Manchanda</v>
      </c>
      <c r="C56" s="692" t="str">
        <f>SUBSTITUTE(SUBSTITUTE(Squads!$C$252,"–","-"),"—","-")</f>
        <v>Cyber GRC Analyst</v>
      </c>
      <c r="D56" s="686" t="str">
        <f>Squads!$N$252</f>
        <v>Unmapped</v>
      </c>
      <c r="E56" s="673" t="str">
        <f>Squads!$R$252</f>
        <v>Filled</v>
      </c>
    </row>
    <row r="57">
      <c r="B57" s="686" t="str">
        <f>IF(Squads!$R$290="Vacant","Vacant",Squads!$B$290)</f>
        <v>Sanjay Tikoo</v>
      </c>
      <c r="C57" s="692" t="str">
        <f>SUBSTITUTE(SUBSTITUTE(Squads!$C$290,"–","-"),"—","-")</f>
        <v>Principal, Data Architecture &amp; Governance</v>
      </c>
      <c r="D57" s="686" t="str">
        <f>Squads!$N$290</f>
        <v>COE</v>
      </c>
      <c r="E57" s="673" t="str">
        <f>Squads!$R$290</f>
        <v>Filled</v>
      </c>
    </row>
    <row r="58">
      <c r="B58" s="686" t="str">
        <f>IF(Squads!$R$291="Vacant","Vacant",Squads!$B$291)</f>
        <v>Vacant</v>
      </c>
      <c r="C58" s="692" t="str">
        <f>SUBSTITUTE(SUBSTITUTE(Squads!$C$291,"–","-"),"—","-")</f>
        <v>Technology Manager, Data Engineering &amp; Platforms</v>
      </c>
      <c r="D58" s="686" t="str">
        <f>Squads!$N$291</f>
        <v>COE</v>
      </c>
      <c r="E58" s="673" t="str">
        <f>Squads!$R$291</f>
        <v>Vacant</v>
      </c>
      <c r="F58" s="693" t="inlineStr">
        <is>
          <t>Hold</t>
        </is>
      </c>
      <c r="G58" s="694">
        <f>SUMIF('Added data'!$C$2:$C$549,Squads!$C$291,'Added data'!$AA$2:$AA$549)/COUNTIF('Added data'!$C$2:$C$549,Squads!$C$291)</f>
        <v>320862.0</v>
      </c>
    </row>
    <row r="59">
      <c r="B59" s="686" t="str">
        <f>IF(Squads!$R$306="Vacant","Vacant",Squads!$B$306)</f>
        <v>Vacant</v>
      </c>
      <c r="C59" s="692" t="str">
        <f>SUBSTITUTE(SUBSTITUTE(Squads!$C$306,"–","-"),"—","-")</f>
        <v>Senior Communications Advisor</v>
      </c>
      <c r="D59" s="686" t="str">
        <f>Squads!$N$306</f>
        <v>COE</v>
      </c>
      <c r="E59" s="673" t="str">
        <f>Squads!$R$306</f>
        <v>Vacant</v>
      </c>
      <c r="F59" s="693" t="inlineStr">
        <is>
          <t>Hold</t>
        </is>
      </c>
      <c r="G59" s="694">
        <f>SUMIF('Added data'!$C$2:$C$549,Squads!$C$306,'Added data'!$AA$2:$AA$549)/COUNTIF('Added data'!$C$2:$C$549,Squads!$C$306)</f>
        <v>186900.0</v>
      </c>
    </row>
    <row r="60">
      <c r="B60" s="686" t="str">
        <f>IF(Squads!$R$307="Vacant","Vacant",Squads!$B$307)</f>
        <v>James Holgate</v>
      </c>
      <c r="C60" s="692" t="str">
        <f>SUBSTITUTE(SUBSTITUTE(Squads!$C$307,"–","-"),"—","-")</f>
        <v>Head of Technology,  Group Data</v>
      </c>
      <c r="D60" s="686" t="str">
        <f>Squads!$N$307</f>
        <v>COE</v>
      </c>
      <c r="E60" s="673" t="str">
        <f>Squads!$R$307</f>
        <v>Filled</v>
      </c>
    </row>
    <row r="61">
      <c r="B61" s="686" t="str">
        <f>IF(Squads!$R$308="Vacant","Vacant",Squads!$B$308)</f>
        <v>Joel Vijayakumar</v>
      </c>
      <c r="C61" s="692" t="str">
        <f>SUBSTITUTE(SUBSTITUTE(Squads!$C$308,"–","-"),"—","-")</f>
        <v>Delivery Manager, Strategy, Architecture &amp; Data</v>
      </c>
      <c r="D61" s="686" t="str">
        <f>Squads!$N$308</f>
        <v>COE</v>
      </c>
      <c r="E61" s="673" t="str">
        <f>Squads!$R$308</f>
        <v>Filled</v>
      </c>
    </row>
    <row r="62">
      <c r="B62" s="686" t="str">
        <f>IF(Squads!$R$309="Vacant","Vacant",Squads!$B$309)</f>
        <v>Vacant</v>
      </c>
      <c r="C62" s="692" t="str">
        <f>SUBSTITUTE(SUBSTITUTE(Squads!$C$309,"–","-"),"—","-")</f>
        <v>Head of Technology Strategy &amp; AI Capability</v>
      </c>
      <c r="D62" s="686" t="str">
        <f>Squads!$N$309</f>
        <v>COE</v>
      </c>
      <c r="E62" s="673" t="str">
        <f>Squads!$R$309</f>
        <v>Vacant</v>
      </c>
      <c r="F62" s="693" t="inlineStr">
        <is>
          <t>Hold</t>
        </is>
      </c>
      <c r="G62" s="694">
        <f>SUMIF('Added data'!$C$2:$C$549,Squads!$C$309,'Added data'!$AA$2:$AA$549)/COUNTIF('Added data'!$C$2:$C$549,Squads!$C$309)</f>
        <v>333020.25</v>
      </c>
    </row>
    <row r="63">
      <c r="B63" s="686" t="str">
        <f>IF(Squads!$R$317="Vacant","Vacant",Squads!$B$317)</f>
        <v>Mitchell Clarke</v>
      </c>
      <c r="C63" s="692" t="str">
        <f>SUBSTITUTE(SUBSTITUTE(Squads!$C$317,"–","-"),"—","-")</f>
        <v>Snr Data Governance Specialist</v>
      </c>
      <c r="D63" s="686" t="str">
        <f>Squads!$N$317</f>
        <v>COE</v>
      </c>
      <c r="E63" s="673" t="str">
        <f>Squads!$R$317</f>
        <v>Filled</v>
      </c>
    </row>
    <row r="64">
      <c r="B64" s="686" t="str">
        <f>IF(Squads!$R$323="Vacant","Vacant",Squads!$B$323)</f>
        <v>Jonathan Robinson</v>
      </c>
      <c r="C64" s="692" t="str">
        <f>SUBSTITUTE(SUBSTITUTE(Squads!$C$323,"–","-"),"—","-")</f>
        <v>Technology Manager  Data Science</v>
      </c>
      <c r="D64" s="686" t="str">
        <f>Squads!$N$323</f>
        <v>COE</v>
      </c>
      <c r="E64" s="673" t="str">
        <f>Squads!$R$323</f>
        <v>Filled</v>
      </c>
    </row>
    <row r="65">
      <c r="B65" s="686" t="str">
        <f>IF(Squads!$R$340="Vacant","Vacant",Squads!$B$340)</f>
        <v>Ed Tacey</v>
      </c>
      <c r="C65" s="692" t="str">
        <f>SUBSTITUTE(SUBSTITUTE(Squads!$C$340,"–","-"),"—","-")</f>
        <v>Head of Architecture</v>
      </c>
      <c r="D65" s="686" t="str">
        <f>Squads!$N$340</f>
        <v>Unmapped</v>
      </c>
      <c r="E65" s="673" t="str">
        <f>Squads!$R$340</f>
        <v>Filled</v>
      </c>
    </row>
    <row r="66">
      <c r="B66" s="686" t="str">
        <f>IF(Squads!$R$351="Vacant","Vacant",Squads!$B$351)</f>
        <v>Vacant</v>
      </c>
      <c r="C66" s="692" t="str">
        <f>SUBSTITUTE(SUBSTITUTE(Squads!$C$351,"–","-"),"—","-")</f>
        <v>Technology Manager Data</v>
      </c>
      <c r="D66" s="686" t="str">
        <f>Squads!$N$351</f>
        <v>Infrastructure</v>
      </c>
      <c r="E66" s="673" t="str">
        <f>Squads!$R$351</f>
        <v>Vacant</v>
      </c>
      <c r="F66" s="693" t="inlineStr">
        <is>
          <t>Hold</t>
        </is>
      </c>
      <c r="G66" s="694">
        <f>SUMIF('Added data'!$C$2:$C$549,Squads!$C$351,'Added data'!$AA$2:$AA$549)/COUNTIF('Added data'!$C$2:$C$549,Squads!$C$351)</f>
        <v>275810.25</v>
      </c>
    </row>
    <row r="67">
      <c r="B67" s="686" t="str">
        <f>IF(Squads!$R$353="Vacant","Vacant",Squads!$B$353)</f>
        <v>Prem Shetty</v>
      </c>
      <c r="C67" s="692" t="str">
        <f>SUBSTITUTE(SUBSTITUTE(Squads!$C$353,"–","-"),"—","-")</f>
        <v>Delivery manager</v>
      </c>
      <c r="D67" s="686" t="str">
        <f>Squads!$N$353</f>
        <v>Infrastructure</v>
      </c>
      <c r="E67" s="673" t="str">
        <f>Squads!$R$353</f>
        <v>Filled</v>
      </c>
    </row>
    <row r="68">
      <c r="B68" s="686" t="str">
        <f>IF(Squads!$R$354="Vacant","Vacant",Squads!$B$354)</f>
        <v>George Moun</v>
      </c>
      <c r="C68" s="692" t="str">
        <f>SUBSTITUTE(SUBSTITUTE(Squads!$C$354,"–","-"),"—","-")</f>
        <v>Solution Architect</v>
      </c>
      <c r="D68" s="686" t="str">
        <f>Squads!$N$354</f>
        <v>Infrastructure</v>
      </c>
      <c r="E68" s="673" t="str">
        <f>Squads!$R$354</f>
        <v>Filled</v>
      </c>
    </row>
    <row r="69">
      <c r="B69" s="686" t="str">
        <f>IF(Squads!$R$373="Vacant","Vacant",Squads!$B$373)</f>
        <v>Elle Spencer</v>
      </c>
      <c r="C69" s="692" t="str">
        <f>SUBSTITUTE(SUBSTITUTE(Squads!$C$373,"–","-"),"—","-")</f>
        <v>Technology Manager - B2B</v>
      </c>
      <c r="D69" s="686" t="str">
        <f>Squads!$N$373</f>
        <v>Energy Solutions &amp; B2B</v>
      </c>
      <c r="E69" s="673" t="str">
        <f>Squads!$R$373</f>
        <v>Filled</v>
      </c>
    </row>
    <row r="70">
      <c r="B70" s="686" t="str">
        <f>IF(Squads!$R$375="Vacant","Vacant",Squads!$B$375)</f>
        <v>Vacant</v>
      </c>
      <c r="C70" s="692" t="str">
        <f>SUBSTITUTE(SUBSTITUTE(Squads!$C$375,"–","-"),"—","-")</f>
        <v>Delivery manager</v>
      </c>
      <c r="D70" s="686" t="str">
        <f>Squads!$N$375</f>
        <v>Energy Solutions &amp; B2B</v>
      </c>
      <c r="E70" s="673" t="str">
        <f>Squads!$R$375</f>
        <v>Vacant</v>
      </c>
      <c r="F70" s="693" t="inlineStr">
        <is>
          <t>Hold</t>
        </is>
      </c>
      <c r="G70" s="694">
        <f>SUMIF('Added data'!$C$2:$C$549,Squads!$C$375,'Added data'!$AA$2:$AA$549)/COUNTIF('Added data'!$C$2:$C$549,Squads!$C$375)</f>
        <v>278824.3722222222</v>
      </c>
    </row>
    <row r="71">
      <c r="B71" s="686" t="str">
        <f>IF(Squads!$R$380="Vacant","Vacant",Squads!$B$380)</f>
        <v>Amish Pandit</v>
      </c>
      <c r="C71" s="692" t="str">
        <f>SUBSTITUTE(SUBSTITUTE(Squads!$C$380,"–","-"),"—","-")</f>
        <v>Head of Technology, Fuel Infrastructure</v>
      </c>
      <c r="D71" s="686" t="str">
        <f>Squads!$N$380</f>
        <v>Infrastructure</v>
      </c>
      <c r="E71" s="673" t="str">
        <f>Squads!$R$380</f>
        <v>Filled</v>
      </c>
    </row>
    <row r="72">
      <c r="B72" s="686" t="str">
        <f>IF(Squads!$R$381="Vacant","Vacant",Squads!$B$381)</f>
        <v>Liesl Tye</v>
      </c>
      <c r="C72" s="692" t="str">
        <f>SUBSTITUTE(SUBSTITUTE(Squads!$C$381,"–","-"),"—","-")</f>
        <v>Head of Technology, B2B &amp; Energy Solutions</v>
      </c>
      <c r="D72" s="686" t="str">
        <f>Squads!$N$381</f>
        <v>Energy Solutions &amp; B2B</v>
      </c>
      <c r="E72" s="673" t="str">
        <f>Squads!$R$381</f>
        <v>Filled</v>
      </c>
    </row>
    <row r="73">
      <c r="B73" s="686" t="str">
        <f>IF(Squads!$R$405="Vacant","Vacant",Squads!$B$405)</f>
        <v>Karla Orozco Loza</v>
      </c>
      <c r="C73" s="692" t="str">
        <f>SUBSTITUTE(SUBSTITUTE(Squads!$C$405,"–","-"),"—","-")</f>
        <v>Technology Manager, Future Infrastructure </v>
      </c>
      <c r="D73" s="686" t="str">
        <f>Squads!$N$405</f>
        <v>Infrastructure</v>
      </c>
      <c r="E73" s="673" t="str">
        <f>Squads!$R$405</f>
        <v>Filled</v>
      </c>
    </row>
    <row r="74">
      <c r="B74" s="686" t="str">
        <f>IF(Squads!$R$492="Vacant","Vacant",Squads!$B$492)</f>
        <v>Vacant</v>
      </c>
      <c r="C74" s="692" t="str">
        <f>SUBSTITUTE(SUBSTITUTE(Squads!$C$492,"–","-"),"—","-")</f>
        <v>Snr Engineer</v>
      </c>
      <c r="D74" s="686" t="str">
        <f>Squads!$N$492</f>
        <v>Energy Solutions &amp; B2B</v>
      </c>
      <c r="E74" s="673" t="str">
        <f>Squads!$R$492</f>
        <v>Vacant</v>
      </c>
      <c r="F74" s="693" t="inlineStr">
        <is>
          <t>Hold</t>
        </is>
      </c>
      <c r="G74" s="694">
        <f>SUMIF('Added data'!$C$2:$C$549,Squads!$C$492,'Added data'!$AA$2:$AA$549)/COUNTIF('Added data'!$C$2:$C$549,Squads!$C$492)</f>
        <v>163253.64</v>
      </c>
    </row>
    <row r="75">
      <c r="B75" s="686" t="str">
        <f>IF(Squads!$R$493="Vacant","Vacant",Squads!$B$493)</f>
        <v>Shane Ker</v>
      </c>
      <c r="C75" s="692" t="str">
        <f>SUBSTITUTE(SUBSTITUTE(Squads!$C$493,"–","-"),"—","-")</f>
        <v>Technology Manger - Finance Platfoms</v>
      </c>
      <c r="D75" s="686" t="str">
        <f>Squads!$N$493</f>
        <v>Finance</v>
      </c>
      <c r="E75" s="673" t="str">
        <f>Squads!$R$493</f>
        <v>Filled</v>
      </c>
    </row>
    <row r="76">
      <c r="B76" s="686" t="str">
        <f>IF(Squads!$R$494="Vacant","Vacant",Squads!$B$494)</f>
        <v>Dave O'Keefe</v>
      </c>
      <c r="C76" s="692" t="str">
        <f>SUBSTITUTE(SUBSTITUTE(Squads!$C$494,"–","-"),"—","-")</f>
        <v>Technology Manager - P&amp;C Platforms</v>
      </c>
      <c r="D76" s="686" t="str">
        <f>Squads!$N$494</f>
        <v>P&amp;C</v>
      </c>
      <c r="E76" s="673" t="str">
        <f>Squads!$R$494</f>
        <v>Filled</v>
      </c>
    </row>
    <row r="77">
      <c r="B77" s="686" t="str">
        <f>IF(Squads!$R$495="Vacant","Vacant",Squads!$B$495)</f>
        <v>Vaso Vukovic</v>
      </c>
      <c r="C77" s="692" t="str">
        <f>SUBSTITUTE(SUBSTITUTE(Squads!$C$495,"–","-"),"—","-")</f>
        <v>Head of Technology - P&amp;C, Finance &amp; Legal</v>
      </c>
      <c r="D77" s="686" t="str">
        <f>Squads!$N$495</f>
        <v>P&amp;C</v>
      </c>
      <c r="E77" s="673" t="str">
        <f>Squads!$R$495</f>
        <v>Filled</v>
      </c>
    </row>
    <row r="78">
      <c r="B78" s="686" t="str">
        <f>IF(Squads!$R$496="Vacant","Vacant",Squads!$B$496)</f>
        <v>Vacant</v>
      </c>
      <c r="C78" s="692" t="str">
        <f>SUBSTITUTE(SUBSTITUTE(Squads!$C$496,"–","-"),"—","-")</f>
        <v>Delivery Manager</v>
      </c>
      <c r="D78" s="686" t="str">
        <f>Squads!$N$496</f>
        <v>P&amp;C</v>
      </c>
      <c r="E78" s="673" t="str">
        <f>Squads!$R$496</f>
        <v>Vacant</v>
      </c>
      <c r="F78" s="693" t="inlineStr">
        <is>
          <t>Hold</t>
        </is>
      </c>
      <c r="G78" s="694">
        <f>SUMIF('Added data'!$C$2:$C$549,Squads!$C$496,'Added data'!$AA$2:$AA$549)/COUNTIF('Added data'!$C$2:$C$549,Squads!$C$496)</f>
        <v>278824.3722222222</v>
      </c>
    </row>
    <row r="79">
      <c r="B79" s="686" t="str">
        <f>IF(Squads!$R$497="Vacant","Vacant",Squads!$B$497)</f>
        <v>Vacant</v>
      </c>
      <c r="C79" s="692" t="str">
        <f>SUBSTITUTE(SUBSTITUTE(Squads!$C$497,"–","-"),"—","-")</f>
        <v>Head of Technology - TDD &amp; Engineering Capability Lead</v>
      </c>
      <c r="D79" s="686" t="str">
        <f>Squads!$N$497</f>
        <v>TDD Group Functions</v>
      </c>
      <c r="E79" s="673" t="str">
        <f>Squads!$R$497</f>
        <v>Vacant</v>
      </c>
      <c r="F79" s="693" t="inlineStr">
        <is>
          <t>Hold</t>
        </is>
      </c>
      <c r="G79" s="694">
        <f>SUMIF('Added data'!$C$2:$C$549,Squads!$C$497,'Added data'!$AA$2:$AA$549)/COUNTIF('Added data'!$C$2:$C$549,Squads!$C$497)</f>
        <v>333020.25</v>
      </c>
    </row>
    <row r="80">
      <c r="B80" s="686" t="str">
        <f>IF(Squads!$R$498="Vacant","Vacant",Squads!$B$498)</f>
        <v>Nakul Bharade</v>
      </c>
      <c r="C80" s="692" t="str">
        <f>SUBSTITUTE(SUBSTITUTE(Squads!$C$498,"–","-"),"—","-")</f>
        <v>Lead Engineer Software</v>
      </c>
      <c r="D80" s="686" t="str">
        <f>Squads!$N$498</f>
        <v>TDD Group Functions</v>
      </c>
      <c r="E80" s="673" t="str">
        <f>Squads!$R$498</f>
        <v>Filled</v>
      </c>
    </row>
    <row r="81">
      <c r="B81" s="686" t="str">
        <f>IF(Squads!$R$499="Vacant","Vacant",Squads!$B$499)</f>
        <v>Murray Mitchell</v>
      </c>
      <c r="C81" s="692" t="str">
        <f>SUBSTITUTE(SUBSTITUTE(Squads!$C$499,"–","-"),"—","-")</f>
        <v>Technology Manager, Workplace and Enterprise Tooling</v>
      </c>
      <c r="D81" s="686" t="str">
        <f>Squads!$N$499</f>
        <v>TDD Group Functions</v>
      </c>
      <c r="E81" s="673" t="str">
        <f>Squads!$R$499</f>
        <v>Filled</v>
      </c>
    </row>
    <row r="82">
      <c r="B82" s="686" t="str">
        <f>IF(Squads!$R$500="Vacant","Vacant",Squads!$B$500)</f>
        <v>Vacant</v>
      </c>
      <c r="C82" s="692" t="str">
        <f>SUBSTITUTE(SUBSTITUTE(Squads!$C$500,"–","-"),"—","-")</f>
        <v>Technology Manager - DevOps and Quality Engineering</v>
      </c>
      <c r="D82" s="686" t="str">
        <f>Squads!$N$500</f>
        <v>TDD Group Functions</v>
      </c>
      <c r="E82" s="673" t="str">
        <f>Squads!$R$500</f>
        <v>Vacant</v>
      </c>
      <c r="F82" s="693" t="inlineStr">
        <is>
          <t>Hold</t>
        </is>
      </c>
      <c r="G82" s="694">
        <f>SUMIF('Added data'!$C$2:$C$549,Squads!$C$500,'Added data'!$AA$2:$AA$549)/COUNTIF('Added data'!$C$2:$C$549,Squads!$C$500)</f>
        <v>275810.25</v>
      </c>
    </row>
    <row r="83">
      <c r="B83" s="686" t="str">
        <f>IF(Squads!$R$501="Vacant","Vacant",Squads!$B$501)</f>
        <v>Vacant</v>
      </c>
      <c r="C83" s="692" t="str">
        <f>SUBSTITUTE(SUBSTITUTE(Squads!$C$501,"–","-"),"—","-")</f>
        <v>Delivery Manager</v>
      </c>
      <c r="D83" s="686" t="str">
        <f>Squads!$N$501</f>
        <v>TDD Group Functions</v>
      </c>
      <c r="E83" s="673" t="str">
        <f>Squads!$R$501</f>
        <v>Vacant</v>
      </c>
      <c r="F83" s="693" t="inlineStr">
        <is>
          <t>Hold</t>
        </is>
      </c>
      <c r="G83" s="694">
        <f>SUMIF('Added data'!$C$2:$C$549,Squads!$C$501,'Added data'!$AA$2:$AA$549)/COUNTIF('Added data'!$C$2:$C$549,Squads!$C$501)</f>
        <v>278824.3722222222</v>
      </c>
    </row>
    <row r="84">
      <c r="B84" s="686" t="str">
        <f>IF(Squads!$R$502="Vacant","Vacant",Squads!$B$502)</f>
        <v>Vacant</v>
      </c>
      <c r="C84" s="692" t="str">
        <f>SUBSTITUTE(SUBSTITUTE(Squads!$C$502,"–","-"),"—","-")</f>
        <v>Technology Manager - Cloud, Network and Infrastructure Operations</v>
      </c>
      <c r="D84" s="686" t="str">
        <f>Squads!$N$502</f>
        <v>TDD Group Functions</v>
      </c>
      <c r="E84" s="673" t="str">
        <f>Squads!$R$502</f>
        <v>Vacant</v>
      </c>
      <c r="F84" s="693" t="inlineStr">
        <is>
          <t>Hold</t>
        </is>
      </c>
      <c r="G84" s="694">
        <f>SUMIF('Added data'!$C$2:$C$549,Squads!$C$502,'Added data'!$AA$2:$AA$549)/COUNTIF('Added data'!$C$2:$C$549,Squads!$C$502)</f>
        <v>275810.25</v>
      </c>
    </row>
    <row r="85">
      <c r="B85" s="686" t="str">
        <f>IF(Squads!$R$503="Vacant","Vacant",Squads!$B$503)</f>
        <v>Vacant</v>
      </c>
      <c r="C85" s="692" t="str">
        <f>SUBSTITUTE(SUBSTITUTE(Squads!$C$503,"–","-"),"—","-")</f>
        <v>Snr Engineer</v>
      </c>
      <c r="D85" s="686" t="str">
        <f>Squads!$N$503</f>
        <v>TDD Group Functions</v>
      </c>
      <c r="E85" s="673" t="str">
        <f>Squads!$R$503</f>
        <v>Vacant</v>
      </c>
      <c r="F85" s="693" t="inlineStr">
        <is>
          <t>Hold</t>
        </is>
      </c>
      <c r="G85" s="694">
        <f>SUMIF('Added data'!$C$2:$C$549,Squads!$C$503,'Added data'!$AA$2:$AA$549)/COUNTIF('Added data'!$C$2:$C$549,Squads!$C$503)</f>
        <v>163253.64</v>
      </c>
    </row>
    <row r="86"/>
    <row r="87">
      <c r="B87" s="666" t="inlineStr">
        <is>
          <t>Every other role - unmapped, outside the archetype model, or raw data EGI rows</t>
        </is>
      </c>
    </row>
    <row r="88">
      <c r="B88" s="696" t="inlineStr">
        <is>
          <t>Name</t>
        </is>
      </c>
      <c r="C88" s="696" t="inlineStr">
        <is>
          <t>Role</t>
        </is>
      </c>
      <c r="D88" s="696" t="inlineStr">
        <is>
          <t>Department</t>
        </is>
      </c>
      <c r="E88" s="696" t="inlineStr">
        <is>
          <t>Status</t>
        </is>
      </c>
      <c r="F88" s="696" t="inlineStr">
        <is>
          <t>Call</t>
        </is>
      </c>
      <c r="G88" s="696" t="inlineStr">
        <is>
          <t>Cost if hired ($)</t>
        </is>
      </c>
    </row>
    <row r="89">
      <c r="B89" s="686" t="str">
        <f>IF(Squads!$R$37="Vacant","Vacant",Squads!$B$37)</f>
        <v>Vacant</v>
      </c>
      <c r="C89" s="692" t="str">
        <f>SUBSTITUTE(SUBSTITUTE(Squads!$C$37,"–","-"),"—","-")</f>
        <v>Delivery Lead</v>
      </c>
      <c r="D89" s="686" t="str">
        <f>Squads!$N$37</f>
        <v>Z Retail</v>
      </c>
      <c r="E89" s="673" t="str">
        <f>Squads!$R$37</f>
        <v>Vacant</v>
      </c>
      <c r="F89" s="693" t="inlineStr">
        <is>
          <t>Hold</t>
        </is>
      </c>
      <c r="G89" s="694">
        <f>SUMIF('Added data'!$C$2:$C$549,Squads!$C$37,'Added data'!$AA$2:$AA$549)/COUNTIF('Added data'!$C$2:$C$549,Squads!$C$37)</f>
        <v>231778.89629629627</v>
      </c>
    </row>
    <row r="90">
      <c r="B90" s="686" t="str">
        <f>IF(Squads!$R$39="Vacant","Vacant",Squads!$B$39)</f>
        <v>Anne Pretorius</v>
      </c>
      <c r="C90" s="692" t="str">
        <f>SUBSTITUTE(SUBSTITUTE(Squads!$C$39,"–","-"),"—","-")</f>
        <v>Lead Business Analyst</v>
      </c>
      <c r="D90" s="686" t="str">
        <f>Squads!$N$39</f>
        <v>EGI</v>
      </c>
      <c r="E90" s="673" t="str">
        <f>Squads!$R$39</f>
        <v>Filled</v>
      </c>
    </row>
    <row r="91">
      <c r="B91" s="686" t="str">
        <f>IF(Squads!$R$42="Vacant","Vacant",Squads!$B$42)</f>
        <v>Ash Muthumala</v>
      </c>
      <c r="C91" s="692" t="str">
        <f>SUBSTITUTE(SUBSTITUTE(Squads!$C$42,"–","-"),"—","-")</f>
        <v>Senior QA Analyst</v>
      </c>
      <c r="D91" s="686" t="str">
        <f>Squads!$N$42</f>
        <v>Z Retail</v>
      </c>
      <c r="E91" s="673" t="str">
        <f>Squads!$R$42</f>
        <v>Filled</v>
      </c>
    </row>
    <row r="92">
      <c r="B92" s="686" t="str">
        <f>IF(Squads!$R$65="Vacant","Vacant",Squads!$B$65)</f>
        <v>McKenzie Tournquist</v>
      </c>
      <c r="C92" s="692" t="str">
        <f>SUBSTITUTE(SUBSTITUTE(Squads!$C$65,"–","-"),"—","-")</f>
        <v>Data Analyst</v>
      </c>
      <c r="D92" s="686" t="str">
        <f>Squads!$N$65</f>
        <v>Z Retail</v>
      </c>
      <c r="E92" s="673" t="str">
        <f>Squads!$R$65</f>
        <v>Filled</v>
      </c>
    </row>
    <row r="93">
      <c r="B93" s="686" t="str">
        <f>IF(Squads!$R$67="Vacant","Vacant",Squads!$B$67)</f>
        <v>Jodie Marquez</v>
      </c>
      <c r="C93" s="692" t="str">
        <f>SUBSTITUTE(SUBSTITUTE(Squads!$C$67,"–","-"),"—","-")</f>
        <v>Data Analyst</v>
      </c>
      <c r="D93" s="686" t="str">
        <f>Squads!$N$67</f>
        <v>Z Retail</v>
      </c>
      <c r="E93" s="673" t="str">
        <f>Squads!$R$67</f>
        <v>Filled</v>
      </c>
    </row>
    <row r="94">
      <c r="B94" s="686" t="str">
        <f>IF(Squads!$R$72="Vacant","Vacant",Squads!$B$72)</f>
        <v>Kanti Hirani</v>
      </c>
      <c r="C94" s="692" t="str">
        <f>SUBSTITUTE(SUBSTITUTE(Squads!$C$72,"–","-"),"—","-")</f>
        <v>Business Analyst (PEP13 UK)</v>
      </c>
      <c r="D94" s="686" t="str">
        <f>Squads!$N$72</f>
        <v>EGI</v>
      </c>
      <c r="E94" s="673" t="str">
        <f>Squads!$R$72</f>
        <v>Filled</v>
      </c>
    </row>
    <row r="95">
      <c r="B95" s="686" t="str">
        <f>IF(Squads!$R$74="Vacant","Vacant",Squads!$B$74)</f>
        <v>Brian Lai</v>
      </c>
      <c r="C95" s="692" t="str">
        <f>SUBSTITUTE(SUBSTITUTE(Squads!$C$74,"–","-"),"—","-")</f>
        <v>Engineer - Data</v>
      </c>
      <c r="D95" s="686" t="str">
        <f>Squads!$N$74</f>
        <v>Z Retail</v>
      </c>
      <c r="E95" s="673" t="str">
        <f>Squads!$R$74</f>
        <v>Filled</v>
      </c>
    </row>
    <row r="96">
      <c r="B96" s="686" t="str">
        <f>IF(Squads!$R$87="Vacant","Vacant",Squads!$B$87)</f>
        <v>Michael Dasan</v>
      </c>
      <c r="C96" s="692" t="str">
        <f>SUBSTITUTE(SUBSTITUTE(Squads!$C$87,"–","-"),"—","-")</f>
        <v>Engineer - Data</v>
      </c>
      <c r="D96" s="686" t="str">
        <f>Squads!$N$87</f>
        <v>Z Retail</v>
      </c>
      <c r="E96" s="673" t="str">
        <f>Squads!$R$87</f>
        <v>Filled</v>
      </c>
    </row>
    <row r="97">
      <c r="B97" s="686" t="str">
        <f>IF(Squads!$R$158="Vacant","Vacant",Squads!$B$158)</f>
        <v>Vacant</v>
      </c>
      <c r="C97" s="692" t="str">
        <f>SUBSTITUTE(SUBSTITUTE(Squads!$C$158,"–","-"),"—","-")</f>
        <v>Snr Engineer, (TBD</v>
      </c>
      <c r="D97" s="686" t="str">
        <f>Squads!$N$158</f>
        <v>Customer</v>
      </c>
      <c r="E97" s="673" t="str">
        <f>Squads!$R$158</f>
        <v>Vacant</v>
      </c>
      <c r="F97" s="693" t="inlineStr">
        <is>
          <t>Hold</t>
        </is>
      </c>
      <c r="G97" s="694">
        <f>SUMIF('Added data'!$C$2:$C$549,Squads!$C$158,'Added data'!$AA$2:$AA$549)/COUNTIF('Added data'!$C$2:$C$549,Squads!$C$158)</f>
        <v>202853.25</v>
      </c>
    </row>
    <row r="98">
      <c r="B98" s="686" t="str">
        <f>IF(Squads!$R$165="Vacant","Vacant",Squads!$B$165)</f>
        <v>Vacant</v>
      </c>
      <c r="C98" s="692" t="str">
        <f>SUBSTITUTE(SUBSTITUTE(Squads!$C$165,"–","-"),"—","-")</f>
        <v>Engineer, (TBD)</v>
      </c>
      <c r="D98" s="686" t="str">
        <f>Squads!$N$165</f>
        <v>Customer</v>
      </c>
      <c r="E98" s="673" t="str">
        <f>Squads!$R$165</f>
        <v>Vacant</v>
      </c>
      <c r="F98" s="693" t="inlineStr">
        <is>
          <t>Hold</t>
        </is>
      </c>
      <c r="G98" s="694">
        <f>SUMIF('Added data'!$C$2:$C$549,Squads!$C$165,'Added data'!$AA$2:$AA$549)/COUNTIF('Added data'!$C$2:$C$549,Squads!$C$165)</f>
        <v>202853.25</v>
      </c>
    </row>
    <row r="99">
      <c r="B99" s="686" t="str">
        <f>IF(Squads!$R$255="Vacant","Vacant",Squads!$B$255)</f>
        <v>Niall Greene</v>
      </c>
      <c r="C99" s="692" t="str">
        <f>SUBSTITUTE(SUBSTITUTE(Squads!$C$255,"–","-"),"—","-")</f>
        <v>Project Manager (PEP13-EGI-UKG)</v>
      </c>
      <c r="D99" s="686" t="str">
        <f>Squads!$N$255</f>
        <v>EGI</v>
      </c>
      <c r="E99" s="673" t="str">
        <f>Squads!$R$255</f>
        <v>Filled</v>
      </c>
    </row>
    <row r="100">
      <c r="B100" s="686" t="str">
        <f>IF(Squads!$R$256="Vacant","Vacant",Squads!$B$256)</f>
        <v>Winnie Fernandes</v>
      </c>
      <c r="C100" s="692" t="str">
        <f>SUBSTITUTE(SUBSTITUTE(Squads!$C$256,"–","-"),"—","-")</f>
        <v>Delivery Lead</v>
      </c>
      <c r="D100" s="686" t="str">
        <f>Squads!$N$256</f>
        <v>EGI</v>
      </c>
      <c r="E100" s="673" t="str">
        <f>Squads!$R$256</f>
        <v>Filled</v>
      </c>
    </row>
    <row r="101">
      <c r="B101" s="686" t="str">
        <f>IF(Squads!$R$257="Vacant","Vacant",Squads!$B$257)</f>
        <v>Areum Kim Lee</v>
      </c>
      <c r="C101" s="692" t="str">
        <f>SUBSTITUTE(SUBSTITUTE(Squads!$C$257,"–","-"),"—","-")</f>
        <v>Program Manager (PEP13-EGI-UKG)</v>
      </c>
      <c r="D101" s="686" t="str">
        <f>Squads!$N$257</f>
        <v>EGI</v>
      </c>
      <c r="E101" s="673" t="str">
        <f>Squads!$R$257</f>
        <v>Filled</v>
      </c>
    </row>
    <row r="102">
      <c r="B102" s="686" t="str">
        <f>IF(Squads!$R$263="Vacant","Vacant",Squads!$B$263)</f>
        <v>Vacant</v>
      </c>
      <c r="C102" s="692" t="str">
        <f>SUBSTITUTE(SUBSTITUTE(Squads!$C$263,"–","-"),"—","-")</f>
        <v>Portfolio Analyst</v>
      </c>
      <c r="D102" s="686" t="str">
        <f>Squads!$N$263</f>
        <v>COE</v>
      </c>
      <c r="E102" s="673" t="str">
        <f>Squads!$R$263</f>
        <v>Vacant</v>
      </c>
      <c r="F102" s="693" t="inlineStr">
        <is>
          <t>Hold</t>
        </is>
      </c>
      <c r="G102" s="694">
        <f>SUMIF('Added data'!$C$2:$C$549,Squads!$C$263,'Added data'!$AA$2:$AA$549)/COUNTIF('Added data'!$C$2:$C$549,Squads!$C$263)</f>
        <v>170489.75</v>
      </c>
    </row>
    <row r="103">
      <c r="B103" s="686" t="str">
        <f>IF(Squads!$R$279="Vacant","Vacant",Squads!$B$279)</f>
        <v>Vacant</v>
      </c>
      <c r="C103" s="692" t="str">
        <f>SUBSTITUTE(SUBSTITUTE(Squads!$C$279,"–","-"),"—","-")</f>
        <v>TDD BP - Infrastructure</v>
      </c>
      <c r="D103" s="686" t="str">
        <f>Squads!$N$279</f>
        <v>COE</v>
      </c>
      <c r="E103" s="673" t="str">
        <f>Squads!$R$279</f>
        <v>Vacant</v>
      </c>
      <c r="F103" s="693" t="inlineStr">
        <is>
          <t>Hold</t>
        </is>
      </c>
      <c r="G103" s="694">
        <f>SUMIF('Added data'!$C$2:$C$549,Squads!$C$279,'Added data'!$AA$2:$AA$549)/COUNTIF('Added data'!$C$2:$C$549,Squads!$C$279)</f>
        <v>297150.0</v>
      </c>
    </row>
    <row r="104">
      <c r="B104" s="686" t="str">
        <f>IF(Squads!$R$281="Vacant","Vacant",Squads!$B$281)</f>
        <v>Vacant</v>
      </c>
      <c r="C104" s="692" t="str">
        <f>SUBSTITUTE(SUBSTITUTE(Squads!$C$281,"–","-"),"—","-")</f>
        <v>Software Asset Specialist</v>
      </c>
      <c r="D104" s="686" t="str">
        <f>Squads!$N$281</f>
        <v>COE</v>
      </c>
      <c r="E104" s="673" t="str">
        <f>Squads!$R$281</f>
        <v>Vacant</v>
      </c>
      <c r="F104" s="693" t="inlineStr">
        <is>
          <t>Hold</t>
        </is>
      </c>
      <c r="G104" s="694">
        <f>SUMIF('Added data'!$C$2:$C$549,Squads!$C$281,'Added data'!$AA$2:$AA$549)/COUNTIF('Added data'!$C$2:$C$549,Squads!$C$281)</f>
        <v>183455.69999999998</v>
      </c>
    </row>
    <row r="105">
      <c r="B105" s="686" t="str">
        <f>IF(Squads!$R$377="Vacant","Vacant",Squads!$B$377)</f>
        <v>Vacant</v>
      </c>
      <c r="C105" s="692" t="str">
        <f>SUBSTITUTE(SUBSTITUTE(Squads!$C$377,"–","-"),"—","-")</f>
        <v>Delivery Manager</v>
      </c>
      <c r="D105" s="686" t="str">
        <f>Squads!$N$377</f>
        <v>Commercial Fuels</v>
      </c>
      <c r="E105" s="673" t="str">
        <f>Squads!$R$377</f>
        <v>Vacant</v>
      </c>
      <c r="F105" s="693" t="inlineStr">
        <is>
          <t>Hold</t>
        </is>
      </c>
      <c r="G105" s="694">
        <f>SUMIF('Added data'!$C$2:$C$549,Squads!$C$377,'Added data'!$AA$2:$AA$549)/COUNTIF('Added data'!$C$2:$C$549,Squads!$C$377)</f>
        <v>278824.3722222222</v>
      </c>
    </row>
    <row r="106">
      <c r="B106" s="686" t="str">
        <f>IF(Squads!$R$378="Vacant","Vacant",Squads!$B$378)</f>
        <v>Vacant</v>
      </c>
      <c r="C106" s="692" t="str">
        <f>SUBSTITUTE(SUBSTITUTE(Squads!$C$378,"–","-"),"—","-")</f>
        <v>Technology Manager, Data</v>
      </c>
      <c r="D106" s="686" t="str">
        <f>Squads!$N$378</f>
        <v>Commercial Fuels</v>
      </c>
      <c r="E106" s="673" t="str">
        <f>Squads!$R$378</f>
        <v>Vacant</v>
      </c>
      <c r="F106" s="693" t="inlineStr">
        <is>
          <t>Hold</t>
        </is>
      </c>
      <c r="G106" s="694">
        <f>SUMIF('Added data'!$C$2:$C$549,Squads!$C$378,'Added data'!$AA$2:$AA$549)/COUNTIF('Added data'!$C$2:$C$549,Squads!$C$378)</f>
        <v>275810.25</v>
      </c>
    </row>
    <row r="107">
      <c r="B107" s="686" t="str">
        <f>IF(Squads!$R$379="Vacant","Vacant",Squads!$B$379)</f>
        <v>Carl Russo</v>
      </c>
      <c r="C107" s="692" t="str">
        <f>SUBSTITUTE(SUBSTITUTE(Squads!$C$379,"–","-"),"—","-")</f>
        <v>Program Manager - CTRM</v>
      </c>
      <c r="D107" s="686" t="str">
        <f>Squads!$N$379</f>
        <v>Unmapped</v>
      </c>
      <c r="E107" s="673" t="str">
        <f>Squads!$R$379</f>
        <v>Filled</v>
      </c>
    </row>
    <row r="108">
      <c r="B108" s="686" t="str">
        <f>IF(Squads!$R$418="Vacant","Vacant",Squads!$B$418)</f>
        <v>Vacant</v>
      </c>
      <c r="C108" s="692" t="str">
        <f>SUBSTITUTE(SUBSTITUTE(Squads!$C$418,"–","-"),"—","-")</f>
        <v>Delivery manager</v>
      </c>
      <c r="D108" s="686" t="str">
        <f>Squads!$N$418</f>
        <v>Unmapped</v>
      </c>
      <c r="E108" s="673" t="str">
        <f>Squads!$R$418</f>
        <v>Vacant</v>
      </c>
      <c r="F108" s="693" t="inlineStr">
        <is>
          <t>Hold</t>
        </is>
      </c>
      <c r="G108" s="694">
        <f>SUMIF('Added data'!$C$2:$C$549,Squads!$C$418,'Added data'!$AA$2:$AA$549)/COUNTIF('Added data'!$C$2:$C$549,Squads!$C$418)</f>
        <v>278824.3722222222</v>
      </c>
    </row>
    <row r="109"/>
    <row r="110">
      <c r="B110" s="666" t="inlineStr">
        <is>
          <t>New in Sheet2 - no raw data row yet. Add them to the Squads tab to join the portfolio counts.</t>
        </is>
      </c>
    </row>
    <row r="111">
      <c r="B111" s="696" t="inlineStr">
        <is>
          <t>Name</t>
        </is>
      </c>
      <c r="C111" s="696" t="inlineStr">
        <is>
          <t>Role</t>
        </is>
      </c>
      <c r="D111" s="696" t="inlineStr">
        <is>
          <t>Department</t>
        </is>
      </c>
      <c r="E111" s="696" t="inlineStr">
        <is>
          <t>Status</t>
        </is>
      </c>
      <c r="F111" s="696" t="inlineStr">
        <is>
          <t>Call</t>
        </is>
      </c>
      <c r="G111" s="696" t="inlineStr">
        <is>
          <t>Cost if hired ($)</t>
        </is>
      </c>
    </row>
    <row r="112">
      <c r="B112" s="686" t="str">
        <f>Sheet2!$B$3</f>
        <v>Belinda Hoskens</v>
      </c>
      <c r="C112" s="692" t="str">
        <f>SUBSTITUTE(SUBSTITUTE(Sheet2!$C$3,"–","-"),"—","-")</f>
        <v>Technology Support Engineer</v>
      </c>
      <c r="D112" s="686" t="str">
        <f>Sheet2!$F$3</f>
        <v>Cyber, Risk &amp; Operations</v>
      </c>
      <c r="E112" s="673" t="str">
        <f>IF(LOWER(Sheet2!$Q$3)="v","Vacant",IF(LOWER(Sheet2!$Q$3)="pause","Paused",IF(LOWER(Sheet2!$Q$3)="cxc","Contractor","Filled")))</f>
        <v>Filled</v>
      </c>
    </row>
    <row r="113">
      <c r="B113" s="686" t="str">
        <f>Sheet2!$B$96</f>
        <v>Carol Kuang</v>
      </c>
      <c r="C113" s="692" t="str">
        <f>SUBSTITUTE(SUBSTITUTE(Sheet2!$C$96,"–","-"),"—","-")</f>
        <v>Senior Data Scientist</v>
      </c>
      <c r="D113" s="686" t="str">
        <f>Sheet2!$F$96</f>
        <v>Strategy, Architecture &amp; Data</v>
      </c>
      <c r="E113" s="673" t="str">
        <f>IF(LOWER(Sheet2!$Q$96)="v","Vacant",IF(LOWER(Sheet2!$Q$96)="pause","Paused",IF(LOWER(Sheet2!$Q$96)="cxc","Contractor","Filled")))</f>
        <v>Filled</v>
      </c>
    </row>
    <row r="114">
      <c r="B114" s="686" t="str">
        <f>Sheet2!$B$101</f>
        <v>Jason Gleason</v>
      </c>
      <c r="C114" s="692" t="str">
        <f>SUBSTITUTE(SUBSTITUTE(Sheet2!$C$101,"–","-"),"—","-")</f>
        <v>Technology Manager, Data Engineering &amp; Platforms</v>
      </c>
      <c r="D114" s="686" t="str">
        <f>Sheet2!$F$101</f>
        <v>Strategy, Architecture &amp; Data</v>
      </c>
      <c r="E114" s="673" t="str">
        <f>IF(LOWER(Sheet2!$Q$101)="v","Vacant",IF(LOWER(Sheet2!$Q$101)="pause","Paused",IF(LOWER(Sheet2!$Q$101)="cxc","Contractor","Filled")))</f>
        <v>Filled</v>
      </c>
    </row>
    <row r="115">
      <c r="B115" s="686" t="str">
        <f>Sheet2!$B$105</f>
        <v>Kina Birkby</v>
      </c>
      <c r="C115" s="692" t="str">
        <f>SUBSTITUTE(SUBSTITUTE(Sheet2!$C$105,"–","-"),"—","-")</f>
        <v>Delivery Lead</v>
      </c>
      <c r="D115" s="686" t="str">
        <f>Sheet2!$F$105</f>
        <v>Strategy, Architecture &amp; Data</v>
      </c>
      <c r="E115" s="673" t="str">
        <f>IF(LOWER(Sheet2!$Q$105)="v","Vacant",IF(LOWER(Sheet2!$Q$105)="pause","Paused",IF(LOWER(Sheet2!$Q$105)="cxc","Contractor","Filled")))</f>
        <v>Filled</v>
      </c>
    </row>
    <row r="116"/>
    <row r="117">
      <c r="B117" s="695" t="inlineStr">
        <is>
          <t>Every role that is not in a portfolio squad (4.1-4.11) or a COE (4.12-4.13) lives here - nothing is missed.</t>
        </is>
      </c>
    </row>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c r="B182" s="666" t="inlineStr">
        <is>
          <t>Model mapping updates made in this build - the owner's SA&amp;D COE list (ruthless mapping)</t>
        </is>
      </c>
    </row>
    <row r="183">
      <c r="B183" s="696" t="inlineStr">
        <is>
          <t>Raw row</t>
        </is>
      </c>
      <c r="C183" s="696" t="inlineStr">
        <is>
          <t>Cell</t>
        </is>
      </c>
      <c r="D183" s="696" t="inlineStr">
        <is>
          <t>Old value</t>
        </is>
      </c>
      <c r="E183" s="696" t="inlineStr">
        <is>
          <t>New value</t>
        </is>
      </c>
      <c r="F183" s="696" t="inlineStr">
        <is>
          <t>Role</t>
        </is>
      </c>
    </row>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c r="B233" s="695" t="inlineStr">
        <is>
          <t>These cells were updated at the owner's direction: every role on the owner's SA&amp;D COE list now maps to COE - Data or COE - Strategy Architecture. The Group Data portfolio keeps the engineering, science, operations and reporting squads.</t>
        </is>
      </c>
    </row>
  </sheetData>
  <dataValidations count="1">
    <dataValidation sqref="F36 F41 F43 F50 F53 F55 F58 F59 F62 F66 F70 F74 F78 F79 F82 F83 F84 F85 F89 F97 F98 F102 F103 F104 F105 F106 F108" showDropDown="0" showInputMessage="0" showErrorMessage="1" allowBlank="0" type="list">
      <formula1>"Hire,Hold"</formula1>
    </dataValidation>
  </dataValidations>
  <pageMargins left="0.75" right="0.75" top="1" bottom="1" header="0.5" footer="0.5"/>
</worksheet>
</file>

<file path=xl/worksheets/sheet43.xml><?xml version="1.0" encoding="utf-8"?>
<worksheet xmlns="http://schemas.openxmlformats.org/spreadsheetml/2006/main">
  <sheetPr>
    <tabColor rgb="00375623"/>
    <outlinePr summaryBelow="1" summaryRight="1"/>
    <pageSetUpPr/>
  </sheetPr>
  <dimension ref="B2:B2"/>
  <sheetViews>
    <sheetView showGridLines="0" workbookViewId="0">
      <selection activeCell="A1" sqref="A1"/>
    </sheetView>
  </sheetViews>
  <sheetFormatPr baseColWidth="8" defaultRowHeight="15"/>
  <cols>
    <col width="2" customWidth="1" style="506" min="1" max="1"/>
    <col width="60" customWidth="1" style="506" min="2" max="2"/>
  </cols>
  <sheetData>
    <row r="2">
      <c r="B2" s="754" t="inlineStr">
        <is>
          <t>EVIDENCE  &gt;&gt;&gt;</t>
        </is>
      </c>
    </row>
  </sheetData>
  <pageMargins left="0.75" right="0.75" top="1" bottom="1" header="0.5" footer="0.5"/>
</worksheet>
</file>

<file path=xl/worksheets/sheet44.xml><?xml version="1.0" encoding="utf-8"?>
<worksheet xmlns="http://schemas.openxmlformats.org/spreadsheetml/2006/main">
  <sheetPr>
    <tabColor rgb="00375623"/>
    <outlinePr summaryBelow="1" summaryRight="1"/>
    <pageSetUpPr/>
  </sheetPr>
  <dimension ref="A1:F232"/>
  <sheetViews>
    <sheetView showGridLines="0" workbookViewId="0">
      <selection activeCell="C6" sqref="C6"/>
    </sheetView>
  </sheetViews>
  <sheetFormatPr baseColWidth="8" defaultRowHeight="14.5" outlineLevelCol="0"/>
  <cols>
    <col width="3" customWidth="1" style="506" min="1" max="1"/>
    <col width="34" customWidth="1" style="506" min="2" max="2"/>
    <col width="16" customWidth="1" style="570" min="3" max="3"/>
    <col width="15.36328125" customWidth="1" style="570" min="4" max="4"/>
    <col width="8.6328125" bestFit="1" customWidth="1" style="570" min="5" max="5"/>
    <col width="44" customWidth="1" style="506" min="6" max="6"/>
  </cols>
  <sheetData>
    <row r="1"/>
    <row r="2" ht="21" customHeight="1" s="506">
      <c r="B2" s="437" t="inlineStr">
        <is>
          <t>Data QA - raw data (roles) vs Added data (costs) - point-in-time snapshot</t>
        </is>
      </c>
    </row>
    <row r="3"/>
    <row r="4">
      <c r="B4" s="443" t="inlineStr">
        <is>
          <t>Headline</t>
        </is>
      </c>
      <c r="C4" s="571" t="n"/>
      <c r="D4" s="571" t="n"/>
      <c r="E4" s="571" t="n"/>
      <c r="F4" s="444" t="n"/>
    </row>
    <row r="5">
      <c r="C5" s="572" t="inlineStr">
        <is>
          <t>raw data</t>
        </is>
      </c>
      <c r="D5" s="572" t="inlineStr">
        <is>
          <t>Added data</t>
        </is>
      </c>
      <c r="E5" s="572" t="inlineStr">
        <is>
          <t>Difference</t>
        </is>
      </c>
    </row>
    <row r="6">
      <c r="B6" s="429" t="inlineStr">
        <is>
          <t>Records</t>
        </is>
      </c>
      <c r="C6" s="573" t="n">
        <v>536</v>
      </c>
      <c r="D6" s="573" t="n">
        <v>548</v>
      </c>
      <c r="E6" s="574" t="n">
        <v>12</v>
      </c>
    </row>
    <row r="7">
      <c r="B7" s="429" t="inlineStr">
        <is>
          <t>Vacant</t>
        </is>
      </c>
      <c r="C7" s="573" t="n">
        <v>166</v>
      </c>
      <c r="D7" s="573" t="n">
        <v>156</v>
      </c>
      <c r="E7" s="574" t="n">
        <v>-10</v>
      </c>
    </row>
    <row r="8">
      <c r="B8" s="429" t="inlineStr">
        <is>
          <t>Filled</t>
        </is>
      </c>
      <c r="C8" s="573" t="n">
        <v>370</v>
      </c>
      <c r="D8" s="573" t="n">
        <v>392</v>
      </c>
      <c r="E8" s="574" t="n">
        <v>22</v>
      </c>
    </row>
    <row r="9">
      <c r="B9" s="429" t="inlineStr">
        <is>
          <t>Distinct named records</t>
        </is>
      </c>
      <c r="C9" s="573" t="n">
        <v>363</v>
      </c>
      <c r="D9" s="573" t="n">
        <v>383</v>
      </c>
      <c r="E9" s="574" t="n">
        <v>20</v>
      </c>
    </row>
    <row r="10"/>
    <row r="11">
      <c r="B11" s="443" t="inlineStr">
        <is>
          <t>In Added data only - joined the org after the raw data cut, or naming mismatch</t>
        </is>
      </c>
      <c r="C11" s="571" t="n"/>
      <c r="D11" s="571" t="n"/>
      <c r="E11" s="571" t="n"/>
      <c r="F11" s="444" t="n"/>
    </row>
    <row r="12">
      <c r="B12" s="429" t="inlineStr">
        <is>
          <t>Ahmed Yehya</t>
        </is>
      </c>
      <c r="F12" s="429" t="inlineStr">
        <is>
          <t>TDD Strategic Delivery | EGI</t>
        </is>
      </c>
    </row>
    <row r="13">
      <c r="B13" s="429" t="inlineStr">
        <is>
          <t>Akhil Sriram</t>
        </is>
      </c>
      <c r="F13" s="429" t="inlineStr">
        <is>
          <t>Snr Business Analyst | Fuel Infrastructure</t>
        </is>
      </c>
    </row>
    <row r="14">
      <c r="B14" s="429" t="inlineStr">
        <is>
          <t>Alison Rosier</t>
        </is>
      </c>
      <c r="F14" s="429" t="inlineStr">
        <is>
          <t>Technology Support Engineer - Infrastructure | Fuel Infrastructure</t>
        </is>
      </c>
    </row>
    <row r="15">
      <c r="B15" s="429" t="inlineStr">
        <is>
          <t>Anthony Huynh</t>
        </is>
      </c>
      <c r="F15" s="429" t="inlineStr">
        <is>
          <t>Strategic Delivery Consultant | EGI</t>
        </is>
      </c>
    </row>
    <row r="16">
      <c r="B16" s="429" t="inlineStr">
        <is>
          <t>Archana Chetiwal</t>
        </is>
      </c>
      <c r="F16" s="429" t="inlineStr">
        <is>
          <t xml:space="preserve">Snr Engineer | TDD &amp; Engineering </t>
        </is>
      </c>
    </row>
    <row r="17">
      <c r="B17" s="429" t="inlineStr">
        <is>
          <t>Ashish Gupte</t>
        </is>
      </c>
      <c r="C17" s="429" t="n"/>
      <c r="D17" s="429" t="n"/>
      <c r="E17" s="429" t="n"/>
      <c r="F17" s="429" t="inlineStr">
        <is>
          <t>DeveloperSAP ECC | EGI</t>
        </is>
      </c>
    </row>
    <row r="18">
      <c r="B18" s="429" t="inlineStr">
        <is>
          <t>Belinda Hoskens</t>
        </is>
      </c>
      <c r="F18" s="429" t="inlineStr">
        <is>
          <t>Technology Support Engineer | Service Op &amp; Assurance</t>
        </is>
      </c>
    </row>
    <row r="19">
      <c r="B19" s="429" t="inlineStr">
        <is>
          <t>Breanna Hua</t>
        </is>
      </c>
      <c r="F19" s="429" t="inlineStr">
        <is>
          <t>Systems Analyst | Fuel Infrastructure</t>
        </is>
      </c>
    </row>
    <row r="20">
      <c r="B20" s="429" t="inlineStr">
        <is>
          <t>Caitlin Dyas</t>
        </is>
      </c>
      <c r="F20" s="429" t="inlineStr">
        <is>
          <t>Snr Engineer Software | B2B &amp; Energy Solutions</t>
        </is>
      </c>
    </row>
    <row r="21">
      <c r="B21" s="429" t="inlineStr">
        <is>
          <t>Carol Kuang</t>
        </is>
      </c>
      <c r="F21" s="429" t="inlineStr">
        <is>
          <t>Senior Data Scientist | Group Data</t>
        </is>
      </c>
    </row>
    <row r="22">
      <c r="B22" s="429" t="inlineStr">
        <is>
          <t>Conli Mills</t>
        </is>
      </c>
      <c r="F22" s="429" t="inlineStr">
        <is>
          <t>TDD BP - Infrastructure | TDD Business Partner</t>
        </is>
      </c>
    </row>
    <row r="23">
      <c r="B23" s="429" t="inlineStr">
        <is>
          <t>Edwin Justin</t>
        </is>
      </c>
      <c r="F23" s="429" t="inlineStr">
        <is>
          <t>Senior Engineer - BE | Digital</t>
        </is>
      </c>
    </row>
    <row r="24">
      <c r="B24" s="429" t="inlineStr">
        <is>
          <t>Elma Kurian</t>
        </is>
      </c>
      <c r="F24" s="429" t="inlineStr">
        <is>
          <t>System Specialist | B2B &amp; Energy Solutions</t>
        </is>
      </c>
    </row>
    <row r="25">
      <c r="B25" s="429" t="inlineStr">
        <is>
          <t>Ernesto Pereira</t>
        </is>
      </c>
      <c r="F25" s="429" t="inlineStr">
        <is>
          <t>Project Manger | EGI</t>
        </is>
      </c>
    </row>
    <row r="26">
      <c r="B26" s="429" t="inlineStr">
        <is>
          <t>Harish Dasari</t>
        </is>
      </c>
      <c r="F26" s="429" t="inlineStr">
        <is>
          <t>Business Analyst (SAP Payroll) | EGI</t>
        </is>
      </c>
    </row>
    <row r="27">
      <c r="B27" s="429" t="inlineStr">
        <is>
          <t>Isha Riyat</t>
        </is>
      </c>
      <c r="F27" s="429" t="inlineStr">
        <is>
          <t>Senior Business Analyst | Commercial Fuels</t>
        </is>
      </c>
    </row>
    <row r="28">
      <c r="B28" s="429" t="inlineStr">
        <is>
          <t>James Hung</t>
        </is>
      </c>
      <c r="F28" s="429" t="inlineStr">
        <is>
          <t>System Specialist | B2B &amp; Energy Solutions</t>
        </is>
      </c>
    </row>
    <row r="29">
      <c r="B29" s="429" t="inlineStr">
        <is>
          <t>James Munt</t>
        </is>
      </c>
      <c r="F29" s="429" t="inlineStr">
        <is>
          <t>Program Manager Tech &amp; P&amp;C | EGI</t>
        </is>
      </c>
    </row>
    <row r="30">
      <c r="B30" s="429" t="inlineStr">
        <is>
          <t>Jane Esclandra</t>
        </is>
      </c>
      <c r="F30" s="429" t="inlineStr">
        <is>
          <t>Software Asset Specialist | Commercial</t>
        </is>
      </c>
    </row>
    <row r="31">
      <c r="B31" s="429" t="inlineStr">
        <is>
          <t>Jason Gleason</t>
        </is>
      </c>
      <c r="F31" s="429" t="inlineStr">
        <is>
          <t>Technology Manager, Data Engineering &amp; Platforms | Group Data</t>
        </is>
      </c>
    </row>
    <row r="32">
      <c r="B32" s="429" t="inlineStr">
        <is>
          <t>Jason McNamara</t>
        </is>
      </c>
      <c r="F32" s="429" t="inlineStr">
        <is>
          <t>Project Manager Retail | EGI</t>
        </is>
      </c>
    </row>
    <row r="33">
      <c r="B33" s="429" t="inlineStr">
        <is>
          <t>Jason Sipkovic</t>
        </is>
      </c>
      <c r="F33" s="429" t="inlineStr">
        <is>
          <t>strategic program architect | EGI</t>
        </is>
      </c>
    </row>
    <row r="34">
      <c r="B34" s="429" t="inlineStr">
        <is>
          <t>Jens Tom</t>
        </is>
      </c>
      <c r="F34" s="429" t="inlineStr">
        <is>
          <t>SAP Solution Architect | TDD Group Functions</t>
        </is>
      </c>
    </row>
    <row r="35">
      <c r="B35" s="429" t="inlineStr">
        <is>
          <t>Joel Krijnen</t>
        </is>
      </c>
      <c r="F35" s="429" t="inlineStr">
        <is>
          <t xml:space="preserve">Lead Engineer Software | TDD &amp; Engineering </t>
        </is>
      </c>
    </row>
    <row r="36">
      <c r="B36" s="429" t="inlineStr">
        <is>
          <t>Kanika Narula</t>
        </is>
      </c>
      <c r="F36" s="429" t="inlineStr">
        <is>
          <t>Business Analyst Digital | EGI</t>
        </is>
      </c>
    </row>
    <row r="37">
      <c r="B37" s="429" t="inlineStr">
        <is>
          <t>Karl Reyneke</t>
        </is>
      </c>
      <c r="F37" s="429" t="inlineStr">
        <is>
          <t>Strategic Delivery Consultant | EGI</t>
        </is>
      </c>
    </row>
    <row r="38">
      <c r="B38" s="429" t="inlineStr">
        <is>
          <t>Kina Birkby</t>
        </is>
      </c>
      <c r="F38" s="429" t="inlineStr">
        <is>
          <t>Delivery Lead | Delivery, SADA</t>
        </is>
      </c>
    </row>
    <row r="39">
      <c r="B39" s="429" t="inlineStr">
        <is>
          <t>michelle Siegman</t>
        </is>
      </c>
      <c r="F39" s="429" t="inlineStr">
        <is>
          <t>Strategic Delivery Consultant | EGI</t>
        </is>
      </c>
    </row>
    <row r="40">
      <c r="B40" s="429" t="inlineStr">
        <is>
          <t>Mikey Tran</t>
        </is>
      </c>
      <c r="F40" s="429" t="inlineStr">
        <is>
          <t>Senior Systems Analyst - Card | B2B &amp; Energy Solutions</t>
        </is>
      </c>
    </row>
    <row r="41">
      <c r="B41" s="429" t="inlineStr">
        <is>
          <t>Moitri Pal</t>
        </is>
      </c>
      <c r="F41" s="429" t="inlineStr">
        <is>
          <t>Portfolio Mnager | EGI</t>
        </is>
      </c>
    </row>
    <row r="42">
      <c r="B42" s="429" t="inlineStr">
        <is>
          <t>Noel Morris</t>
        </is>
      </c>
      <c r="F42" s="429" t="inlineStr">
        <is>
          <t xml:space="preserve">Snr Engineer | TDD &amp; Engineering </t>
        </is>
      </c>
    </row>
    <row r="43">
      <c r="B43" s="429" t="inlineStr">
        <is>
          <t>Paul Hassey</t>
        </is>
      </c>
      <c r="F43" s="429" t="inlineStr">
        <is>
          <t>Program Architect | EGI</t>
        </is>
      </c>
    </row>
    <row r="44">
      <c r="B44" s="429" t="inlineStr">
        <is>
          <t>Peter Lee</t>
        </is>
      </c>
      <c r="F44" s="429" t="inlineStr">
        <is>
          <t>Snr Business Analyst | Digital</t>
        </is>
      </c>
    </row>
    <row r="45">
      <c r="B45" s="429" t="inlineStr">
        <is>
          <t>Radek Rybar</t>
        </is>
      </c>
      <c r="F45" s="429" t="inlineStr">
        <is>
          <t>Technology Support Engineer - Infrastructure | Fuel Infrastructure</t>
        </is>
      </c>
    </row>
    <row r="46">
      <c r="B46" s="429" t="inlineStr">
        <is>
          <t>Rebecca Estepa</t>
        </is>
      </c>
      <c r="F46" s="429" t="inlineStr">
        <is>
          <t>Snr Business Analyst | Fuel Infrastructure</t>
        </is>
      </c>
    </row>
    <row r="47">
      <c r="B47" s="429" t="inlineStr">
        <is>
          <t>Ring fenced selection</t>
        </is>
      </c>
      <c r="F47" s="429" t="inlineStr">
        <is>
          <t>Cloud Solutions Architect | TDD &amp; Engineering</t>
        </is>
      </c>
    </row>
    <row r="48">
      <c r="B48" s="429" t="inlineStr">
        <is>
          <t>Suja Sugathan</t>
        </is>
      </c>
      <c r="F48" s="429" t="inlineStr">
        <is>
          <t>Senior Business Analyst | Commercial Fuels</t>
        </is>
      </c>
    </row>
    <row r="49">
      <c r="B49" s="429" t="inlineStr">
        <is>
          <t>vijay Solanki</t>
        </is>
      </c>
      <c r="F49" s="429" t="inlineStr">
        <is>
          <t>Project Manager Deployment | EGI</t>
        </is>
      </c>
    </row>
    <row r="50"/>
    <row r="51">
      <c r="B51" s="443" t="inlineStr">
        <is>
          <t>In raw data only - left the org, or naming mismatch</t>
        </is>
      </c>
      <c r="C51" s="571" t="n"/>
      <c r="D51" s="571" t="n"/>
      <c r="E51" s="571" t="n"/>
      <c r="F51" s="444" t="n"/>
    </row>
    <row r="52">
      <c r="B52" s="429" t="inlineStr">
        <is>
          <t>Adriel Jeyanandhan</t>
        </is>
      </c>
      <c r="F52" s="429" t="inlineStr">
        <is>
          <t>Delivery Manager | model squad: Leadership</t>
        </is>
      </c>
    </row>
    <row r="53">
      <c r="B53" s="429" t="inlineStr">
        <is>
          <t>Axel Soh</t>
        </is>
      </c>
      <c r="F53" s="429" t="inlineStr">
        <is>
          <t>Cloud Solutions Architect | model squad: Network &amp; Infrastructure</t>
        </is>
      </c>
    </row>
    <row r="54">
      <c r="B54" s="429" t="inlineStr">
        <is>
          <t>Dave O'Keefe</t>
        </is>
      </c>
      <c r="F54" s="429" t="inlineStr">
        <is>
          <t>Technology Manager - P&amp;C Platforms | model squad: Leadership</t>
        </is>
      </c>
    </row>
    <row r="55">
      <c r="B55" s="429" t="inlineStr">
        <is>
          <t>Ed Tacey</t>
        </is>
      </c>
      <c r="F55" s="429" t="inlineStr">
        <is>
          <t>Head of Architecture | model squad: Leadership</t>
        </is>
      </c>
    </row>
    <row r="56">
      <c r="B56" s="429" t="inlineStr">
        <is>
          <t>Emma Natoli</t>
        </is>
      </c>
      <c r="F56" s="429" t="inlineStr">
        <is>
          <t>Technology Manager, Engineering | model squad: Leadership</t>
        </is>
      </c>
    </row>
    <row r="57">
      <c r="B57" s="429" t="inlineStr">
        <is>
          <t>Hitesh Patel</t>
        </is>
      </c>
      <c r="F57" s="429" t="inlineStr">
        <is>
          <t>Technology Manager, Energy Solutions | model squad: AU CRM &amp; Martech</t>
        </is>
      </c>
    </row>
    <row r="58">
      <c r="B58" s="429" t="inlineStr">
        <is>
          <t>Jill Martin</t>
        </is>
      </c>
      <c r="F58" s="429" t="inlineStr">
        <is>
          <t>Delivery Manager | model squad: Leadership</t>
        </is>
      </c>
    </row>
    <row r="59">
      <c r="B59" s="429" t="inlineStr">
        <is>
          <t>John Badia</t>
        </is>
      </c>
      <c r="F59" s="429" t="inlineStr">
        <is>
          <t>Cloud Solutions Architect | model squad: Network &amp; Infrastructure</t>
        </is>
      </c>
    </row>
    <row r="60">
      <c r="B60" s="429" t="inlineStr">
        <is>
          <t>Johnny Li</t>
        </is>
      </c>
      <c r="F60" s="429" t="inlineStr">
        <is>
          <t>Cloud Solutions Architect | model squad: Network &amp; Infrastructure</t>
        </is>
      </c>
    </row>
    <row r="61">
      <c r="B61" s="429" t="inlineStr">
        <is>
          <t>Kamal Patel</t>
        </is>
      </c>
      <c r="F61" s="429" t="inlineStr">
        <is>
          <t>JDE Senior Systems Specialist | model squad: NZ Finance</t>
        </is>
      </c>
    </row>
    <row r="62">
      <c r="B62" s="429" t="inlineStr">
        <is>
          <t>Karla Orozco Loza</t>
        </is>
      </c>
      <c r="F62" s="429" t="inlineStr">
        <is>
          <t>Technology Manager, Future Infrastructure  | model squad: Leadership</t>
        </is>
      </c>
    </row>
    <row r="63">
      <c r="B63" s="429" t="inlineStr">
        <is>
          <t>Manjot Kaur Malli</t>
        </is>
      </c>
      <c r="F63" s="429" t="inlineStr">
        <is>
          <t>Technology Manager, Data | model squad: Above Store</t>
        </is>
      </c>
    </row>
    <row r="64">
      <c r="B64" s="429" t="inlineStr">
        <is>
          <t>Martyn Rudduck</t>
        </is>
      </c>
      <c r="F64" s="429" t="inlineStr">
        <is>
          <t>JDE Senior Systems Specialist | model squad: NZ Finance</t>
        </is>
      </c>
    </row>
    <row r="65">
      <c r="B65" s="429" t="inlineStr">
        <is>
          <t>Murray Mitchell</t>
        </is>
      </c>
      <c r="F65" s="429" t="inlineStr">
        <is>
          <t>Technology Manager, Workplace and Enterprise Tooling | model squad: Leadership</t>
        </is>
      </c>
    </row>
    <row r="66">
      <c r="B66" s="429" t="inlineStr">
        <is>
          <t>Nico Lender</t>
        </is>
      </c>
      <c r="F66" s="429" t="inlineStr">
        <is>
          <t>Solution Architect | model squad: Energy</t>
        </is>
      </c>
    </row>
    <row r="67">
      <c r="B67" s="429" t="inlineStr">
        <is>
          <t>Pierre Spee</t>
        </is>
      </c>
      <c r="F67" s="429" t="inlineStr">
        <is>
          <t>Cloud Solutions Architect | model squad: Network &amp; Infrastructure</t>
        </is>
      </c>
    </row>
    <row r="68">
      <c r="B68" s="429" t="inlineStr">
        <is>
          <t>Prem Shetty</t>
        </is>
      </c>
      <c r="F68" s="429" t="inlineStr">
        <is>
          <t>Delivery manager | model squad: Leadership</t>
        </is>
      </c>
    </row>
    <row r="69">
      <c r="B69" s="429" t="inlineStr">
        <is>
          <t>Zoe Udy</t>
        </is>
      </c>
      <c r="F69" s="429" t="inlineStr">
        <is>
          <t>Technology Manager - Data &amp; Engineering | model squad: Leadership</t>
        </is>
      </c>
    </row>
    <row r="70"/>
    <row r="71">
      <c r="B71" s="443" t="inlineStr">
        <is>
          <t>Roles by model squad - raw data vs Added data (differences only)</t>
        </is>
      </c>
      <c r="C71" s="571" t="n"/>
      <c r="D71" s="571" t="n"/>
      <c r="E71" s="571" t="n"/>
      <c r="F71" s="444" t="n"/>
    </row>
    <row r="72">
      <c r="B72" s="438" t="inlineStr">
        <is>
          <t>Portfolio / squad</t>
        </is>
      </c>
      <c r="C72" s="572" t="inlineStr">
        <is>
          <t>raw data roles</t>
        </is>
      </c>
      <c r="D72" s="572" t="inlineStr">
        <is>
          <t>Added data roles</t>
        </is>
      </c>
      <c r="E72" s="572" t="inlineStr">
        <is>
          <t>Difference</t>
        </is>
      </c>
    </row>
    <row r="73">
      <c r="B73" s="429" t="inlineStr">
        <is>
          <t>Ampol Retail / Above Store</t>
        </is>
      </c>
      <c r="C73" s="573" t="n">
        <v>22</v>
      </c>
      <c r="D73" s="573" t="n">
        <v>15</v>
      </c>
      <c r="E73" s="574" t="n">
        <v>-7</v>
      </c>
    </row>
    <row r="74">
      <c r="B74" s="429" t="inlineStr">
        <is>
          <t>Ampol Retail / AmPOS</t>
        </is>
      </c>
      <c r="C74" s="573" t="n">
        <v>10</v>
      </c>
      <c r="D74" s="573" t="n">
        <v>13</v>
      </c>
      <c r="E74" s="574" t="n">
        <v>3</v>
      </c>
    </row>
    <row r="75">
      <c r="B75" s="429" t="inlineStr">
        <is>
          <t>Ampol Retail / Data AU</t>
        </is>
      </c>
      <c r="C75" s="573" t="n">
        <v>5</v>
      </c>
      <c r="D75" s="573" t="n">
        <v>6</v>
      </c>
      <c r="E75" s="575" t="n">
        <v>1</v>
      </c>
    </row>
    <row r="76">
      <c r="B76" s="429" t="inlineStr">
        <is>
          <t>Ampol Retail / EGI Retail</t>
        </is>
      </c>
      <c r="C76" s="573" t="n">
        <v>6</v>
      </c>
      <c r="D76" s="573" t="n">
        <v>4</v>
      </c>
      <c r="E76" s="575" t="n">
        <v>-2</v>
      </c>
    </row>
    <row r="77">
      <c r="B77" s="429" t="inlineStr">
        <is>
          <t>Ampol Retail / Leadership</t>
        </is>
      </c>
      <c r="C77" s="573" t="n">
        <v>5</v>
      </c>
      <c r="D77" s="573" t="n">
        <v>6</v>
      </c>
      <c r="E77" s="575" t="n">
        <v>1</v>
      </c>
    </row>
    <row r="78">
      <c r="B78" s="429" t="inlineStr">
        <is>
          <t>Ampol Retail / Network / QSR</t>
        </is>
      </c>
      <c r="C78" s="573" t="n">
        <v>8</v>
      </c>
      <c r="D78" s="573" t="n">
        <v>7</v>
      </c>
      <c r="E78" s="575" t="n">
        <v>-1</v>
      </c>
    </row>
    <row r="79">
      <c r="B79" s="429" t="inlineStr">
        <is>
          <t>Ampol Retail / POS</t>
        </is>
      </c>
      <c r="C79" s="573" t="n">
        <v>7</v>
      </c>
      <c r="D79" s="573" t="n">
        <v>3</v>
      </c>
      <c r="E79" s="574" t="n">
        <v>-4</v>
      </c>
    </row>
    <row r="80">
      <c r="B80" s="429" t="inlineStr">
        <is>
          <t>Ampol Retail / POS, Payments</t>
        </is>
      </c>
      <c r="C80" s="573" t="n">
        <v>0</v>
      </c>
      <c r="D80" s="573" t="n">
        <v>1</v>
      </c>
      <c r="E80" s="575" t="n">
        <v>1</v>
      </c>
    </row>
    <row r="81">
      <c r="B81" s="429" t="inlineStr">
        <is>
          <t>Ampol Retail / Retail Operations</t>
        </is>
      </c>
      <c r="C81" s="573" t="n">
        <v>0</v>
      </c>
      <c r="D81" s="573" t="n">
        <v>7</v>
      </c>
      <c r="E81" s="574" t="n">
        <v>7</v>
      </c>
    </row>
    <row r="82">
      <c r="B82" s="429" t="inlineStr">
        <is>
          <t>Ampol Retail / Store Operations</t>
        </is>
      </c>
      <c r="C82" s="573" t="n">
        <v>8</v>
      </c>
      <c r="D82" s="573" t="n">
        <v>1</v>
      </c>
      <c r="E82" s="574" t="n">
        <v>-7</v>
      </c>
    </row>
    <row r="83">
      <c r="B83" s="429" t="inlineStr">
        <is>
          <t>COE / COE (unspecified)</t>
        </is>
      </c>
      <c r="C83" s="573" t="n">
        <v>7</v>
      </c>
      <c r="D83" s="573" t="n">
        <v>0</v>
      </c>
      <c r="E83" s="574" t="n">
        <v>-7</v>
      </c>
    </row>
    <row r="84">
      <c r="B84" s="429" t="inlineStr">
        <is>
          <t>COE / COE - Data</t>
        </is>
      </c>
      <c r="C84" s="573" t="n">
        <v>4</v>
      </c>
      <c r="D84" s="573" t="n">
        <v>5</v>
      </c>
      <c r="E84" s="575" t="n">
        <v>1</v>
      </c>
    </row>
    <row r="85">
      <c r="B85" s="429" t="inlineStr">
        <is>
          <t>COE / COE - Strategy Architecture</t>
        </is>
      </c>
      <c r="C85" s="573" t="n">
        <v>7</v>
      </c>
      <c r="D85" s="573" t="n">
        <v>14</v>
      </c>
      <c r="E85" s="574" t="n">
        <v>7</v>
      </c>
    </row>
    <row r="86">
      <c r="B86" s="429" t="inlineStr">
        <is>
          <t>COE / COE - Transformation</t>
        </is>
      </c>
      <c r="C86" s="573" t="n">
        <v>13</v>
      </c>
      <c r="D86" s="573" t="n">
        <v>14</v>
      </c>
      <c r="E86" s="575" t="n">
        <v>1</v>
      </c>
    </row>
    <row r="87">
      <c r="B87" s="429" t="inlineStr">
        <is>
          <t>COE / Leadership</t>
        </is>
      </c>
      <c r="C87" s="573" t="n">
        <v>3</v>
      </c>
      <c r="D87" s="573" t="n">
        <v>0</v>
      </c>
      <c r="E87" s="574" t="n">
        <v>-3</v>
      </c>
    </row>
    <row r="88">
      <c r="B88" s="429" t="inlineStr">
        <is>
          <t>Commercial Fuels / Commercial Fuels</t>
        </is>
      </c>
      <c r="C88" s="573" t="n">
        <v>2</v>
      </c>
      <c r="D88" s="573" t="n">
        <v>0</v>
      </c>
      <c r="E88" s="575" t="n">
        <v>-2</v>
      </c>
    </row>
    <row r="89">
      <c r="B89" s="429" t="inlineStr">
        <is>
          <t>Commercial Fuels / Leadership</t>
        </is>
      </c>
      <c r="C89" s="573" t="n">
        <v>0</v>
      </c>
      <c r="D89" s="573" t="n">
        <v>4</v>
      </c>
      <c r="E89" s="574" t="n">
        <v>4</v>
      </c>
    </row>
    <row r="90">
      <c r="B90" s="429" t="inlineStr">
        <is>
          <t>Commercial Fuels / Trading &amp; Shipping</t>
        </is>
      </c>
      <c r="C90" s="573" t="n">
        <v>14</v>
      </c>
      <c r="D90" s="573" t="n">
        <v>12</v>
      </c>
      <c r="E90" s="575" t="n">
        <v>-2</v>
      </c>
    </row>
    <row r="91">
      <c r="B91" s="429" t="inlineStr">
        <is>
          <t>Customer / AU CRM &amp; Martech</t>
        </is>
      </c>
      <c r="C91" s="573" t="n">
        <v>13</v>
      </c>
      <c r="D91" s="573" t="n">
        <v>7</v>
      </c>
      <c r="E91" s="574" t="n">
        <v>-6</v>
      </c>
    </row>
    <row r="92">
      <c r="B92" s="429" t="inlineStr">
        <is>
          <t>Customer / EGI Customer</t>
        </is>
      </c>
      <c r="C92" s="573" t="n">
        <v>9</v>
      </c>
      <c r="D92" s="573" t="n">
        <v>10</v>
      </c>
      <c r="E92" s="575" t="n">
        <v>1</v>
      </c>
    </row>
    <row r="93">
      <c r="B93" s="429" t="inlineStr">
        <is>
          <t>Customer / Leadership</t>
        </is>
      </c>
      <c r="C93" s="573" t="n">
        <v>14</v>
      </c>
      <c r="D93" s="573" t="n">
        <v>13</v>
      </c>
      <c r="E93" s="575" t="n">
        <v>-1</v>
      </c>
    </row>
    <row r="94">
      <c r="B94" s="429" t="inlineStr">
        <is>
          <t>EGI / EGI (unassigned)</t>
        </is>
      </c>
      <c r="C94" s="573" t="n">
        <v>5</v>
      </c>
      <c r="D94" s="573" t="n">
        <v>21</v>
      </c>
      <c r="E94" s="574" t="n">
        <v>16</v>
      </c>
    </row>
    <row r="95">
      <c r="B95" s="429" t="inlineStr">
        <is>
          <t>Enterprise Data / Leadership</t>
        </is>
      </c>
      <c r="C95" s="573" t="n">
        <v>1</v>
      </c>
      <c r="D95" s="573" t="n">
        <v>5</v>
      </c>
      <c r="E95" s="574" t="n">
        <v>4</v>
      </c>
    </row>
    <row r="96">
      <c r="B96" s="429" t="inlineStr">
        <is>
          <t>Enterprise Data / Operations</t>
        </is>
      </c>
      <c r="C96" s="573" t="n">
        <v>2</v>
      </c>
      <c r="D96" s="573" t="n">
        <v>0</v>
      </c>
      <c r="E96" s="575" t="n">
        <v>-2</v>
      </c>
    </row>
    <row r="97">
      <c r="B97" s="429" t="inlineStr">
        <is>
          <t>Infrastructure / Technology Support</t>
        </is>
      </c>
      <c r="C97" s="573" t="n">
        <v>4</v>
      </c>
      <c r="D97" s="573" t="n">
        <v>5</v>
      </c>
      <c r="E97" s="575" t="n">
        <v>1</v>
      </c>
    </row>
    <row r="98">
      <c r="B98" s="429" t="inlineStr">
        <is>
          <t>TDD Cyber / TDD Cyber</t>
        </is>
      </c>
      <c r="C98" s="573" t="n">
        <v>48</v>
      </c>
      <c r="D98" s="573" t="n">
        <v>52</v>
      </c>
      <c r="E98" s="574" t="n">
        <v>4</v>
      </c>
    </row>
    <row r="99">
      <c r="B99" s="429" t="inlineStr">
        <is>
          <t>TDD Group Functions / Integration</t>
        </is>
      </c>
      <c r="C99" s="573" t="n">
        <v>8</v>
      </c>
      <c r="D99" s="573" t="n">
        <v>10</v>
      </c>
      <c r="E99" s="575" t="n">
        <v>2</v>
      </c>
    </row>
    <row r="100">
      <c r="B100" s="429" t="inlineStr">
        <is>
          <t>TDD Group Functions / Leadership</t>
        </is>
      </c>
      <c r="C100" s="573" t="n">
        <v>7</v>
      </c>
      <c r="D100" s="573" t="n">
        <v>5</v>
      </c>
      <c r="E100" s="575" t="n">
        <v>-2</v>
      </c>
    </row>
    <row r="101">
      <c r="B101" s="429" t="inlineStr">
        <is>
          <t>TDD Group Functions / Network &amp; Infrastructure</t>
        </is>
      </c>
      <c r="C101" s="573" t="n">
        <v>11</v>
      </c>
      <c r="D101" s="573" t="n">
        <v>12</v>
      </c>
      <c r="E101" s="575" t="n">
        <v>1</v>
      </c>
    </row>
    <row r="102">
      <c r="B102" s="429" t="inlineStr">
        <is>
          <t>Unmapped / B2B &amp; Energy Solutions</t>
        </is>
      </c>
      <c r="C102" s="573" t="n">
        <v>1</v>
      </c>
      <c r="D102" s="573" t="n">
        <v>0</v>
      </c>
      <c r="E102" s="575" t="n">
        <v>-1</v>
      </c>
    </row>
    <row r="103">
      <c r="B103" s="429" t="inlineStr">
        <is>
          <t>Unmapped / Leadership</t>
        </is>
      </c>
      <c r="C103" s="573" t="n">
        <v>7</v>
      </c>
      <c r="D103" s="573" t="n">
        <v>5</v>
      </c>
      <c r="E103" s="575" t="n">
        <v>-2</v>
      </c>
    </row>
    <row r="104">
      <c r="B104" s="429" t="inlineStr">
        <is>
          <t>Unmapped / TDD Group Functions</t>
        </is>
      </c>
      <c r="C104" s="573" t="n">
        <v>0</v>
      </c>
      <c r="D104" s="573" t="n">
        <v>1</v>
      </c>
      <c r="E104" s="575" t="n">
        <v>1</v>
      </c>
    </row>
    <row r="105">
      <c r="B105" s="429" t="inlineStr">
        <is>
          <t>Z Retail / Data NZ</t>
        </is>
      </c>
      <c r="C105" s="573" t="n">
        <v>6</v>
      </c>
      <c r="D105" s="573" t="n">
        <v>7</v>
      </c>
      <c r="E105" s="575" t="n">
        <v>1</v>
      </c>
    </row>
    <row r="106">
      <c r="B106" s="429" t="inlineStr">
        <is>
          <t>Z Retail / Leadership</t>
        </is>
      </c>
      <c r="C106" s="573" t="n">
        <v>4</v>
      </c>
      <c r="D106" s="573" t="n">
        <v>5</v>
      </c>
      <c r="E106" s="575" t="n">
        <v>1</v>
      </c>
    </row>
    <row r="107">
      <c r="B107" s="429" t="inlineStr">
        <is>
          <t>Z Retail / Site Systems</t>
        </is>
      </c>
      <c r="C107" s="573" t="n">
        <v>8</v>
      </c>
      <c r="D107" s="573" t="n">
        <v>9</v>
      </c>
      <c r="E107" s="575" t="n">
        <v>1</v>
      </c>
    </row>
    <row r="108">
      <c r="B108" s="429" t="inlineStr">
        <is>
          <t>Z Retail / Z Retail Backend</t>
        </is>
      </c>
      <c r="C108" s="573" t="n">
        <v>8</v>
      </c>
      <c r="D108" s="573" t="n">
        <v>9</v>
      </c>
      <c r="E108" s="575" t="n">
        <v>1</v>
      </c>
    </row>
    <row r="109">
      <c r="B109" s="429" t="inlineStr">
        <is>
          <t>Z Retail / Z Supply</t>
        </is>
      </c>
      <c r="C109" s="573" t="n">
        <v>8</v>
      </c>
      <c r="D109" s="573" t="n">
        <v>9</v>
      </c>
      <c r="E109" s="575" t="n">
        <v>1</v>
      </c>
    </row>
    <row r="110"/>
    <row r="111">
      <c r="B111" s="464" t="inlineStr">
        <is>
          <t>Live check - raw data rows now</t>
        </is>
      </c>
      <c r="C111" s="576">
        <f>COUNTA(Squads!$B$2:$B$1000)</f>
        <v>536.0</v>
      </c>
    </row>
    <row r="112">
      <c r="B112" s="464" t="inlineStr">
        <is>
          <t>Live check - cost data rows now</t>
        </is>
      </c>
      <c r="C112" s="576">
        <f>COUNTA('Added data'!$B$2:$B$549)</f>
        <v>548.0</v>
      </c>
    </row>
    <row r="113">
      <c r="B113" s="429" t="inlineStr">
        <is>
          <t>If these differ from the snapshot above, refresh this tab.</t>
        </is>
      </c>
    </row>
    <row r="114"/>
    <row r="115"/>
    <row r="116">
      <c r="B116" s="666" t="inlineStr">
        <is>
          <t>Sheet2 reconciliation - the updated rosters vs the raw data (Squads). Sheet2 drives 2.1 / 2.2 / 2.3 and the EGI roster; Squads drives the portfolio squads.</t>
        </is>
      </c>
    </row>
    <row r="117">
      <c r="B117" s="696" t="inlineStr">
        <is>
          <t>Name (Sheet2)</t>
        </is>
      </c>
      <c r="C117" s="696" t="inlineStr">
        <is>
          <t>Role (Sheet2)</t>
        </is>
      </c>
      <c r="D117" s="696" t="inlineStr">
        <is>
          <t>Division</t>
        </is>
      </c>
      <c r="E117" s="696" t="inlineStr">
        <is>
          <t>Raw data status</t>
        </is>
      </c>
      <c r="F117" s="696" t="inlineStr">
        <is>
          <t>Sheet2 status</t>
        </is>
      </c>
    </row>
    <row r="118">
      <c r="B118" s="686" t="str">
        <f>Sheet2!$B$50</f>
        <v>Vacant  (AKL )</v>
      </c>
      <c r="C118" s="686" t="str">
        <f>SUBSTITUTE(SUBSTITUTE(Sheet2!$C$50,"–","-"),"—","-")</f>
        <v>Tech Support Technician</v>
      </c>
      <c r="D118" s="686" t="str">
        <f>Sheet2!$F$50</f>
        <v>Cyber, Risk &amp; Operations</v>
      </c>
      <c r="E118" s="673" t="str">
        <f>Squads!$R$247</f>
        <v>Filled</v>
      </c>
      <c r="F118" s="673" t="str">
        <f>IF(LOWER(Sheet2!$Q$50)="v","Vacant",IF(LOWER(Sheet2!$Q$50)="pause","Paused",IF(LOWER(Sheet2!$Q$50)="cxc","Contractor","Filled")))</f>
        <v>Vacant</v>
      </c>
    </row>
    <row r="119">
      <c r="B119" s="686" t="str">
        <f>Sheet2!$B$51</f>
        <v>Vacant (SYD)</v>
      </c>
      <c r="C119" s="686" t="str">
        <f>SUBSTITUTE(SUBSTITUTE(Sheet2!$C$51,"–","-"),"—","-")</f>
        <v>Tech Support Technician</v>
      </c>
      <c r="D119" s="686" t="str">
        <f>Sheet2!$F$51</f>
        <v>Cyber, Risk &amp; Operations</v>
      </c>
      <c r="E119" s="673" t="str">
        <f>Squads!$R$225</f>
        <v>Filled</v>
      </c>
      <c r="F119" s="673" t="str">
        <f>IF(LOWER(Sheet2!$Q$51)="v","Vacant",IF(LOWER(Sheet2!$Q$51)="pause","Paused",IF(LOWER(Sheet2!$Q$51)="cxc","Contractor","Filled")))</f>
        <v>Vacant</v>
      </c>
    </row>
    <row r="120">
      <c r="B120" s="686" t="str">
        <f>Sheet2!$B$117</f>
        <v>ring fenced</v>
      </c>
      <c r="C120" s="686" t="str">
        <f>SUBSTITUTE(SUBSTITUTE(Sheet2!$C$117,"–","-"),"—","-")</f>
        <v>Enterprise Architect</v>
      </c>
      <c r="D120" s="686" t="str">
        <f>Sheet2!$F$117</f>
        <v>Strategy, Architecture &amp; Data</v>
      </c>
      <c r="E120" s="673" t="str">
        <f>Squads!$R$341</f>
        <v>Filled</v>
      </c>
      <c r="F120" s="673" t="str">
        <f>IF(LOWER(Sheet2!$Q$117)="v","Vacant",IF(LOWER(Sheet2!$Q$117)="pause","Paused",IF(LOWER(Sheet2!$Q$117)="cxc","Contractor","Filled")))</f>
        <v>Paused</v>
      </c>
    </row>
    <row r="121">
      <c r="B121" s="686" t="str">
        <f>Sheet2!$B$118</f>
        <v>ring fenced</v>
      </c>
      <c r="C121" s="686" t="str">
        <f>SUBSTITUTE(SUBSTITUTE(Sheet2!$C$118,"–","-"),"—","-")</f>
        <v>Domain Architect - Customer &amp; Digital Tech</v>
      </c>
      <c r="D121" s="686" t="str">
        <f>Sheet2!$F$118</f>
        <v>Strategy, Architecture &amp; Data</v>
      </c>
      <c r="E121" s="673" t="str">
        <f>Squads!$R$287</f>
        <v>Filled</v>
      </c>
      <c r="F121" s="673" t="str">
        <f>IF(LOWER(Sheet2!$Q$118)="v","Vacant",IF(LOWER(Sheet2!$Q$118)="pause","Paused",IF(LOWER(Sheet2!$Q$118)="cxc","Contractor","Filled")))</f>
        <v>Vacant</v>
      </c>
    </row>
    <row r="122">
      <c r="B122" s="686" t="str">
        <f>Sheet2!$B$119</f>
        <v>ring fenced</v>
      </c>
      <c r="C122" s="686" t="str">
        <f>SUBSTITUTE(SUBSTITUTE(Sheet2!$C$119,"–","-"),"—","-")</f>
        <v>Domain Architect - Retail &amp; Z</v>
      </c>
      <c r="D122" s="686" t="str">
        <f>Sheet2!$F$119</f>
        <v>Strategy, Architecture &amp; Data</v>
      </c>
      <c r="E122" s="673" t="str">
        <f>Squads!$R$339</f>
        <v>Filled</v>
      </c>
      <c r="F122" s="673" t="str">
        <f>IF(LOWER(Sheet2!$Q$119)="v","Vacant",IF(LOWER(Sheet2!$Q$119)="pause","Paused",IF(LOWER(Sheet2!$Q$119)="cxc","Contractor","Filled")))</f>
        <v>Vacant</v>
      </c>
    </row>
    <row r="123">
      <c r="B123" s="686" t="str">
        <f>Sheet2!$B$120</f>
        <v>ring fenced</v>
      </c>
      <c r="C123" s="686" t="str">
        <f>SUBSTITUTE(SUBSTITUTE(Sheet2!$C$120,"–","-"),"—","-")</f>
        <v>Domain Architect - TDD</v>
      </c>
      <c r="D123" s="686" t="str">
        <f>Sheet2!$F$120</f>
        <v>Strategy, Architecture &amp; Data</v>
      </c>
      <c r="E123" s="673" t="str">
        <f>Squads!$R$289</f>
        <v>Filled</v>
      </c>
      <c r="F123" s="673" t="str">
        <f>IF(LOWER(Sheet2!$Q$120)="v","Vacant",IF(LOWER(Sheet2!$Q$120)="pause","Paused",IF(LOWER(Sheet2!$Q$120)="cxc","Contractor","Filled")))</f>
        <v>Vacant</v>
      </c>
    </row>
    <row r="124">
      <c r="B124" s="686" t="str">
        <f>Sheet2!$B$130</f>
        <v>Vacant</v>
      </c>
      <c r="C124" s="686" t="str">
        <f>SUBSTITUTE(SUBSTITUTE(Sheet2!$C$130,"–","-"),"—","-")</f>
        <v>Engineer Data - Reporting</v>
      </c>
      <c r="D124" s="686" t="str">
        <f>Sheet2!$F$130</f>
        <v>Strategy, Architecture &amp; Data</v>
      </c>
      <c r="E124" s="673" t="str">
        <f>Squads!$R$284</f>
        <v>Vacant</v>
      </c>
      <c r="F124" s="673" t="str">
        <f>IF(LOWER(Sheet2!$Q$130)="v","Vacant",IF(LOWER(Sheet2!$Q$130)="pause","Paused",IF(LOWER(Sheet2!$Q$130)="cxc","Contractor","Filled")))</f>
        <v>Paused</v>
      </c>
    </row>
    <row r="125">
      <c r="B125" s="686" t="str">
        <f>Sheet2!$B$134</f>
        <v>Vacant</v>
      </c>
      <c r="C125" s="686" t="str">
        <f>SUBSTITUTE(SUBSTITUTE(Sheet2!$C$134,"–","-"),"—","-")</f>
        <v>Business Analyst</v>
      </c>
      <c r="D125" s="686" t="str">
        <f>Sheet2!$F$134</f>
        <v>Strategy, Architecture &amp; Data</v>
      </c>
      <c r="E125" s="673" t="str">
        <f>Squads!$R$299</f>
        <v>Vacant</v>
      </c>
      <c r="F125" s="673" t="str">
        <f>IF(LOWER(Sheet2!$Q$134)="v","Vacant",IF(LOWER(Sheet2!$Q$134)="pause","Paused",IF(LOWER(Sheet2!$Q$134)="cxc","Contractor","Filled")))</f>
        <v>Paused</v>
      </c>
    </row>
    <row r="126">
      <c r="B126" s="686" t="str">
        <f>Sheet2!$B$135</f>
        <v>vacant</v>
      </c>
      <c r="C126" s="686" t="str">
        <f>SUBSTITUTE(SUBSTITUTE(Sheet2!$C$135,"–","-"),"—","-")</f>
        <v>Data Analyst</v>
      </c>
      <c r="D126" s="686" t="str">
        <f>Sheet2!$F$135</f>
        <v>Strategy, Architecture &amp; Data</v>
      </c>
      <c r="E126" s="673" t="str">
        <f>Squads!$R$302</f>
        <v>Vacant</v>
      </c>
      <c r="F126" s="673" t="str">
        <f>IF(LOWER(Sheet2!$Q$135)="v","Vacant",IF(LOWER(Sheet2!$Q$135)="pause","Paused",IF(LOWER(Sheet2!$Q$135)="cxc","Contractor","Filled")))</f>
        <v>Paused</v>
      </c>
    </row>
    <row r="127">
      <c r="B127" s="686" t="str">
        <f>Sheet2!$B$136</f>
        <v>Vacant</v>
      </c>
      <c r="C127" s="686" t="str">
        <f>SUBSTITUTE(SUBSTITUTE(Sheet2!$C$136,"–","-"),"—","-")</f>
        <v>Data Analyst</v>
      </c>
      <c r="D127" s="686" t="str">
        <f>Sheet2!$F$136</f>
        <v>Strategy, Architecture &amp; Data</v>
      </c>
      <c r="E127" s="673" t="str">
        <f>Squads!$R$336</f>
        <v>Vacant</v>
      </c>
      <c r="F127" s="673" t="str">
        <f>IF(LOWER(Sheet2!$Q$136)="v","Vacant",IF(LOWER(Sheet2!$Q$136)="pause","Paused",IF(LOWER(Sheet2!$Q$136)="cxc","Contractor","Filled")))</f>
        <v>Paused</v>
      </c>
    </row>
    <row r="128">
      <c r="B128" s="686" t="str">
        <f>Sheet2!$B$137</f>
        <v>vacant</v>
      </c>
      <c r="C128" s="686" t="str">
        <f>SUBSTITUTE(SUBSTITUTE(Sheet2!$C$137,"–","-"),"—","-")</f>
        <v>Data Scientist</v>
      </c>
      <c r="D128" s="686" t="str">
        <f>Sheet2!$F$137</f>
        <v>Strategy, Architecture &amp; Data</v>
      </c>
      <c r="E128" s="673" t="str">
        <f>Squads!$R$304</f>
        <v>Vacant</v>
      </c>
      <c r="F128" s="673" t="str">
        <f>IF(LOWER(Sheet2!$Q$137)="v","Vacant",IF(LOWER(Sheet2!$Q$137)="pause","Paused",IF(LOWER(Sheet2!$Q$137)="cxc","Contractor","Filled")))</f>
        <v>Paused</v>
      </c>
    </row>
    <row r="129">
      <c r="B129" s="686" t="str">
        <f>Sheet2!$B$138</f>
        <v>Vacant</v>
      </c>
      <c r="C129" s="686" t="str">
        <f>SUBSTITUTE(SUBSTITUTE(Sheet2!$C$138,"–","-"),"—","-")</f>
        <v>Reporting Lead </v>
      </c>
      <c r="D129" s="686" t="str">
        <f>Sheet2!$F$138</f>
        <v>Strategy, Architecture &amp; Data</v>
      </c>
      <c r="E129" s="673" t="str">
        <f>Squads!$R$324</f>
        <v>Vacant</v>
      </c>
      <c r="F129" s="673" t="str">
        <f>IF(LOWER(Sheet2!$Q$138)="v","Vacant",IF(LOWER(Sheet2!$Q$138)="pause","Paused",IF(LOWER(Sheet2!$Q$138)="cxc","Contractor","Filled")))</f>
        <v>Paused</v>
      </c>
    </row>
    <row r="130">
      <c r="B130" s="686" t="str">
        <f>Sheet2!$B$142</f>
        <v>Vacant</v>
      </c>
      <c r="C130" s="686" t="str">
        <f>SUBSTITUTE(SUBSTITUTE(Sheet2!$C$142,"–","-"),"—","-")</f>
        <v>Head of Architecture</v>
      </c>
      <c r="D130" s="686" t="str">
        <f>Sheet2!$F$142</f>
        <v>Strategy, Architecture &amp; Data</v>
      </c>
      <c r="E130" s="673" t="str">
        <f>Squads!$R$340</f>
        <v>Filled</v>
      </c>
      <c r="F130" s="673" t="str">
        <f>IF(LOWER(Sheet2!$Q$142)="v","Vacant",IF(LOWER(Sheet2!$Q$142)="pause","Paused",IF(LOWER(Sheet2!$Q$142)="cxc","Contractor","Filled")))</f>
        <v>Vacant</v>
      </c>
    </row>
    <row r="131">
      <c r="B131" s="686" t="str">
        <f>Sheet2!$B$145</f>
        <v>Vacant</v>
      </c>
      <c r="C131" s="686" t="str">
        <f>SUBSTITUTE(SUBSTITUTE(Sheet2!$C$145,"–","-"),"—","-")</f>
        <v>Enterprise Data Architect</v>
      </c>
      <c r="D131" s="686" t="str">
        <f>Sheet2!$F$145</f>
        <v>Strategy, Architecture &amp; Data</v>
      </c>
      <c r="E131" s="673" t="str">
        <f>Squads!$R$322</f>
        <v>Vacant</v>
      </c>
      <c r="F131" s="673" t="str">
        <f>IF(LOWER(Sheet2!$Q$145)="v","Vacant",IF(LOWER(Sheet2!$Q$145)="pause","Paused",IF(LOWER(Sheet2!$Q$145)="cxc","Contractor","Filled")))</f>
        <v>Paused</v>
      </c>
    </row>
    <row r="132">
      <c r="B132" s="686" t="str">
        <f>Sheet2!$B$150</f>
        <v>Vacant  (Contract)</v>
      </c>
      <c r="C132" s="686" t="str">
        <f>SUBSTITUTE(SUBSTITUTE(Sheet2!$C$150,"–","-"),"—","-")</f>
        <v>Applications Specialist - Strategic Programs</v>
      </c>
      <c r="D132" s="686" t="str">
        <f>Sheet2!$F$150</f>
        <v>Strategy, Architecture &amp; Data</v>
      </c>
      <c r="E132" s="673" t="str">
        <f>Squads!$R$312</f>
        <v>Filled</v>
      </c>
      <c r="F132" s="673" t="str">
        <f>IF(LOWER(Sheet2!$Q$150)="v","Vacant",IF(LOWER(Sheet2!$Q$150)="pause","Paused",IF(LOWER(Sheet2!$Q$150)="cxc","Contractor","Filled")))</f>
        <v>Paused</v>
      </c>
    </row>
    <row r="133">
      <c r="B133" s="686" t="str">
        <f>Sheet2!$B$151</f>
        <v>Vacant (contract)</v>
      </c>
      <c r="C133" s="686" t="str">
        <f>SUBSTITUTE(SUBSTITUTE(Sheet2!$C$151,"–","-"),"—","-")</f>
        <v>Reporting analysts - Strategic Programs</v>
      </c>
      <c r="D133" s="686" t="str">
        <f>Sheet2!$F$151</f>
        <v>Strategy, Architecture &amp; Data</v>
      </c>
      <c r="E133" s="673" t="str">
        <f>Squads!$R$310</f>
        <v>Filled</v>
      </c>
      <c r="F133" s="673" t="str">
        <f>IF(LOWER(Sheet2!$Q$151)="v","Vacant",IF(LOWER(Sheet2!$Q$151)="pause","Paused",IF(LOWER(Sheet2!$Q$151)="cxc","Contractor","Filled")))</f>
        <v>Paused</v>
      </c>
    </row>
    <row r="134">
      <c r="B134" s="695" t="inlineStr">
        <is>
          <t>Where the two disagree, the Sheet2 status is used on 2.1 / 2.2 / 2.3. The raw data still drives the portfolio squad counts on 1.x / 3.0 / 4.x.</t>
        </is>
      </c>
    </row>
    <row r="135"/>
    <row r="136">
      <c r="B136" s="666" t="inlineStr">
        <is>
          <t>Roles in Sheet2 with no matching raw data row</t>
        </is>
      </c>
    </row>
    <row r="137">
      <c r="B137" s="696" t="inlineStr">
        <is>
          <t>Name (Sheet2)</t>
        </is>
      </c>
      <c r="C137" s="696" t="inlineStr">
        <is>
          <t>Role (Sheet2)</t>
        </is>
      </c>
      <c r="D137" s="696" t="inlineStr">
        <is>
          <t>Division</t>
        </is>
      </c>
      <c r="E137" s="696" t="inlineStr">
        <is>
          <t>Where it now shows</t>
        </is>
      </c>
    </row>
    <row r="138">
      <c r="B138" s="686" t="str">
        <f>Sheet2!$B$3</f>
        <v>Belinda Hoskens</v>
      </c>
      <c r="C138" s="686" t="str">
        <f>SUBSTITUTE(SUBSTITUTE(Sheet2!$C$3,"–","-"),"—","-")</f>
        <v>Technology Support Engineer</v>
      </c>
      <c r="D138" s="686" t="str">
        <f>Sheet2!$F$3</f>
        <v>Cyber, Risk &amp; Operations</v>
      </c>
      <c r="E138" s="686" t="inlineStr">
        <is>
          <t>2.3 Cyber Roles</t>
        </is>
      </c>
    </row>
    <row r="139">
      <c r="B139" s="686" t="str">
        <f>Sheet2!$B$54</f>
        <v>Ahmed Yehya</v>
      </c>
      <c r="C139" s="686" t="str">
        <f>SUBSTITUTE(SUBSTITUTE(Sheet2!$C$54,"–","-"),"—","-")</f>
        <v>TDD Strategic Delivery</v>
      </c>
      <c r="D139" s="686" t="str">
        <f>Sheet2!$F$54</f>
        <v>EGI</v>
      </c>
      <c r="E139" s="686" t="inlineStr">
        <is>
          <t>2.7 Squad Detail - EGI strategic delivery roster</t>
        </is>
      </c>
    </row>
    <row r="140">
      <c r="B140" s="686" t="str">
        <f>Sheet2!$B$55</f>
        <v>Anthony Huynh</v>
      </c>
      <c r="C140" s="686" t="str">
        <f>SUBSTITUTE(SUBSTITUTE(Sheet2!$C$55,"–","-"),"—","-")</f>
        <v>Strategic Delivery Consultant</v>
      </c>
      <c r="D140" s="686" t="str">
        <f>Sheet2!$F$55</f>
        <v>EGI</v>
      </c>
      <c r="E140" s="686" t="inlineStr">
        <is>
          <t>2.7 Squad Detail - EGI strategic delivery roster</t>
        </is>
      </c>
    </row>
    <row r="141">
      <c r="B141" s="686" t="str">
        <f>Sheet2!$B$57</f>
        <v>Ernesto Pereira</v>
      </c>
      <c r="C141" s="686" t="str">
        <f>SUBSTITUTE(SUBSTITUTE(Sheet2!$C$57,"–","-"),"—","-")</f>
        <v>Project Manger</v>
      </c>
      <c r="D141" s="686" t="str">
        <f>Sheet2!$F$57</f>
        <v>EGI</v>
      </c>
      <c r="E141" s="686" t="inlineStr">
        <is>
          <t>2.7 Squad Detail - EGI strategic delivery roster</t>
        </is>
      </c>
    </row>
    <row r="142">
      <c r="B142" s="686" t="str">
        <f>Sheet2!$B$58</f>
        <v>Harish Dasari</v>
      </c>
      <c r="C142" s="686" t="str">
        <f>SUBSTITUTE(SUBSTITUTE(Sheet2!$C$58,"–","-"),"—","-")</f>
        <v>Business Analyst (SAP Payroll)</v>
      </c>
      <c r="D142" s="686" t="str">
        <f>Sheet2!$F$58</f>
        <v>EGI</v>
      </c>
      <c r="E142" s="686" t="inlineStr">
        <is>
          <t>2.7 Squad Detail - EGI strategic delivery roster</t>
        </is>
      </c>
    </row>
    <row r="143">
      <c r="B143" s="686" t="str">
        <f>Sheet2!$B$59</f>
        <v>James Munt</v>
      </c>
      <c r="C143" s="686" t="str">
        <f>SUBSTITUTE(SUBSTITUTE(Sheet2!$C$59,"–","-"),"—","-")</f>
        <v>Program Manager Tech &amp; P&amp;C</v>
      </c>
      <c r="D143" s="686" t="str">
        <f>Sheet2!$F$59</f>
        <v>EGI</v>
      </c>
      <c r="E143" s="686" t="inlineStr">
        <is>
          <t>2.7 Squad Detail - EGI strategic delivery roster</t>
        </is>
      </c>
    </row>
    <row r="144">
      <c r="B144" s="686" t="str">
        <f>Sheet2!$B$60</f>
        <v>Jason McNamara</v>
      </c>
      <c r="C144" s="686" t="str">
        <f>SUBSTITUTE(SUBSTITUTE(Sheet2!$C$60,"–","-"),"—","-")</f>
        <v>Project Manager Retail</v>
      </c>
      <c r="D144" s="686" t="str">
        <f>Sheet2!$F$60</f>
        <v>EGI</v>
      </c>
      <c r="E144" s="686" t="inlineStr">
        <is>
          <t>2.7 Squad Detail - EGI strategic delivery roster</t>
        </is>
      </c>
    </row>
    <row r="145">
      <c r="B145" s="686" t="str">
        <f>Sheet2!$B$61</f>
        <v>Jason Sipkovic</v>
      </c>
      <c r="C145" s="686" t="str">
        <f>SUBSTITUTE(SUBSTITUTE(Sheet2!$C$61,"–","-"),"—","-")</f>
        <v>strategic program architect</v>
      </c>
      <c r="D145" s="686" t="str">
        <f>Sheet2!$F$61</f>
        <v>EGI</v>
      </c>
      <c r="E145" s="686" t="inlineStr">
        <is>
          <t>2.7 Squad Detail - EGI strategic delivery roster</t>
        </is>
      </c>
    </row>
    <row r="146">
      <c r="B146" s="686" t="str">
        <f>Sheet2!$B$62</f>
        <v>Kanika Narula</v>
      </c>
      <c r="C146" s="686" t="str">
        <f>SUBSTITUTE(SUBSTITUTE(Sheet2!$C$62,"–","-"),"—","-")</f>
        <v>Business Analyst Digital</v>
      </c>
      <c r="D146" s="686" t="str">
        <f>Sheet2!$F$62</f>
        <v>EGI</v>
      </c>
      <c r="E146" s="686" t="inlineStr">
        <is>
          <t>2.7 Squad Detail - EGI strategic delivery roster</t>
        </is>
      </c>
    </row>
    <row r="147">
      <c r="B147" s="686" t="str">
        <f>Sheet2!$B$63</f>
        <v>Karl Reyneke</v>
      </c>
      <c r="C147" s="686" t="str">
        <f>SUBSTITUTE(SUBSTITUTE(Sheet2!$C$63,"–","-"),"—","-")</f>
        <v>Strategic Delivery Consultant</v>
      </c>
      <c r="D147" s="686" t="str">
        <f>Sheet2!$F$63</f>
        <v>EGI</v>
      </c>
      <c r="E147" s="686" t="inlineStr">
        <is>
          <t>2.7 Squad Detail - EGI strategic delivery roster</t>
        </is>
      </c>
    </row>
    <row r="148">
      <c r="B148" s="686" t="str">
        <f>Sheet2!$B$64</f>
        <v>michelle Siegman</v>
      </c>
      <c r="C148" s="686" t="str">
        <f>SUBSTITUTE(SUBSTITUTE(Sheet2!$C$64,"–","-"),"—","-")</f>
        <v>Strategic Delivery Consultant</v>
      </c>
      <c r="D148" s="686" t="str">
        <f>Sheet2!$F$64</f>
        <v>EGI</v>
      </c>
      <c r="E148" s="686" t="inlineStr">
        <is>
          <t>2.7 Squad Detail - EGI strategic delivery roster</t>
        </is>
      </c>
    </row>
    <row r="149">
      <c r="B149" s="686" t="str">
        <f>Sheet2!$B$65</f>
        <v>Moitri Pal</v>
      </c>
      <c r="C149" s="686" t="str">
        <f>SUBSTITUTE(SUBSTITUTE(Sheet2!$C$65,"–","-"),"—","-")</f>
        <v>Portfolio Mnager</v>
      </c>
      <c r="D149" s="686" t="str">
        <f>Sheet2!$F$65</f>
        <v>EGI</v>
      </c>
      <c r="E149" s="686" t="inlineStr">
        <is>
          <t>2.7 Squad Detail - EGI strategic delivery roster</t>
        </is>
      </c>
    </row>
    <row r="150">
      <c r="B150" s="686" t="str">
        <f>Sheet2!$B$67</f>
        <v>Paul Hassey</v>
      </c>
      <c r="C150" s="686" t="str">
        <f>SUBSTITUTE(SUBSTITUTE(Sheet2!$C$67,"–","-"),"—","-")</f>
        <v>Program Architect</v>
      </c>
      <c r="D150" s="686" t="str">
        <f>Sheet2!$F$67</f>
        <v>EGI</v>
      </c>
      <c r="E150" s="686" t="inlineStr">
        <is>
          <t>2.7 Squad Detail - EGI strategic delivery roster</t>
        </is>
      </c>
    </row>
    <row r="151">
      <c r="B151" s="686" t="str">
        <f>Sheet2!$B$68</f>
        <v>vijay Solanki</v>
      </c>
      <c r="C151" s="686" t="str">
        <f>SUBSTITUTE(SUBSTITUTE(Sheet2!$C$68,"–","-"),"—","-")</f>
        <v>Project Manager Deployment</v>
      </c>
      <c r="D151" s="686" t="str">
        <f>Sheet2!$F$68</f>
        <v>EGI</v>
      </c>
      <c r="E151" s="686" t="inlineStr">
        <is>
          <t>2.7 Squad Detail - EGI strategic delivery roster</t>
        </is>
      </c>
    </row>
    <row r="152">
      <c r="B152" s="686" t="str">
        <f>Sheet2!$B$69</f>
        <v>Winnie Fernandes</v>
      </c>
      <c r="C152" s="686" t="str">
        <f>SUBSTITUTE(SUBSTITUTE(Sheet2!$C$69,"–","-"),"—","-")</f>
        <v>Delivery Lead - Integration</v>
      </c>
      <c r="D152" s="686" t="str">
        <f>Sheet2!$F$69</f>
        <v>EGI</v>
      </c>
      <c r="E152" s="686" t="inlineStr">
        <is>
          <t>2.7 Squad Detail - EGI strategic delivery roster</t>
        </is>
      </c>
    </row>
    <row r="153">
      <c r="B153" s="686" t="str">
        <f>Sheet2!$B$71</f>
        <v>Conli Mills</v>
      </c>
      <c r="C153" s="686" t="str">
        <f>SUBSTITUTE(SUBSTITUTE(Sheet2!$C$71,"–","-"),"—","-")</f>
        <v>TDD BP - Infrastructure</v>
      </c>
      <c r="D153" s="686" t="str">
        <f>Sheet2!$F$71</f>
        <v>Partnering &amp; Transformation</v>
      </c>
      <c r="E153" s="686" t="inlineStr">
        <is>
          <t>2.1 BP&amp;T</t>
        </is>
      </c>
    </row>
    <row r="154">
      <c r="B154" s="686" t="str">
        <f>Sheet2!$B$73</f>
        <v>Jane Esclandra</v>
      </c>
      <c r="C154" s="686" t="str">
        <f>SUBSTITUTE(SUBSTITUTE(Sheet2!$C$73,"–","-"),"—","-")</f>
        <v>Software Asset Specialist</v>
      </c>
      <c r="D154" s="686" t="str">
        <f>Sheet2!$F$73</f>
        <v>Partnering &amp; Transformation</v>
      </c>
      <c r="E154" s="686" t="inlineStr">
        <is>
          <t>2.1 BP&amp;T</t>
        </is>
      </c>
    </row>
    <row r="155">
      <c r="B155" s="686" t="str">
        <f>Sheet2!$B$96</f>
        <v>Carol Kuang</v>
      </c>
      <c r="C155" s="686" t="str">
        <f>SUBSTITUTE(SUBSTITUTE(Sheet2!$C$96,"–","-"),"—","-")</f>
        <v>Senior Data Scientist</v>
      </c>
      <c r="D155" s="686" t="str">
        <f>Sheet2!$F$96</f>
        <v>Strategy, Architecture &amp; Data</v>
      </c>
      <c r="E155" s="686" t="inlineStr">
        <is>
          <t>In an Enterprise Data squad per Sheet2 - needs a raw data row to join the 1.3 / 4.3 counts</t>
        </is>
      </c>
    </row>
    <row r="156">
      <c r="B156" s="686" t="str">
        <f>Sheet2!$B$101</f>
        <v>Jason Gleason</v>
      </c>
      <c r="C156" s="686" t="str">
        <f>SUBSTITUTE(SUBSTITUTE(Sheet2!$C$101,"–","-"),"—","-")</f>
        <v>Technology Manager, Data Engineering &amp; Platforms</v>
      </c>
      <c r="D156" s="686" t="str">
        <f>Sheet2!$F$101</f>
        <v>Strategy, Architecture &amp; Data</v>
      </c>
      <c r="E156" s="686" t="inlineStr">
        <is>
          <t>Nowhere yet - needs a raw data row to join the Enterprise Data portfolio</t>
        </is>
      </c>
    </row>
    <row r="157">
      <c r="B157" s="686" t="str">
        <f>Sheet2!$B$105</f>
        <v>Kina Birkby</v>
      </c>
      <c r="C157" s="686" t="str">
        <f>SUBSTITUTE(SUBSTITUTE(Sheet2!$C$105,"–","-"),"—","-")</f>
        <v>Delivery Lead</v>
      </c>
      <c r="D157" s="686" t="str">
        <f>Sheet2!$F$105</f>
        <v>Strategy, Architecture &amp; Data</v>
      </c>
      <c r="E157" s="686" t="inlineStr">
        <is>
          <t>In an Enterprise Data squad per Sheet2 - needs a raw data row to join the 1.3 / 4.3 counts</t>
        </is>
      </c>
    </row>
    <row r="158"/>
    <row r="159">
      <c r="B159" s="666" t="inlineStr">
        <is>
          <t>Raw data rows (these four divisions) with no matching Sheet2 row - check if dropped or renamed</t>
        </is>
      </c>
    </row>
    <row r="160">
      <c r="B160" s="696" t="inlineStr">
        <is>
          <t>Name (raw data)</t>
        </is>
      </c>
      <c r="C160" s="696" t="inlineStr">
        <is>
          <t>Role (raw data)</t>
        </is>
      </c>
      <c r="D160" s="696" t="inlineStr">
        <is>
          <t>Model portfolio</t>
        </is>
      </c>
      <c r="E160" s="696" t="inlineStr">
        <is>
          <t>Status</t>
        </is>
      </c>
    </row>
    <row r="161">
      <c r="B161" s="686" t="str">
        <f>Squads!$B$227</f>
        <v>Vacant</v>
      </c>
      <c r="C161" s="686" t="str">
        <f>SUBSTITUTE(SUBSTITUTE(Squads!$C$227,"–","-"),"—","-")</f>
        <v>Technology Support Engineer</v>
      </c>
      <c r="D161" s="686" t="str">
        <f>Squads!$N$227</f>
        <v>TDD Cyber</v>
      </c>
      <c r="E161" s="673" t="str">
        <f>Squads!$R$227</f>
        <v>Vacant</v>
      </c>
    </row>
    <row r="162">
      <c r="B162" s="686" t="str">
        <f>Squads!$B$256</f>
        <v>Winnie Fernandes</v>
      </c>
      <c r="C162" s="686" t="str">
        <f>SUBSTITUTE(SUBSTITUTE(Squads!$C$256,"–","-"),"—","-")</f>
        <v>Delivery Lead</v>
      </c>
      <c r="D162" s="686" t="str">
        <f>Squads!$N$256</f>
        <v>EGI</v>
      </c>
      <c r="E162" s="673" t="str">
        <f>Squads!$R$256</f>
        <v>Filled</v>
      </c>
    </row>
    <row r="163">
      <c r="B163" s="686" t="str">
        <f>Squads!$B$263</f>
        <v>Vacant </v>
      </c>
      <c r="C163" s="686" t="str">
        <f>SUBSTITUTE(SUBSTITUTE(Squads!$C$263,"–","-"),"—","-")</f>
        <v>Portfolio Analyst</v>
      </c>
      <c r="D163" s="686" t="str">
        <f>Squads!$N$263</f>
        <v>COE</v>
      </c>
      <c r="E163" s="673" t="str">
        <f>Squads!$R$263</f>
        <v>Vacant</v>
      </c>
    </row>
    <row r="164">
      <c r="B164" s="686" t="str">
        <f>Squads!$B$279</f>
        <v>Vacant</v>
      </c>
      <c r="C164" s="686" t="str">
        <f>SUBSTITUTE(SUBSTITUTE(Squads!$C$279,"–","-"),"—","-")</f>
        <v>TDD BP - Infrastructure</v>
      </c>
      <c r="D164" s="686" t="str">
        <f>Squads!$N$279</f>
        <v>COE</v>
      </c>
      <c r="E164" s="673" t="str">
        <f>Squads!$R$279</f>
        <v>Vacant</v>
      </c>
    </row>
    <row r="165">
      <c r="B165" s="686" t="str">
        <f>Squads!$B$281</f>
        <v>Vacant</v>
      </c>
      <c r="C165" s="686" t="str">
        <f>SUBSTITUTE(SUBSTITUTE(Squads!$C$281,"–","-"),"—","-")</f>
        <v>Software Asset Specialist</v>
      </c>
      <c r="D165" s="686" t="str">
        <f>Squads!$N$281</f>
        <v>COE</v>
      </c>
      <c r="E165" s="673" t="str">
        <f>Squads!$R$281</f>
        <v>Vacant</v>
      </c>
    </row>
    <row r="166">
      <c r="B166" s="686" t="str">
        <f>Squads!$B$291</f>
        <v>Vacant</v>
      </c>
      <c r="C166" s="686" t="str">
        <f>SUBSTITUTE(SUBSTITUTE(Squads!$C$291,"–","-"),"—","-")</f>
        <v>Technology Manager, Data Engineering &amp; Platforms</v>
      </c>
      <c r="D166" s="686" t="str">
        <f>Squads!$N$291</f>
        <v>COE</v>
      </c>
      <c r="E166" s="673" t="str">
        <f>Squads!$R$291</f>
        <v>Vacant</v>
      </c>
    </row>
    <row r="167">
      <c r="B167" s="686" t="str">
        <f>Squads!$B$297</f>
        <v>Vacant</v>
      </c>
      <c r="C167" s="686" t="str">
        <f>SUBSTITUTE(SUBSTITUTE(Squads!$C$297,"–","-"),"—","-")</f>
        <v>Delivery Lead</v>
      </c>
      <c r="D167" s="686" t="str">
        <f>Squads!$N$297</f>
        <v>Enterprise Data</v>
      </c>
      <c r="E167" s="673" t="str">
        <f>Squads!$R$297</f>
        <v>Vacant</v>
      </c>
    </row>
    <row r="168">
      <c r="B168" s="686" t="str">
        <f>Squads!$B$305</f>
        <v>Vacant</v>
      </c>
      <c r="C168" s="686" t="str">
        <f>SUBSTITUTE(SUBSTITUTE(Squads!$C$305,"–","-"),"—","-")</f>
        <v>Senior Data Scientist</v>
      </c>
      <c r="D168" s="686" t="str">
        <f>Squads!$N$305</f>
        <v>Enterprise Data</v>
      </c>
      <c r="E168" s="673" t="str">
        <f>Squads!$R$305</f>
        <v>Vacant</v>
      </c>
    </row>
    <row r="169"/>
    <row r="170">
      <c r="B170" s="666" t="inlineStr">
        <is>
          <t>Raw data integrity audit</t>
        </is>
      </c>
    </row>
    <row r="171">
      <c r="B171" s="695" t="inlineStr">
        <is>
          <t>Zero rows were added to the raw data: the Squads tab in this workbook matches the owner's uploaded copy cell for cell.</t>
        </is>
      </c>
    </row>
    <row r="172">
      <c r="B172" s="695" t="inlineStr">
        <is>
          <t>16 mapping cells on 4 Commercial rows were changed in an earlier build (Unmapped to COE - Business Partnering). The uploaded copy already includes that change, so the two files match today. The names below are live references to those rows.</t>
        </is>
      </c>
    </row>
    <row r="173">
      <c r="B173" s="686" t="str">
        <f>Squads!$B$260</f>
        <v>Vacant</v>
      </c>
      <c r="C173" s="686" t="str">
        <f>SUBSTITUTE(SUBSTITUTE(Squads!$C$260,"–","-"),"—","-")</f>
        <v>Commercial Director</v>
      </c>
      <c r="D173" s="686" t="str">
        <f>Squads!$P$260</f>
        <v>COE - Business Partnering</v>
      </c>
      <c r="E173" s="673" t="str">
        <f>Squads!$R$260</f>
        <v>Vacant</v>
      </c>
    </row>
    <row r="174">
      <c r="B174" s="686" t="str">
        <f>Squads!$B$269</f>
        <v>Briony Scott</v>
      </c>
      <c r="C174" s="686" t="str">
        <f>SUBSTITUTE(SUBSTITUTE(Squads!$C$269,"–","-"),"—","-")</f>
        <v>Service &amp; Contract Specialist AU</v>
      </c>
      <c r="D174" s="686" t="str">
        <f>Squads!$P$269</f>
        <v>COE - Business Partnering</v>
      </c>
      <c r="E174" s="673" t="str">
        <f>Squads!$R$269</f>
        <v>Filled</v>
      </c>
    </row>
    <row r="175">
      <c r="B175" s="686" t="str">
        <f>Squads!$B$270</f>
        <v>Helen Ngu</v>
      </c>
      <c r="C175" s="686" t="str">
        <f>SUBSTITUTE(SUBSTITUTE(Squads!$C$270,"–","-"),"—","-")</f>
        <v>Service &amp; Contract Specialist NZ</v>
      </c>
      <c r="D175" s="686" t="str">
        <f>Squads!$P$270</f>
        <v>COE - Business Partnering</v>
      </c>
      <c r="E175" s="673" t="str">
        <f>Squads!$R$270</f>
        <v>Filled</v>
      </c>
    </row>
    <row r="176">
      <c r="B176" s="686" t="str">
        <f>Squads!$B$281</f>
        <v>Vacant</v>
      </c>
      <c r="C176" s="686" t="str">
        <f>SUBSTITUTE(SUBSTITUTE(Squads!$C$281,"–","-"),"—","-")</f>
        <v>Software Asset Specialist</v>
      </c>
      <c r="D176" s="686" t="str">
        <f>Squads!$P$281</f>
        <v>COE - Business Partnering</v>
      </c>
      <c r="E176" s="673" t="str">
        <f>Squads!$R$281</f>
        <v>Vacant</v>
      </c>
    </row>
    <row r="177">
      <c r="B177" s="695" t="inlineStr">
        <is>
          <t>Sheet2 confirms these four roles sit in Partnering &amp; Transformation (Commercial), inside the Business Partnering bucket on 2.3.</t>
        </is>
      </c>
    </row>
    <row r="178"/>
    <row r="179">
      <c r="B179" s="666" t="inlineStr">
        <is>
          <t>Cost bases</t>
        </is>
      </c>
    </row>
    <row r="180">
      <c r="B180" s="695" t="inlineStr">
        <is>
          <t>2.1 / 2.2 / 2.3 and the EGI roster are costed from Sheet2 (Full Cost AUD, column AA). Portfolio actuals on 2.1 are costed from the Added data ledger. The difference is the restatement line on 2.1.</t>
        </is>
      </c>
    </row>
    <row r="181"/>
    <row r="182"/>
    <row r="183"/>
    <row r="184">
      <c r="B184" s="673" t="n">
        <v>307</v>
      </c>
      <c r="C184" s="673" t="inlineStr">
        <is>
          <t>N307</t>
        </is>
      </c>
      <c r="D184" s="686" t="inlineStr">
        <is>
          <t>Unmapped</t>
        </is>
      </c>
      <c r="E184" s="686" t="inlineStr">
        <is>
          <t>COE</t>
        </is>
      </c>
      <c r="F184" s="686" t="str">
        <f>Squads!$B$307&amp;" - "&amp;Squads!$C$307</f>
        <v>James Holgate - Head of Technology,  Group Data</v>
      </c>
    </row>
    <row r="185">
      <c r="B185" s="673" t="n">
        <v>307</v>
      </c>
      <c r="C185" s="673" t="inlineStr">
        <is>
          <t>O307</t>
        </is>
      </c>
      <c r="D185" s="686" t="inlineStr">
        <is>
          <t>Leadership</t>
        </is>
      </c>
      <c r="E185" s="686" t="inlineStr">
        <is>
          <t>COE - Data</t>
        </is>
      </c>
      <c r="F185" s="686" t="str">
        <f>Squads!$B$307&amp;" - "&amp;Squads!$C$307</f>
        <v>James Holgate - Head of Technology,  Group Data</v>
      </c>
    </row>
    <row r="186">
      <c r="B186" s="673" t="n">
        <v>307</v>
      </c>
      <c r="C186" s="673" t="inlineStr">
        <is>
          <t>P307</t>
        </is>
      </c>
      <c r="D186" s="686" t="inlineStr">
        <is>
          <t>Leadership</t>
        </is>
      </c>
      <c r="E186" s="686" t="inlineStr">
        <is>
          <t>COE - Data</t>
        </is>
      </c>
      <c r="F186" s="686" t="str">
        <f>Squads!$B$307&amp;" - "&amp;Squads!$C$307</f>
        <v>James Holgate - Head of Technology,  Group Data</v>
      </c>
    </row>
    <row r="187">
      <c r="B187" s="673" t="n">
        <v>307</v>
      </c>
      <c r="C187" s="673" t="inlineStr">
        <is>
          <t>Q307</t>
        </is>
      </c>
      <c r="D187" s="686" t="inlineStr">
        <is>
          <t>Leadership</t>
        </is>
      </c>
      <c r="E187" s="686" t="inlineStr">
        <is>
          <t>COE</t>
        </is>
      </c>
      <c r="F187" s="686" t="str">
        <f>Squads!$B$307&amp;" - "&amp;Squads!$C$307</f>
        <v>James Holgate - Head of Technology,  Group Data</v>
      </c>
    </row>
    <row r="188">
      <c r="B188" s="673" t="n">
        <v>308</v>
      </c>
      <c r="C188" s="673" t="inlineStr">
        <is>
          <t>N308</t>
        </is>
      </c>
      <c r="D188" s="686" t="inlineStr">
        <is>
          <t>Unmapped</t>
        </is>
      </c>
      <c r="E188" s="686" t="inlineStr">
        <is>
          <t>COE</t>
        </is>
      </c>
      <c r="F188" s="686" t="str">
        <f>Squads!$B$308&amp;" - "&amp;Squads!$C$308</f>
        <v>Joel Vijayakumar - Delivery Manager, Strategy, Architecture &amp; Data</v>
      </c>
    </row>
    <row r="189">
      <c r="B189" s="673" t="n">
        <v>308</v>
      </c>
      <c r="C189" s="673" t="inlineStr">
        <is>
          <t>O308</t>
        </is>
      </c>
      <c r="D189" s="686" t="inlineStr">
        <is>
          <t>Leadership</t>
        </is>
      </c>
      <c r="E189" s="686" t="inlineStr">
        <is>
          <t>COE - Strategy Architecture</t>
        </is>
      </c>
      <c r="F189" s="686" t="str">
        <f>Squads!$B$308&amp;" - "&amp;Squads!$C$308</f>
        <v>Joel Vijayakumar - Delivery Manager, Strategy, Architecture &amp; Data</v>
      </c>
    </row>
    <row r="190">
      <c r="B190" s="673" t="n">
        <v>308</v>
      </c>
      <c r="C190" s="673" t="inlineStr">
        <is>
          <t>P308</t>
        </is>
      </c>
      <c r="D190" s="686" t="inlineStr">
        <is>
          <t>Leadership</t>
        </is>
      </c>
      <c r="E190" s="686" t="inlineStr">
        <is>
          <t>COE - Strategy Architecture</t>
        </is>
      </c>
      <c r="F190" s="686" t="str">
        <f>Squads!$B$308&amp;" - "&amp;Squads!$C$308</f>
        <v>Joel Vijayakumar - Delivery Manager, Strategy, Architecture &amp; Data</v>
      </c>
    </row>
    <row r="191">
      <c r="B191" s="673" t="n">
        <v>308</v>
      </c>
      <c r="C191" s="673" t="inlineStr">
        <is>
          <t>Q308</t>
        </is>
      </c>
      <c r="D191" s="686" t="inlineStr">
        <is>
          <t>Leadership</t>
        </is>
      </c>
      <c r="E191" s="686" t="inlineStr">
        <is>
          <t>COE</t>
        </is>
      </c>
      <c r="F191" s="686" t="str">
        <f>Squads!$B$308&amp;" - "&amp;Squads!$C$308</f>
        <v>Joel Vijayakumar - Delivery Manager, Strategy, Architecture &amp; Data</v>
      </c>
    </row>
    <row r="192">
      <c r="B192" s="673" t="n">
        <v>321</v>
      </c>
      <c r="C192" s="673" t="inlineStr">
        <is>
          <t>N321</t>
        </is>
      </c>
      <c r="D192" s="686" t="inlineStr">
        <is>
          <t>Enterprise Data</t>
        </is>
      </c>
      <c r="E192" s="686" t="inlineStr">
        <is>
          <t>COE</t>
        </is>
      </c>
      <c r="F192" s="686" t="str">
        <f>Squads!$B$321&amp;" - "&amp;Squads!$C$321</f>
        <v>Milan Patel - Platform Architect</v>
      </c>
    </row>
    <row r="193">
      <c r="B193" s="673" t="n">
        <v>321</v>
      </c>
      <c r="C193" s="673" t="inlineStr">
        <is>
          <t>O321</t>
        </is>
      </c>
      <c r="D193" s="686" t="inlineStr">
        <is>
          <t>Group Data</t>
        </is>
      </c>
      <c r="E193" s="686" t="inlineStr">
        <is>
          <t>COE - Data</t>
        </is>
      </c>
      <c r="F193" s="686" t="str">
        <f>Squads!$B$321&amp;" - "&amp;Squads!$C$321</f>
        <v>Milan Patel - Platform Architect</v>
      </c>
    </row>
    <row r="194">
      <c r="B194" s="673" t="n">
        <v>321</v>
      </c>
      <c r="C194" s="673" t="inlineStr">
        <is>
          <t>P321</t>
        </is>
      </c>
      <c r="D194" s="686" t="inlineStr">
        <is>
          <t>Data Platforms</t>
        </is>
      </c>
      <c r="E194" s="686" t="inlineStr">
        <is>
          <t>COE - Data</t>
        </is>
      </c>
      <c r="F194" s="686" t="str">
        <f>Squads!$B$321&amp;" - "&amp;Squads!$C$321</f>
        <v>Milan Patel - Platform Architect</v>
      </c>
    </row>
    <row r="195">
      <c r="B195" s="673" t="n">
        <v>321</v>
      </c>
      <c r="C195" s="673" t="inlineStr">
        <is>
          <t>Q321</t>
        </is>
      </c>
      <c r="D195" s="686" t="inlineStr">
        <is>
          <t>Squad</t>
        </is>
      </c>
      <c r="E195" s="686" t="inlineStr">
        <is>
          <t>COE</t>
        </is>
      </c>
      <c r="F195" s="686" t="str">
        <f>Squads!$B$321&amp;" - "&amp;Squads!$C$321</f>
        <v>Milan Patel - Platform Architect</v>
      </c>
    </row>
    <row r="196">
      <c r="B196" s="673" t="n">
        <v>317</v>
      </c>
      <c r="C196" s="673" t="inlineStr">
        <is>
          <t>N317</t>
        </is>
      </c>
      <c r="D196" s="686" t="inlineStr">
        <is>
          <t>Enterprise Data</t>
        </is>
      </c>
      <c r="E196" s="686" t="inlineStr">
        <is>
          <t>COE</t>
        </is>
      </c>
      <c r="F196" s="686" t="str">
        <f>Squads!$B$317&amp;" - "&amp;Squads!$C$317</f>
        <v>Mitchell Clarke - Snr Data Governance Specialist</v>
      </c>
    </row>
    <row r="197">
      <c r="B197" s="673" t="n">
        <v>317</v>
      </c>
      <c r="C197" s="673" t="inlineStr">
        <is>
          <t>O317</t>
        </is>
      </c>
      <c r="D197" s="686" t="inlineStr">
        <is>
          <t>Leadership</t>
        </is>
      </c>
      <c r="E197" s="686" t="inlineStr">
        <is>
          <t>COE - Data</t>
        </is>
      </c>
      <c r="F197" s="686" t="str">
        <f>Squads!$B$317&amp;" - "&amp;Squads!$C$317</f>
        <v>Mitchell Clarke - Snr Data Governance Specialist</v>
      </c>
    </row>
    <row r="198">
      <c r="B198" s="673" t="n">
        <v>317</v>
      </c>
      <c r="C198" s="673" t="inlineStr">
        <is>
          <t>P317</t>
        </is>
      </c>
      <c r="D198" s="686" t="inlineStr">
        <is>
          <t>Leadership</t>
        </is>
      </c>
      <c r="E198" s="686" t="inlineStr">
        <is>
          <t>COE - Data</t>
        </is>
      </c>
      <c r="F198" s="686" t="str">
        <f>Squads!$B$317&amp;" - "&amp;Squads!$C$317</f>
        <v>Mitchell Clarke - Snr Data Governance Specialist</v>
      </c>
    </row>
    <row r="199">
      <c r="B199" s="673" t="n">
        <v>317</v>
      </c>
      <c r="C199" s="673" t="inlineStr">
        <is>
          <t>Q317</t>
        </is>
      </c>
      <c r="D199" s="686" t="inlineStr">
        <is>
          <t>Leadership</t>
        </is>
      </c>
      <c r="E199" s="686" t="inlineStr">
        <is>
          <t>COE</t>
        </is>
      </c>
      <c r="F199" s="686" t="str">
        <f>Squads!$B$317&amp;" - "&amp;Squads!$C$317</f>
        <v>Mitchell Clarke - Snr Data Governance Specialist</v>
      </c>
    </row>
    <row r="200">
      <c r="B200" s="673" t="n">
        <v>298</v>
      </c>
      <c r="C200" s="673" t="inlineStr">
        <is>
          <t>O298</t>
        </is>
      </c>
      <c r="D200" s="686" t="inlineStr">
        <is>
          <t>COE (unspecified)</t>
        </is>
      </c>
      <c r="E200" s="686" t="inlineStr">
        <is>
          <t>COE - Strategy Architecture</t>
        </is>
      </c>
      <c r="F200" s="686" t="str">
        <f>Squads!$B$298&amp;" - "&amp;Squads!$C$298</f>
        <v>Rihan Schalkwyk - Senior Business Analyst</v>
      </c>
    </row>
    <row r="201">
      <c r="B201" s="673" t="n">
        <v>298</v>
      </c>
      <c r="C201" s="673" t="inlineStr">
        <is>
          <t>P298</t>
        </is>
      </c>
      <c r="D201" s="686" t="inlineStr">
        <is>
          <t>COE (unspecified)</t>
        </is>
      </c>
      <c r="E201" s="686" t="inlineStr">
        <is>
          <t>COE - Strategy Architecture</t>
        </is>
      </c>
      <c r="F201" s="686" t="str">
        <f>Squads!$B$298&amp;" - "&amp;Squads!$C$298</f>
        <v>Rihan Schalkwyk - Senior Business Analyst</v>
      </c>
    </row>
    <row r="202">
      <c r="B202" s="673" t="n">
        <v>331</v>
      </c>
      <c r="C202" s="673" t="inlineStr">
        <is>
          <t>O331</t>
        </is>
      </c>
      <c r="D202" s="686" t="inlineStr">
        <is>
          <t>COE (unspecified)</t>
        </is>
      </c>
      <c r="E202" s="686" t="inlineStr">
        <is>
          <t>COE - Strategy Architecture</t>
        </is>
      </c>
      <c r="F202" s="686" t="str">
        <f>Squads!$B$331&amp;" - "&amp;Squads!$C$331</f>
        <v>Roger Blazey - Architect (AI Innovation)</v>
      </c>
    </row>
    <row r="203">
      <c r="B203" s="673" t="n">
        <v>331</v>
      </c>
      <c r="C203" s="673" t="inlineStr">
        <is>
          <t>P331</t>
        </is>
      </c>
      <c r="D203" s="686" t="inlineStr">
        <is>
          <t>COE (unspecified)</t>
        </is>
      </c>
      <c r="E203" s="686" t="inlineStr">
        <is>
          <t>COE - Strategy Architecture</t>
        </is>
      </c>
      <c r="F203" s="686" t="str">
        <f>Squads!$B$331&amp;" - "&amp;Squads!$C$331</f>
        <v>Roger Blazey - Architect (AI Innovation)</v>
      </c>
    </row>
    <row r="204">
      <c r="B204" s="673" t="n">
        <v>290</v>
      </c>
      <c r="C204" s="673" t="inlineStr">
        <is>
          <t>O290</t>
        </is>
      </c>
      <c r="D204" s="686" t="inlineStr">
        <is>
          <t>Leadership</t>
        </is>
      </c>
      <c r="E204" s="686" t="inlineStr">
        <is>
          <t>COE - Data</t>
        </is>
      </c>
      <c r="F204" s="686" t="str">
        <f>Squads!$B$290&amp;" - "&amp;Squads!$C$290</f>
        <v>Sanjay Tikoo - Principal, Data Architecture &amp; Governance</v>
      </c>
    </row>
    <row r="205">
      <c r="B205" s="673" t="n">
        <v>290</v>
      </c>
      <c r="C205" s="673" t="inlineStr">
        <is>
          <t>P290</t>
        </is>
      </c>
      <c r="D205" s="686" t="inlineStr">
        <is>
          <t>Leadership</t>
        </is>
      </c>
      <c r="E205" s="686" t="inlineStr">
        <is>
          <t>COE - Data</t>
        </is>
      </c>
      <c r="F205" s="686" t="str">
        <f>Squads!$B$290&amp;" - "&amp;Squads!$C$290</f>
        <v>Sanjay Tikoo - Principal, Data Architecture &amp; Governance</v>
      </c>
    </row>
    <row r="206">
      <c r="B206" s="673" t="n">
        <v>290</v>
      </c>
      <c r="C206" s="673" t="inlineStr">
        <is>
          <t>Q290</t>
        </is>
      </c>
      <c r="D206" s="686" t="inlineStr">
        <is>
          <t>Leadership</t>
        </is>
      </c>
      <c r="E206" s="686" t="inlineStr">
        <is>
          <t>COE</t>
        </is>
      </c>
      <c r="F206" s="686" t="str">
        <f>Squads!$B$290&amp;" - "&amp;Squads!$C$290</f>
        <v>Sanjay Tikoo - Principal, Data Architecture &amp; Governance</v>
      </c>
    </row>
    <row r="207">
      <c r="B207" s="673" t="n">
        <v>300</v>
      </c>
      <c r="C207" s="673" t="inlineStr">
        <is>
          <t>N300</t>
        </is>
      </c>
      <c r="D207" s="686" t="inlineStr">
        <is>
          <t>Enterprise Data</t>
        </is>
      </c>
      <c r="E207" s="686" t="inlineStr">
        <is>
          <t>COE</t>
        </is>
      </c>
      <c r="F207" s="686" t="str">
        <f>Squads!$B$300&amp;" - "&amp;Squads!$C$300</f>
        <v>Tim Snedden - Delivery Lead</v>
      </c>
    </row>
    <row r="208">
      <c r="B208" s="673" t="n">
        <v>300</v>
      </c>
      <c r="C208" s="673" t="inlineStr">
        <is>
          <t>O300</t>
        </is>
      </c>
      <c r="D208" s="686" t="inlineStr">
        <is>
          <t>Group Data</t>
        </is>
      </c>
      <c r="E208" s="686" t="inlineStr">
        <is>
          <t>COE - Strategy Architecture</t>
        </is>
      </c>
      <c r="F208" s="686" t="str">
        <f>Squads!$B$300&amp;" - "&amp;Squads!$C$300</f>
        <v>Tim Snedden - Delivery Lead</v>
      </c>
    </row>
    <row r="209">
      <c r="B209" s="673" t="n">
        <v>300</v>
      </c>
      <c r="C209" s="673" t="inlineStr">
        <is>
          <t>P300</t>
        </is>
      </c>
      <c r="D209" s="686" t="inlineStr">
        <is>
          <t>Data Platforms</t>
        </is>
      </c>
      <c r="E209" s="686" t="inlineStr">
        <is>
          <t>COE - Strategy Architecture</t>
        </is>
      </c>
      <c r="F209" s="686" t="str">
        <f>Squads!$B$300&amp;" - "&amp;Squads!$C$300</f>
        <v>Tim Snedden - Delivery Lead</v>
      </c>
    </row>
    <row r="210">
      <c r="B210" s="673" t="n">
        <v>300</v>
      </c>
      <c r="C210" s="673" t="inlineStr">
        <is>
          <t>Q300</t>
        </is>
      </c>
      <c r="D210" s="686" t="inlineStr">
        <is>
          <t>Squad</t>
        </is>
      </c>
      <c r="E210" s="686" t="inlineStr">
        <is>
          <t>COE</t>
        </is>
      </c>
      <c r="F210" s="686" t="str">
        <f>Squads!$B$300&amp;" - "&amp;Squads!$C$300</f>
        <v>Tim Snedden - Delivery Lead</v>
      </c>
    </row>
    <row r="211">
      <c r="B211" s="673" t="n">
        <v>296</v>
      </c>
      <c r="C211" s="673" t="inlineStr">
        <is>
          <t>N296</t>
        </is>
      </c>
      <c r="D211" s="686" t="inlineStr">
        <is>
          <t>Enterprise Data</t>
        </is>
      </c>
      <c r="E211" s="686" t="inlineStr">
        <is>
          <t>COE</t>
        </is>
      </c>
      <c r="F211" s="686" t="str">
        <f>Squads!$B$296&amp;" - "&amp;Squads!$C$296</f>
        <v>Vacant - Business Analyst</v>
      </c>
    </row>
    <row r="212">
      <c r="B212" s="673" t="n">
        <v>296</v>
      </c>
      <c r="C212" s="673" t="inlineStr">
        <is>
          <t>O296</t>
        </is>
      </c>
      <c r="D212" s="686" t="inlineStr">
        <is>
          <t>Group Data</t>
        </is>
      </c>
      <c r="E212" s="686" t="inlineStr">
        <is>
          <t>COE - Strategy Architecture</t>
        </is>
      </c>
      <c r="F212" s="686" t="str">
        <f>Squads!$B$296&amp;" - "&amp;Squads!$C$296</f>
        <v>Vacant - Business Analyst</v>
      </c>
    </row>
    <row r="213">
      <c r="B213" s="673" t="n">
        <v>296</v>
      </c>
      <c r="C213" s="673" t="inlineStr">
        <is>
          <t>P296</t>
        </is>
      </c>
      <c r="D213" s="686" t="inlineStr">
        <is>
          <t>Reporting &amp; Analytics</t>
        </is>
      </c>
      <c r="E213" s="686" t="inlineStr">
        <is>
          <t>COE - Strategy Architecture</t>
        </is>
      </c>
      <c r="F213" s="686" t="str">
        <f>Squads!$B$296&amp;" - "&amp;Squads!$C$296</f>
        <v>Vacant - Business Analyst</v>
      </c>
    </row>
    <row r="214">
      <c r="B214" s="673" t="n">
        <v>296</v>
      </c>
      <c r="C214" s="673" t="inlineStr">
        <is>
          <t>Q296</t>
        </is>
      </c>
      <c r="D214" s="686" t="inlineStr">
        <is>
          <t>Squad</t>
        </is>
      </c>
      <c r="E214" s="686" t="inlineStr">
        <is>
          <t>COE</t>
        </is>
      </c>
      <c r="F214" s="686" t="str">
        <f>Squads!$B$296&amp;" - "&amp;Squads!$C$296</f>
        <v>Vacant - Business Analyst</v>
      </c>
    </row>
    <row r="215">
      <c r="B215" s="673" t="n">
        <v>309</v>
      </c>
      <c r="C215" s="673" t="inlineStr">
        <is>
          <t>N309</t>
        </is>
      </c>
      <c r="D215" s="686" t="inlineStr">
        <is>
          <t>Unmapped</t>
        </is>
      </c>
      <c r="E215" s="686" t="inlineStr">
        <is>
          <t>COE</t>
        </is>
      </c>
      <c r="F215" s="686" t="str">
        <f>Squads!$B$309&amp;" - "&amp;Squads!$C$309</f>
        <v>Vacant - Head of Technology Strategy &amp; AI Capability</v>
      </c>
    </row>
    <row r="216">
      <c r="B216" s="673" t="n">
        <v>309</v>
      </c>
      <c r="C216" s="673" t="inlineStr">
        <is>
          <t>O309</t>
        </is>
      </c>
      <c r="D216" s="686" t="inlineStr">
        <is>
          <t>Leadership</t>
        </is>
      </c>
      <c r="E216" s="686" t="inlineStr">
        <is>
          <t>COE - Strategy Architecture</t>
        </is>
      </c>
      <c r="F216" s="686" t="str">
        <f>Squads!$B$309&amp;" - "&amp;Squads!$C$309</f>
        <v>Vacant - Head of Technology Strategy &amp; AI Capability</v>
      </c>
    </row>
    <row r="217">
      <c r="B217" s="673" t="n">
        <v>309</v>
      </c>
      <c r="C217" s="673" t="inlineStr">
        <is>
          <t>P309</t>
        </is>
      </c>
      <c r="D217" s="686" t="inlineStr">
        <is>
          <t>Leadership</t>
        </is>
      </c>
      <c r="E217" s="686" t="inlineStr">
        <is>
          <t>COE - Strategy Architecture</t>
        </is>
      </c>
      <c r="F217" s="686" t="str">
        <f>Squads!$B$309&amp;" - "&amp;Squads!$C$309</f>
        <v>Vacant - Head of Technology Strategy &amp; AI Capability</v>
      </c>
    </row>
    <row r="218">
      <c r="B218" s="673" t="n">
        <v>309</v>
      </c>
      <c r="C218" s="673" t="inlineStr">
        <is>
          <t>Q309</t>
        </is>
      </c>
      <c r="D218" s="686" t="inlineStr">
        <is>
          <t>Leadership</t>
        </is>
      </c>
      <c r="E218" s="686" t="inlineStr">
        <is>
          <t>COE</t>
        </is>
      </c>
      <c r="F218" s="686" t="str">
        <f>Squads!$B$309&amp;" - "&amp;Squads!$C$309</f>
        <v>Vacant - Head of Technology Strategy &amp; AI Capability</v>
      </c>
    </row>
    <row r="219">
      <c r="B219" s="673" t="n">
        <v>306</v>
      </c>
      <c r="C219" s="673" t="inlineStr">
        <is>
          <t>N306</t>
        </is>
      </c>
      <c r="D219" s="686" t="inlineStr">
        <is>
          <t>Unmapped</t>
        </is>
      </c>
      <c r="E219" s="686" t="inlineStr">
        <is>
          <t>COE</t>
        </is>
      </c>
      <c r="F219" s="686" t="str">
        <f>Squads!$B$306&amp;" - "&amp;Squads!$C$306</f>
        <v>Vacant - Senior Communications Advisor</v>
      </c>
    </row>
    <row r="220">
      <c r="B220" s="673" t="n">
        <v>306</v>
      </c>
      <c r="C220" s="673" t="inlineStr">
        <is>
          <t>O306</t>
        </is>
      </c>
      <c r="D220" s="686" t="inlineStr">
        <is>
          <t>Leadership</t>
        </is>
      </c>
      <c r="E220" s="686" t="inlineStr">
        <is>
          <t>COE - Strategy Architecture</t>
        </is>
      </c>
      <c r="F220" s="686" t="str">
        <f>Squads!$B$306&amp;" - "&amp;Squads!$C$306</f>
        <v>Vacant - Senior Communications Advisor</v>
      </c>
    </row>
    <row r="221">
      <c r="B221" s="673" t="n">
        <v>306</v>
      </c>
      <c r="C221" s="673" t="inlineStr">
        <is>
          <t>P306</t>
        </is>
      </c>
      <c r="D221" s="686" t="inlineStr">
        <is>
          <t>Leadership</t>
        </is>
      </c>
      <c r="E221" s="686" t="inlineStr">
        <is>
          <t>COE - Strategy Architecture</t>
        </is>
      </c>
      <c r="F221" s="686" t="str">
        <f>Squads!$B$306&amp;" - "&amp;Squads!$C$306</f>
        <v>Vacant - Senior Communications Advisor</v>
      </c>
    </row>
    <row r="222">
      <c r="B222" s="673" t="n">
        <v>306</v>
      </c>
      <c r="C222" s="673" t="inlineStr">
        <is>
          <t>Q306</t>
        </is>
      </c>
      <c r="D222" s="686" t="inlineStr">
        <is>
          <t>Leadership</t>
        </is>
      </c>
      <c r="E222" s="686" t="inlineStr">
        <is>
          <t>COE</t>
        </is>
      </c>
      <c r="F222" s="686" t="str">
        <f>Squads!$B$306&amp;" - "&amp;Squads!$C$306</f>
        <v>Vacant - Senior Communications Advisor</v>
      </c>
    </row>
    <row r="223">
      <c r="B223" s="673" t="n">
        <v>322</v>
      </c>
      <c r="C223" s="673" t="inlineStr">
        <is>
          <t>O322</t>
        </is>
      </c>
      <c r="D223" s="686" t="inlineStr">
        <is>
          <t>COE (unspecified)</t>
        </is>
      </c>
      <c r="E223" s="686" t="inlineStr">
        <is>
          <t>COE - Data</t>
        </is>
      </c>
      <c r="F223" s="686" t="str">
        <f>Squads!$B$322&amp;" - "&amp;Squads!$C$322</f>
        <v>Vacant - Enterprise Data Architect</v>
      </c>
    </row>
    <row r="224">
      <c r="B224" s="673" t="n">
        <v>322</v>
      </c>
      <c r="C224" s="673" t="inlineStr">
        <is>
          <t>P322</t>
        </is>
      </c>
      <c r="D224" s="686" t="inlineStr">
        <is>
          <t>COE (unspecified)</t>
        </is>
      </c>
      <c r="E224" s="686" t="inlineStr">
        <is>
          <t>COE - Data</t>
        </is>
      </c>
      <c r="F224" s="686" t="str">
        <f>Squads!$B$322&amp;" - "&amp;Squads!$C$322</f>
        <v>Vacant - Enterprise Data Architect</v>
      </c>
    </row>
    <row r="225">
      <c r="B225" s="673" t="n">
        <v>327</v>
      </c>
      <c r="C225" s="673" t="inlineStr">
        <is>
          <t>O327</t>
        </is>
      </c>
      <c r="D225" s="686" t="inlineStr">
        <is>
          <t>COE (unspecified)</t>
        </is>
      </c>
      <c r="E225" s="686" t="inlineStr">
        <is>
          <t>COE - Strategy Architecture</t>
        </is>
      </c>
      <c r="F225" s="686" t="str">
        <f>Squads!$B$327&amp;" - "&amp;Squads!$C$327</f>
        <v>Vacant - AI Capability Lead</v>
      </c>
    </row>
    <row r="226">
      <c r="B226" s="673" t="n">
        <v>327</v>
      </c>
      <c r="C226" s="673" t="inlineStr">
        <is>
          <t>P327</t>
        </is>
      </c>
      <c r="D226" s="686" t="inlineStr">
        <is>
          <t>COE (unspecified)</t>
        </is>
      </c>
      <c r="E226" s="686" t="inlineStr">
        <is>
          <t>COE - Strategy Architecture</t>
        </is>
      </c>
      <c r="F226" s="686" t="str">
        <f>Squads!$B$327&amp;" - "&amp;Squads!$C$327</f>
        <v>Vacant - AI Capability Lead</v>
      </c>
    </row>
    <row r="227">
      <c r="B227" s="673" t="n">
        <v>333</v>
      </c>
      <c r="C227" s="673" t="inlineStr">
        <is>
          <t>O333</t>
        </is>
      </c>
      <c r="D227" s="686" t="inlineStr">
        <is>
          <t>COE (unspecified)</t>
        </is>
      </c>
      <c r="E227" s="686" t="inlineStr">
        <is>
          <t>COE - Strategy Architecture</t>
        </is>
      </c>
      <c r="F227" s="686" t="str">
        <f>Squads!$B$333&amp;" - "&amp;Squads!$C$333</f>
        <v>Vacant - Enterprise Process Lead</v>
      </c>
    </row>
    <row r="228">
      <c r="B228" s="673" t="n">
        <v>333</v>
      </c>
      <c r="C228" s="673" t="inlineStr">
        <is>
          <t>P333</t>
        </is>
      </c>
      <c r="D228" s="686" t="inlineStr">
        <is>
          <t>COE (unspecified)</t>
        </is>
      </c>
      <c r="E228" s="686" t="inlineStr">
        <is>
          <t>COE - Strategy Architecture</t>
        </is>
      </c>
      <c r="F228" s="686" t="str">
        <f>Squads!$B$333&amp;" - "&amp;Squads!$C$333</f>
        <v>Vacant - Enterprise Process Lead</v>
      </c>
    </row>
    <row r="229">
      <c r="B229" s="673" t="n">
        <v>334</v>
      </c>
      <c r="C229" s="673" t="inlineStr">
        <is>
          <t>O334</t>
        </is>
      </c>
      <c r="D229" s="686" t="inlineStr">
        <is>
          <t>COE (unspecified)</t>
        </is>
      </c>
      <c r="E229" s="686" t="inlineStr">
        <is>
          <t>COE - Strategy Architecture</t>
        </is>
      </c>
      <c r="F229" s="686" t="str">
        <f>Squads!$B$334&amp;" - "&amp;Squads!$C$334</f>
        <v>Vacant - EnterpriseProcess Analyst</v>
      </c>
    </row>
    <row r="230">
      <c r="B230" s="673" t="n">
        <v>334</v>
      </c>
      <c r="C230" s="673" t="inlineStr">
        <is>
          <t>P334</t>
        </is>
      </c>
      <c r="D230" s="686" t="inlineStr">
        <is>
          <t>COE (unspecified)</t>
        </is>
      </c>
      <c r="E230" s="686" t="inlineStr">
        <is>
          <t>COE - Strategy Architecture</t>
        </is>
      </c>
      <c r="F230" s="686" t="str">
        <f>Squads!$B$334&amp;" - "&amp;Squads!$C$334</f>
        <v>Vacant - EnterpriseProcess Analyst</v>
      </c>
    </row>
    <row r="231">
      <c r="B231" s="673" t="n">
        <v>342</v>
      </c>
      <c r="C231" s="673" t="inlineStr">
        <is>
          <t>O342</t>
        </is>
      </c>
      <c r="D231" s="686" t="inlineStr">
        <is>
          <t>COE (unspecified)</t>
        </is>
      </c>
      <c r="E231" s="686" t="inlineStr">
        <is>
          <t>COE - Strategy Architecture</t>
        </is>
      </c>
      <c r="F231" s="686" t="str">
        <f>Squads!$B$342&amp;" - "&amp;Squads!$C$342</f>
        <v>Vacant - Strategy Analyst</v>
      </c>
    </row>
    <row r="232">
      <c r="B232" s="673" t="n">
        <v>342</v>
      </c>
      <c r="C232" s="673" t="inlineStr">
        <is>
          <t>P342</t>
        </is>
      </c>
      <c r="D232" s="686" t="inlineStr">
        <is>
          <t>COE (unspecified)</t>
        </is>
      </c>
      <c r="E232" s="686" t="inlineStr">
        <is>
          <t>COE - Strategy Architecture</t>
        </is>
      </c>
      <c r="F232" s="686" t="str">
        <f>Squads!$B$342&amp;" - "&amp;Squads!$C$342</f>
        <v>Vacant - Strategy Analyst</v>
      </c>
    </row>
  </sheetData>
  <pageMargins left="0.75" right="0.75" top="1" bottom="1" header="0.5" footer="0.5"/>
</worksheet>
</file>

<file path=xl/worksheets/sheet45.xml><?xml version="1.0" encoding="utf-8"?>
<worksheet xmlns="http://schemas.openxmlformats.org/spreadsheetml/2006/main">
  <sheetPr>
    <tabColor rgb="00375623"/>
    <outlinePr summaryBelow="1" summaryRight="1"/>
    <pageSetUpPr/>
  </sheetPr>
  <dimension ref="A1:BX538"/>
  <sheetViews>
    <sheetView showGridLines="0" zoomScale="93" zoomScaleNormal="93" workbookViewId="0">
      <pane xSplit="2" ySplit="1" topLeftCell="C68" activePane="bottomRight" state="frozen"/>
      <selection pane="topRight" activeCell="D1" sqref="D1"/>
      <selection pane="bottomLeft" activeCell="A2" sqref="A2"/>
      <selection pane="bottomRight" activeCell="P9" sqref="P9"/>
    </sheetView>
  </sheetViews>
  <sheetFormatPr baseColWidth="8" defaultColWidth="8.7265625" defaultRowHeight="18" customHeight="1" outlineLevelCol="0"/>
  <cols>
    <col width="15.1796875" bestFit="1" customWidth="1" style="302" min="1" max="1"/>
    <col width="26.08984375" bestFit="1" customWidth="1" style="262" min="2" max="2"/>
    <col width="35.6328125" customWidth="1" style="262" min="3" max="3"/>
    <col width="33.36328125" bestFit="1" customWidth="1" style="262" min="4" max="4"/>
    <col width="59.54296875" bestFit="1" customWidth="1" style="262" min="5" max="5"/>
    <col width="26.08984375" bestFit="1" customWidth="1" style="262" min="6" max="6"/>
    <col width="31.6328125" bestFit="1" customWidth="1" style="262" min="7" max="8"/>
    <col width="21" bestFit="1" customWidth="1" style="262" min="9" max="9"/>
    <col width="41.54296875" bestFit="1" customWidth="1" style="262" min="10" max="10"/>
    <col width="30.08984375" bestFit="1" customWidth="1" style="262" min="11" max="11"/>
    <col width="5.453125" bestFit="1" customWidth="1" style="262" min="12" max="12"/>
    <col width="11.1796875" bestFit="1" customWidth="1" style="262" min="13" max="13"/>
    <col width="20.81640625" customWidth="1" style="262" min="14" max="14"/>
    <col width="8.81640625" bestFit="1" customWidth="1" style="262" min="15" max="16375"/>
    <col width="8.81640625" customWidth="1" style="262" min="16376" max="16376"/>
    <col width="8.81640625" bestFit="1" customWidth="1" style="262" min="16377" max="16384"/>
  </cols>
  <sheetData>
    <row r="1" ht="41.5" customFormat="1" customHeight="1" s="258">
      <c r="A1" s="251" t="inlineStr">
        <is>
          <t>EE Number</t>
        </is>
      </c>
      <c r="B1" s="252" t="inlineStr">
        <is>
          <t>Name</t>
        </is>
      </c>
      <c r="C1" s="252" t="inlineStr">
        <is>
          <t>Position Title</t>
        </is>
      </c>
      <c r="D1" s="252" t="inlineStr">
        <is>
          <t>Reports to name</t>
        </is>
      </c>
      <c r="E1" s="252" t="inlineStr">
        <is>
          <t>Reports to Position</t>
        </is>
      </c>
      <c r="F1" s="253" t="inlineStr">
        <is>
          <t>Division (GM)</t>
        </is>
      </c>
      <c r="G1" s="254" t="inlineStr">
        <is>
          <t>Department (GM-1)</t>
        </is>
      </c>
      <c r="H1" s="254" t="inlineStr">
        <is>
          <t>Team (GM-2)</t>
        </is>
      </c>
      <c r="I1" s="255" t="inlineStr">
        <is>
          <t>Portfolio</t>
        </is>
      </c>
      <c r="J1" s="256" t="inlineStr">
        <is>
          <t>Platform</t>
        </is>
      </c>
      <c r="K1" s="255" t="inlineStr">
        <is>
          <t>Squad</t>
        </is>
      </c>
      <c r="L1" s="255" t="inlineStr">
        <is>
          <t>CC</t>
        </is>
      </c>
      <c r="M1" s="257" t="inlineStr">
        <is>
          <t>Country</t>
        </is>
      </c>
      <c r="N1" s="252" t="inlineStr">
        <is>
          <t>Model Portfolio</t>
        </is>
      </c>
      <c r="O1" s="252" t="inlineStr">
        <is>
          <t>Model Platform</t>
        </is>
      </c>
      <c r="P1" s="252" t="inlineStr">
        <is>
          <t>Model Squad</t>
        </is>
      </c>
      <c r="Q1" s="252" t="inlineStr">
        <is>
          <t>Class</t>
        </is>
      </c>
      <c r="R1" s="252" t="inlineStr">
        <is>
          <t>Status</t>
        </is>
      </c>
    </row>
    <row r="2" ht="18" customHeight="1" s="506">
      <c r="A2" s="259" t="n">
        <v>99999100977</v>
      </c>
      <c r="B2" s="224" t="inlineStr">
        <is>
          <t>Warren Grieve</t>
        </is>
      </c>
      <c r="C2" s="224" t="inlineStr">
        <is>
          <t>Senior Site Systems Analyst</t>
        </is>
      </c>
      <c r="D2" s="224" t="inlineStr">
        <is>
          <t>Callan McLaughlin</t>
        </is>
      </c>
      <c r="E2" s="224" t="inlineStr">
        <is>
          <t>Technology Manager,  Site Systems</t>
        </is>
      </c>
      <c r="F2" s="224" t="inlineStr">
        <is>
          <t>Ampol Retail &amp; Z</t>
        </is>
      </c>
      <c r="G2" s="260" t="inlineStr">
        <is>
          <t>Z &amp; Group Retail</t>
        </is>
      </c>
      <c r="H2" s="224" t="inlineStr">
        <is>
          <t>Z &amp; Group Retail, Site Systems</t>
        </is>
      </c>
      <c r="I2" s="224" t="inlineStr">
        <is>
          <t>Z</t>
        </is>
      </c>
      <c r="J2" s="260" t="inlineStr">
        <is>
          <t>Z Customer</t>
        </is>
      </c>
      <c r="K2" s="224" t="inlineStr">
        <is>
          <t>Site Systems</t>
        </is>
      </c>
      <c r="L2" s="260" t="n"/>
      <c r="M2" s="261" t="inlineStr">
        <is>
          <t>NZ</t>
        </is>
      </c>
      <c r="N2" t="inlineStr">
        <is>
          <t>Z Retail</t>
        </is>
      </c>
      <c r="O2" s="263" t="inlineStr">
        <is>
          <t>Z Customer</t>
        </is>
      </c>
      <c r="P2" s="264" t="inlineStr">
        <is>
          <t>Site Systems</t>
        </is>
      </c>
      <c r="Q2" s="265" t="inlineStr">
        <is>
          <t>Squad</t>
        </is>
      </c>
      <c r="R2" t="inlineStr">
        <is>
          <t>Filled</t>
        </is>
      </c>
    </row>
    <row r="3" ht="18" customHeight="1" s="506">
      <c r="A3" s="259" t="n">
        <v>99999100975</v>
      </c>
      <c r="B3" s="224" t="inlineStr">
        <is>
          <t>Chris Mitchell</t>
        </is>
      </c>
      <c r="C3" s="224" t="inlineStr">
        <is>
          <t>Deployment Lead</t>
        </is>
      </c>
      <c r="D3" s="224" t="inlineStr">
        <is>
          <t>Callan McLaughlin</t>
        </is>
      </c>
      <c r="E3" s="224" t="inlineStr">
        <is>
          <t>Technology Manager,  Site Systems</t>
        </is>
      </c>
      <c r="F3" s="224" t="inlineStr">
        <is>
          <t>Ampol Retail &amp; Z</t>
        </is>
      </c>
      <c r="G3" s="260" t="inlineStr">
        <is>
          <t>Z &amp; Group Retail</t>
        </is>
      </c>
      <c r="H3" s="224" t="inlineStr">
        <is>
          <t>Z &amp; Group Retail, Site Systems</t>
        </is>
      </c>
      <c r="I3" s="224" t="inlineStr">
        <is>
          <t>Z</t>
        </is>
      </c>
      <c r="J3" s="260" t="inlineStr">
        <is>
          <t>Z Customer</t>
        </is>
      </c>
      <c r="K3" s="224" t="inlineStr">
        <is>
          <t>Site Systems</t>
        </is>
      </c>
      <c r="L3" s="260" t="n"/>
      <c r="M3" s="261" t="inlineStr">
        <is>
          <t>NZ</t>
        </is>
      </c>
      <c r="N3" t="inlineStr">
        <is>
          <t>Z Retail</t>
        </is>
      </c>
      <c r="O3" s="266" t="inlineStr">
        <is>
          <t>Z Customer</t>
        </is>
      </c>
      <c r="P3" s="267" t="inlineStr">
        <is>
          <t>Site Systems</t>
        </is>
      </c>
      <c r="Q3" s="268" t="inlineStr">
        <is>
          <t>Squad</t>
        </is>
      </c>
      <c r="R3" t="inlineStr">
        <is>
          <t>Filled</t>
        </is>
      </c>
    </row>
    <row r="4" ht="18" customHeight="1" s="506">
      <c r="A4" s="259" t="n">
        <v>99999102141</v>
      </c>
      <c r="B4" s="224" t="inlineStr">
        <is>
          <t>Christian Guo</t>
        </is>
      </c>
      <c r="C4" s="224" t="inlineStr">
        <is>
          <t>Solution Architect</t>
        </is>
      </c>
      <c r="D4" s="224" t="inlineStr">
        <is>
          <t>Callan McLaughlin</t>
        </is>
      </c>
      <c r="E4" s="224" t="inlineStr">
        <is>
          <t>Technology Manager,  Site Systems</t>
        </is>
      </c>
      <c r="F4" s="224" t="inlineStr">
        <is>
          <t>Ampol Retail &amp; Z</t>
        </is>
      </c>
      <c r="G4" s="260" t="inlineStr">
        <is>
          <t>Z &amp; Group Retail</t>
        </is>
      </c>
      <c r="H4" s="224" t="inlineStr">
        <is>
          <t>Z &amp; Group Retail, Site Systems</t>
        </is>
      </c>
      <c r="I4" s="224" t="inlineStr">
        <is>
          <t>Z</t>
        </is>
      </c>
      <c r="J4" s="224" t="inlineStr">
        <is>
          <t>Z Customer</t>
        </is>
      </c>
      <c r="K4" s="224" t="inlineStr">
        <is>
          <t>Z Retail Backend &amp; Supply</t>
        </is>
      </c>
      <c r="L4" s="260" t="n"/>
      <c r="M4" s="261" t="inlineStr">
        <is>
          <t>NZ</t>
        </is>
      </c>
      <c r="N4" t="inlineStr">
        <is>
          <t>Z Retail</t>
        </is>
      </c>
      <c r="O4" s="266" t="inlineStr">
        <is>
          <t>Z Customer</t>
        </is>
      </c>
      <c r="P4" s="267" t="inlineStr">
        <is>
          <t>Z Retail Backend</t>
        </is>
      </c>
      <c r="Q4" s="268" t="inlineStr">
        <is>
          <t>Squad</t>
        </is>
      </c>
      <c r="R4" t="inlineStr">
        <is>
          <t>Filled</t>
        </is>
      </c>
    </row>
    <row r="5" ht="18" customHeight="1" s="506">
      <c r="A5" s="259" t="n">
        <v>99999100432</v>
      </c>
      <c r="B5" s="224" t="inlineStr">
        <is>
          <t>Vanessa King</t>
        </is>
      </c>
      <c r="C5" s="224" t="inlineStr">
        <is>
          <t>Lead Quality Assurance</t>
        </is>
      </c>
      <c r="D5" s="224" t="inlineStr">
        <is>
          <t>Callan McLaughlin</t>
        </is>
      </c>
      <c r="E5" s="224" t="inlineStr">
        <is>
          <t>Technology Manager,  Site Systems</t>
        </is>
      </c>
      <c r="F5" s="224" t="inlineStr">
        <is>
          <t>Ampol Retail &amp; Z</t>
        </is>
      </c>
      <c r="G5" s="260" t="inlineStr">
        <is>
          <t>Z &amp; Group Retail</t>
        </is>
      </c>
      <c r="H5" s="224" t="inlineStr">
        <is>
          <t>Z &amp; Group Retail, Site Systems</t>
        </is>
      </c>
      <c r="I5" s="224" t="inlineStr">
        <is>
          <t>Z</t>
        </is>
      </c>
      <c r="J5" s="260" t="inlineStr">
        <is>
          <t>Z Customer</t>
        </is>
      </c>
      <c r="K5" s="224" t="inlineStr">
        <is>
          <t>Site Systems</t>
        </is>
      </c>
      <c r="L5" s="260" t="n"/>
      <c r="M5" s="261" t="inlineStr">
        <is>
          <t>NZ</t>
        </is>
      </c>
      <c r="N5" t="inlineStr">
        <is>
          <t>Z Retail</t>
        </is>
      </c>
      <c r="O5" s="266" t="inlineStr">
        <is>
          <t>Z Customer</t>
        </is>
      </c>
      <c r="P5" s="267" t="inlineStr">
        <is>
          <t>Site Systems</t>
        </is>
      </c>
      <c r="Q5" s="268" t="inlineStr">
        <is>
          <t>Squad</t>
        </is>
      </c>
      <c r="R5" t="inlineStr">
        <is>
          <t>Filled</t>
        </is>
      </c>
    </row>
    <row r="6" ht="18" customHeight="1" s="506">
      <c r="A6" s="259" t="n">
        <v>99999101553</v>
      </c>
      <c r="B6" s="224" t="inlineStr">
        <is>
          <t>Bradley Cunningham</t>
        </is>
      </c>
      <c r="C6" s="224" t="inlineStr">
        <is>
          <t>Site Systems Analyst</t>
        </is>
      </c>
      <c r="D6" s="224" t="inlineStr">
        <is>
          <t>Callan McLaughlin</t>
        </is>
      </c>
      <c r="E6" s="224" t="inlineStr">
        <is>
          <t>Technology Manager,  Site Systems</t>
        </is>
      </c>
      <c r="F6" s="224" t="inlineStr">
        <is>
          <t>Ampol Retail &amp; Z</t>
        </is>
      </c>
      <c r="G6" s="260" t="inlineStr">
        <is>
          <t>Z &amp; Group Retail</t>
        </is>
      </c>
      <c r="H6" s="224" t="inlineStr">
        <is>
          <t>Z &amp; Group Retail, Site Systems</t>
        </is>
      </c>
      <c r="I6" s="224" t="inlineStr">
        <is>
          <t>Z</t>
        </is>
      </c>
      <c r="J6" s="260" t="inlineStr">
        <is>
          <t>Z Customer</t>
        </is>
      </c>
      <c r="K6" s="224" t="inlineStr">
        <is>
          <t>Site Systems</t>
        </is>
      </c>
      <c r="L6" s="260" t="n"/>
      <c r="M6" s="261" t="inlineStr">
        <is>
          <t>NZ</t>
        </is>
      </c>
      <c r="N6" t="inlineStr">
        <is>
          <t>Z Retail</t>
        </is>
      </c>
      <c r="O6" s="266" t="inlineStr">
        <is>
          <t>Z Customer</t>
        </is>
      </c>
      <c r="P6" s="267" t="inlineStr">
        <is>
          <t>Site Systems</t>
        </is>
      </c>
      <c r="Q6" s="268" t="inlineStr">
        <is>
          <t>Squad</t>
        </is>
      </c>
      <c r="R6" t="inlineStr">
        <is>
          <t>Filled</t>
        </is>
      </c>
    </row>
    <row r="7" ht="18" customHeight="1" s="506">
      <c r="A7" s="259" t="n">
        <v>99999101650</v>
      </c>
      <c r="B7" s="224" t="inlineStr">
        <is>
          <t>Sakshi Sachdeva</t>
        </is>
      </c>
      <c r="C7" s="224" t="inlineStr">
        <is>
          <t xml:space="preserve">Senior Quality Assurance </t>
        </is>
      </c>
      <c r="D7" s="224" t="inlineStr">
        <is>
          <t>Callan McLaughlin</t>
        </is>
      </c>
      <c r="E7" s="224" t="inlineStr">
        <is>
          <t>Technology Manager,  Site Systems</t>
        </is>
      </c>
      <c r="F7" s="224" t="inlineStr">
        <is>
          <t>Ampol Retail &amp; Z</t>
        </is>
      </c>
      <c r="G7" s="260" t="inlineStr">
        <is>
          <t>Z &amp; Group Retail</t>
        </is>
      </c>
      <c r="H7" s="224" t="inlineStr">
        <is>
          <t>Z &amp; Group Retail, Site Systems</t>
        </is>
      </c>
      <c r="I7" s="224" t="inlineStr">
        <is>
          <t>Z</t>
        </is>
      </c>
      <c r="J7" s="260" t="inlineStr">
        <is>
          <t>Z Customer</t>
        </is>
      </c>
      <c r="K7" s="224" t="inlineStr">
        <is>
          <t>Site Systems</t>
        </is>
      </c>
      <c r="L7" s="260" t="n"/>
      <c r="M7" s="261" t="inlineStr">
        <is>
          <t>NZ</t>
        </is>
      </c>
      <c r="N7" t="inlineStr">
        <is>
          <t>Z Retail</t>
        </is>
      </c>
      <c r="O7" s="266" t="inlineStr">
        <is>
          <t>Z Customer</t>
        </is>
      </c>
      <c r="P7" s="267" t="inlineStr">
        <is>
          <t>Site Systems</t>
        </is>
      </c>
      <c r="Q7" s="268" t="inlineStr">
        <is>
          <t>Squad</t>
        </is>
      </c>
      <c r="R7" t="inlineStr">
        <is>
          <t>Filled</t>
        </is>
      </c>
    </row>
    <row r="8" ht="18" customHeight="1" s="506">
      <c r="A8" s="259" t="n">
        <v>99999101643</v>
      </c>
      <c r="B8" s="224" t="inlineStr">
        <is>
          <t>Alex Sutherland</t>
        </is>
      </c>
      <c r="C8" s="224" t="inlineStr">
        <is>
          <t>Site Systems Analyst</t>
        </is>
      </c>
      <c r="D8" s="224" t="inlineStr">
        <is>
          <t>Callan McLaughlin</t>
        </is>
      </c>
      <c r="E8" s="224" t="inlineStr">
        <is>
          <t>Technology Manager,  Site Systems</t>
        </is>
      </c>
      <c r="F8" s="224" t="inlineStr">
        <is>
          <t>Ampol Retail &amp; Z</t>
        </is>
      </c>
      <c r="G8" s="260" t="inlineStr">
        <is>
          <t>Z &amp; Group Retail</t>
        </is>
      </c>
      <c r="H8" s="224" t="inlineStr">
        <is>
          <t>Z &amp; Group Retail, Site Systems</t>
        </is>
      </c>
      <c r="I8" s="224" t="inlineStr">
        <is>
          <t>Z</t>
        </is>
      </c>
      <c r="J8" s="260" t="inlineStr">
        <is>
          <t>Z Customer</t>
        </is>
      </c>
      <c r="K8" s="224" t="inlineStr">
        <is>
          <t>Site Systems</t>
        </is>
      </c>
      <c r="L8" s="260" t="n"/>
      <c r="M8" s="261" t="inlineStr">
        <is>
          <t>NZ</t>
        </is>
      </c>
      <c r="N8" t="inlineStr">
        <is>
          <t>Z Retail</t>
        </is>
      </c>
      <c r="O8" s="266" t="inlineStr">
        <is>
          <t>Z Customer</t>
        </is>
      </c>
      <c r="P8" s="267" t="inlineStr">
        <is>
          <t>Site Systems</t>
        </is>
      </c>
      <c r="Q8" s="268" t="inlineStr">
        <is>
          <t>Squad</t>
        </is>
      </c>
      <c r="R8" t="inlineStr">
        <is>
          <t>Filled</t>
        </is>
      </c>
    </row>
    <row r="9" ht="18" customHeight="1" s="506">
      <c r="A9" s="259" t="n">
        <v>109974</v>
      </c>
      <c r="B9" s="224" t="inlineStr">
        <is>
          <t>Gerald Aguas</t>
        </is>
      </c>
      <c r="C9" s="224" t="inlineStr">
        <is>
          <t>Field Systems Operations Lead - NSW</t>
        </is>
      </c>
      <c r="D9" s="224" t="inlineStr">
        <is>
          <t>Ephraim Adan</t>
        </is>
      </c>
      <c r="E9" s="224" t="inlineStr">
        <is>
          <t>Manager, AU Retail Operations</t>
        </is>
      </c>
      <c r="F9" s="224" t="inlineStr">
        <is>
          <t>Ampol Retail &amp; Z</t>
        </is>
      </c>
      <c r="G9" s="260" t="inlineStr">
        <is>
          <t>Ampol Retail</t>
        </is>
      </c>
      <c r="H9" s="224" t="inlineStr">
        <is>
          <t>Ampol Retail, Technology</t>
        </is>
      </c>
      <c r="I9" s="224" t="inlineStr">
        <is>
          <t>Retail</t>
        </is>
      </c>
      <c r="J9" s="260" t="inlineStr">
        <is>
          <t>Store Operations</t>
        </is>
      </c>
      <c r="K9" s="224" t="inlineStr">
        <is>
          <t>Store Operations</t>
        </is>
      </c>
      <c r="L9" s="260" t="n"/>
      <c r="M9" s="261" t="inlineStr">
        <is>
          <t>Australia</t>
        </is>
      </c>
      <c r="N9" t="inlineStr">
        <is>
          <t>Ampol Retail</t>
        </is>
      </c>
      <c r="O9" s="266" t="inlineStr">
        <is>
          <t>Store Operations</t>
        </is>
      </c>
      <c r="P9" s="267" t="inlineStr">
        <is>
          <t>Store Operations</t>
        </is>
      </c>
      <c r="Q9" s="268" t="inlineStr">
        <is>
          <t>Squad</t>
        </is>
      </c>
      <c r="R9" t="inlineStr">
        <is>
          <t>Filled</t>
        </is>
      </c>
    </row>
    <row r="10" ht="18" customHeight="1" s="506">
      <c r="A10" s="259" t="n">
        <v>85136</v>
      </c>
      <c r="B10" s="224" t="inlineStr">
        <is>
          <t>Tuan Edwards</t>
        </is>
      </c>
      <c r="C10" s="224" t="inlineStr">
        <is>
          <t>Field Systems Operations Lead - QLD</t>
        </is>
      </c>
      <c r="D10" s="224" t="inlineStr">
        <is>
          <t>Ephraim Adan</t>
        </is>
      </c>
      <c r="E10" s="224" t="inlineStr">
        <is>
          <t>Manager, AU Retail Operations</t>
        </is>
      </c>
      <c r="F10" s="224" t="inlineStr">
        <is>
          <t>Ampol Retail &amp; Z</t>
        </is>
      </c>
      <c r="G10" s="260" t="inlineStr">
        <is>
          <t>Ampol Retail</t>
        </is>
      </c>
      <c r="H10" s="224" t="inlineStr">
        <is>
          <t>Ampol Retail, Technology</t>
        </is>
      </c>
      <c r="I10" s="224" t="inlineStr">
        <is>
          <t>Retail</t>
        </is>
      </c>
      <c r="J10" s="260" t="inlineStr">
        <is>
          <t>Store Operations</t>
        </is>
      </c>
      <c r="K10" s="224" t="inlineStr">
        <is>
          <t>Store Operations</t>
        </is>
      </c>
      <c r="L10" s="260" t="n"/>
      <c r="M10" s="261" t="inlineStr">
        <is>
          <t>Australia</t>
        </is>
      </c>
      <c r="N10" t="inlineStr">
        <is>
          <t>Ampol Retail</t>
        </is>
      </c>
      <c r="O10" s="266" t="inlineStr">
        <is>
          <t>Store Operations</t>
        </is>
      </c>
      <c r="P10" s="267" t="inlineStr">
        <is>
          <t>Store Operations</t>
        </is>
      </c>
      <c r="Q10" s="268" t="inlineStr">
        <is>
          <t>Squad</t>
        </is>
      </c>
      <c r="R10" t="inlineStr">
        <is>
          <t>Filled</t>
        </is>
      </c>
    </row>
    <row r="11" ht="18" customHeight="1" s="506">
      <c r="A11" s="259" t="n">
        <v>8445</v>
      </c>
      <c r="B11" s="224" t="inlineStr">
        <is>
          <t>Geoff Goddard</t>
        </is>
      </c>
      <c r="C11" s="224" t="inlineStr">
        <is>
          <t>Field Systems Operations Lead - VIC</t>
        </is>
      </c>
      <c r="D11" s="224" t="inlineStr">
        <is>
          <t>Ephraim Adan</t>
        </is>
      </c>
      <c r="E11" s="224" t="inlineStr">
        <is>
          <t>Manager, AU Retail Operations</t>
        </is>
      </c>
      <c r="F11" s="224" t="inlineStr">
        <is>
          <t>Ampol Retail &amp; Z</t>
        </is>
      </c>
      <c r="G11" s="260" t="inlineStr">
        <is>
          <t>Ampol Retail</t>
        </is>
      </c>
      <c r="H11" s="224" t="inlineStr">
        <is>
          <t>Ampol Retail, Technology</t>
        </is>
      </c>
      <c r="I11" s="224" t="inlineStr">
        <is>
          <t>Retail</t>
        </is>
      </c>
      <c r="J11" s="260" t="inlineStr">
        <is>
          <t>Store Operations</t>
        </is>
      </c>
      <c r="K11" s="224" t="inlineStr">
        <is>
          <t>Store Operations</t>
        </is>
      </c>
      <c r="L11" s="260" t="n"/>
      <c r="M11" s="261" t="inlineStr">
        <is>
          <t>Australia</t>
        </is>
      </c>
      <c r="N11" t="inlineStr">
        <is>
          <t>Ampol Retail</t>
        </is>
      </c>
      <c r="O11" s="266" t="inlineStr">
        <is>
          <t>Store Operations</t>
        </is>
      </c>
      <c r="P11" s="267" t="inlineStr">
        <is>
          <t>Store Operations</t>
        </is>
      </c>
      <c r="Q11" s="268" t="inlineStr">
        <is>
          <t>Squad</t>
        </is>
      </c>
      <c r="R11" t="inlineStr">
        <is>
          <t>Filled</t>
        </is>
      </c>
    </row>
    <row r="12" ht="18" customHeight="1" s="506">
      <c r="A12" s="259" t="n">
        <v>90097</v>
      </c>
      <c r="B12" s="224" t="inlineStr">
        <is>
          <t>Patrick Ericson Nario</t>
        </is>
      </c>
      <c r="C12" s="224" t="inlineStr">
        <is>
          <t>Support Analyst - Field Operations</t>
        </is>
      </c>
      <c r="D12" s="224" t="inlineStr">
        <is>
          <t>Ephriam Adan</t>
        </is>
      </c>
      <c r="E12" s="224" t="inlineStr">
        <is>
          <t>Manager, AU Retail Operations</t>
        </is>
      </c>
      <c r="F12" s="224" t="inlineStr">
        <is>
          <t>Ampol Retail &amp; Z</t>
        </is>
      </c>
      <c r="G12" s="260" t="inlineStr">
        <is>
          <t>Ampol Retail</t>
        </is>
      </c>
      <c r="H12" s="224" t="inlineStr">
        <is>
          <t>Ampol Retail, Technology</t>
        </is>
      </c>
      <c r="I12" s="224" t="inlineStr">
        <is>
          <t>Retail</t>
        </is>
      </c>
      <c r="J12" s="260" t="inlineStr">
        <is>
          <t>Store Operations</t>
        </is>
      </c>
      <c r="K12" s="224" t="inlineStr">
        <is>
          <t>Store Operations</t>
        </is>
      </c>
      <c r="L12" s="260" t="n"/>
      <c r="M12" s="261" t="inlineStr">
        <is>
          <t>Australia</t>
        </is>
      </c>
      <c r="N12" t="inlineStr">
        <is>
          <t>Ampol Retail</t>
        </is>
      </c>
      <c r="O12" s="266" t="inlineStr">
        <is>
          <t>Store Operations</t>
        </is>
      </c>
      <c r="P12" s="267" t="inlineStr">
        <is>
          <t>Store Operations</t>
        </is>
      </c>
      <c r="Q12" s="268" t="inlineStr">
        <is>
          <t>Squad</t>
        </is>
      </c>
      <c r="R12" t="inlineStr">
        <is>
          <t>Filled</t>
        </is>
      </c>
    </row>
    <row r="13" ht="18" customHeight="1" s="506">
      <c r="A13" s="259" t="n">
        <v>4534</v>
      </c>
      <c r="B13" s="224" t="inlineStr">
        <is>
          <t>Andrew Whitford</t>
        </is>
      </c>
      <c r="C13" s="224" t="inlineStr">
        <is>
          <t>Field Systems Operations Lead - WA</t>
        </is>
      </c>
      <c r="D13" s="224" t="inlineStr">
        <is>
          <t>Ephriam Adan</t>
        </is>
      </c>
      <c r="E13" s="224" t="inlineStr">
        <is>
          <t>Manager, AU Retail Operations</t>
        </is>
      </c>
      <c r="F13" s="224" t="inlineStr">
        <is>
          <t>Ampol Retail &amp; Z</t>
        </is>
      </c>
      <c r="G13" s="260" t="inlineStr">
        <is>
          <t>Ampol Retail</t>
        </is>
      </c>
      <c r="H13" s="224" t="inlineStr">
        <is>
          <t>Ampol Retail, Technology</t>
        </is>
      </c>
      <c r="I13" s="224" t="inlineStr">
        <is>
          <t>Retail</t>
        </is>
      </c>
      <c r="J13" s="260" t="inlineStr">
        <is>
          <t>Store Operations</t>
        </is>
      </c>
      <c r="K13" s="224" t="inlineStr">
        <is>
          <t>Store Operations</t>
        </is>
      </c>
      <c r="L13" s="260" t="n"/>
      <c r="M13" s="261" t="inlineStr">
        <is>
          <t>Australia</t>
        </is>
      </c>
      <c r="N13" t="inlineStr">
        <is>
          <t>Ampol Retail</t>
        </is>
      </c>
      <c r="O13" s="266" t="inlineStr">
        <is>
          <t>Store Operations</t>
        </is>
      </c>
      <c r="P13" s="267" t="inlineStr">
        <is>
          <t>Store Operations</t>
        </is>
      </c>
      <c r="Q13" s="268" t="inlineStr">
        <is>
          <t>Squad</t>
        </is>
      </c>
      <c r="R13" t="inlineStr">
        <is>
          <t>Filled</t>
        </is>
      </c>
    </row>
    <row r="14" ht="18" customHeight="1" s="506">
      <c r="A14" s="259" t="n">
        <v>95017</v>
      </c>
      <c r="B14" s="269" t="inlineStr">
        <is>
          <t>Sjoerd Van Sluijs</t>
        </is>
      </c>
      <c r="C14" s="224" t="inlineStr">
        <is>
          <t>Senior PM PEP1, PEP18</t>
        </is>
      </c>
      <c r="D14" s="260" t="inlineStr">
        <is>
          <t>Greg Cassis</t>
        </is>
      </c>
      <c r="E14" s="260" t="inlineStr">
        <is>
          <t>GM TDD, EGI</t>
        </is>
      </c>
      <c r="F14" s="224" t="inlineStr">
        <is>
          <t>Ampol Retail &amp; Z</t>
        </is>
      </c>
      <c r="G14" s="260" t="inlineStr">
        <is>
          <t>EGI</t>
        </is>
      </c>
      <c r="H14" s="224" t="n"/>
      <c r="I14" s="224" t="inlineStr">
        <is>
          <t>EGI Integration</t>
        </is>
      </c>
      <c r="J14" s="260" t="inlineStr">
        <is>
          <t>EGI</t>
        </is>
      </c>
      <c r="K14" s="260" t="inlineStr">
        <is>
          <t>EGI Retail</t>
        </is>
      </c>
      <c r="L14" s="260" t="n"/>
      <c r="M14" s="261" t="inlineStr">
        <is>
          <t>Australia</t>
        </is>
      </c>
      <c r="N14" t="inlineStr">
        <is>
          <t>Ampol Retail</t>
        </is>
      </c>
      <c r="O14" s="266" t="inlineStr">
        <is>
          <t>EGI Retail</t>
        </is>
      </c>
      <c r="P14" s="267" t="inlineStr">
        <is>
          <t>EGI Retail</t>
        </is>
      </c>
      <c r="Q14" s="268" t="inlineStr">
        <is>
          <t>Strategic Program</t>
        </is>
      </c>
      <c r="R14" t="inlineStr">
        <is>
          <t>Filled</t>
        </is>
      </c>
    </row>
    <row r="15" ht="18" customHeight="1" s="506">
      <c r="A15" s="259" t="n">
        <v>86604</v>
      </c>
      <c r="B15" s="224" t="inlineStr">
        <is>
          <t>Vanessa Allen</t>
        </is>
      </c>
      <c r="C15" s="224" t="inlineStr">
        <is>
          <t>Delivery Manager</t>
        </is>
      </c>
      <c r="D15" s="260" t="inlineStr">
        <is>
          <t>Madan Murthy</t>
        </is>
      </c>
      <c r="E15" s="224" t="inlineStr">
        <is>
          <t>Head of Technology,  Ampol Retail</t>
        </is>
      </c>
      <c r="F15" s="224" t="inlineStr">
        <is>
          <t>Ampol Retail &amp; Z</t>
        </is>
      </c>
      <c r="G15" s="260" t="inlineStr">
        <is>
          <t>Ampol Retail</t>
        </is>
      </c>
      <c r="H15" s="224" t="inlineStr">
        <is>
          <t>Ampol Retail, Delivery</t>
        </is>
      </c>
      <c r="I15" s="224" t="inlineStr">
        <is>
          <t>Retail</t>
        </is>
      </c>
      <c r="J15" s="224" t="inlineStr">
        <is>
          <t>(All Retail)</t>
        </is>
      </c>
      <c r="K15" s="260" t="inlineStr">
        <is>
          <t>Leadership</t>
        </is>
      </c>
      <c r="L15" s="260" t="n"/>
      <c r="M15" s="261" t="inlineStr">
        <is>
          <t>Australia</t>
        </is>
      </c>
      <c r="N15" t="inlineStr">
        <is>
          <t>Ampol Retail</t>
        </is>
      </c>
      <c r="O15" s="266" t="inlineStr">
        <is>
          <t>Leadership</t>
        </is>
      </c>
      <c r="P15" s="267" t="inlineStr">
        <is>
          <t>Leadership</t>
        </is>
      </c>
      <c r="Q15" s="268" t="inlineStr">
        <is>
          <t>Leadership</t>
        </is>
      </c>
      <c r="R15" t="inlineStr">
        <is>
          <t>Filled</t>
        </is>
      </c>
    </row>
    <row r="16" ht="18" customHeight="1" s="506">
      <c r="A16" s="259" t="n">
        <v>98379</v>
      </c>
      <c r="B16" s="224" t="inlineStr">
        <is>
          <t>Vaishnavi Viswanathan</t>
        </is>
      </c>
      <c r="C16" s="224" t="inlineStr">
        <is>
          <t>Technology Manager, Store Platform</t>
        </is>
      </c>
      <c r="D16" s="260" t="inlineStr">
        <is>
          <t>Madan Murthy</t>
        </is>
      </c>
      <c r="E16" s="224" t="inlineStr">
        <is>
          <t>Head of Technology,  Ampol Retail</t>
        </is>
      </c>
      <c r="F16" s="224" t="inlineStr">
        <is>
          <t>Ampol Retail &amp; Z</t>
        </is>
      </c>
      <c r="G16" s="260" t="inlineStr">
        <is>
          <t>Ampol Retail</t>
        </is>
      </c>
      <c r="H16" s="224" t="inlineStr">
        <is>
          <t>Ampol Retail, Store Platforms</t>
        </is>
      </c>
      <c r="I16" s="224" t="inlineStr">
        <is>
          <t>Retail</t>
        </is>
      </c>
      <c r="J16" s="224" t="inlineStr">
        <is>
          <t>Store Operations, Payments, POS</t>
        </is>
      </c>
      <c r="K16" s="260" t="inlineStr">
        <is>
          <t>Leadership</t>
        </is>
      </c>
      <c r="L16" s="260" t="n"/>
      <c r="M16" s="261" t="inlineStr">
        <is>
          <t>Australia</t>
        </is>
      </c>
      <c r="N16" t="inlineStr">
        <is>
          <t>Ampol Retail</t>
        </is>
      </c>
      <c r="O16" s="266" t="inlineStr">
        <is>
          <t>Leadership</t>
        </is>
      </c>
      <c r="P16" s="267" t="inlineStr">
        <is>
          <t>Leadership</t>
        </is>
      </c>
      <c r="Q16" s="268" t="inlineStr">
        <is>
          <t>Leadership</t>
        </is>
      </c>
      <c r="R16" t="inlineStr">
        <is>
          <t>Filled</t>
        </is>
      </c>
    </row>
    <row r="17" ht="18" customHeight="1" s="506">
      <c r="A17" s="259" t="n">
        <v>95285</v>
      </c>
      <c r="B17" s="224" t="inlineStr">
        <is>
          <t>Tracy Lee Reaper</t>
        </is>
      </c>
      <c r="C17" s="224" t="inlineStr">
        <is>
          <t>Technology Manager, Merchandising &amp; WFM</t>
        </is>
      </c>
      <c r="D17" s="260" t="inlineStr">
        <is>
          <t>Madan Murthy</t>
        </is>
      </c>
      <c r="E17" s="224" t="inlineStr">
        <is>
          <t>Head of Technology,  Ampol Retail</t>
        </is>
      </c>
      <c r="F17" s="224" t="inlineStr">
        <is>
          <t>Ampol Retail &amp; Z</t>
        </is>
      </c>
      <c r="G17" s="260" t="inlineStr">
        <is>
          <t>Ampol Retail</t>
        </is>
      </c>
      <c r="H17" s="224" t="inlineStr">
        <is>
          <t>Ampol Retail, Merch &amp; RTA</t>
        </is>
      </c>
      <c r="I17" s="224" t="inlineStr">
        <is>
          <t>Retail</t>
        </is>
      </c>
      <c r="J17" s="224" t="inlineStr">
        <is>
          <t>Merch / Supply Chain</t>
        </is>
      </c>
      <c r="K17" s="260" t="inlineStr">
        <is>
          <t>Leadership</t>
        </is>
      </c>
      <c r="L17" s="260" t="n"/>
      <c r="M17" s="261" t="inlineStr">
        <is>
          <t>Australia</t>
        </is>
      </c>
      <c r="N17" t="inlineStr">
        <is>
          <t>Ampol Retail</t>
        </is>
      </c>
      <c r="O17" s="266" t="inlineStr">
        <is>
          <t>Leadership</t>
        </is>
      </c>
      <c r="P17" s="267" t="inlineStr">
        <is>
          <t>Leadership</t>
        </is>
      </c>
      <c r="Q17" s="268" t="inlineStr">
        <is>
          <t>Leadership</t>
        </is>
      </c>
      <c r="R17" t="inlineStr">
        <is>
          <t>Filled</t>
        </is>
      </c>
    </row>
    <row r="18" ht="18" customHeight="1" s="506">
      <c r="A18" s="259" t="n">
        <v>111451</v>
      </c>
      <c r="B18" s="224" t="inlineStr">
        <is>
          <t>Aniket Banerji</t>
        </is>
      </c>
      <c r="C18" s="224" t="inlineStr">
        <is>
          <t>Deployment Lead</t>
        </is>
      </c>
      <c r="D18" s="224" t="inlineStr">
        <is>
          <t>Matthew Patane</t>
        </is>
      </c>
      <c r="E18" s="224" t="inlineStr">
        <is>
          <t>Release &amp; Deployment Manager</t>
        </is>
      </c>
      <c r="F18" s="224" t="inlineStr">
        <is>
          <t>Ampol Retail &amp; Z</t>
        </is>
      </c>
      <c r="G18" s="260" t="inlineStr">
        <is>
          <t>Ampol Retail</t>
        </is>
      </c>
      <c r="H18" s="224" t="inlineStr">
        <is>
          <t>Ampol Retail, Technology</t>
        </is>
      </c>
      <c r="I18" s="224" t="inlineStr">
        <is>
          <t>Retail</t>
        </is>
      </c>
      <c r="J18" s="260" t="inlineStr">
        <is>
          <t>Store Operations</t>
        </is>
      </c>
      <c r="K18" s="270" t="inlineStr">
        <is>
          <t>Deployment</t>
        </is>
      </c>
      <c r="L18" s="260" t="n"/>
      <c r="M18" s="261" t="inlineStr">
        <is>
          <t>Australia</t>
        </is>
      </c>
      <c r="N18" t="inlineStr">
        <is>
          <t>Ampol Retail</t>
        </is>
      </c>
      <c r="O18" s="266" t="inlineStr">
        <is>
          <t>Store Operations</t>
        </is>
      </c>
      <c r="P18" s="267" t="inlineStr">
        <is>
          <t>Deployment</t>
        </is>
      </c>
      <c r="Q18" s="268" t="inlineStr">
        <is>
          <t>Squad</t>
        </is>
      </c>
      <c r="R18" t="inlineStr">
        <is>
          <t>Filled</t>
        </is>
      </c>
    </row>
    <row r="19" ht="18" customHeight="1" s="506">
      <c r="A19" s="259" t="n">
        <v>95128</v>
      </c>
      <c r="B19" s="224" t="inlineStr">
        <is>
          <t>Deepak Kubendran</t>
        </is>
      </c>
      <c r="C19" s="224" t="inlineStr">
        <is>
          <t>Project Manager – Deployments</t>
        </is>
      </c>
      <c r="D19" s="224" t="inlineStr">
        <is>
          <t>Matthew Patane</t>
        </is>
      </c>
      <c r="E19" s="224" t="inlineStr">
        <is>
          <t>Release &amp; Deployment Manager</t>
        </is>
      </c>
      <c r="F19" s="224" t="inlineStr">
        <is>
          <t>Ampol Retail &amp; Z</t>
        </is>
      </c>
      <c r="G19" s="260" t="inlineStr">
        <is>
          <t>Ampol Retail</t>
        </is>
      </c>
      <c r="H19" s="224" t="inlineStr">
        <is>
          <t>Ampol Retail, Technology</t>
        </is>
      </c>
      <c r="I19" s="224" t="inlineStr">
        <is>
          <t>Retail</t>
        </is>
      </c>
      <c r="J19" s="260" t="inlineStr">
        <is>
          <t>Store Operations</t>
        </is>
      </c>
      <c r="K19" s="270" t="inlineStr">
        <is>
          <t>Deployment</t>
        </is>
      </c>
      <c r="L19" s="260" t="n"/>
      <c r="M19" s="261" t="inlineStr">
        <is>
          <t>Australia</t>
        </is>
      </c>
      <c r="N19" t="inlineStr">
        <is>
          <t>Ampol Retail</t>
        </is>
      </c>
      <c r="O19" s="271" t="inlineStr">
        <is>
          <t>Store Operations</t>
        </is>
      </c>
      <c r="P19" s="272" t="inlineStr">
        <is>
          <t>Deployment</t>
        </is>
      </c>
      <c r="Q19" s="273" t="inlineStr">
        <is>
          <t>Squad</t>
        </is>
      </c>
      <c r="R19" t="inlineStr">
        <is>
          <t>Filled</t>
        </is>
      </c>
    </row>
    <row r="20" ht="18" customHeight="1" s="506">
      <c r="A20" s="259" t="n">
        <v>11424</v>
      </c>
      <c r="B20" s="224" t="inlineStr">
        <is>
          <t>Sao Keawprasit</t>
        </is>
      </c>
      <c r="C20" s="224" t="inlineStr">
        <is>
          <t>Systems Analyst</t>
        </is>
      </c>
      <c r="D20" s="224" t="inlineStr">
        <is>
          <t>Tracy Lee Reaper</t>
        </is>
      </c>
      <c r="E20" s="224" t="inlineStr">
        <is>
          <t>Tech Manager, Merchandising &amp; WFM</t>
        </is>
      </c>
      <c r="F20" s="224" t="inlineStr">
        <is>
          <t>Ampol Retail &amp; Z</t>
        </is>
      </c>
      <c r="G20" s="260" t="inlineStr">
        <is>
          <t>Ampol Retail</t>
        </is>
      </c>
      <c r="H20" s="224" t="inlineStr">
        <is>
          <t>Ampol Retail, Merch &amp; RTA</t>
        </is>
      </c>
      <c r="I20" s="224" t="inlineStr">
        <is>
          <t>Retail</t>
        </is>
      </c>
      <c r="J20" s="274" t="inlineStr">
        <is>
          <t>Above Store</t>
        </is>
      </c>
      <c r="K20" s="274" t="inlineStr">
        <is>
          <t>Above Store</t>
        </is>
      </c>
      <c r="L20" s="260" t="n"/>
      <c r="M20" s="261" t="inlineStr">
        <is>
          <t>Australia</t>
        </is>
      </c>
      <c r="N20" t="inlineStr">
        <is>
          <t>Ampol Retail</t>
        </is>
      </c>
      <c r="O20" t="inlineStr">
        <is>
          <t>Above Store</t>
        </is>
      </c>
      <c r="P20" t="inlineStr">
        <is>
          <t>Above Store</t>
        </is>
      </c>
      <c r="Q20" t="inlineStr">
        <is>
          <t>Squad</t>
        </is>
      </c>
      <c r="R20" t="inlineStr">
        <is>
          <t>Filled</t>
        </is>
      </c>
    </row>
    <row r="21" ht="18" customHeight="1" s="506">
      <c r="A21" s="259" t="n">
        <v>114829</v>
      </c>
      <c r="B21" s="224" t="inlineStr">
        <is>
          <t>Zuan Zheng</t>
        </is>
      </c>
      <c r="C21" s="224" t="inlineStr">
        <is>
          <t>Systems Analyst</t>
        </is>
      </c>
      <c r="D21" s="224" t="inlineStr">
        <is>
          <t>Tracy Lee Reaper</t>
        </is>
      </c>
      <c r="E21" s="224" t="inlineStr">
        <is>
          <t>Tech Manager, Merchandising &amp; WFM</t>
        </is>
      </c>
      <c r="F21" s="224" t="inlineStr">
        <is>
          <t>Ampol Retail &amp; Z</t>
        </is>
      </c>
      <c r="G21" s="260" t="inlineStr">
        <is>
          <t>Ampol Retail</t>
        </is>
      </c>
      <c r="H21" s="224" t="inlineStr">
        <is>
          <t>Ampol Retail, Merch &amp; RTA</t>
        </is>
      </c>
      <c r="I21" s="224" t="inlineStr">
        <is>
          <t>Retail</t>
        </is>
      </c>
      <c r="J21" s="274" t="inlineStr">
        <is>
          <t>Above Store</t>
        </is>
      </c>
      <c r="K21" s="274" t="inlineStr">
        <is>
          <t>Above Store</t>
        </is>
      </c>
      <c r="L21" s="260" t="n"/>
      <c r="M21" s="261" t="inlineStr">
        <is>
          <t>Singapore</t>
        </is>
      </c>
      <c r="N21" t="inlineStr">
        <is>
          <t>Ampol Retail</t>
        </is>
      </c>
      <c r="O21" t="inlineStr">
        <is>
          <t>Above Store</t>
        </is>
      </c>
      <c r="P21" t="inlineStr">
        <is>
          <t>Above Store</t>
        </is>
      </c>
      <c r="Q21" t="inlineStr">
        <is>
          <t>Squad</t>
        </is>
      </c>
      <c r="R21" t="inlineStr">
        <is>
          <t>Filled</t>
        </is>
      </c>
    </row>
    <row r="22" ht="18" customHeight="1" s="506">
      <c r="A22" s="259" t="n"/>
      <c r="B22" s="224" t="inlineStr">
        <is>
          <t>Vacant</t>
        </is>
      </c>
      <c r="C22" s="224" t="inlineStr">
        <is>
          <t>Systems Analyst</t>
        </is>
      </c>
      <c r="D22" s="224" t="inlineStr">
        <is>
          <t>Tracy Lee Reaper</t>
        </is>
      </c>
      <c r="E22" s="224" t="inlineStr">
        <is>
          <t>Tech Manager, Merchandising &amp; WFM</t>
        </is>
      </c>
      <c r="F22" s="224" t="inlineStr">
        <is>
          <t>Ampol Retail &amp; Z</t>
        </is>
      </c>
      <c r="G22" s="260" t="inlineStr">
        <is>
          <t>Ampol Retail</t>
        </is>
      </c>
      <c r="H22" s="224" t="inlineStr">
        <is>
          <t>Ampol Retail, Merch &amp; RTA</t>
        </is>
      </c>
      <c r="I22" s="224" t="inlineStr">
        <is>
          <t>Retail</t>
        </is>
      </c>
      <c r="J22" s="274" t="inlineStr">
        <is>
          <t>Above Store</t>
        </is>
      </c>
      <c r="K22" s="274" t="inlineStr">
        <is>
          <t>Above Store</t>
        </is>
      </c>
      <c r="L22" s="260" t="n"/>
      <c r="M22" s="261" t="n"/>
      <c r="N22" t="inlineStr">
        <is>
          <t>Ampol Retail</t>
        </is>
      </c>
      <c r="O22" t="inlineStr">
        <is>
          <t>Above Store</t>
        </is>
      </c>
      <c r="P22" t="inlineStr">
        <is>
          <t>Above Store</t>
        </is>
      </c>
      <c r="Q22" t="inlineStr">
        <is>
          <t>Squad</t>
        </is>
      </c>
      <c r="R22" t="inlineStr">
        <is>
          <t>Vacant</t>
        </is>
      </c>
    </row>
    <row r="23" ht="18" customHeight="1" s="506">
      <c r="A23" s="259" t="n">
        <v>108357</v>
      </c>
      <c r="B23" s="224" t="inlineStr">
        <is>
          <t>Pahul Oberoi</t>
        </is>
      </c>
      <c r="C23" s="224" t="inlineStr">
        <is>
          <t>Systems Analyst</t>
        </is>
      </c>
      <c r="D23" s="224" t="inlineStr">
        <is>
          <t>Tracy Lee Reaper</t>
        </is>
      </c>
      <c r="E23" s="224" t="inlineStr">
        <is>
          <t>Tech Manager, Merchandising &amp; WFM</t>
        </is>
      </c>
      <c r="F23" s="224" t="inlineStr">
        <is>
          <t>Ampol Retail &amp; Z</t>
        </is>
      </c>
      <c r="G23" s="260" t="inlineStr">
        <is>
          <t>Ampol Retail</t>
        </is>
      </c>
      <c r="H23" s="224" t="inlineStr">
        <is>
          <t>Ampol Retail, Merch &amp; RTA</t>
        </is>
      </c>
      <c r="I23" s="224" t="inlineStr">
        <is>
          <t>Retail</t>
        </is>
      </c>
      <c r="J23" s="274" t="inlineStr">
        <is>
          <t>Above Store</t>
        </is>
      </c>
      <c r="K23" s="274" t="inlineStr">
        <is>
          <t>Above Store</t>
        </is>
      </c>
      <c r="L23" s="260" t="n"/>
      <c r="M23" s="261" t="inlineStr">
        <is>
          <t>Australia</t>
        </is>
      </c>
      <c r="N23" t="inlineStr">
        <is>
          <t>Ampol Retail</t>
        </is>
      </c>
      <c r="O23" t="inlineStr">
        <is>
          <t>Above Store</t>
        </is>
      </c>
      <c r="P23" t="inlineStr">
        <is>
          <t>Above Store</t>
        </is>
      </c>
      <c r="Q23" t="inlineStr">
        <is>
          <t>Squad</t>
        </is>
      </c>
      <c r="R23" t="inlineStr">
        <is>
          <t>Filled</t>
        </is>
      </c>
    </row>
    <row r="24" ht="18" customHeight="1" s="506">
      <c r="A24" s="259" t="n"/>
      <c r="B24" s="224" t="inlineStr">
        <is>
          <t>vacant</t>
        </is>
      </c>
      <c r="C24" s="224" t="inlineStr">
        <is>
          <t>Quality Assurance</t>
        </is>
      </c>
      <c r="D24" s="224" t="inlineStr">
        <is>
          <t>Tracy Lee Reaper</t>
        </is>
      </c>
      <c r="E24" s="224" t="inlineStr">
        <is>
          <t>Tech Manager, Merchandising &amp; WFM</t>
        </is>
      </c>
      <c r="F24" s="224" t="inlineStr">
        <is>
          <t>Ampol Retail &amp; Z</t>
        </is>
      </c>
      <c r="G24" s="260" t="inlineStr">
        <is>
          <t>Ampol Retail</t>
        </is>
      </c>
      <c r="H24" s="224" t="inlineStr">
        <is>
          <t>Ampol Retail, Merch &amp; RTA</t>
        </is>
      </c>
      <c r="I24" s="224" t="inlineStr">
        <is>
          <t>Retail</t>
        </is>
      </c>
      <c r="J24" s="274" t="inlineStr">
        <is>
          <t>Above Store</t>
        </is>
      </c>
      <c r="K24" s="274" t="inlineStr">
        <is>
          <t>Above Store</t>
        </is>
      </c>
      <c r="L24" s="260" t="n"/>
      <c r="M24" s="261" t="n"/>
      <c r="N24" t="inlineStr">
        <is>
          <t>Ampol Retail</t>
        </is>
      </c>
      <c r="O24" t="inlineStr">
        <is>
          <t>Above Store</t>
        </is>
      </c>
      <c r="P24" t="inlineStr">
        <is>
          <t>Above Store</t>
        </is>
      </c>
      <c r="Q24" t="inlineStr">
        <is>
          <t>Squad</t>
        </is>
      </c>
      <c r="R24" t="inlineStr">
        <is>
          <t>Vacant</t>
        </is>
      </c>
    </row>
    <row r="25" ht="18" customHeight="1" s="506">
      <c r="A25" s="259" t="n"/>
      <c r="B25" s="224" t="inlineStr">
        <is>
          <t>Vacant</t>
        </is>
      </c>
      <c r="C25" s="224" t="inlineStr">
        <is>
          <t>Engineer - Integration</t>
        </is>
      </c>
      <c r="D25" s="224" t="inlineStr">
        <is>
          <t>Tracy Lee Reaper</t>
        </is>
      </c>
      <c r="E25" s="224" t="inlineStr">
        <is>
          <t>Tech Manager, Merchandising &amp; WFM</t>
        </is>
      </c>
      <c r="F25" s="224" t="inlineStr">
        <is>
          <t>Ampol Retail &amp; Z</t>
        </is>
      </c>
      <c r="G25" s="260" t="inlineStr">
        <is>
          <t>Ampol Retail</t>
        </is>
      </c>
      <c r="H25" s="224" t="inlineStr">
        <is>
          <t>Ampol Retail, Merch &amp; RTA</t>
        </is>
      </c>
      <c r="I25" s="224" t="inlineStr">
        <is>
          <t>Retail</t>
        </is>
      </c>
      <c r="J25" s="274" t="inlineStr">
        <is>
          <t>Above Store</t>
        </is>
      </c>
      <c r="K25" s="274" t="inlineStr">
        <is>
          <t>Above Store</t>
        </is>
      </c>
      <c r="L25" s="260" t="n"/>
      <c r="M25" s="261" t="n"/>
      <c r="N25" t="inlineStr">
        <is>
          <t>Ampol Retail</t>
        </is>
      </c>
      <c r="O25" t="inlineStr">
        <is>
          <t>Above Store</t>
        </is>
      </c>
      <c r="P25" t="inlineStr">
        <is>
          <t>Above Store</t>
        </is>
      </c>
      <c r="Q25" t="inlineStr">
        <is>
          <t>Squad</t>
        </is>
      </c>
      <c r="R25" t="inlineStr">
        <is>
          <t>Vacant</t>
        </is>
      </c>
    </row>
    <row r="26" ht="18" customHeight="1" s="506">
      <c r="A26" s="259" t="n">
        <v>7001</v>
      </c>
      <c r="B26" s="224" t="inlineStr">
        <is>
          <t>Joseph Maroun</t>
        </is>
      </c>
      <c r="C26" s="275" t="inlineStr">
        <is>
          <t>Systems Analyst</t>
        </is>
      </c>
      <c r="D26" s="224" t="inlineStr">
        <is>
          <t>Tracy Lee Reaper</t>
        </is>
      </c>
      <c r="E26" s="224" t="inlineStr">
        <is>
          <t>Tech Manager, Merchandising &amp; WFM</t>
        </is>
      </c>
      <c r="F26" s="224" t="inlineStr">
        <is>
          <t>Ampol Retail &amp; Z</t>
        </is>
      </c>
      <c r="G26" s="260" t="inlineStr">
        <is>
          <t>Ampol Retail</t>
        </is>
      </c>
      <c r="H26" s="224" t="inlineStr">
        <is>
          <t>Ampol Retail, Merch &amp; RTA</t>
        </is>
      </c>
      <c r="I26" s="224" t="inlineStr">
        <is>
          <t>Retail</t>
        </is>
      </c>
      <c r="J26" s="274" t="inlineStr">
        <is>
          <t>Above Store</t>
        </is>
      </c>
      <c r="K26" s="274" t="inlineStr">
        <is>
          <t>Above Store</t>
        </is>
      </c>
      <c r="L26" s="260" t="n"/>
      <c r="M26" s="261" t="inlineStr">
        <is>
          <t>Australia</t>
        </is>
      </c>
      <c r="N26" t="inlineStr">
        <is>
          <t>Ampol Retail</t>
        </is>
      </c>
      <c r="O26" t="inlineStr">
        <is>
          <t>Above Store</t>
        </is>
      </c>
      <c r="P26" t="inlineStr">
        <is>
          <t>Above Store</t>
        </is>
      </c>
      <c r="Q26" t="inlineStr">
        <is>
          <t>Squad</t>
        </is>
      </c>
      <c r="R26" t="inlineStr">
        <is>
          <t>Filled</t>
        </is>
      </c>
    </row>
    <row r="27" ht="18" customHeight="1" s="506">
      <c r="A27" s="259" t="n">
        <v>117167</v>
      </c>
      <c r="B27" s="224" t="inlineStr">
        <is>
          <t>Vijay Patel</t>
        </is>
      </c>
      <c r="C27" s="224" t="inlineStr">
        <is>
          <t>Systems Analyst</t>
        </is>
      </c>
      <c r="D27" s="224" t="inlineStr">
        <is>
          <t>Tracy Lee Reaper</t>
        </is>
      </c>
      <c r="E27" s="224" t="inlineStr">
        <is>
          <t>Tech Manager, Merchandising &amp; WFM</t>
        </is>
      </c>
      <c r="F27" s="224" t="inlineStr">
        <is>
          <t>Ampol Retail &amp; Z</t>
        </is>
      </c>
      <c r="G27" s="260" t="inlineStr">
        <is>
          <t>Ampol Retail</t>
        </is>
      </c>
      <c r="H27" s="224" t="inlineStr">
        <is>
          <t>Ampol Retail, Store Platforms</t>
        </is>
      </c>
      <c r="I27" s="224" t="inlineStr">
        <is>
          <t>Retail</t>
        </is>
      </c>
      <c r="J27" s="274" t="inlineStr">
        <is>
          <t>Above Store</t>
        </is>
      </c>
      <c r="K27" s="274" t="inlineStr">
        <is>
          <t>Above Store</t>
        </is>
      </c>
      <c r="L27" s="260" t="n"/>
      <c r="M27" s="261" t="inlineStr">
        <is>
          <t>Australia</t>
        </is>
      </c>
      <c r="N27" t="inlineStr">
        <is>
          <t>Ampol Retail</t>
        </is>
      </c>
      <c r="O27" t="inlineStr">
        <is>
          <t>Above Store</t>
        </is>
      </c>
      <c r="P27" t="inlineStr">
        <is>
          <t>Above Store</t>
        </is>
      </c>
      <c r="Q27" t="inlineStr">
        <is>
          <t>Squad</t>
        </is>
      </c>
      <c r="R27" t="inlineStr">
        <is>
          <t>Filled</t>
        </is>
      </c>
    </row>
    <row r="28" ht="18" customHeight="1" s="506">
      <c r="A28" s="259" t="n"/>
      <c r="B28" s="224" t="inlineStr">
        <is>
          <t>vacant</t>
        </is>
      </c>
      <c r="C28" s="224" t="inlineStr">
        <is>
          <t>Quality Assurance</t>
        </is>
      </c>
      <c r="D28" s="224" t="inlineStr">
        <is>
          <t>Tracy Lee Reaper</t>
        </is>
      </c>
      <c r="E28" s="224" t="inlineStr">
        <is>
          <t>Tech Manager, Merchandising &amp; WFM</t>
        </is>
      </c>
      <c r="F28" s="224" t="inlineStr">
        <is>
          <t>Ampol Retail &amp; Z</t>
        </is>
      </c>
      <c r="G28" s="260" t="inlineStr">
        <is>
          <t>Ampol Retail</t>
        </is>
      </c>
      <c r="H28" s="224" t="inlineStr">
        <is>
          <t>Ampol Retail, Merch &amp; RTA</t>
        </is>
      </c>
      <c r="I28" s="224" t="inlineStr">
        <is>
          <t>Retail</t>
        </is>
      </c>
      <c r="J28" s="274" t="inlineStr">
        <is>
          <t>Above Store</t>
        </is>
      </c>
      <c r="K28" s="274" t="inlineStr">
        <is>
          <t>Above Store</t>
        </is>
      </c>
      <c r="L28" s="260" t="n"/>
      <c r="M28" s="261" t="n"/>
      <c r="N28" t="inlineStr">
        <is>
          <t>Ampol Retail</t>
        </is>
      </c>
      <c r="O28" t="inlineStr">
        <is>
          <t>Above Store</t>
        </is>
      </c>
      <c r="P28" t="inlineStr">
        <is>
          <t>Above Store</t>
        </is>
      </c>
      <c r="Q28" t="inlineStr">
        <is>
          <t>Squad</t>
        </is>
      </c>
      <c r="R28" t="inlineStr">
        <is>
          <t>Vacant</t>
        </is>
      </c>
    </row>
    <row r="29" ht="18" customHeight="1" s="506">
      <c r="A29" s="259" t="n">
        <v>84413</v>
      </c>
      <c r="B29" s="224" t="inlineStr">
        <is>
          <t>Karthick Sathiyamoorthy</t>
        </is>
      </c>
      <c r="C29" s="224" t="inlineStr">
        <is>
          <t>Quality Assurance</t>
        </is>
      </c>
      <c r="D29" s="260" t="inlineStr">
        <is>
          <t>Vacant</t>
        </is>
      </c>
      <c r="E29" s="224" t="inlineStr">
        <is>
          <t>Lead Quality Assurance</t>
        </is>
      </c>
      <c r="F29" s="224" t="inlineStr">
        <is>
          <t>Ampol Retail &amp; Z</t>
        </is>
      </c>
      <c r="G29" s="260" t="inlineStr">
        <is>
          <t>Ampol Retail</t>
        </is>
      </c>
      <c r="H29" s="224" t="inlineStr">
        <is>
          <t>Ampol Retail, Store Platforms</t>
        </is>
      </c>
      <c r="I29" s="224" t="inlineStr">
        <is>
          <t>Retail</t>
        </is>
      </c>
      <c r="J29" s="260" t="inlineStr">
        <is>
          <t>AMPOS</t>
        </is>
      </c>
      <c r="K29" s="224" t="inlineStr">
        <is>
          <t>AmPos</t>
        </is>
      </c>
      <c r="L29" s="260" t="n"/>
      <c r="M29" s="261" t="inlineStr">
        <is>
          <t>Australia</t>
        </is>
      </c>
      <c r="N29" t="inlineStr">
        <is>
          <t>Ampol Retail</t>
        </is>
      </c>
      <c r="O29" t="inlineStr">
        <is>
          <t>AmPOS</t>
        </is>
      </c>
      <c r="P29" t="inlineStr">
        <is>
          <t>AmPOS</t>
        </is>
      </c>
      <c r="Q29" t="inlineStr">
        <is>
          <t>Strategic Program</t>
        </is>
      </c>
      <c r="R29" t="inlineStr">
        <is>
          <t>Filled</t>
        </is>
      </c>
    </row>
    <row r="30" ht="18" customHeight="1" s="506">
      <c r="A30" s="259" t="n">
        <v>99999102104</v>
      </c>
      <c r="B30" s="224" t="inlineStr">
        <is>
          <t>Isuru Herath</t>
        </is>
      </c>
      <c r="C30" s="224" t="inlineStr">
        <is>
          <t>Senior Engineer - Software</t>
        </is>
      </c>
      <c r="D30" s="224" t="inlineStr">
        <is>
          <t>Vacant</t>
        </is>
      </c>
      <c r="E30" s="224" t="inlineStr">
        <is>
          <t>Technology Manager, Engineering</t>
        </is>
      </c>
      <c r="F30" s="224" t="inlineStr">
        <is>
          <t>Ampol Retail &amp; Z</t>
        </is>
      </c>
      <c r="G30" s="260" t="inlineStr">
        <is>
          <t>Z &amp; Group Retail</t>
        </is>
      </c>
      <c r="H30" s="224" t="inlineStr">
        <is>
          <t>Z &amp; Group Retail, Engineering</t>
        </is>
      </c>
      <c r="I30" s="224" t="inlineStr">
        <is>
          <t>Z</t>
        </is>
      </c>
      <c r="J30" s="260" t="inlineStr">
        <is>
          <t>Z Supply</t>
        </is>
      </c>
      <c r="K30" s="224" t="inlineStr">
        <is>
          <t>Z Supply</t>
        </is>
      </c>
      <c r="L30" s="260" t="n"/>
      <c r="M30" s="261" t="inlineStr">
        <is>
          <t>NZ</t>
        </is>
      </c>
      <c r="N30" t="inlineStr">
        <is>
          <t>Z Retail</t>
        </is>
      </c>
      <c r="O30" t="inlineStr">
        <is>
          <t>Z Supply</t>
        </is>
      </c>
      <c r="P30" t="inlineStr">
        <is>
          <t>Z Supply</t>
        </is>
      </c>
      <c r="Q30" t="inlineStr">
        <is>
          <t>Squad</t>
        </is>
      </c>
      <c r="R30" t="inlineStr">
        <is>
          <t>Filled</t>
        </is>
      </c>
    </row>
    <row r="31" ht="18" customHeight="1" s="506">
      <c r="A31" s="259" t="n">
        <v>99999101222</v>
      </c>
      <c r="B31" s="224" t="inlineStr">
        <is>
          <t>Malachi Ah Hoi</t>
        </is>
      </c>
      <c r="C31" s="224" t="inlineStr">
        <is>
          <t>Senior Quality Assurance</t>
        </is>
      </c>
      <c r="D31" s="224" t="inlineStr">
        <is>
          <t>Vacant</t>
        </is>
      </c>
      <c r="E31" s="224" t="inlineStr">
        <is>
          <t>Technology Manager, Engineering</t>
        </is>
      </c>
      <c r="F31" s="224" t="inlineStr">
        <is>
          <t>Ampol Retail &amp; Z</t>
        </is>
      </c>
      <c r="G31" s="224" t="inlineStr">
        <is>
          <t>Z &amp; Group Retail</t>
        </is>
      </c>
      <c r="H31" s="224" t="inlineStr">
        <is>
          <t>Z &amp; Group Retail, Engineering</t>
        </is>
      </c>
      <c r="I31" s="224" t="inlineStr">
        <is>
          <t>Z</t>
        </is>
      </c>
      <c r="J31" s="224" t="inlineStr">
        <is>
          <t>Z Customer</t>
        </is>
      </c>
      <c r="K31" s="224" t="inlineStr">
        <is>
          <t xml:space="preserve">Z Retail Backend </t>
        </is>
      </c>
      <c r="L31" s="260" t="n"/>
      <c r="M31" s="261" t="inlineStr">
        <is>
          <t>NZ</t>
        </is>
      </c>
      <c r="N31" t="inlineStr">
        <is>
          <t>Z Retail</t>
        </is>
      </c>
      <c r="O31" t="inlineStr">
        <is>
          <t>Z Customer</t>
        </is>
      </c>
      <c r="P31" t="inlineStr">
        <is>
          <t>Z Retail Backend</t>
        </is>
      </c>
      <c r="Q31" t="inlineStr">
        <is>
          <t>Squad</t>
        </is>
      </c>
      <c r="R31" t="inlineStr">
        <is>
          <t>Filled</t>
        </is>
      </c>
    </row>
    <row r="32" ht="18" customHeight="1" s="506">
      <c r="A32" s="259" t="n"/>
      <c r="B32" s="224" t="inlineStr">
        <is>
          <t>Vacant</t>
        </is>
      </c>
      <c r="C32" s="224" t="inlineStr">
        <is>
          <t>Delivery Manager</t>
        </is>
      </c>
      <c r="D32" s="260" t="inlineStr">
        <is>
          <t>Vacant</t>
        </is>
      </c>
      <c r="E32" s="224" t="inlineStr">
        <is>
          <t>Head of Technology, Z and Group Retail Platforms</t>
        </is>
      </c>
      <c r="F32" s="224" t="inlineStr">
        <is>
          <t>Ampol Retail &amp; Z</t>
        </is>
      </c>
      <c r="G32" s="260" t="inlineStr">
        <is>
          <t>Z &amp; Group Retail</t>
        </is>
      </c>
      <c r="H32" s="260" t="inlineStr">
        <is>
          <t>Z &amp; Group Retail, Delivery</t>
        </is>
      </c>
      <c r="I32" s="260" t="inlineStr">
        <is>
          <t>Z</t>
        </is>
      </c>
      <c r="J32" s="224" t="inlineStr">
        <is>
          <t>Z Customer &amp; Z Supply</t>
        </is>
      </c>
      <c r="K32" s="260" t="inlineStr">
        <is>
          <t>Leadership</t>
        </is>
      </c>
      <c r="L32" s="260" t="n"/>
      <c r="M32" s="261" t="n"/>
      <c r="N32" t="inlineStr">
        <is>
          <t>Z Retail</t>
        </is>
      </c>
      <c r="O32" t="inlineStr">
        <is>
          <t>Leadership</t>
        </is>
      </c>
      <c r="P32" t="inlineStr">
        <is>
          <t>Leadership</t>
        </is>
      </c>
      <c r="Q32" t="inlineStr">
        <is>
          <t>Leadership</t>
        </is>
      </c>
      <c r="R32" t="inlineStr">
        <is>
          <t>Vacant</t>
        </is>
      </c>
    </row>
    <row r="33" ht="18" customHeight="1" s="506">
      <c r="A33" s="259" t="n"/>
      <c r="B33" s="224" t="inlineStr">
        <is>
          <t>Vacant</t>
        </is>
      </c>
      <c r="C33" s="224" t="inlineStr">
        <is>
          <t>Quality Assurance</t>
        </is>
      </c>
      <c r="D33" s="224" t="inlineStr">
        <is>
          <t>Vacant</t>
        </is>
      </c>
      <c r="E33" s="224" t="inlineStr">
        <is>
          <t>Technology Manager, Engineering</t>
        </is>
      </c>
      <c r="F33" s="224" t="inlineStr">
        <is>
          <t>Ampol Retail &amp; Z</t>
        </is>
      </c>
      <c r="G33" s="260" t="inlineStr">
        <is>
          <t>Z &amp; Group Retail</t>
        </is>
      </c>
      <c r="H33" s="224" t="inlineStr">
        <is>
          <t>Z &amp; Group Retail, Engineering</t>
        </is>
      </c>
      <c r="I33" s="224" t="inlineStr">
        <is>
          <t>Z</t>
        </is>
      </c>
      <c r="J33" s="260" t="inlineStr">
        <is>
          <t>Z Supply</t>
        </is>
      </c>
      <c r="K33" s="224" t="inlineStr">
        <is>
          <t>Z Supply</t>
        </is>
      </c>
      <c r="L33" s="260" t="n"/>
      <c r="M33" s="261" t="n"/>
      <c r="N33" t="inlineStr">
        <is>
          <t>Z Retail</t>
        </is>
      </c>
      <c r="O33" t="inlineStr">
        <is>
          <t>Z Supply</t>
        </is>
      </c>
      <c r="P33" t="inlineStr">
        <is>
          <t>Z Supply</t>
        </is>
      </c>
      <c r="Q33" t="inlineStr">
        <is>
          <t>Squad</t>
        </is>
      </c>
      <c r="R33" t="inlineStr">
        <is>
          <t>Vacant</t>
        </is>
      </c>
    </row>
    <row r="34" ht="18" customHeight="1" s="506">
      <c r="A34" s="259" t="n"/>
      <c r="B34" s="224" t="inlineStr">
        <is>
          <t>Vacant</t>
        </is>
      </c>
      <c r="C34" s="224" t="inlineStr">
        <is>
          <t>Systems Analyst</t>
        </is>
      </c>
      <c r="D34" s="224" t="inlineStr">
        <is>
          <t>Vacant</t>
        </is>
      </c>
      <c r="E34" s="224" t="inlineStr">
        <is>
          <t>Technology Manager, Retail</t>
        </is>
      </c>
      <c r="F34" s="224" t="inlineStr">
        <is>
          <t>Ampol Retail &amp; Z</t>
        </is>
      </c>
      <c r="G34" s="260" t="inlineStr">
        <is>
          <t>Ampol Retail</t>
        </is>
      </c>
      <c r="H34" s="224" t="inlineStr">
        <is>
          <t>Ampol Retail, Technology</t>
        </is>
      </c>
      <c r="I34" s="224" t="inlineStr">
        <is>
          <t>Retail</t>
        </is>
      </c>
      <c r="J34" s="260" t="inlineStr">
        <is>
          <t>Network/QSR</t>
        </is>
      </c>
      <c r="K34" s="224" t="inlineStr">
        <is>
          <t>Network &amp; QSR</t>
        </is>
      </c>
      <c r="L34" s="260" t="n"/>
      <c r="M34" s="261" t="n"/>
      <c r="N34" t="inlineStr">
        <is>
          <t>Ampol Retail</t>
        </is>
      </c>
      <c r="O34" t="inlineStr">
        <is>
          <t>Network / QSR</t>
        </is>
      </c>
      <c r="P34" t="inlineStr">
        <is>
          <t>Network / QSR</t>
        </is>
      </c>
      <c r="Q34" t="inlineStr">
        <is>
          <t>Squad</t>
        </is>
      </c>
      <c r="R34" t="inlineStr">
        <is>
          <t>Vacant</t>
        </is>
      </c>
    </row>
    <row r="35" ht="18" customHeight="1" s="506">
      <c r="A35" s="259" t="n">
        <v>115515</v>
      </c>
      <c r="B35" s="224" t="inlineStr">
        <is>
          <t>Emma Natoli</t>
        </is>
      </c>
      <c r="C35" s="224" t="inlineStr">
        <is>
          <t>Technology Manager, Engineering</t>
        </is>
      </c>
      <c r="D35" s="260" t="inlineStr">
        <is>
          <t>Vacant</t>
        </is>
      </c>
      <c r="E35" s="224" t="inlineStr">
        <is>
          <t>Head of Technology, Z and Group Retail Platforms</t>
        </is>
      </c>
      <c r="F35" s="224" t="inlineStr">
        <is>
          <t>Ampol Retail &amp; Z</t>
        </is>
      </c>
      <c r="G35" s="260" t="inlineStr">
        <is>
          <t>Z &amp; Group Retail</t>
        </is>
      </c>
      <c r="H35" s="224" t="inlineStr">
        <is>
          <t>Z &amp; Group Retail, Engineering</t>
        </is>
      </c>
      <c r="I35" s="224" t="inlineStr">
        <is>
          <t>Z</t>
        </is>
      </c>
      <c r="J35" s="224" t="inlineStr">
        <is>
          <t>Z Customer &amp; Z Supply</t>
        </is>
      </c>
      <c r="K35" s="260" t="inlineStr">
        <is>
          <t>Leadership</t>
        </is>
      </c>
      <c r="L35" s="260" t="n"/>
      <c r="M35" s="261" t="inlineStr">
        <is>
          <t>NZ</t>
        </is>
      </c>
      <c r="N35" t="inlineStr">
        <is>
          <t>Z Retail</t>
        </is>
      </c>
      <c r="O35" t="inlineStr">
        <is>
          <t>Leadership</t>
        </is>
      </c>
      <c r="P35" t="inlineStr">
        <is>
          <t>Leadership</t>
        </is>
      </c>
      <c r="Q35" t="inlineStr">
        <is>
          <t>Leadership</t>
        </is>
      </c>
      <c r="R35" t="inlineStr">
        <is>
          <t>Filled</t>
        </is>
      </c>
    </row>
    <row r="36" ht="18" customHeight="1" s="506">
      <c r="A36" s="259" t="n">
        <v>98007</v>
      </c>
      <c r="B36" s="224" t="inlineStr">
        <is>
          <t>Sendhil Vinayagam (75% EGI)</t>
        </is>
      </c>
      <c r="C36" s="224" t="inlineStr">
        <is>
          <t>Solution Architect</t>
        </is>
      </c>
      <c r="D36" s="224" t="inlineStr">
        <is>
          <t>Vacant</t>
        </is>
      </c>
      <c r="E36" s="224" t="inlineStr">
        <is>
          <t>Technology Manager, Retail</t>
        </is>
      </c>
      <c r="F36" s="224" t="inlineStr">
        <is>
          <t>Ampol Retail &amp; Z</t>
        </is>
      </c>
      <c r="G36" s="260" t="inlineStr">
        <is>
          <t>Ampol Retail</t>
        </is>
      </c>
      <c r="H36" s="224" t="inlineStr">
        <is>
          <t>Ampol Retail, Technology</t>
        </is>
      </c>
      <c r="I36" s="224" t="inlineStr">
        <is>
          <t>EGI Integration</t>
        </is>
      </c>
      <c r="J36" s="260" t="inlineStr">
        <is>
          <t>EGI</t>
        </is>
      </c>
      <c r="K36" s="224" t="inlineStr">
        <is>
          <t>EGI Retail</t>
        </is>
      </c>
      <c r="L36" s="260" t="n"/>
      <c r="M36" s="261" t="inlineStr">
        <is>
          <t>Australia</t>
        </is>
      </c>
      <c r="N36" t="inlineStr">
        <is>
          <t>Ampol Retail</t>
        </is>
      </c>
      <c r="O36" t="inlineStr">
        <is>
          <t>EGI Retail</t>
        </is>
      </c>
      <c r="P36" t="inlineStr">
        <is>
          <t>EGI Retail</t>
        </is>
      </c>
      <c r="Q36" t="inlineStr">
        <is>
          <t>Strategic Program</t>
        </is>
      </c>
      <c r="R36" t="inlineStr">
        <is>
          <t>Filled</t>
        </is>
      </c>
    </row>
    <row r="37" ht="18" customHeight="1" s="506">
      <c r="A37" s="259" t="n"/>
      <c r="B37" s="224" t="inlineStr">
        <is>
          <t>Vacant</t>
        </is>
      </c>
      <c r="C37" s="224" t="inlineStr">
        <is>
          <t>Delivery Lead</t>
        </is>
      </c>
      <c r="D37" s="260" t="inlineStr">
        <is>
          <t>Vacant</t>
        </is>
      </c>
      <c r="E37" s="270" t="inlineStr">
        <is>
          <t>Delivery Manager, Z and Retail Data</t>
        </is>
      </c>
      <c r="F37" s="224" t="inlineStr">
        <is>
          <t>Ampol Retail &amp; Z</t>
        </is>
      </c>
      <c r="G37" s="260" t="inlineStr">
        <is>
          <t>Z &amp; Group Retail</t>
        </is>
      </c>
      <c r="H37" s="224" t="inlineStr">
        <is>
          <t>Z &amp; Group Retail, Delivery</t>
        </is>
      </c>
      <c r="I37" s="224" t="inlineStr">
        <is>
          <t>Z</t>
        </is>
      </c>
      <c r="J37" s="260" t="inlineStr">
        <is>
          <t>Z Customer &amp; Z Supply</t>
        </is>
      </c>
      <c r="K37" s="224" t="inlineStr">
        <is>
          <t>Data - NZ</t>
        </is>
      </c>
      <c r="L37" s="260" t="n"/>
      <c r="M37" s="261" t="n"/>
      <c r="N37" t="inlineStr">
        <is>
          <t>Z Retail</t>
        </is>
      </c>
      <c r="O37" t="inlineStr">
        <is>
          <t>-</t>
        </is>
      </c>
      <c r="P37" t="inlineStr">
        <is>
          <t>Data NZ</t>
        </is>
      </c>
      <c r="Q37" t="inlineStr">
        <is>
          <t>Unmapped</t>
        </is>
      </c>
      <c r="R37" t="inlineStr">
        <is>
          <t>Vacant</t>
        </is>
      </c>
    </row>
    <row r="38" ht="18" customHeight="1" s="506">
      <c r="A38" s="259" t="n">
        <v>99999101426</v>
      </c>
      <c r="B38" s="224" t="inlineStr">
        <is>
          <t>Trevor Weaver</t>
        </is>
      </c>
      <c r="C38" s="224" t="inlineStr">
        <is>
          <t>Lead  Engineer - Software</t>
        </is>
      </c>
      <c r="D38" s="224" t="inlineStr">
        <is>
          <t>Vacant</t>
        </is>
      </c>
      <c r="E38" s="224" t="inlineStr">
        <is>
          <t>Technology Manager, Engineering</t>
        </is>
      </c>
      <c r="F38" s="224" t="inlineStr">
        <is>
          <t>Ampol Retail &amp; Z</t>
        </is>
      </c>
      <c r="G38" s="224" t="inlineStr">
        <is>
          <t>Z &amp; Group Retail</t>
        </is>
      </c>
      <c r="H38" s="224" t="inlineStr">
        <is>
          <t>Z &amp; Group Retail, Engineering</t>
        </is>
      </c>
      <c r="I38" s="224" t="inlineStr">
        <is>
          <t>Z</t>
        </is>
      </c>
      <c r="J38" s="224" t="inlineStr">
        <is>
          <t>Z Customer</t>
        </is>
      </c>
      <c r="K38" s="224" t="inlineStr">
        <is>
          <t>Z Retail Backend</t>
        </is>
      </c>
      <c r="L38" s="260" t="n"/>
      <c r="M38" s="261" t="inlineStr">
        <is>
          <t>NZ</t>
        </is>
      </c>
      <c r="N38" t="inlineStr">
        <is>
          <t>Z Retail</t>
        </is>
      </c>
      <c r="O38" t="inlineStr">
        <is>
          <t>Z Customer</t>
        </is>
      </c>
      <c r="P38" t="inlineStr">
        <is>
          <t>Z Retail Backend</t>
        </is>
      </c>
      <c r="Q38" t="inlineStr">
        <is>
          <t>Squad</t>
        </is>
      </c>
      <c r="R38" t="inlineStr">
        <is>
          <t>Filled</t>
        </is>
      </c>
    </row>
    <row r="39" ht="18" customHeight="1" s="506">
      <c r="A39" s="259" t="n">
        <v>9999970029518</v>
      </c>
      <c r="B39" s="224" t="inlineStr">
        <is>
          <t>Anne Pretorius</t>
        </is>
      </c>
      <c r="C39" s="224" t="inlineStr">
        <is>
          <t>Lead Business Analyst</t>
        </is>
      </c>
      <c r="D39" s="260" t="inlineStr">
        <is>
          <t>Vacant</t>
        </is>
      </c>
      <c r="E39" s="224" t="inlineStr">
        <is>
          <t>Delivery Manager, Z and Retail Data</t>
        </is>
      </c>
      <c r="F39" s="224" t="inlineStr">
        <is>
          <t>Ampol Retail &amp; Z</t>
        </is>
      </c>
      <c r="G39" s="260" t="inlineStr">
        <is>
          <t>Z &amp; Group Retail</t>
        </is>
      </c>
      <c r="H39" s="224" t="inlineStr">
        <is>
          <t>Z &amp; Group Retail, Delivery</t>
        </is>
      </c>
      <c r="I39" s="224" t="inlineStr">
        <is>
          <t>EGI Integration</t>
        </is>
      </c>
      <c r="J39" s="260" t="inlineStr">
        <is>
          <t>EGI</t>
        </is>
      </c>
      <c r="K39" s="224" t="inlineStr">
        <is>
          <t>EGI</t>
        </is>
      </c>
      <c r="L39" s="260" t="n"/>
      <c r="M39" s="261" t="inlineStr">
        <is>
          <t>NZ</t>
        </is>
      </c>
      <c r="N39" t="inlineStr">
        <is>
          <t>EGI</t>
        </is>
      </c>
      <c r="O39" t="inlineStr">
        <is>
          <t>EGI</t>
        </is>
      </c>
      <c r="P39" t="inlineStr">
        <is>
          <t>EGI (unassigned)</t>
        </is>
      </c>
      <c r="Q39" t="inlineStr">
        <is>
          <t>Unmapped</t>
        </is>
      </c>
      <c r="R39" t="inlineStr">
        <is>
          <t>Filled</t>
        </is>
      </c>
    </row>
    <row r="40" ht="18" customHeight="1" s="506">
      <c r="A40" s="259" t="n">
        <v>4259</v>
      </c>
      <c r="B40" s="224" t="inlineStr">
        <is>
          <t>Ephraim Adan</t>
        </is>
      </c>
      <c r="C40" s="224" t="inlineStr">
        <is>
          <t>Manager - AU Retail Operations</t>
        </is>
      </c>
      <c r="D40" s="224" t="inlineStr">
        <is>
          <t>Vacant</t>
        </is>
      </c>
      <c r="E40" s="224" t="inlineStr">
        <is>
          <t>Technology Manager, Retail</t>
        </is>
      </c>
      <c r="F40" s="224" t="inlineStr">
        <is>
          <t>Ampol Retail &amp; Z</t>
        </is>
      </c>
      <c r="G40" s="260" t="inlineStr">
        <is>
          <t>Ampol Retail</t>
        </is>
      </c>
      <c r="H40" s="224" t="inlineStr">
        <is>
          <t>Ampol Retail, Technology</t>
        </is>
      </c>
      <c r="I40" s="224" t="inlineStr">
        <is>
          <t>Retail</t>
        </is>
      </c>
      <c r="J40" s="260" t="inlineStr">
        <is>
          <t>Store Operations</t>
        </is>
      </c>
      <c r="K40" s="224" t="inlineStr">
        <is>
          <t>Store Operations</t>
        </is>
      </c>
      <c r="L40" s="260" t="n"/>
      <c r="M40" s="261" t="inlineStr">
        <is>
          <t>Australia</t>
        </is>
      </c>
      <c r="N40" t="inlineStr">
        <is>
          <t>Ampol Retail</t>
        </is>
      </c>
      <c r="O40" t="inlineStr">
        <is>
          <t>Store Operations</t>
        </is>
      </c>
      <c r="P40" t="inlineStr">
        <is>
          <t>Store Operations</t>
        </is>
      </c>
      <c r="Q40" t="inlineStr">
        <is>
          <t>Squad</t>
        </is>
      </c>
      <c r="R40" t="inlineStr">
        <is>
          <t>Filled</t>
        </is>
      </c>
    </row>
    <row r="41" ht="18" customHeight="1" s="506">
      <c r="A41" s="259" t="n">
        <v>111835</v>
      </c>
      <c r="B41" s="224" t="inlineStr">
        <is>
          <t>Matthew Patane</t>
        </is>
      </c>
      <c r="C41" s="224" t="inlineStr">
        <is>
          <t>Release &amp; Deployment Manager</t>
        </is>
      </c>
      <c r="D41" s="224" t="inlineStr">
        <is>
          <t>Vacant</t>
        </is>
      </c>
      <c r="E41" s="224" t="inlineStr">
        <is>
          <t>Technology Manager, Retail</t>
        </is>
      </c>
      <c r="F41" s="224" t="inlineStr">
        <is>
          <t>Ampol Retail &amp; Z</t>
        </is>
      </c>
      <c r="G41" s="260" t="inlineStr">
        <is>
          <t>Ampol Retail</t>
        </is>
      </c>
      <c r="H41" s="224" t="inlineStr">
        <is>
          <t>Ampol Retail, Technology</t>
        </is>
      </c>
      <c r="I41" s="224" t="inlineStr">
        <is>
          <t>Retail</t>
        </is>
      </c>
      <c r="J41" s="260" t="inlineStr">
        <is>
          <t>Store Operations</t>
        </is>
      </c>
      <c r="K41" s="224" t="inlineStr">
        <is>
          <t xml:space="preserve">Deployment </t>
        </is>
      </c>
      <c r="L41" s="260" t="n"/>
      <c r="M41" s="261" t="inlineStr">
        <is>
          <t>Australia</t>
        </is>
      </c>
      <c r="N41" t="inlineStr">
        <is>
          <t>Ampol Retail</t>
        </is>
      </c>
      <c r="O41" t="inlineStr">
        <is>
          <t>Store Operations</t>
        </is>
      </c>
      <c r="P41" t="inlineStr">
        <is>
          <t>Deployment</t>
        </is>
      </c>
      <c r="Q41" t="inlineStr">
        <is>
          <t>Squad</t>
        </is>
      </c>
      <c r="R41" t="inlineStr">
        <is>
          <t>Filled</t>
        </is>
      </c>
    </row>
    <row r="42" ht="18" customHeight="1" s="506">
      <c r="A42" s="259" t="n">
        <v>99999101647</v>
      </c>
      <c r="B42" s="224" t="inlineStr">
        <is>
          <t>Ash Muthumala</t>
        </is>
      </c>
      <c r="C42" s="224" t="inlineStr">
        <is>
          <t>Senior QA Analyst</t>
        </is>
      </c>
      <c r="D42" s="260" t="inlineStr">
        <is>
          <t>Vacant</t>
        </is>
      </c>
      <c r="E42" s="224" t="inlineStr">
        <is>
          <t>Technology Manager, Data</t>
        </is>
      </c>
      <c r="F42" s="224" t="inlineStr">
        <is>
          <t>Ampol Retail &amp; Z</t>
        </is>
      </c>
      <c r="G42" s="260" t="inlineStr">
        <is>
          <t>Z &amp; Group Retail</t>
        </is>
      </c>
      <c r="H42" s="224" t="inlineStr">
        <is>
          <t>Delivery, Commercial Fuels</t>
        </is>
      </c>
      <c r="I42" s="224" t="inlineStr">
        <is>
          <t>Z</t>
        </is>
      </c>
      <c r="J42" s="260" t="inlineStr">
        <is>
          <t>Z Customer &amp; Z Supply</t>
        </is>
      </c>
      <c r="K42" s="224" t="inlineStr">
        <is>
          <t>Data - NZ</t>
        </is>
      </c>
      <c r="L42" s="260" t="n"/>
      <c r="M42" s="261" t="inlineStr">
        <is>
          <t>NZ</t>
        </is>
      </c>
      <c r="N42" t="inlineStr">
        <is>
          <t>Z Retail</t>
        </is>
      </c>
      <c r="O42" t="inlineStr">
        <is>
          <t>-</t>
        </is>
      </c>
      <c r="P42" t="inlineStr">
        <is>
          <t>Data NZ</t>
        </is>
      </c>
      <c r="Q42" t="inlineStr">
        <is>
          <t>Unmapped</t>
        </is>
      </c>
      <c r="R42" t="inlineStr">
        <is>
          <t>Filled</t>
        </is>
      </c>
    </row>
    <row r="43" ht="18" customHeight="1" s="506">
      <c r="A43" s="259" t="n">
        <v>91356</v>
      </c>
      <c r="B43" s="224" t="inlineStr">
        <is>
          <t>Javier Aguirre Castellanos</t>
        </is>
      </c>
      <c r="C43" s="224" t="inlineStr">
        <is>
          <t>Solution Architect</t>
        </is>
      </c>
      <c r="D43" s="224" t="inlineStr">
        <is>
          <t>Vacant</t>
        </is>
      </c>
      <c r="E43" s="224" t="inlineStr">
        <is>
          <t>Technology Manager, Retail</t>
        </is>
      </c>
      <c r="F43" s="224" t="inlineStr">
        <is>
          <t>Ampol Retail &amp; Z</t>
        </is>
      </c>
      <c r="G43" s="260" t="inlineStr">
        <is>
          <t>Ampol Retail</t>
        </is>
      </c>
      <c r="H43" s="224" t="inlineStr">
        <is>
          <t>Ampol Retail, Technology</t>
        </is>
      </c>
      <c r="I43" s="224" t="inlineStr">
        <is>
          <t>Retail</t>
        </is>
      </c>
      <c r="J43" s="260" t="inlineStr">
        <is>
          <t>Network/QSR</t>
        </is>
      </c>
      <c r="K43" s="224" t="inlineStr">
        <is>
          <t>Network &amp; QSR</t>
        </is>
      </c>
      <c r="L43" s="260" t="n"/>
      <c r="M43" s="261" t="inlineStr">
        <is>
          <t>Australia</t>
        </is>
      </c>
      <c r="N43" t="inlineStr">
        <is>
          <t>Ampol Retail</t>
        </is>
      </c>
      <c r="O43" t="inlineStr">
        <is>
          <t>Network / QSR</t>
        </is>
      </c>
      <c r="P43" t="inlineStr">
        <is>
          <t>Network / QSR</t>
        </is>
      </c>
      <c r="Q43" t="inlineStr">
        <is>
          <t>Squad</t>
        </is>
      </c>
      <c r="R43" t="inlineStr">
        <is>
          <t>Filled</t>
        </is>
      </c>
    </row>
    <row r="44" ht="18" customHeight="1" s="506">
      <c r="A44" s="259" t="n"/>
      <c r="B44" s="224" t="inlineStr">
        <is>
          <t>Vacant</t>
        </is>
      </c>
      <c r="C44" s="224" t="inlineStr">
        <is>
          <t>Data Analyst</t>
        </is>
      </c>
      <c r="D44" s="260" t="inlineStr">
        <is>
          <t>Vacant</t>
        </is>
      </c>
      <c r="E44" s="224" t="inlineStr">
        <is>
          <t>Technology Manager, Data</t>
        </is>
      </c>
      <c r="F44" s="224" t="inlineStr">
        <is>
          <t>Ampol Retail &amp; Z</t>
        </is>
      </c>
      <c r="G44" s="260" t="inlineStr">
        <is>
          <t>Z &amp; Group Retail</t>
        </is>
      </c>
      <c r="H44" s="224" t="inlineStr">
        <is>
          <t>Z &amp; Group Retail, Data</t>
        </is>
      </c>
      <c r="I44" s="224" t="inlineStr">
        <is>
          <t>Retail</t>
        </is>
      </c>
      <c r="J44" s="260" t="inlineStr">
        <is>
          <t>(All Retail)</t>
        </is>
      </c>
      <c r="K44" s="224" t="inlineStr">
        <is>
          <t>Data - AU</t>
        </is>
      </c>
      <c r="L44" s="260" t="n"/>
      <c r="M44" s="261" t="n"/>
      <c r="N44" t="inlineStr">
        <is>
          <t>Ampol Retail</t>
        </is>
      </c>
      <c r="O44" t="inlineStr">
        <is>
          <t>Data AU</t>
        </is>
      </c>
      <c r="P44" t="inlineStr">
        <is>
          <t>Data AU</t>
        </is>
      </c>
      <c r="Q44" t="inlineStr">
        <is>
          <t>Squad</t>
        </is>
      </c>
      <c r="R44" t="inlineStr">
        <is>
          <t>Vacant</t>
        </is>
      </c>
    </row>
    <row r="45" ht="18" customHeight="1" s="506">
      <c r="A45" s="259" t="n">
        <v>99999101214</v>
      </c>
      <c r="B45" s="224" t="inlineStr">
        <is>
          <t>Anna Koot</t>
        </is>
      </c>
      <c r="C45" s="224" t="inlineStr">
        <is>
          <t>Senior Business Analyst</t>
        </is>
      </c>
      <c r="D45" s="260" t="inlineStr">
        <is>
          <t>Vacant</t>
        </is>
      </c>
      <c r="E45" s="224" t="inlineStr">
        <is>
          <t>Delivery Manager, Z and Retail Data</t>
        </is>
      </c>
      <c r="F45" s="224" t="inlineStr">
        <is>
          <t>Ampol Retail &amp; Z</t>
        </is>
      </c>
      <c r="G45" s="260" t="inlineStr">
        <is>
          <t>Z &amp; Group Retail</t>
        </is>
      </c>
      <c r="H45" s="224" t="inlineStr">
        <is>
          <t>Z &amp; Group Retail, Delivery</t>
        </is>
      </c>
      <c r="I45" s="224" t="inlineStr">
        <is>
          <t>Z</t>
        </is>
      </c>
      <c r="J45" s="260" t="inlineStr">
        <is>
          <t>Z Supply</t>
        </is>
      </c>
      <c r="K45" s="224" t="inlineStr">
        <is>
          <t>Z Supply</t>
        </is>
      </c>
      <c r="L45" s="260" t="n"/>
      <c r="M45" s="261" t="inlineStr">
        <is>
          <t>NZ</t>
        </is>
      </c>
      <c r="N45" t="inlineStr">
        <is>
          <t>Z Retail</t>
        </is>
      </c>
      <c r="O45" t="inlineStr">
        <is>
          <t>Z Supply</t>
        </is>
      </c>
      <c r="P45" t="inlineStr">
        <is>
          <t>Z Supply</t>
        </is>
      </c>
      <c r="Q45" t="inlineStr">
        <is>
          <t>Squad</t>
        </is>
      </c>
      <c r="R45" t="inlineStr">
        <is>
          <t>Filled</t>
        </is>
      </c>
    </row>
    <row r="46" ht="18" customHeight="1" s="506">
      <c r="A46" s="259" t="n">
        <v>113442</v>
      </c>
      <c r="B46" s="462" t="inlineStr">
        <is>
          <t xml:space="preserve">Manjot Kaur Malli </t>
        </is>
      </c>
      <c r="C46" s="224" t="inlineStr">
        <is>
          <t>Technology Manager, Data</t>
        </is>
      </c>
      <c r="D46" s="260" t="inlineStr">
        <is>
          <t>Vacant</t>
        </is>
      </c>
      <c r="E46" s="224" t="inlineStr">
        <is>
          <t>Head of Technology, Z and Group Retail Platforms</t>
        </is>
      </c>
      <c r="F46" s="224" t="inlineStr">
        <is>
          <t>Ampol Retail &amp; Z</t>
        </is>
      </c>
      <c r="G46" s="260" t="inlineStr">
        <is>
          <t>Z &amp; Group Retail</t>
        </is>
      </c>
      <c r="H46" s="224" t="inlineStr">
        <is>
          <t>Z &amp; Group Retail, Data</t>
        </is>
      </c>
      <c r="I46" s="224" t="inlineStr">
        <is>
          <t>Z</t>
        </is>
      </c>
      <c r="J46" s="224" t="inlineStr">
        <is>
          <t>Z Customer &amp; Z Supply</t>
        </is>
      </c>
      <c r="K46" s="224" t="inlineStr">
        <is>
          <t>Merchandising &amp; Supply Chain</t>
        </is>
      </c>
      <c r="L46" s="260" t="n"/>
      <c r="M46" s="261" t="inlineStr">
        <is>
          <t>Australia</t>
        </is>
      </c>
      <c r="N46" t="inlineStr">
        <is>
          <t>Ampol Retail</t>
        </is>
      </c>
      <c r="O46" t="inlineStr">
        <is>
          <t>Above Store</t>
        </is>
      </c>
      <c r="P46" t="inlineStr">
        <is>
          <t>Above Store</t>
        </is>
      </c>
      <c r="Q46" t="inlineStr">
        <is>
          <t>Squad</t>
        </is>
      </c>
      <c r="R46" t="inlineStr">
        <is>
          <t>Filled</t>
        </is>
      </c>
    </row>
    <row r="47" ht="18" customHeight="1" s="506">
      <c r="A47" s="259" t="n">
        <v>114990</v>
      </c>
      <c r="B47" s="224" t="inlineStr">
        <is>
          <t>Zhan Zhang</t>
        </is>
      </c>
      <c r="C47" s="224" t="inlineStr">
        <is>
          <t>Solution Architect</t>
        </is>
      </c>
      <c r="D47" s="224" t="inlineStr">
        <is>
          <t>Vacant</t>
        </is>
      </c>
      <c r="E47" s="224" t="inlineStr">
        <is>
          <t>Technology Manager, Retail</t>
        </is>
      </c>
      <c r="F47" s="224" t="inlineStr">
        <is>
          <t>Ampol Retail &amp; Z</t>
        </is>
      </c>
      <c r="G47" s="260" t="inlineStr">
        <is>
          <t>Ampol Retail</t>
        </is>
      </c>
      <c r="H47" s="224" t="inlineStr">
        <is>
          <t>Ampol Retail, Technology</t>
        </is>
      </c>
      <c r="I47" s="224" t="inlineStr">
        <is>
          <t>Retail</t>
        </is>
      </c>
      <c r="J47" s="274" t="inlineStr">
        <is>
          <t>Above Store</t>
        </is>
      </c>
      <c r="K47" s="274" t="inlineStr">
        <is>
          <t>Above Store</t>
        </is>
      </c>
      <c r="L47" s="260" t="n"/>
      <c r="M47" s="261" t="inlineStr">
        <is>
          <t>Australia</t>
        </is>
      </c>
      <c r="N47" t="inlineStr">
        <is>
          <t>Ampol Retail</t>
        </is>
      </c>
      <c r="O47" t="inlineStr">
        <is>
          <t>Above Store</t>
        </is>
      </c>
      <c r="P47" t="inlineStr">
        <is>
          <t>Above Store</t>
        </is>
      </c>
      <c r="Q47" t="inlineStr">
        <is>
          <t>Squad</t>
        </is>
      </c>
      <c r="R47" t="inlineStr">
        <is>
          <t>Filled</t>
        </is>
      </c>
    </row>
    <row r="48" ht="18" customHeight="1" s="506">
      <c r="A48" s="259" t="n">
        <v>99999101233</v>
      </c>
      <c r="B48" s="224" t="inlineStr">
        <is>
          <t>Chris Wilson</t>
        </is>
      </c>
      <c r="C48" s="224" t="inlineStr">
        <is>
          <t>Solution Architect</t>
        </is>
      </c>
      <c r="D48" s="224" t="inlineStr">
        <is>
          <t>Vacant</t>
        </is>
      </c>
      <c r="E48" s="224" t="inlineStr">
        <is>
          <t>Technology Manager,  Site Systems</t>
        </is>
      </c>
      <c r="F48" s="224" t="inlineStr">
        <is>
          <t>Ampol Retail &amp; Z</t>
        </is>
      </c>
      <c r="G48" s="260" t="inlineStr">
        <is>
          <t>Z &amp; Group Retail</t>
        </is>
      </c>
      <c r="H48" s="224" t="inlineStr">
        <is>
          <t>Z &amp; Group Retail, Site Systems</t>
        </is>
      </c>
      <c r="I48" s="224" t="inlineStr">
        <is>
          <t>Z</t>
        </is>
      </c>
      <c r="J48" s="260" t="inlineStr">
        <is>
          <t>Z Customer</t>
        </is>
      </c>
      <c r="K48" s="224" t="inlineStr">
        <is>
          <t>Merchandising &amp; Supply Chain</t>
        </is>
      </c>
      <c r="L48" s="260" t="n"/>
      <c r="M48" s="261" t="inlineStr">
        <is>
          <t>NZ</t>
        </is>
      </c>
      <c r="N48" t="inlineStr">
        <is>
          <t>Ampol Retail</t>
        </is>
      </c>
      <c r="O48" t="inlineStr">
        <is>
          <t>Above Store</t>
        </is>
      </c>
      <c r="P48" t="inlineStr">
        <is>
          <t>Above Store</t>
        </is>
      </c>
      <c r="Q48" t="inlineStr">
        <is>
          <t>Squad</t>
        </is>
      </c>
      <c r="R48" t="inlineStr">
        <is>
          <t>Filled</t>
        </is>
      </c>
    </row>
    <row r="49" ht="18" customHeight="1" s="506">
      <c r="A49" s="259" t="n">
        <v>99999102028</v>
      </c>
      <c r="B49" s="224" t="inlineStr">
        <is>
          <t>Lauren Lancaster</t>
        </is>
      </c>
      <c r="C49" s="224" t="inlineStr">
        <is>
          <t>Associate Engineer - Software</t>
        </is>
      </c>
      <c r="D49" s="224" t="inlineStr">
        <is>
          <t>Vacant</t>
        </is>
      </c>
      <c r="E49" s="224" t="inlineStr">
        <is>
          <t>Technology Manager, Engineering</t>
        </is>
      </c>
      <c r="F49" s="224" t="inlineStr">
        <is>
          <t>Ampol Retail &amp; Z</t>
        </is>
      </c>
      <c r="G49" s="224" t="inlineStr">
        <is>
          <t>Z &amp; Group Retail</t>
        </is>
      </c>
      <c r="H49" s="224" t="inlineStr">
        <is>
          <t>Z &amp; Group Retail, Engineering</t>
        </is>
      </c>
      <c r="I49" s="224" t="inlineStr">
        <is>
          <t>Z</t>
        </is>
      </c>
      <c r="J49" s="224" t="inlineStr">
        <is>
          <t>Z Customer</t>
        </is>
      </c>
      <c r="K49" s="224" t="inlineStr">
        <is>
          <t>Merchandising &amp; Supply Chain</t>
        </is>
      </c>
      <c r="L49" s="260" t="n"/>
      <c r="M49" s="261" t="inlineStr">
        <is>
          <t>NZ</t>
        </is>
      </c>
      <c r="N49" t="inlineStr">
        <is>
          <t>Ampol Retail</t>
        </is>
      </c>
      <c r="O49" t="inlineStr">
        <is>
          <t>Above Store</t>
        </is>
      </c>
      <c r="P49" t="inlineStr">
        <is>
          <t>Above Store</t>
        </is>
      </c>
      <c r="Q49" t="inlineStr">
        <is>
          <t>Squad</t>
        </is>
      </c>
      <c r="R49" t="inlineStr">
        <is>
          <t>Filled</t>
        </is>
      </c>
    </row>
    <row r="50" ht="18" customHeight="1" s="506">
      <c r="A50" s="259" t="n">
        <v>110388</v>
      </c>
      <c r="B50" s="224" t="inlineStr">
        <is>
          <t>Adrian Lueng</t>
        </is>
      </c>
      <c r="C50" s="224" t="inlineStr">
        <is>
          <t>Quality Assurance</t>
        </is>
      </c>
      <c r="D50" s="224" t="inlineStr">
        <is>
          <t>Vacant</t>
        </is>
      </c>
      <c r="E50" s="224" t="inlineStr">
        <is>
          <t>Technology Manager, Retail</t>
        </is>
      </c>
      <c r="F50" s="224" t="inlineStr">
        <is>
          <t>Ampol Retail &amp; Z</t>
        </is>
      </c>
      <c r="G50" s="260" t="inlineStr">
        <is>
          <t>Ampol Retail</t>
        </is>
      </c>
      <c r="H50" s="224" t="inlineStr">
        <is>
          <t>Ampol Retail, Technology</t>
        </is>
      </c>
      <c r="I50" s="224" t="inlineStr">
        <is>
          <t>Retail</t>
        </is>
      </c>
      <c r="J50" s="274" t="inlineStr">
        <is>
          <t>Network/QSR</t>
        </is>
      </c>
      <c r="K50" s="274" t="inlineStr">
        <is>
          <t>Network &amp; QSR</t>
        </is>
      </c>
      <c r="L50" s="260" t="n"/>
      <c r="M50" s="261" t="inlineStr">
        <is>
          <t>Australia</t>
        </is>
      </c>
      <c r="N50" t="inlineStr">
        <is>
          <t>Ampol Retail</t>
        </is>
      </c>
      <c r="O50" t="inlineStr">
        <is>
          <t>Network / QSR</t>
        </is>
      </c>
      <c r="P50" t="inlineStr">
        <is>
          <t>Network / QSR</t>
        </is>
      </c>
      <c r="Q50" t="inlineStr">
        <is>
          <t>Squad</t>
        </is>
      </c>
      <c r="R50" t="inlineStr">
        <is>
          <t>Filled</t>
        </is>
      </c>
    </row>
    <row r="51" ht="18" customHeight="1" s="506">
      <c r="A51" s="259" t="n">
        <v>86743</v>
      </c>
      <c r="B51" s="224" t="inlineStr">
        <is>
          <t>Majdi Abedi</t>
        </is>
      </c>
      <c r="C51" s="224" t="inlineStr">
        <is>
          <t>Systems Analyst</t>
        </is>
      </c>
      <c r="D51" s="224" t="inlineStr">
        <is>
          <t>Vacant</t>
        </is>
      </c>
      <c r="E51" s="224" t="inlineStr">
        <is>
          <t>Tech Manager, Merchandising &amp; WFM</t>
        </is>
      </c>
      <c r="F51" s="224" t="inlineStr">
        <is>
          <t>Ampol Retail &amp; Z</t>
        </is>
      </c>
      <c r="G51" s="260" t="inlineStr">
        <is>
          <t>Ampol Retail</t>
        </is>
      </c>
      <c r="H51" s="224" t="inlineStr">
        <is>
          <t>Ampol Retail, Merch &amp; RTA</t>
        </is>
      </c>
      <c r="I51" s="224" t="inlineStr">
        <is>
          <t>Retail</t>
        </is>
      </c>
      <c r="J51" s="274" t="inlineStr">
        <is>
          <t>Above Store</t>
        </is>
      </c>
      <c r="K51" s="274" t="inlineStr">
        <is>
          <t>Above Store</t>
        </is>
      </c>
      <c r="L51" s="260" t="n"/>
      <c r="M51" s="261" t="inlineStr">
        <is>
          <t>Australia</t>
        </is>
      </c>
      <c r="N51" t="inlineStr">
        <is>
          <t>Ampol Retail</t>
        </is>
      </c>
      <c r="O51" t="inlineStr">
        <is>
          <t>Above Store</t>
        </is>
      </c>
      <c r="P51" t="inlineStr">
        <is>
          <t>Above Store</t>
        </is>
      </c>
      <c r="Q51" t="inlineStr">
        <is>
          <t>Squad</t>
        </is>
      </c>
      <c r="R51" t="inlineStr">
        <is>
          <t>Filled</t>
        </is>
      </c>
    </row>
    <row r="52" ht="18" customHeight="1" s="506">
      <c r="A52" s="259" t="n">
        <v>94420</v>
      </c>
      <c r="B52" s="224" t="inlineStr">
        <is>
          <t>Peter Nicolopoulos</t>
        </is>
      </c>
      <c r="C52" s="224" t="inlineStr">
        <is>
          <t>Systems Analyst</t>
        </is>
      </c>
      <c r="D52" s="224" t="inlineStr">
        <is>
          <t>Vacant</t>
        </is>
      </c>
      <c r="E52" s="224" t="inlineStr">
        <is>
          <t>Technology Manager, Store Platform</t>
        </is>
      </c>
      <c r="F52" s="224" t="inlineStr">
        <is>
          <t>Ampol Retail &amp; Z</t>
        </is>
      </c>
      <c r="G52" s="260" t="inlineStr">
        <is>
          <t>Ampol Retail</t>
        </is>
      </c>
      <c r="H52" s="224" t="inlineStr">
        <is>
          <t>Ampol  Retail, Store Platforms</t>
        </is>
      </c>
      <c r="I52" s="224" t="inlineStr">
        <is>
          <t>Retail</t>
        </is>
      </c>
      <c r="J52" s="274" t="inlineStr">
        <is>
          <t>AMPOS</t>
        </is>
      </c>
      <c r="K52" s="274" t="inlineStr">
        <is>
          <t>AmPos</t>
        </is>
      </c>
      <c r="L52" s="260" t="n"/>
      <c r="M52" s="261" t="inlineStr">
        <is>
          <t>Australia</t>
        </is>
      </c>
      <c r="N52" t="inlineStr">
        <is>
          <t>Ampol Retail</t>
        </is>
      </c>
      <c r="O52" t="inlineStr">
        <is>
          <t>AmPOS</t>
        </is>
      </c>
      <c r="P52" t="inlineStr">
        <is>
          <t>AmPOS</t>
        </is>
      </c>
      <c r="Q52" t="inlineStr">
        <is>
          <t>Strategic Program</t>
        </is>
      </c>
      <c r="R52" t="inlineStr">
        <is>
          <t>Filled</t>
        </is>
      </c>
    </row>
    <row r="53" ht="18" customHeight="1" s="506">
      <c r="A53" s="259" t="n"/>
      <c r="B53" s="224" t="inlineStr">
        <is>
          <t>Vacant</t>
        </is>
      </c>
      <c r="C53" s="224" t="inlineStr">
        <is>
          <t>Data Analyst</t>
        </is>
      </c>
      <c r="D53" s="260" t="inlineStr">
        <is>
          <t>Vacant</t>
        </is>
      </c>
      <c r="E53" s="224" t="inlineStr">
        <is>
          <t>Technology Manager, Data</t>
        </is>
      </c>
      <c r="F53" s="224" t="inlineStr">
        <is>
          <t>Ampol Retail &amp; Z</t>
        </is>
      </c>
      <c r="G53" s="260" t="inlineStr">
        <is>
          <t>Z &amp; Group Retail</t>
        </is>
      </c>
      <c r="H53" s="224" t="inlineStr">
        <is>
          <t>Z &amp; Group Retail, Data</t>
        </is>
      </c>
      <c r="I53" s="224" t="inlineStr">
        <is>
          <t>Retail</t>
        </is>
      </c>
      <c r="J53" s="260" t="inlineStr">
        <is>
          <t>(All Retail)</t>
        </is>
      </c>
      <c r="K53" s="224" t="inlineStr">
        <is>
          <t>Merchandising &amp; Supply Chain</t>
        </is>
      </c>
      <c r="L53" s="260" t="n"/>
      <c r="M53" s="261" t="n"/>
      <c r="N53" t="inlineStr">
        <is>
          <t>Ampol Retail</t>
        </is>
      </c>
      <c r="O53" t="inlineStr">
        <is>
          <t>Above Store</t>
        </is>
      </c>
      <c r="P53" t="inlineStr">
        <is>
          <t>Above Store</t>
        </is>
      </c>
      <c r="Q53" t="inlineStr">
        <is>
          <t>Squad</t>
        </is>
      </c>
      <c r="R53" t="inlineStr">
        <is>
          <t>Vacant</t>
        </is>
      </c>
    </row>
    <row r="54" ht="18" customHeight="1" s="506">
      <c r="A54" s="259" t="n">
        <v>99999101542</v>
      </c>
      <c r="B54" s="224" t="inlineStr">
        <is>
          <t>Joe Kuttikkatt</t>
        </is>
      </c>
      <c r="C54" s="224" t="inlineStr">
        <is>
          <t>Senior Quality Assurance</t>
        </is>
      </c>
      <c r="D54" s="224" t="inlineStr">
        <is>
          <t>Vacant</t>
        </is>
      </c>
      <c r="E54" s="224" t="inlineStr">
        <is>
          <t>Technology Manager, Engineering</t>
        </is>
      </c>
      <c r="F54" s="224" t="inlineStr">
        <is>
          <t>Ampol Retail &amp; Z</t>
        </is>
      </c>
      <c r="G54" s="260" t="inlineStr">
        <is>
          <t>Z &amp; Group Retail</t>
        </is>
      </c>
      <c r="H54" s="224" t="inlineStr">
        <is>
          <t>Z &amp; Group Retail, Engineering</t>
        </is>
      </c>
      <c r="I54" s="224" t="inlineStr">
        <is>
          <t>Z</t>
        </is>
      </c>
      <c r="J54" s="260" t="inlineStr">
        <is>
          <t>Energy Solutions</t>
        </is>
      </c>
      <c r="K54" s="224" t="inlineStr">
        <is>
          <t>Merchandising &amp; Supply Chain</t>
        </is>
      </c>
      <c r="L54" s="260" t="n"/>
      <c r="M54" s="261" t="inlineStr">
        <is>
          <t>NZ</t>
        </is>
      </c>
      <c r="N54" t="inlineStr">
        <is>
          <t>Ampol Retail</t>
        </is>
      </c>
      <c r="O54" t="inlineStr">
        <is>
          <t>Above Store</t>
        </is>
      </c>
      <c r="P54" t="inlineStr">
        <is>
          <t>Above Store</t>
        </is>
      </c>
      <c r="Q54" t="inlineStr">
        <is>
          <t>Squad</t>
        </is>
      </c>
      <c r="R54" t="inlineStr">
        <is>
          <t>Filled</t>
        </is>
      </c>
    </row>
    <row r="55" ht="18" customHeight="1" s="506">
      <c r="A55" s="259" t="n"/>
      <c r="B55" s="224" t="inlineStr">
        <is>
          <t>Vacant</t>
        </is>
      </c>
      <c r="C55" s="224" t="inlineStr">
        <is>
          <t>Engineer - Data</t>
        </is>
      </c>
      <c r="D55" s="260" t="inlineStr">
        <is>
          <t>Vacant</t>
        </is>
      </c>
      <c r="E55" s="224" t="inlineStr">
        <is>
          <t>Technology Manager, Data</t>
        </is>
      </c>
      <c r="F55" s="224" t="inlineStr">
        <is>
          <t>Ampol Retail &amp; Z</t>
        </is>
      </c>
      <c r="G55" s="260" t="inlineStr">
        <is>
          <t>Z &amp; Group Retail</t>
        </is>
      </c>
      <c r="H55" s="224" t="inlineStr">
        <is>
          <t>Z &amp; Group Retail, Data</t>
        </is>
      </c>
      <c r="I55" s="224" t="inlineStr">
        <is>
          <t>Z</t>
        </is>
      </c>
      <c r="J55" s="260" t="inlineStr">
        <is>
          <t>Z Customer &amp; Z Supply</t>
        </is>
      </c>
      <c r="K55" s="224" t="inlineStr">
        <is>
          <t>Merchandising &amp; Supply Chain</t>
        </is>
      </c>
      <c r="L55" s="260" t="n"/>
      <c r="M55" s="261" t="n"/>
      <c r="N55" t="inlineStr">
        <is>
          <t>Ampol Retail</t>
        </is>
      </c>
      <c r="O55" t="inlineStr">
        <is>
          <t>Above Store</t>
        </is>
      </c>
      <c r="P55" t="inlineStr">
        <is>
          <t>Above Store</t>
        </is>
      </c>
      <c r="Q55" t="inlineStr">
        <is>
          <t>Squad</t>
        </is>
      </c>
      <c r="R55" t="inlineStr">
        <is>
          <t>Vacant</t>
        </is>
      </c>
    </row>
    <row r="56" ht="18" customHeight="1" s="506">
      <c r="A56" s="259" t="n">
        <v>113783</v>
      </c>
      <c r="B56" s="224" t="inlineStr">
        <is>
          <t>Tabitha Raharadjo</t>
        </is>
      </c>
      <c r="C56" s="224" t="inlineStr">
        <is>
          <t>Project Coordinator</t>
        </is>
      </c>
      <c r="D56" s="224" t="inlineStr">
        <is>
          <t>Vacant</t>
        </is>
      </c>
      <c r="E56" s="224" t="inlineStr">
        <is>
          <t>Delivery Manager, Ampol Retail</t>
        </is>
      </c>
      <c r="F56" s="224" t="inlineStr">
        <is>
          <t>Ampol Retail &amp; Z</t>
        </is>
      </c>
      <c r="G56" s="260" t="inlineStr">
        <is>
          <t>Z &amp; Group Retail</t>
        </is>
      </c>
      <c r="H56" s="224" t="inlineStr">
        <is>
          <t>Ampol Retail, Delivery</t>
        </is>
      </c>
      <c r="I56" s="224" t="inlineStr">
        <is>
          <t>Retail</t>
        </is>
      </c>
      <c r="J56" s="260" t="inlineStr">
        <is>
          <t>AMPOS</t>
        </is>
      </c>
      <c r="K56" s="224" t="inlineStr">
        <is>
          <t>Ampos</t>
        </is>
      </c>
      <c r="L56" s="260" t="n"/>
      <c r="M56" s="261" t="inlineStr">
        <is>
          <t>Australia</t>
        </is>
      </c>
      <c r="N56" t="inlineStr">
        <is>
          <t>Ampol Retail</t>
        </is>
      </c>
      <c r="O56" t="inlineStr">
        <is>
          <t>AmPOS</t>
        </is>
      </c>
      <c r="P56" t="inlineStr">
        <is>
          <t>AmPOS</t>
        </is>
      </c>
      <c r="Q56" t="inlineStr">
        <is>
          <t>Strategic Program</t>
        </is>
      </c>
      <c r="R56" t="inlineStr">
        <is>
          <t>Filled</t>
        </is>
      </c>
    </row>
    <row r="57" ht="18" customHeight="1" s="506">
      <c r="A57" s="259" t="n">
        <v>99999100418</v>
      </c>
      <c r="B57" s="269" t="inlineStr">
        <is>
          <t>Callan McLaughlin</t>
        </is>
      </c>
      <c r="C57" s="260" t="inlineStr">
        <is>
          <t>Technology Manager, Site Systems</t>
        </is>
      </c>
      <c r="D57" s="260" t="inlineStr">
        <is>
          <t>Vacant</t>
        </is>
      </c>
      <c r="E57" s="260" t="inlineStr">
        <is>
          <t>Head of Technology, Z and Group Retail Platforms</t>
        </is>
      </c>
      <c r="F57" s="224" t="inlineStr">
        <is>
          <t>Ampol Retail &amp; Z</t>
        </is>
      </c>
      <c r="G57" s="260" t="inlineStr">
        <is>
          <t>Z &amp; Group Retail</t>
        </is>
      </c>
      <c r="H57" s="224" t="inlineStr">
        <is>
          <t>Z &amp; Group Retail, Site Systems</t>
        </is>
      </c>
      <c r="I57" s="224" t="inlineStr">
        <is>
          <t>Z</t>
        </is>
      </c>
      <c r="J57" s="260" t="inlineStr">
        <is>
          <t>Z Customer &amp; Z Supply</t>
        </is>
      </c>
      <c r="K57" s="260" t="inlineStr">
        <is>
          <t>Leadership</t>
        </is>
      </c>
      <c r="L57" s="260" t="n"/>
      <c r="M57" s="261" t="inlineStr">
        <is>
          <t>NZ</t>
        </is>
      </c>
      <c r="N57" t="inlineStr">
        <is>
          <t>Z Retail</t>
        </is>
      </c>
      <c r="O57" t="inlineStr">
        <is>
          <t>Leadership</t>
        </is>
      </c>
      <c r="P57" t="inlineStr">
        <is>
          <t>Leadership</t>
        </is>
      </c>
      <c r="Q57" t="inlineStr">
        <is>
          <t>Leadership</t>
        </is>
      </c>
      <c r="R57" t="inlineStr">
        <is>
          <t>Filled</t>
        </is>
      </c>
    </row>
    <row r="58" ht="18" customHeight="1" s="506">
      <c r="A58" s="259" t="n"/>
      <c r="B58" s="224" t="inlineStr">
        <is>
          <t>Vacant</t>
        </is>
      </c>
      <c r="C58" s="224" t="inlineStr">
        <is>
          <t>Systems Analyst</t>
        </is>
      </c>
      <c r="D58" s="224" t="inlineStr">
        <is>
          <t>Vacant</t>
        </is>
      </c>
      <c r="E58" s="224" t="inlineStr">
        <is>
          <t>Technology Manager, Store Platform</t>
        </is>
      </c>
      <c r="F58" s="224" t="inlineStr">
        <is>
          <t>Ampol Retail &amp; Z</t>
        </is>
      </c>
      <c r="G58" s="260" t="inlineStr">
        <is>
          <t>Ampol Retail</t>
        </is>
      </c>
      <c r="H58" s="224" t="inlineStr">
        <is>
          <t>Ampol  Retail, Store Platforms</t>
        </is>
      </c>
      <c r="I58" s="224" t="inlineStr">
        <is>
          <t>Retail</t>
        </is>
      </c>
      <c r="J58" s="260" t="inlineStr">
        <is>
          <t>Store Operations</t>
        </is>
      </c>
      <c r="K58" s="224" t="inlineStr">
        <is>
          <t>Payments</t>
        </is>
      </c>
      <c r="L58" s="260" t="n"/>
      <c r="M58" s="261" t="n"/>
      <c r="N58" t="inlineStr">
        <is>
          <t>Ampol Retail</t>
        </is>
      </c>
      <c r="O58" t="inlineStr">
        <is>
          <t>Store Operations</t>
        </is>
      </c>
      <c r="P58" t="inlineStr">
        <is>
          <t>Payments</t>
        </is>
      </c>
      <c r="Q58" t="inlineStr">
        <is>
          <t>Squad</t>
        </is>
      </c>
      <c r="R58" t="inlineStr">
        <is>
          <t>Vacant</t>
        </is>
      </c>
    </row>
    <row r="59" ht="18" customHeight="1" s="506">
      <c r="A59" s="259" t="n">
        <v>99999101620</v>
      </c>
      <c r="B59" s="224" t="inlineStr">
        <is>
          <t>Johanah Gloria</t>
        </is>
      </c>
      <c r="C59" s="224" t="inlineStr">
        <is>
          <t>Engineer - Software</t>
        </is>
      </c>
      <c r="D59" s="224" t="inlineStr">
        <is>
          <t>Vacant</t>
        </is>
      </c>
      <c r="E59" s="224" t="inlineStr">
        <is>
          <t>Technology Manager, Engineering</t>
        </is>
      </c>
      <c r="F59" s="224" t="inlineStr">
        <is>
          <t>Ampol Retail &amp; Z</t>
        </is>
      </c>
      <c r="G59" s="260" t="inlineStr">
        <is>
          <t>Z &amp; Group Retail</t>
        </is>
      </c>
      <c r="H59" s="224" t="inlineStr">
        <is>
          <t>Z &amp; Group Retail, Engineering</t>
        </is>
      </c>
      <c r="I59" s="224" t="inlineStr">
        <is>
          <t>Z</t>
        </is>
      </c>
      <c r="J59" s="260" t="inlineStr">
        <is>
          <t>Z Supply</t>
        </is>
      </c>
      <c r="K59" s="224" t="inlineStr">
        <is>
          <t>Z Supply</t>
        </is>
      </c>
      <c r="L59" s="260" t="n"/>
      <c r="M59" s="261" t="inlineStr">
        <is>
          <t>NZ</t>
        </is>
      </c>
      <c r="N59" t="inlineStr">
        <is>
          <t>Z Retail</t>
        </is>
      </c>
      <c r="O59" t="inlineStr">
        <is>
          <t>Z Supply</t>
        </is>
      </c>
      <c r="P59" t="inlineStr">
        <is>
          <t>Z Supply</t>
        </is>
      </c>
      <c r="Q59" t="inlineStr">
        <is>
          <t>Squad</t>
        </is>
      </c>
      <c r="R59" t="inlineStr">
        <is>
          <t>Filled</t>
        </is>
      </c>
    </row>
    <row r="60" ht="18" customHeight="1" s="506">
      <c r="A60" s="259" t="n"/>
      <c r="B60" s="224" t="inlineStr">
        <is>
          <t>Vacant</t>
        </is>
      </c>
      <c r="C60" s="224" t="inlineStr">
        <is>
          <t>Release &amp; Environments Manager</t>
        </is>
      </c>
      <c r="D60" s="260" t="inlineStr">
        <is>
          <t>Vacant</t>
        </is>
      </c>
      <c r="E60" s="224" t="inlineStr">
        <is>
          <t>Lead Quality Assurance</t>
        </is>
      </c>
      <c r="F60" s="224" t="inlineStr">
        <is>
          <t>Ampol Retail &amp; Z</t>
        </is>
      </c>
      <c r="G60" s="260" t="inlineStr">
        <is>
          <t>Ampol Retail</t>
        </is>
      </c>
      <c r="H60" s="224" t="inlineStr">
        <is>
          <t>Ampol Retail, Store Platforms</t>
        </is>
      </c>
      <c r="I60" s="224" t="inlineStr">
        <is>
          <t>Retail</t>
        </is>
      </c>
      <c r="J60" s="276" t="inlineStr">
        <is>
          <t>Store Operations</t>
        </is>
      </c>
      <c r="K60" s="274" t="inlineStr">
        <is>
          <t>POS</t>
        </is>
      </c>
      <c r="L60" s="260" t="n"/>
      <c r="M60" s="261" t="n"/>
      <c r="N60" t="inlineStr">
        <is>
          <t>Ampol Retail</t>
        </is>
      </c>
      <c r="O60" t="inlineStr">
        <is>
          <t>Store Operations</t>
        </is>
      </c>
      <c r="P60" t="inlineStr">
        <is>
          <t>POS</t>
        </is>
      </c>
      <c r="Q60" t="inlineStr">
        <is>
          <t>Squad</t>
        </is>
      </c>
      <c r="R60" t="inlineStr">
        <is>
          <t>Vacant</t>
        </is>
      </c>
    </row>
    <row r="61" ht="18" customHeight="1" s="506">
      <c r="A61" s="259" t="n"/>
      <c r="B61" s="224" t="inlineStr">
        <is>
          <t>Vacant</t>
        </is>
      </c>
      <c r="C61" s="224" t="inlineStr">
        <is>
          <t>Lead Quality Assurance</t>
        </is>
      </c>
      <c r="D61" s="224" t="inlineStr">
        <is>
          <t>Vacant</t>
        </is>
      </c>
      <c r="E61" s="224" t="inlineStr">
        <is>
          <t>Technology Manager, Store Platform</t>
        </is>
      </c>
      <c r="F61" s="224" t="inlineStr">
        <is>
          <t>Ampol Retail &amp; Z</t>
        </is>
      </c>
      <c r="G61" s="260" t="inlineStr">
        <is>
          <t>Ampol Retail</t>
        </is>
      </c>
      <c r="H61" s="224" t="inlineStr">
        <is>
          <t>Ampol  Retail, Store Platforms</t>
        </is>
      </c>
      <c r="I61" s="224" t="inlineStr">
        <is>
          <t>Retail</t>
        </is>
      </c>
      <c r="J61" s="260" t="inlineStr">
        <is>
          <t>Store Operations</t>
        </is>
      </c>
      <c r="K61" s="224" t="inlineStr">
        <is>
          <t>POS</t>
        </is>
      </c>
      <c r="L61" s="260" t="n"/>
      <c r="M61" s="261" t="n"/>
      <c r="N61" t="inlineStr">
        <is>
          <t>Ampol Retail</t>
        </is>
      </c>
      <c r="O61" t="inlineStr">
        <is>
          <t>Store Operations</t>
        </is>
      </c>
      <c r="P61" t="inlineStr">
        <is>
          <t>POS</t>
        </is>
      </c>
      <c r="Q61" t="inlineStr">
        <is>
          <t>Squad</t>
        </is>
      </c>
      <c r="R61" t="inlineStr">
        <is>
          <t>Vacant</t>
        </is>
      </c>
    </row>
    <row r="62" ht="18" customHeight="1" s="506">
      <c r="A62" s="259" t="n"/>
      <c r="B62" s="224" t="inlineStr">
        <is>
          <t>vacant</t>
        </is>
      </c>
      <c r="C62" s="224" t="inlineStr">
        <is>
          <t>Systems Analyst</t>
        </is>
      </c>
      <c r="D62" s="224" t="inlineStr">
        <is>
          <t>Vacant</t>
        </is>
      </c>
      <c r="E62" s="224" t="inlineStr">
        <is>
          <t>Tech Manager, Merchandising &amp; WFM</t>
        </is>
      </c>
      <c r="F62" s="224" t="inlineStr">
        <is>
          <t>Ampol Retail &amp; Z</t>
        </is>
      </c>
      <c r="G62" s="260" t="inlineStr">
        <is>
          <t>Ampol Retail</t>
        </is>
      </c>
      <c r="H62" s="224" t="inlineStr">
        <is>
          <t>Ampol Retail, Merch &amp; RTA</t>
        </is>
      </c>
      <c r="I62" s="224" t="inlineStr">
        <is>
          <t>Retail</t>
        </is>
      </c>
      <c r="J62" s="274" t="inlineStr">
        <is>
          <t>Above Store</t>
        </is>
      </c>
      <c r="K62" s="274" t="inlineStr">
        <is>
          <t>Above Store</t>
        </is>
      </c>
      <c r="L62" s="260" t="n"/>
      <c r="M62" s="261" t="n"/>
      <c r="N62" s="262" t="inlineStr">
        <is>
          <t>Ampol Retail</t>
        </is>
      </c>
      <c r="O62" t="inlineStr">
        <is>
          <t>Above Store</t>
        </is>
      </c>
      <c r="P62" t="inlineStr">
        <is>
          <t>Above Store</t>
        </is>
      </c>
      <c r="Q62" t="inlineStr">
        <is>
          <t>Squad</t>
        </is>
      </c>
      <c r="R62" t="inlineStr">
        <is>
          <t>Vacant</t>
        </is>
      </c>
    </row>
    <row r="63" ht="18" customFormat="1" customHeight="1" s="277">
      <c r="A63" s="259" t="n"/>
      <c r="B63" s="224" t="inlineStr">
        <is>
          <t>Vacant</t>
        </is>
      </c>
      <c r="C63" s="224" t="inlineStr">
        <is>
          <t>Systems Analyst</t>
        </is>
      </c>
      <c r="D63" s="224" t="inlineStr">
        <is>
          <t>Vacant</t>
        </is>
      </c>
      <c r="E63" s="224" t="inlineStr">
        <is>
          <t>Technology Manager, Store Platform</t>
        </is>
      </c>
      <c r="F63" s="224" t="inlineStr">
        <is>
          <t>Ampol Retail &amp; Z</t>
        </is>
      </c>
      <c r="G63" s="260" t="inlineStr">
        <is>
          <t>Ampol Retail</t>
        </is>
      </c>
      <c r="H63" s="224" t="inlineStr">
        <is>
          <t>Ampol  Retail, Store Platforms</t>
        </is>
      </c>
      <c r="I63" s="224" t="inlineStr">
        <is>
          <t>Retail</t>
        </is>
      </c>
      <c r="J63" s="260" t="inlineStr">
        <is>
          <t>Store Operations</t>
        </is>
      </c>
      <c r="K63" s="224" t="inlineStr">
        <is>
          <t xml:space="preserve">POS   </t>
        </is>
      </c>
      <c r="L63" s="260" t="n"/>
      <c r="M63" s="261" t="n"/>
      <c r="N63" s="262" t="inlineStr">
        <is>
          <t>Ampol Retail</t>
        </is>
      </c>
      <c r="O63" s="262" t="inlineStr">
        <is>
          <t>Store Operations</t>
        </is>
      </c>
      <c r="P63" t="inlineStr">
        <is>
          <t>POS</t>
        </is>
      </c>
      <c r="Q63" t="inlineStr">
        <is>
          <t>Squad</t>
        </is>
      </c>
      <c r="R63" t="inlineStr">
        <is>
          <t>Vacant</t>
        </is>
      </c>
    </row>
    <row r="64" ht="18" customHeight="1" s="506">
      <c r="A64" s="259" t="n"/>
      <c r="B64" s="224" t="inlineStr">
        <is>
          <t>Vacant</t>
        </is>
      </c>
      <c r="C64" s="224" t="inlineStr">
        <is>
          <t>Delivery Lead</t>
        </is>
      </c>
      <c r="D64" s="260" t="inlineStr">
        <is>
          <t>Vacant</t>
        </is>
      </c>
      <c r="E64" s="224" t="inlineStr">
        <is>
          <t>Delivery Manager, Z and Retail Data</t>
        </is>
      </c>
      <c r="F64" s="224" t="inlineStr">
        <is>
          <t>Ampol Retail &amp; Z</t>
        </is>
      </c>
      <c r="G64" s="260" t="inlineStr">
        <is>
          <t>Z &amp; Group Retail</t>
        </is>
      </c>
      <c r="H64" s="224" t="inlineStr">
        <is>
          <t>Z &amp; Group Retail, Delivery</t>
        </is>
      </c>
      <c r="I64" s="224" t="inlineStr">
        <is>
          <t>Retail</t>
        </is>
      </c>
      <c r="J64" s="260" t="inlineStr">
        <is>
          <t>(All Retail)</t>
        </is>
      </c>
      <c r="K64" s="224" t="inlineStr">
        <is>
          <t>Data - AU</t>
        </is>
      </c>
      <c r="L64" s="260" t="n"/>
      <c r="M64" s="261" t="n"/>
      <c r="N64" t="inlineStr">
        <is>
          <t>Ampol Retail</t>
        </is>
      </c>
      <c r="O64" t="inlineStr">
        <is>
          <t>Data AU</t>
        </is>
      </c>
      <c r="P64" t="inlineStr">
        <is>
          <t>Data AU</t>
        </is>
      </c>
      <c r="Q64" t="inlineStr">
        <is>
          <t>Squad</t>
        </is>
      </c>
      <c r="R64" t="inlineStr">
        <is>
          <t>Vacant</t>
        </is>
      </c>
    </row>
    <row r="65" ht="18" customHeight="1" s="506">
      <c r="A65" s="259" t="n">
        <v>99999101668</v>
      </c>
      <c r="B65" s="224" t="inlineStr">
        <is>
          <t>McKenzie Tournquist</t>
        </is>
      </c>
      <c r="C65" s="224" t="inlineStr">
        <is>
          <t>Data Analyst</t>
        </is>
      </c>
      <c r="D65" s="260" t="inlineStr">
        <is>
          <t>Vacant</t>
        </is>
      </c>
      <c r="E65" s="224" t="inlineStr">
        <is>
          <t>Technology Manager, Data</t>
        </is>
      </c>
      <c r="F65" s="224" t="inlineStr">
        <is>
          <t>Ampol Retail &amp; Z</t>
        </is>
      </c>
      <c r="G65" s="260" t="inlineStr">
        <is>
          <t>Z &amp; Group Retail</t>
        </is>
      </c>
      <c r="H65" s="224" t="inlineStr">
        <is>
          <t>Z &amp; Group Retail, Data</t>
        </is>
      </c>
      <c r="I65" s="224" t="inlineStr">
        <is>
          <t>Z</t>
        </is>
      </c>
      <c r="J65" s="260" t="inlineStr">
        <is>
          <t>Z Customer &amp; Z Supply</t>
        </is>
      </c>
      <c r="K65" s="224" t="inlineStr">
        <is>
          <t>Data - NZ</t>
        </is>
      </c>
      <c r="L65" s="260" t="n"/>
      <c r="M65" s="261" t="inlineStr">
        <is>
          <t>NZ</t>
        </is>
      </c>
      <c r="N65" t="inlineStr">
        <is>
          <t>Z Retail</t>
        </is>
      </c>
      <c r="O65" t="inlineStr">
        <is>
          <t>-</t>
        </is>
      </c>
      <c r="P65" t="inlineStr">
        <is>
          <t>Data NZ</t>
        </is>
      </c>
      <c r="Q65" t="inlineStr">
        <is>
          <t>Unmapped</t>
        </is>
      </c>
      <c r="R65" t="inlineStr">
        <is>
          <t>Filled</t>
        </is>
      </c>
    </row>
    <row r="66" ht="18" customHeight="1" s="506">
      <c r="A66" s="259" t="n"/>
      <c r="B66" s="224" t="inlineStr">
        <is>
          <t>Vacant</t>
        </is>
      </c>
      <c r="C66" s="224" t="inlineStr">
        <is>
          <t>Lead Quality Assurance</t>
        </is>
      </c>
      <c r="D66" s="224" t="inlineStr">
        <is>
          <t>Vacant</t>
        </is>
      </c>
      <c r="E66" s="224" t="inlineStr">
        <is>
          <t>Technology Manager, Engineering</t>
        </is>
      </c>
      <c r="F66" s="224" t="inlineStr">
        <is>
          <t>Ampol Retail &amp; Z</t>
        </is>
      </c>
      <c r="G66" s="260" t="inlineStr">
        <is>
          <t>Z &amp; Group Retail</t>
        </is>
      </c>
      <c r="H66" s="224" t="inlineStr">
        <is>
          <t>Z &amp; Group Retail, Engineering</t>
        </is>
      </c>
      <c r="I66" s="224" t="inlineStr">
        <is>
          <t>Z</t>
        </is>
      </c>
      <c r="J66" s="224" t="inlineStr">
        <is>
          <t>Z Customer</t>
        </is>
      </c>
      <c r="K66" s="224" t="inlineStr">
        <is>
          <t xml:space="preserve">Z Retail Backend </t>
        </is>
      </c>
      <c r="L66" s="260" t="n"/>
      <c r="M66" s="261" t="n"/>
      <c r="N66" t="inlineStr">
        <is>
          <t>Z Retail</t>
        </is>
      </c>
      <c r="O66" t="inlineStr">
        <is>
          <t>Z Customer</t>
        </is>
      </c>
      <c r="P66" t="inlineStr">
        <is>
          <t>Z Retail Backend</t>
        </is>
      </c>
      <c r="Q66" t="inlineStr">
        <is>
          <t>Squad</t>
        </is>
      </c>
      <c r="R66" t="inlineStr">
        <is>
          <t>Vacant</t>
        </is>
      </c>
    </row>
    <row r="67" ht="18" customHeight="1" s="506">
      <c r="A67" s="259" t="n">
        <v>99999102123</v>
      </c>
      <c r="B67" s="224" t="inlineStr">
        <is>
          <t>Jodie Marquez</t>
        </is>
      </c>
      <c r="C67" s="224" t="inlineStr">
        <is>
          <t>Data Analyst</t>
        </is>
      </c>
      <c r="D67" s="260" t="inlineStr">
        <is>
          <t>Vacant</t>
        </is>
      </c>
      <c r="E67" s="224" t="inlineStr">
        <is>
          <t>Technology Manager, Data</t>
        </is>
      </c>
      <c r="F67" s="224" t="inlineStr">
        <is>
          <t>Ampol Retail &amp; Z</t>
        </is>
      </c>
      <c r="G67" s="260" t="inlineStr">
        <is>
          <t>Z &amp; Group Retail</t>
        </is>
      </c>
      <c r="H67" s="224" t="inlineStr">
        <is>
          <t>Z &amp; Group Retail, Data</t>
        </is>
      </c>
      <c r="I67" s="224" t="inlineStr">
        <is>
          <t>Z</t>
        </is>
      </c>
      <c r="J67" s="260" t="inlineStr">
        <is>
          <t>Z Customer &amp; Z Supply</t>
        </is>
      </c>
      <c r="K67" s="224" t="inlineStr">
        <is>
          <t>Data - NZ</t>
        </is>
      </c>
      <c r="L67" s="260" t="n"/>
      <c r="M67" s="261" t="inlineStr">
        <is>
          <t>NZ</t>
        </is>
      </c>
      <c r="N67" t="inlineStr">
        <is>
          <t>Z Retail</t>
        </is>
      </c>
      <c r="O67" t="inlineStr">
        <is>
          <t>-</t>
        </is>
      </c>
      <c r="P67" t="inlineStr">
        <is>
          <t>Data NZ</t>
        </is>
      </c>
      <c r="Q67" t="inlineStr">
        <is>
          <t>Unmapped</t>
        </is>
      </c>
      <c r="R67" t="inlineStr">
        <is>
          <t>Filled</t>
        </is>
      </c>
    </row>
    <row r="68" ht="18" customHeight="1" s="506">
      <c r="A68" s="259" t="n">
        <v>9999922690</v>
      </c>
      <c r="B68" s="224" t="inlineStr">
        <is>
          <t>Tim Gurnsey</t>
        </is>
      </c>
      <c r="C68" s="224" t="inlineStr">
        <is>
          <t>Delivery Lead</t>
        </is>
      </c>
      <c r="D68" s="260" t="inlineStr">
        <is>
          <t>Vacant</t>
        </is>
      </c>
      <c r="E68" s="224" t="inlineStr">
        <is>
          <t>Delivery Manager, Z and Retail Data</t>
        </is>
      </c>
      <c r="F68" s="224" t="inlineStr">
        <is>
          <t>Ampol Retail &amp; Z</t>
        </is>
      </c>
      <c r="G68" s="260" t="inlineStr">
        <is>
          <t>Z &amp; Group Retail</t>
        </is>
      </c>
      <c r="H68" s="224" t="inlineStr">
        <is>
          <t>Z &amp; Group Retail, Delivery</t>
        </is>
      </c>
      <c r="I68" s="224" t="inlineStr">
        <is>
          <t>Z</t>
        </is>
      </c>
      <c r="J68" s="260" t="inlineStr">
        <is>
          <t>Z Customer</t>
        </is>
      </c>
      <c r="K68" s="224" t="inlineStr">
        <is>
          <t>Site Systems</t>
        </is>
      </c>
      <c r="L68" s="260" t="n"/>
      <c r="M68" s="261" t="inlineStr">
        <is>
          <t>NZ</t>
        </is>
      </c>
      <c r="N68" t="inlineStr">
        <is>
          <t>Z Retail</t>
        </is>
      </c>
      <c r="O68" t="inlineStr">
        <is>
          <t>Z Customer</t>
        </is>
      </c>
      <c r="P68" t="inlineStr">
        <is>
          <t>Site Systems</t>
        </is>
      </c>
      <c r="Q68" t="inlineStr">
        <is>
          <t>Squad</t>
        </is>
      </c>
      <c r="R68" t="inlineStr">
        <is>
          <t>Filled</t>
        </is>
      </c>
    </row>
    <row r="69" ht="18" customHeight="1" s="506">
      <c r="A69" s="259" t="n">
        <v>97847</v>
      </c>
      <c r="B69" s="224" t="inlineStr">
        <is>
          <t>Beenu Murali</t>
        </is>
      </c>
      <c r="C69" s="224" t="inlineStr">
        <is>
          <t>Quality Assurance</t>
        </is>
      </c>
      <c r="D69" s="260" t="inlineStr">
        <is>
          <t>Vacant</t>
        </is>
      </c>
      <c r="E69" s="224" t="inlineStr">
        <is>
          <t>Lead Quality Assurance</t>
        </is>
      </c>
      <c r="F69" s="224" t="inlineStr">
        <is>
          <t>Ampol Retail &amp; Z</t>
        </is>
      </c>
      <c r="G69" s="260" t="inlineStr">
        <is>
          <t>Ampol Retail</t>
        </is>
      </c>
      <c r="H69" s="224" t="inlineStr">
        <is>
          <t>Ampol Retail, Store Platforms</t>
        </is>
      </c>
      <c r="I69" s="224" t="inlineStr">
        <is>
          <t>Retail</t>
        </is>
      </c>
      <c r="J69" s="260" t="inlineStr">
        <is>
          <t>Store Operations</t>
        </is>
      </c>
      <c r="K69" s="224" t="inlineStr">
        <is>
          <t>Payments</t>
        </is>
      </c>
      <c r="L69" s="260" t="n"/>
      <c r="M69" s="261" t="inlineStr">
        <is>
          <t>Australia</t>
        </is>
      </c>
      <c r="N69" t="inlineStr">
        <is>
          <t>Ampol Retail</t>
        </is>
      </c>
      <c r="O69" t="inlineStr">
        <is>
          <t>Store Operations</t>
        </is>
      </c>
      <c r="P69" t="inlineStr">
        <is>
          <t>Payments</t>
        </is>
      </c>
      <c r="Q69" t="inlineStr">
        <is>
          <t>Squad</t>
        </is>
      </c>
      <c r="R69" t="inlineStr">
        <is>
          <t>Filled</t>
        </is>
      </c>
    </row>
    <row r="70" ht="18" customHeight="1" s="506">
      <c r="A70" s="259" t="n"/>
      <c r="B70" s="224" t="inlineStr">
        <is>
          <t>Vacant</t>
        </is>
      </c>
      <c r="C70" s="224" t="inlineStr">
        <is>
          <t>Support Analyst -Retail</t>
        </is>
      </c>
      <c r="D70" s="224" t="inlineStr">
        <is>
          <t>Vacant</t>
        </is>
      </c>
      <c r="E70" s="224" t="inlineStr">
        <is>
          <t>Technology Manager, Store Platform</t>
        </is>
      </c>
      <c r="F70" s="224" t="inlineStr">
        <is>
          <t>Ampol Retail &amp; Z</t>
        </is>
      </c>
      <c r="G70" s="260" t="inlineStr">
        <is>
          <t>Ampol Retail</t>
        </is>
      </c>
      <c r="H70" s="224" t="inlineStr">
        <is>
          <t>Ampol  Retail, Store Platforms</t>
        </is>
      </c>
      <c r="I70" s="224" t="inlineStr">
        <is>
          <t>Retail</t>
        </is>
      </c>
      <c r="J70" s="260" t="inlineStr">
        <is>
          <t>Store Operations</t>
        </is>
      </c>
      <c r="K70" s="224" t="inlineStr">
        <is>
          <t>Store Operations</t>
        </is>
      </c>
      <c r="L70" s="260" t="n"/>
      <c r="M70" s="261" t="n"/>
      <c r="N70" t="inlineStr">
        <is>
          <t>Ampol Retail</t>
        </is>
      </c>
      <c r="O70" t="inlineStr">
        <is>
          <t>Store Operations</t>
        </is>
      </c>
      <c r="P70" t="inlineStr">
        <is>
          <t>Store Operations</t>
        </is>
      </c>
      <c r="Q70" t="inlineStr">
        <is>
          <t>Squad</t>
        </is>
      </c>
      <c r="R70" t="inlineStr">
        <is>
          <t>Vacant</t>
        </is>
      </c>
    </row>
    <row r="71" ht="18" customHeight="1" s="506">
      <c r="A71" s="259" t="n">
        <v>8904</v>
      </c>
      <c r="B71" s="224" t="inlineStr">
        <is>
          <t>Vedran Jukic</t>
        </is>
      </c>
      <c r="C71" s="224" t="inlineStr">
        <is>
          <t>Technology Manager, Retail</t>
        </is>
      </c>
      <c r="D71" s="260" t="inlineStr">
        <is>
          <t>Vacant</t>
        </is>
      </c>
      <c r="E71" s="224" t="inlineStr">
        <is>
          <t>Head of Technology,  Ampol Retail</t>
        </is>
      </c>
      <c r="F71" s="224" t="inlineStr">
        <is>
          <t>Ampol Retail &amp; Z</t>
        </is>
      </c>
      <c r="G71" s="260" t="inlineStr">
        <is>
          <t>Ampol Retail</t>
        </is>
      </c>
      <c r="H71" s="224" t="inlineStr">
        <is>
          <t>Ampol Retail, Technology</t>
        </is>
      </c>
      <c r="I71" s="224" t="inlineStr">
        <is>
          <t>Retail</t>
        </is>
      </c>
      <c r="J71" s="224" t="inlineStr">
        <is>
          <t>Store Operations, Network &amp; QSR, Deployment</t>
        </is>
      </c>
      <c r="K71" s="260" t="inlineStr">
        <is>
          <t>Leadership</t>
        </is>
      </c>
      <c r="L71" s="260" t="n"/>
      <c r="M71" s="261" t="inlineStr">
        <is>
          <t>Australia</t>
        </is>
      </c>
      <c r="N71" t="inlineStr">
        <is>
          <t>Ampol Retail</t>
        </is>
      </c>
      <c r="O71" t="inlineStr">
        <is>
          <t>Leadership</t>
        </is>
      </c>
      <c r="P71" t="inlineStr">
        <is>
          <t>Leadership</t>
        </is>
      </c>
      <c r="Q71" t="inlineStr">
        <is>
          <t>Leadership</t>
        </is>
      </c>
      <c r="R71" t="inlineStr">
        <is>
          <t>Filled</t>
        </is>
      </c>
    </row>
    <row r="72" ht="18" customHeight="1" s="506">
      <c r="A72" s="259" t="n">
        <v>0</v>
      </c>
      <c r="B72" s="224" t="inlineStr">
        <is>
          <t>Kanti Hirani</t>
        </is>
      </c>
      <c r="C72" s="224" t="inlineStr">
        <is>
          <t>Business Analyst (PEP13 UK)</t>
        </is>
      </c>
      <c r="D72" s="224" t="inlineStr">
        <is>
          <t>Vacant</t>
        </is>
      </c>
      <c r="E72" s="224" t="inlineStr">
        <is>
          <t>Delivery Manager, Ampol Retail</t>
        </is>
      </c>
      <c r="F72" s="224" t="inlineStr">
        <is>
          <t>Ampol Retail &amp; Z</t>
        </is>
      </c>
      <c r="G72" s="260" t="inlineStr">
        <is>
          <t>Ampol Retail</t>
        </is>
      </c>
      <c r="H72" s="224" t="inlineStr">
        <is>
          <t>Delivery, Commercial Fuels</t>
        </is>
      </c>
      <c r="I72" s="224" t="inlineStr">
        <is>
          <t>EGI Integration</t>
        </is>
      </c>
      <c r="J72" s="260" t="inlineStr">
        <is>
          <t>EGI</t>
        </is>
      </c>
      <c r="K72" s="224" t="inlineStr">
        <is>
          <t>EGI</t>
        </is>
      </c>
      <c r="L72" s="260" t="n"/>
      <c r="M72" s="261" t="n">
        <v>0</v>
      </c>
      <c r="N72" t="inlineStr">
        <is>
          <t>EGI</t>
        </is>
      </c>
      <c r="O72" t="inlineStr">
        <is>
          <t>EGI</t>
        </is>
      </c>
      <c r="P72" t="inlineStr">
        <is>
          <t>EGI (unassigned)</t>
        </is>
      </c>
      <c r="Q72" t="inlineStr">
        <is>
          <t>Unmapped</t>
        </is>
      </c>
      <c r="R72" t="inlineStr">
        <is>
          <t>Filled</t>
        </is>
      </c>
    </row>
    <row r="73" ht="18" customHeight="1" s="506">
      <c r="A73" s="259" t="n">
        <v>99999102110</v>
      </c>
      <c r="B73" s="224" t="inlineStr">
        <is>
          <t>Eugene Yeo</t>
        </is>
      </c>
      <c r="C73" s="224" t="inlineStr">
        <is>
          <t>Engineer - DevOps</t>
        </is>
      </c>
      <c r="D73" s="224" t="inlineStr">
        <is>
          <t>Vacant</t>
        </is>
      </c>
      <c r="E73" s="224" t="inlineStr">
        <is>
          <t>Technology Manager, Engineering</t>
        </is>
      </c>
      <c r="F73" s="224" t="inlineStr">
        <is>
          <t>Ampol Retail &amp; Z</t>
        </is>
      </c>
      <c r="G73" s="260" t="inlineStr">
        <is>
          <t>Z &amp; Group Retail</t>
        </is>
      </c>
      <c r="H73" s="224" t="inlineStr">
        <is>
          <t>Delivery, Commercial Fuels</t>
        </is>
      </c>
      <c r="I73" s="224" t="inlineStr">
        <is>
          <t>Z</t>
        </is>
      </c>
      <c r="J73" s="260" t="inlineStr">
        <is>
          <t>Z Supply</t>
        </is>
      </c>
      <c r="K73" s="224" t="inlineStr">
        <is>
          <t>Z Supply</t>
        </is>
      </c>
      <c r="L73" s="260" t="n"/>
      <c r="M73" s="261" t="inlineStr">
        <is>
          <t>NZ</t>
        </is>
      </c>
      <c r="N73" t="inlineStr">
        <is>
          <t>Z Retail</t>
        </is>
      </c>
      <c r="O73" t="inlineStr">
        <is>
          <t>Z Supply</t>
        </is>
      </c>
      <c r="P73" t="inlineStr">
        <is>
          <t>Z Supply</t>
        </is>
      </c>
      <c r="Q73" t="inlineStr">
        <is>
          <t>Squad</t>
        </is>
      </c>
      <c r="R73" t="inlineStr">
        <is>
          <t>Filled</t>
        </is>
      </c>
    </row>
    <row r="74" ht="18" customHeight="1" s="506">
      <c r="A74" s="259" t="n">
        <v>99999101959</v>
      </c>
      <c r="B74" s="224" t="inlineStr">
        <is>
          <t>Brian Lai</t>
        </is>
      </c>
      <c r="C74" s="224" t="inlineStr">
        <is>
          <t>Engineer - Data</t>
        </is>
      </c>
      <c r="D74" s="260" t="inlineStr">
        <is>
          <t>Vacant</t>
        </is>
      </c>
      <c r="E74" s="224" t="inlineStr">
        <is>
          <t>Technology Manager, Data</t>
        </is>
      </c>
      <c r="F74" s="224" t="inlineStr">
        <is>
          <t>Ampol Retail &amp; Z</t>
        </is>
      </c>
      <c r="G74" s="260" t="inlineStr">
        <is>
          <t>Z &amp; Group Retail</t>
        </is>
      </c>
      <c r="H74" s="224" t="inlineStr">
        <is>
          <t>Technology, CF Engineering</t>
        </is>
      </c>
      <c r="I74" s="224" t="inlineStr">
        <is>
          <t>Z</t>
        </is>
      </c>
      <c r="J74" s="260" t="inlineStr">
        <is>
          <t>Z Customer &amp; Z Supply</t>
        </is>
      </c>
      <c r="K74" s="224" t="inlineStr">
        <is>
          <t>Data - NZ</t>
        </is>
      </c>
      <c r="L74" s="260" t="n"/>
      <c r="M74" s="261" t="inlineStr">
        <is>
          <t>NZ</t>
        </is>
      </c>
      <c r="N74" t="inlineStr">
        <is>
          <t>Z Retail</t>
        </is>
      </c>
      <c r="O74" t="inlineStr">
        <is>
          <t>-</t>
        </is>
      </c>
      <c r="P74" t="inlineStr">
        <is>
          <t>Data NZ</t>
        </is>
      </c>
      <c r="Q74" t="inlineStr">
        <is>
          <t>Unmapped</t>
        </is>
      </c>
      <c r="R74" t="inlineStr">
        <is>
          <t>Filled</t>
        </is>
      </c>
    </row>
    <row r="75" ht="18" customHeight="1" s="506">
      <c r="A75" s="259" t="n">
        <v>99999100476</v>
      </c>
      <c r="B75" s="224" t="inlineStr">
        <is>
          <t>Kelly Russell</t>
        </is>
      </c>
      <c r="C75" s="224" t="inlineStr">
        <is>
          <t>Lead Quality Assurance</t>
        </is>
      </c>
      <c r="D75" s="224" t="inlineStr">
        <is>
          <t>Vacant</t>
        </is>
      </c>
      <c r="E75" s="224" t="inlineStr">
        <is>
          <t>Technology Manager,  Site Systems</t>
        </is>
      </c>
      <c r="F75" s="224" t="inlineStr">
        <is>
          <t>Ampol Retail &amp; Z</t>
        </is>
      </c>
      <c r="G75" s="260" t="inlineStr">
        <is>
          <t>Z &amp; Group Retail</t>
        </is>
      </c>
      <c r="H75" s="224" t="inlineStr">
        <is>
          <t>Technology, CF Engineering</t>
        </is>
      </c>
      <c r="I75" s="224" t="inlineStr">
        <is>
          <t>Z</t>
        </is>
      </c>
      <c r="J75" s="260" t="inlineStr">
        <is>
          <t>Z Customer</t>
        </is>
      </c>
      <c r="K75" s="224" t="inlineStr">
        <is>
          <t>Site Systems</t>
        </is>
      </c>
      <c r="L75" s="260" t="n"/>
      <c r="M75" s="261" t="inlineStr">
        <is>
          <t>NZ</t>
        </is>
      </c>
      <c r="N75" t="inlineStr">
        <is>
          <t>Z Retail</t>
        </is>
      </c>
      <c r="O75" t="inlineStr">
        <is>
          <t>Z Customer</t>
        </is>
      </c>
      <c r="P75" t="inlineStr">
        <is>
          <t>Site Systems</t>
        </is>
      </c>
      <c r="Q75" t="inlineStr">
        <is>
          <t>Squad</t>
        </is>
      </c>
      <c r="R75" t="inlineStr">
        <is>
          <t>Filled</t>
        </is>
      </c>
    </row>
    <row r="76" ht="18" customHeight="1" s="506">
      <c r="A76" s="259" t="n"/>
      <c r="B76" s="224" t="inlineStr">
        <is>
          <t>Vacant</t>
        </is>
      </c>
      <c r="C76" s="224" t="inlineStr">
        <is>
          <t>Engineer - Data</t>
        </is>
      </c>
      <c r="D76" s="260" t="inlineStr">
        <is>
          <t>Vacant</t>
        </is>
      </c>
      <c r="E76" s="224" t="inlineStr">
        <is>
          <t>Technology Manager, Data</t>
        </is>
      </c>
      <c r="F76" s="224" t="inlineStr">
        <is>
          <t>Ampol Retail &amp; Z</t>
        </is>
      </c>
      <c r="G76" s="260" t="inlineStr">
        <is>
          <t>Z &amp; Group Retail</t>
        </is>
      </c>
      <c r="H76" s="224" t="inlineStr">
        <is>
          <t>Z &amp; Group Retail, Data</t>
        </is>
      </c>
      <c r="I76" s="224" t="inlineStr">
        <is>
          <t>Retail</t>
        </is>
      </c>
      <c r="J76" s="260" t="inlineStr">
        <is>
          <t>(All Retail)</t>
        </is>
      </c>
      <c r="K76" s="224" t="inlineStr">
        <is>
          <t>Data - AU</t>
        </is>
      </c>
      <c r="L76" s="260" t="n"/>
      <c r="M76" s="261" t="n"/>
      <c r="N76" t="inlineStr">
        <is>
          <t>Ampol Retail</t>
        </is>
      </c>
      <c r="O76" t="inlineStr">
        <is>
          <t>Data AU</t>
        </is>
      </c>
      <c r="P76" t="inlineStr">
        <is>
          <t>Data AU</t>
        </is>
      </c>
      <c r="Q76" t="inlineStr">
        <is>
          <t>Squad</t>
        </is>
      </c>
      <c r="R76" t="inlineStr">
        <is>
          <t>Vacant</t>
        </is>
      </c>
    </row>
    <row r="77" ht="18" customHeight="1" s="506">
      <c r="A77" s="259" t="n">
        <v>99999101333</v>
      </c>
      <c r="B77" s="224" t="inlineStr">
        <is>
          <t>Benjamin Sheffield</t>
        </is>
      </c>
      <c r="C77" s="224" t="inlineStr">
        <is>
          <t>Lead Engineer - Software</t>
        </is>
      </c>
      <c r="D77" s="224" t="inlineStr">
        <is>
          <t>Vacant</t>
        </is>
      </c>
      <c r="E77" s="224" t="inlineStr">
        <is>
          <t>Technology Manager, Engineering</t>
        </is>
      </c>
      <c r="F77" s="224" t="inlineStr">
        <is>
          <t>Ampol Retail &amp; Z</t>
        </is>
      </c>
      <c r="G77" s="260" t="inlineStr">
        <is>
          <t>Z &amp; Group Retail</t>
        </is>
      </c>
      <c r="H77" s="224" t="inlineStr">
        <is>
          <t>Z &amp; Group Retail, Engineering</t>
        </is>
      </c>
      <c r="I77" s="224" t="inlineStr">
        <is>
          <t>Z</t>
        </is>
      </c>
      <c r="J77" s="260" t="inlineStr">
        <is>
          <t>Z Supply</t>
        </is>
      </c>
      <c r="K77" s="224" t="inlineStr">
        <is>
          <t>Z Supply</t>
        </is>
      </c>
      <c r="L77" s="260" t="n"/>
      <c r="M77" s="261" t="inlineStr">
        <is>
          <t>NZ</t>
        </is>
      </c>
      <c r="N77" t="inlineStr">
        <is>
          <t>Z Retail</t>
        </is>
      </c>
      <c r="O77" t="inlineStr">
        <is>
          <t>Z Supply</t>
        </is>
      </c>
      <c r="P77" t="inlineStr">
        <is>
          <t>Z Supply</t>
        </is>
      </c>
      <c r="Q77" t="inlineStr">
        <is>
          <t>Squad</t>
        </is>
      </c>
      <c r="R77" t="inlineStr">
        <is>
          <t>Filled</t>
        </is>
      </c>
    </row>
    <row r="78" ht="18" customHeight="1" s="506">
      <c r="A78" s="259" t="n">
        <v>99999170431</v>
      </c>
      <c r="B78" s="224" t="inlineStr">
        <is>
          <t>Mark Dickson</t>
        </is>
      </c>
      <c r="C78" s="224" t="inlineStr">
        <is>
          <t>Delivery Lead</t>
        </is>
      </c>
      <c r="D78" s="260" t="inlineStr">
        <is>
          <t>Vacant</t>
        </is>
      </c>
      <c r="E78" s="224" t="inlineStr">
        <is>
          <t>Delivery Manager, Z and Retail Data</t>
        </is>
      </c>
      <c r="F78" s="224" t="inlineStr">
        <is>
          <t>Ampol Retail &amp; Z</t>
        </is>
      </c>
      <c r="G78" s="260" t="inlineStr">
        <is>
          <t>Z &amp; Group Retail</t>
        </is>
      </c>
      <c r="H78" s="224" t="inlineStr">
        <is>
          <t>Z &amp; Group Retail, Delivery</t>
        </is>
      </c>
      <c r="I78" s="224" t="inlineStr">
        <is>
          <t>Z</t>
        </is>
      </c>
      <c r="J78" s="224" t="inlineStr">
        <is>
          <t>Z Customer</t>
        </is>
      </c>
      <c r="K78" s="224" t="inlineStr">
        <is>
          <t>Z Retail Backend</t>
        </is>
      </c>
      <c r="L78" s="260" t="n"/>
      <c r="M78" s="261" t="inlineStr">
        <is>
          <t>NZ</t>
        </is>
      </c>
      <c r="N78" t="inlineStr">
        <is>
          <t>Z Retail</t>
        </is>
      </c>
      <c r="O78" t="inlineStr">
        <is>
          <t>Z Customer</t>
        </is>
      </c>
      <c r="P78" t="inlineStr">
        <is>
          <t>Z Retail Backend</t>
        </is>
      </c>
      <c r="Q78" t="inlineStr">
        <is>
          <t>Squad</t>
        </is>
      </c>
      <c r="R78" t="inlineStr">
        <is>
          <t>Filled</t>
        </is>
      </c>
    </row>
    <row r="79" ht="18" customHeight="1" s="506">
      <c r="A79" s="259" t="n">
        <v>99999101533</v>
      </c>
      <c r="B79" s="224" t="inlineStr">
        <is>
          <t>Adrian Alcance</t>
        </is>
      </c>
      <c r="C79" s="224" t="inlineStr">
        <is>
          <t>Senior Engineer - DevOps</t>
        </is>
      </c>
      <c r="D79" s="224" t="inlineStr">
        <is>
          <t>Vacant</t>
        </is>
      </c>
      <c r="E79" s="224" t="inlineStr">
        <is>
          <t>Technology Manager, Engineering</t>
        </is>
      </c>
      <c r="F79" s="224" t="inlineStr">
        <is>
          <t>Ampol Retail &amp; Z</t>
        </is>
      </c>
      <c r="G79" s="224" t="inlineStr">
        <is>
          <t>Z &amp; Group Retail</t>
        </is>
      </c>
      <c r="H79" s="224" t="inlineStr">
        <is>
          <t>Z &amp; Group Retail, Engineering</t>
        </is>
      </c>
      <c r="I79" s="224" t="inlineStr">
        <is>
          <t>Z</t>
        </is>
      </c>
      <c r="J79" s="224" t="inlineStr">
        <is>
          <t>Z Customer</t>
        </is>
      </c>
      <c r="K79" s="224" t="inlineStr">
        <is>
          <t xml:space="preserve">Z Retail Backend </t>
        </is>
      </c>
      <c r="L79" s="260" t="n"/>
      <c r="M79" s="261" t="inlineStr">
        <is>
          <t>NZ</t>
        </is>
      </c>
      <c r="N79" t="inlineStr">
        <is>
          <t>Z Retail</t>
        </is>
      </c>
      <c r="O79" t="inlineStr">
        <is>
          <t>Z Customer</t>
        </is>
      </c>
      <c r="P79" t="inlineStr">
        <is>
          <t>Z Retail Backend</t>
        </is>
      </c>
      <c r="Q79" t="inlineStr">
        <is>
          <t>Squad</t>
        </is>
      </c>
      <c r="R79" t="inlineStr">
        <is>
          <t>Filled</t>
        </is>
      </c>
    </row>
    <row r="80" ht="18" customHeight="1" s="506">
      <c r="A80" s="259" t="n">
        <v>99999101548</v>
      </c>
      <c r="B80" s="224" t="inlineStr">
        <is>
          <t>Allana Arbuckle</t>
        </is>
      </c>
      <c r="C80" s="224" t="inlineStr">
        <is>
          <t>Business Analyst</t>
        </is>
      </c>
      <c r="D80" s="260" t="inlineStr">
        <is>
          <t>Vacant</t>
        </is>
      </c>
      <c r="E80" s="224" t="inlineStr">
        <is>
          <t>Delivery Manager, Z and Retail Data</t>
        </is>
      </c>
      <c r="F80" s="224" t="inlineStr">
        <is>
          <t>Ampol Retail &amp; Z</t>
        </is>
      </c>
      <c r="G80" s="260" t="inlineStr">
        <is>
          <t>Z &amp; Group Retail</t>
        </is>
      </c>
      <c r="H80" s="224" t="inlineStr">
        <is>
          <t>Z &amp; Group Retail, Delivery</t>
        </is>
      </c>
      <c r="I80" s="224" t="inlineStr">
        <is>
          <t>Z</t>
        </is>
      </c>
      <c r="J80" s="224" t="inlineStr">
        <is>
          <t>Z Customer</t>
        </is>
      </c>
      <c r="K80" s="224" t="inlineStr">
        <is>
          <t xml:space="preserve">Z Retail Backend </t>
        </is>
      </c>
      <c r="L80" s="260" t="n"/>
      <c r="M80" s="261" t="inlineStr">
        <is>
          <t>NZ</t>
        </is>
      </c>
      <c r="N80" t="inlineStr">
        <is>
          <t>Z Retail</t>
        </is>
      </c>
      <c r="O80" t="inlineStr">
        <is>
          <t>Z Customer</t>
        </is>
      </c>
      <c r="P80" t="inlineStr">
        <is>
          <t>Z Retail Backend</t>
        </is>
      </c>
      <c r="Q80" t="inlineStr">
        <is>
          <t>Squad</t>
        </is>
      </c>
      <c r="R80" t="inlineStr">
        <is>
          <t>Filled</t>
        </is>
      </c>
    </row>
    <row r="81" ht="18" customHeight="1" s="506">
      <c r="A81" s="259" t="n"/>
      <c r="B81" s="224" t="inlineStr">
        <is>
          <t>Vacant</t>
        </is>
      </c>
      <c r="C81" s="224" t="inlineStr">
        <is>
          <t>Engineer - Data</t>
        </is>
      </c>
      <c r="D81" s="260" t="inlineStr">
        <is>
          <t>Vacant</t>
        </is>
      </c>
      <c r="E81" s="224" t="inlineStr">
        <is>
          <t>Technology Manager, Data</t>
        </is>
      </c>
      <c r="F81" s="224" t="inlineStr">
        <is>
          <t>Ampol Retail &amp; Z</t>
        </is>
      </c>
      <c r="G81" s="260" t="inlineStr">
        <is>
          <t>Z &amp; Group Retail</t>
        </is>
      </c>
      <c r="H81" s="224" t="inlineStr">
        <is>
          <t>Z &amp; Group Retail, Data</t>
        </is>
      </c>
      <c r="I81" s="224" t="inlineStr">
        <is>
          <t>Retail</t>
        </is>
      </c>
      <c r="J81" s="260" t="inlineStr">
        <is>
          <t>(All Retail)</t>
        </is>
      </c>
      <c r="K81" s="224" t="inlineStr">
        <is>
          <t>Data - AU</t>
        </is>
      </c>
      <c r="L81" s="260" t="n"/>
      <c r="M81" s="261" t="n"/>
      <c r="N81" t="inlineStr">
        <is>
          <t>Ampol Retail</t>
        </is>
      </c>
      <c r="O81" t="inlineStr">
        <is>
          <t>Data AU</t>
        </is>
      </c>
      <c r="P81" t="inlineStr">
        <is>
          <t>Data AU</t>
        </is>
      </c>
      <c r="Q81" t="inlineStr">
        <is>
          <t>Squad</t>
        </is>
      </c>
      <c r="R81" t="inlineStr">
        <is>
          <t>Vacant</t>
        </is>
      </c>
    </row>
    <row r="82" ht="18" customHeight="1" s="506">
      <c r="A82" s="259" t="n">
        <v>99999102111</v>
      </c>
      <c r="B82" s="224" t="inlineStr">
        <is>
          <t>Gayan Liyana Arachchige</t>
        </is>
      </c>
      <c r="C82" s="224" t="inlineStr">
        <is>
          <t>Engineer - DevOps</t>
        </is>
      </c>
      <c r="D82" s="224" t="inlineStr">
        <is>
          <t>Vacant</t>
        </is>
      </c>
      <c r="E82" s="224" t="inlineStr">
        <is>
          <t>Technology Manager, Engineering</t>
        </is>
      </c>
      <c r="F82" s="224" t="inlineStr">
        <is>
          <t>Ampol Retail &amp; Z</t>
        </is>
      </c>
      <c r="G82" s="260" t="inlineStr">
        <is>
          <t>Z &amp; Group Retail</t>
        </is>
      </c>
      <c r="H82" s="224" t="inlineStr">
        <is>
          <t>Z &amp; Group Retail, Engineering</t>
        </is>
      </c>
      <c r="I82" s="224" t="inlineStr">
        <is>
          <t>Z</t>
        </is>
      </c>
      <c r="J82" s="260" t="inlineStr">
        <is>
          <t>Z Supply</t>
        </is>
      </c>
      <c r="K82" s="224" t="inlineStr">
        <is>
          <t>Z Supply</t>
        </is>
      </c>
      <c r="L82" s="260" t="n"/>
      <c r="M82" s="261" t="inlineStr">
        <is>
          <t>NZ</t>
        </is>
      </c>
      <c r="N82" t="inlineStr">
        <is>
          <t>Z Retail</t>
        </is>
      </c>
      <c r="O82" t="inlineStr">
        <is>
          <t>Z Supply</t>
        </is>
      </c>
      <c r="P82" t="inlineStr">
        <is>
          <t>Z Supply</t>
        </is>
      </c>
      <c r="Q82" t="inlineStr">
        <is>
          <t>Squad</t>
        </is>
      </c>
      <c r="R82" t="inlineStr">
        <is>
          <t>Filled</t>
        </is>
      </c>
    </row>
    <row r="83" ht="18" customHeight="1" s="506">
      <c r="A83" s="259" t="n"/>
      <c r="B83" s="224" t="inlineStr">
        <is>
          <t>Vacant</t>
        </is>
      </c>
      <c r="C83" s="224" t="inlineStr">
        <is>
          <t>Quality Assurance</t>
        </is>
      </c>
      <c r="D83" s="260" t="inlineStr">
        <is>
          <t>Vacant</t>
        </is>
      </c>
      <c r="E83" s="224" t="inlineStr">
        <is>
          <t>Lead Quality Assurance</t>
        </is>
      </c>
      <c r="F83" s="224" t="inlineStr">
        <is>
          <t>Ampol Retail &amp; Z</t>
        </is>
      </c>
      <c r="G83" s="260" t="inlineStr">
        <is>
          <t>Ampol Retail</t>
        </is>
      </c>
      <c r="H83" s="224" t="inlineStr">
        <is>
          <t>Ampol Retail, Store Platforms</t>
        </is>
      </c>
      <c r="I83" s="224" t="inlineStr">
        <is>
          <t>Retail</t>
        </is>
      </c>
      <c r="J83" s="276" t="inlineStr">
        <is>
          <t>Store Operations</t>
        </is>
      </c>
      <c r="K83" s="274" t="inlineStr">
        <is>
          <t>POS</t>
        </is>
      </c>
      <c r="L83" s="260" t="n"/>
      <c r="M83" s="261" t="n"/>
      <c r="N83" t="inlineStr">
        <is>
          <t>Ampol Retail</t>
        </is>
      </c>
      <c r="O83" t="inlineStr">
        <is>
          <t>Store Operations</t>
        </is>
      </c>
      <c r="P83" t="inlineStr">
        <is>
          <t>POS</t>
        </is>
      </c>
      <c r="Q83" t="inlineStr">
        <is>
          <t>Squad</t>
        </is>
      </c>
      <c r="R83" t="inlineStr">
        <is>
          <t>Vacant</t>
        </is>
      </c>
    </row>
    <row r="84" ht="18" customHeight="1" s="506">
      <c r="A84" s="259" t="n"/>
      <c r="B84" s="224" t="inlineStr">
        <is>
          <t>Vacant</t>
        </is>
      </c>
      <c r="C84" s="224" t="inlineStr">
        <is>
          <t>Engineer - Software</t>
        </is>
      </c>
      <c r="D84" s="224" t="inlineStr">
        <is>
          <t>Vacant</t>
        </is>
      </c>
      <c r="E84" s="224" t="inlineStr">
        <is>
          <t>Technology Manager, Engineering</t>
        </is>
      </c>
      <c r="F84" s="224" t="inlineStr">
        <is>
          <t>Ampol Retail &amp; Z</t>
        </is>
      </c>
      <c r="G84" s="260" t="inlineStr">
        <is>
          <t>Z &amp; Group Retail</t>
        </is>
      </c>
      <c r="H84" s="224" t="inlineStr">
        <is>
          <t>Z &amp; Group Retail, Engineering</t>
        </is>
      </c>
      <c r="I84" s="224" t="inlineStr">
        <is>
          <t>Z</t>
        </is>
      </c>
      <c r="J84" s="224" t="inlineStr">
        <is>
          <t>Z Customer</t>
        </is>
      </c>
      <c r="K84" s="224" t="inlineStr">
        <is>
          <t xml:space="preserve">Z Retail Backend </t>
        </is>
      </c>
      <c r="L84" s="260" t="n"/>
      <c r="M84" s="261" t="n"/>
      <c r="N84" t="inlineStr">
        <is>
          <t>Z Retail</t>
        </is>
      </c>
      <c r="O84" t="inlineStr">
        <is>
          <t>Z Customer</t>
        </is>
      </c>
      <c r="P84" t="inlineStr">
        <is>
          <t>Z Retail Backend</t>
        </is>
      </c>
      <c r="Q84" t="inlineStr">
        <is>
          <t>Squad</t>
        </is>
      </c>
      <c r="R84" t="inlineStr">
        <is>
          <t>Vacant</t>
        </is>
      </c>
    </row>
    <row r="85" ht="18" customHeight="1" s="506">
      <c r="A85" s="259" t="n">
        <v>99999100699</v>
      </c>
      <c r="B85" s="224" t="inlineStr">
        <is>
          <t>Helen Jones</t>
        </is>
      </c>
      <c r="C85" s="224" t="inlineStr">
        <is>
          <t>Delivery Lead</t>
        </is>
      </c>
      <c r="D85" s="260" t="inlineStr">
        <is>
          <t>Vacant</t>
        </is>
      </c>
      <c r="E85" s="224" t="inlineStr">
        <is>
          <t>Delivery Manager, Z and Retail Data</t>
        </is>
      </c>
      <c r="F85" s="224" t="inlineStr">
        <is>
          <t>Ampol Retail &amp; Z</t>
        </is>
      </c>
      <c r="G85" s="260" t="inlineStr">
        <is>
          <t>Z &amp; Group Retail</t>
        </is>
      </c>
      <c r="H85" s="224" t="inlineStr">
        <is>
          <t>Z &amp; Group Retail, Delivery</t>
        </is>
      </c>
      <c r="I85" s="224" t="inlineStr">
        <is>
          <t>Z</t>
        </is>
      </c>
      <c r="J85" s="260" t="inlineStr">
        <is>
          <t>Z Supply</t>
        </is>
      </c>
      <c r="K85" s="224" t="inlineStr">
        <is>
          <t>Z Supply</t>
        </is>
      </c>
      <c r="L85" s="260" t="n"/>
      <c r="M85" s="261" t="inlineStr">
        <is>
          <t>NZ</t>
        </is>
      </c>
      <c r="N85" t="inlineStr">
        <is>
          <t>Z Retail</t>
        </is>
      </c>
      <c r="O85" t="inlineStr">
        <is>
          <t>Z Supply</t>
        </is>
      </c>
      <c r="P85" t="inlineStr">
        <is>
          <t>Z Supply</t>
        </is>
      </c>
      <c r="Q85" t="inlineStr">
        <is>
          <t>Squad</t>
        </is>
      </c>
      <c r="R85" t="inlineStr">
        <is>
          <t>Filled</t>
        </is>
      </c>
    </row>
    <row r="86" ht="18" customHeight="1" s="506">
      <c r="A86" s="259" t="n">
        <v>104050</v>
      </c>
      <c r="B86" s="224" t="inlineStr">
        <is>
          <t>Violeta Trajkovski</t>
        </is>
      </c>
      <c r="C86" s="224" t="inlineStr">
        <is>
          <t>Deployment Coordinator</t>
        </is>
      </c>
      <c r="D86" s="224" t="inlineStr">
        <is>
          <t>Vacant</t>
        </is>
      </c>
      <c r="E86" s="224" t="inlineStr">
        <is>
          <t>Release &amp; Deployment Manager</t>
        </is>
      </c>
      <c r="F86" s="224" t="inlineStr">
        <is>
          <t>Ampol Retail &amp; Z</t>
        </is>
      </c>
      <c r="G86" s="260" t="inlineStr">
        <is>
          <t>Ampol Retail</t>
        </is>
      </c>
      <c r="H86" s="224" t="inlineStr">
        <is>
          <t>Ampol Retail, Technology</t>
        </is>
      </c>
      <c r="I86" s="224" t="inlineStr">
        <is>
          <t>Retail</t>
        </is>
      </c>
      <c r="J86" s="260" t="inlineStr">
        <is>
          <t>Store Operations</t>
        </is>
      </c>
      <c r="K86" s="224" t="inlineStr">
        <is>
          <t>Deployment</t>
        </is>
      </c>
      <c r="L86" s="260" t="n"/>
      <c r="M86" s="261" t="inlineStr">
        <is>
          <t>Australia</t>
        </is>
      </c>
      <c r="N86" t="inlineStr">
        <is>
          <t>Ampol Retail</t>
        </is>
      </c>
      <c r="O86" t="inlineStr">
        <is>
          <t>Store Operations</t>
        </is>
      </c>
      <c r="P86" t="inlineStr">
        <is>
          <t>Deployment</t>
        </is>
      </c>
      <c r="Q86" t="inlineStr">
        <is>
          <t>Squad</t>
        </is>
      </c>
      <c r="R86" t="inlineStr">
        <is>
          <t>Filled</t>
        </is>
      </c>
    </row>
    <row r="87" ht="18" customHeight="1" s="506">
      <c r="A87" s="259" t="n">
        <v>99999101623</v>
      </c>
      <c r="B87" s="224" t="inlineStr">
        <is>
          <t>Michael Dasan</t>
        </is>
      </c>
      <c r="C87" s="224" t="inlineStr">
        <is>
          <t>Engineer - Data</t>
        </is>
      </c>
      <c r="D87" s="260" t="inlineStr">
        <is>
          <t>Vacant</t>
        </is>
      </c>
      <c r="E87" s="224" t="inlineStr">
        <is>
          <t>Technology Manager, Data</t>
        </is>
      </c>
      <c r="F87" s="224" t="inlineStr">
        <is>
          <t>Ampol Retail &amp; Z</t>
        </is>
      </c>
      <c r="G87" s="260" t="inlineStr">
        <is>
          <t>Z &amp; Group Retail</t>
        </is>
      </c>
      <c r="H87" s="224" t="inlineStr">
        <is>
          <t>Z &amp; Group Retail, Data</t>
        </is>
      </c>
      <c r="I87" s="224" t="inlineStr">
        <is>
          <t>Z</t>
        </is>
      </c>
      <c r="J87" s="260" t="inlineStr">
        <is>
          <t>Z Customer &amp; Z Supply</t>
        </is>
      </c>
      <c r="K87" s="224" t="inlineStr">
        <is>
          <t>Data - NZ</t>
        </is>
      </c>
      <c r="L87" s="260" t="n"/>
      <c r="M87" s="261" t="inlineStr">
        <is>
          <t>NZ</t>
        </is>
      </c>
      <c r="N87" t="inlineStr">
        <is>
          <t>Z Retail</t>
        </is>
      </c>
      <c r="O87" t="inlineStr">
        <is>
          <t>-</t>
        </is>
      </c>
      <c r="P87" t="inlineStr">
        <is>
          <t>Data NZ</t>
        </is>
      </c>
      <c r="Q87" t="inlineStr">
        <is>
          <t>Unmapped</t>
        </is>
      </c>
      <c r="R87" t="inlineStr">
        <is>
          <t>Filled</t>
        </is>
      </c>
    </row>
    <row r="88" ht="18" customHeight="1" s="506">
      <c r="A88" s="259" t="n"/>
      <c r="B88" s="224" t="inlineStr">
        <is>
          <t>Vacant</t>
        </is>
      </c>
      <c r="C88" s="224" t="inlineStr">
        <is>
          <t>Quality Assurance</t>
        </is>
      </c>
      <c r="D88" s="260" t="inlineStr">
        <is>
          <t>Vacant</t>
        </is>
      </c>
      <c r="E88" s="224" t="inlineStr">
        <is>
          <t>Lead Quality Assurance</t>
        </is>
      </c>
      <c r="F88" s="224" t="inlineStr">
        <is>
          <t>Ampol Retail &amp; Z</t>
        </is>
      </c>
      <c r="G88" s="260" t="inlineStr">
        <is>
          <t>Ampol Retail</t>
        </is>
      </c>
      <c r="H88" s="224" t="inlineStr">
        <is>
          <t>Ampol Retail, Store Platforms</t>
        </is>
      </c>
      <c r="I88" s="224" t="inlineStr">
        <is>
          <t>Retail</t>
        </is>
      </c>
      <c r="J88" s="276" t="inlineStr">
        <is>
          <t>Store Operations</t>
        </is>
      </c>
      <c r="K88" s="274" t="inlineStr">
        <is>
          <t>POS</t>
        </is>
      </c>
      <c r="L88" s="260" t="n"/>
      <c r="M88" s="261" t="n"/>
      <c r="N88" t="inlineStr">
        <is>
          <t>Ampol Retail</t>
        </is>
      </c>
      <c r="O88" t="inlineStr">
        <is>
          <t>Store Operations</t>
        </is>
      </c>
      <c r="P88" t="inlineStr">
        <is>
          <t>POS</t>
        </is>
      </c>
      <c r="Q88" t="inlineStr">
        <is>
          <t>Squad</t>
        </is>
      </c>
      <c r="R88" t="inlineStr">
        <is>
          <t>Vacant</t>
        </is>
      </c>
    </row>
    <row r="89" ht="18" customFormat="1" customHeight="1" s="277">
      <c r="A89" s="259" t="n"/>
      <c r="B89" s="224" t="inlineStr">
        <is>
          <t>Vacant</t>
        </is>
      </c>
      <c r="C89" s="224" t="inlineStr">
        <is>
          <t>Quality Assurance</t>
        </is>
      </c>
      <c r="D89" s="260" t="inlineStr">
        <is>
          <t>Vacant</t>
        </is>
      </c>
      <c r="E89" s="224" t="inlineStr">
        <is>
          <t>Lead Quality Assurance</t>
        </is>
      </c>
      <c r="F89" s="224" t="inlineStr">
        <is>
          <t>Ampol Retail &amp; Z</t>
        </is>
      </c>
      <c r="G89" s="260" t="inlineStr">
        <is>
          <t>Ampol Retail</t>
        </is>
      </c>
      <c r="H89" s="224" t="inlineStr">
        <is>
          <t>Ampol Retail, Store Platforms</t>
        </is>
      </c>
      <c r="I89" s="224" t="inlineStr">
        <is>
          <t>Retail</t>
        </is>
      </c>
      <c r="J89" s="276" t="inlineStr">
        <is>
          <t>Store Operations</t>
        </is>
      </c>
      <c r="K89" s="274" t="inlineStr">
        <is>
          <t>POS</t>
        </is>
      </c>
      <c r="L89" s="260" t="n"/>
      <c r="M89" s="261" t="n"/>
      <c r="N89" s="262" t="inlineStr">
        <is>
          <t>Ampol Retail</t>
        </is>
      </c>
      <c r="O89" s="262" t="inlineStr">
        <is>
          <t>Store Operations</t>
        </is>
      </c>
      <c r="P89" t="inlineStr">
        <is>
          <t>POS</t>
        </is>
      </c>
      <c r="Q89" t="inlineStr">
        <is>
          <t>Squad</t>
        </is>
      </c>
      <c r="R89" t="inlineStr">
        <is>
          <t>Vacant</t>
        </is>
      </c>
    </row>
    <row r="90" ht="18" customHeight="1" s="506">
      <c r="A90" s="259" t="n"/>
      <c r="B90" s="224" t="inlineStr">
        <is>
          <t>Vacant</t>
        </is>
      </c>
      <c r="C90" s="224" t="inlineStr">
        <is>
          <t>Engineer - Data</t>
        </is>
      </c>
      <c r="D90" s="260" t="inlineStr">
        <is>
          <t>Vacant</t>
        </is>
      </c>
      <c r="E90" s="224" t="inlineStr">
        <is>
          <t>Technology Manager, Data</t>
        </is>
      </c>
      <c r="F90" s="224" t="inlineStr">
        <is>
          <t>Ampol Retail &amp; Z</t>
        </is>
      </c>
      <c r="G90" s="260" t="inlineStr">
        <is>
          <t>Z &amp; Group Retail</t>
        </is>
      </c>
      <c r="H90" s="224" t="inlineStr">
        <is>
          <t>Z &amp; Group Retail, Data</t>
        </is>
      </c>
      <c r="I90" s="224" t="inlineStr">
        <is>
          <t>Retail</t>
        </is>
      </c>
      <c r="J90" s="260" t="inlineStr">
        <is>
          <t>(All Retail)</t>
        </is>
      </c>
      <c r="K90" s="224" t="inlineStr">
        <is>
          <t>Data - AU</t>
        </is>
      </c>
      <c r="L90" s="260" t="n"/>
      <c r="M90" s="261" t="n"/>
      <c r="N90" t="inlineStr">
        <is>
          <t>Ampol Retail</t>
        </is>
      </c>
      <c r="O90" t="inlineStr">
        <is>
          <t>Data AU</t>
        </is>
      </c>
      <c r="P90" t="inlineStr">
        <is>
          <t>Data AU</t>
        </is>
      </c>
      <c r="Q90" t="inlineStr">
        <is>
          <t>Squad</t>
        </is>
      </c>
      <c r="R90" t="inlineStr">
        <is>
          <t>Vacant</t>
        </is>
      </c>
    </row>
    <row r="91" ht="18" customFormat="1" customHeight="1" s="277">
      <c r="A91" s="259" t="n">
        <v>0</v>
      </c>
      <c r="B91" s="224" t="inlineStr">
        <is>
          <t>Viren Khatri</t>
        </is>
      </c>
      <c r="C91" s="224" t="inlineStr">
        <is>
          <t>Data Migration Lead</t>
        </is>
      </c>
      <c r="D91" s="260" t="inlineStr">
        <is>
          <t>Vacant</t>
        </is>
      </c>
      <c r="E91" s="224" t="inlineStr">
        <is>
          <t>Technology Manager, Data</t>
        </is>
      </c>
      <c r="F91" s="224" t="inlineStr">
        <is>
          <t>Ampol Retail &amp; Z</t>
        </is>
      </c>
      <c r="G91" s="260" t="inlineStr">
        <is>
          <t>Z &amp; Group Retail</t>
        </is>
      </c>
      <c r="H91" s="224" t="inlineStr">
        <is>
          <t>Z &amp; Group Retail, Data</t>
        </is>
      </c>
      <c r="I91" s="224" t="inlineStr">
        <is>
          <t>EGI Integration</t>
        </is>
      </c>
      <c r="J91" s="260" t="inlineStr">
        <is>
          <t>EGI</t>
        </is>
      </c>
      <c r="K91" s="224" t="inlineStr">
        <is>
          <t>EGI TDD</t>
        </is>
      </c>
      <c r="L91" s="260" t="n"/>
      <c r="M91" s="261" t="n">
        <v>0</v>
      </c>
      <c r="N91" t="inlineStr">
        <is>
          <t>TDD Group Functions</t>
        </is>
      </c>
      <c r="O91" t="inlineStr">
        <is>
          <t>EGI TDD</t>
        </is>
      </c>
      <c r="P91" t="inlineStr">
        <is>
          <t>EGI TDD</t>
        </is>
      </c>
      <c r="Q91" t="inlineStr">
        <is>
          <t>Strategic Program</t>
        </is>
      </c>
      <c r="R91" t="inlineStr">
        <is>
          <t>Filled</t>
        </is>
      </c>
    </row>
    <row r="92" ht="18" customHeight="1" s="506">
      <c r="A92" s="259" t="n">
        <v>85137</v>
      </c>
      <c r="B92" s="224" t="inlineStr">
        <is>
          <t>Mick Standen</t>
        </is>
      </c>
      <c r="C92" s="224" t="inlineStr">
        <is>
          <t>Systems Analyst</t>
        </is>
      </c>
      <c r="D92" s="224" t="inlineStr">
        <is>
          <t>Vaishnavi Viswanathan</t>
        </is>
      </c>
      <c r="E92" s="224" t="inlineStr">
        <is>
          <t>Technology Manager, Store Platform</t>
        </is>
      </c>
      <c r="F92" s="224" t="inlineStr">
        <is>
          <t>Ampol Retail &amp; Z</t>
        </is>
      </c>
      <c r="G92" s="260" t="inlineStr">
        <is>
          <t>Ampol Retail</t>
        </is>
      </c>
      <c r="H92" s="224" t="inlineStr">
        <is>
          <t>Ampol  Retail, Store Platforms</t>
        </is>
      </c>
      <c r="I92" s="224" t="inlineStr">
        <is>
          <t>Retail</t>
        </is>
      </c>
      <c r="J92" s="260" t="inlineStr">
        <is>
          <t>AMPOS</t>
        </is>
      </c>
      <c r="K92" s="224" t="inlineStr">
        <is>
          <t>AmPos</t>
        </is>
      </c>
      <c r="L92" s="260" t="n"/>
      <c r="M92" s="261" t="inlineStr">
        <is>
          <t>Australia</t>
        </is>
      </c>
      <c r="N92" t="inlineStr">
        <is>
          <t>Ampol Retail</t>
        </is>
      </c>
      <c r="O92" t="inlineStr">
        <is>
          <t>AmPOS</t>
        </is>
      </c>
      <c r="P92" t="inlineStr">
        <is>
          <t>AmPOS</t>
        </is>
      </c>
      <c r="Q92" t="inlineStr">
        <is>
          <t>Strategic Program</t>
        </is>
      </c>
      <c r="R92" t="inlineStr">
        <is>
          <t>Filled</t>
        </is>
      </c>
    </row>
    <row r="93" ht="18" customHeight="1" s="506">
      <c r="A93" s="259" t="n"/>
      <c r="B93" s="224" t="inlineStr">
        <is>
          <t>Vacant</t>
        </is>
      </c>
      <c r="C93" s="224" t="inlineStr">
        <is>
          <t>Engineer Integration</t>
        </is>
      </c>
      <c r="D93" s="224" t="inlineStr">
        <is>
          <t>Vaishnavi Viswanathan</t>
        </is>
      </c>
      <c r="E93" s="224" t="inlineStr">
        <is>
          <t>Technology Manager, Store Platform</t>
        </is>
      </c>
      <c r="F93" s="224" t="inlineStr">
        <is>
          <t>Ampol Retail &amp; Z</t>
        </is>
      </c>
      <c r="G93" s="260" t="inlineStr">
        <is>
          <t>Ampol Retail</t>
        </is>
      </c>
      <c r="H93" s="224" t="inlineStr">
        <is>
          <t>Ampol  Retail, Store Platforms</t>
        </is>
      </c>
      <c r="I93" s="224" t="inlineStr">
        <is>
          <t>Retail</t>
        </is>
      </c>
      <c r="J93" s="260" t="inlineStr">
        <is>
          <t>Store Operations</t>
        </is>
      </c>
      <c r="K93" s="274" t="inlineStr">
        <is>
          <t>POS</t>
        </is>
      </c>
      <c r="L93" s="260" t="n"/>
      <c r="M93" s="261" t="n"/>
      <c r="N93" t="inlineStr">
        <is>
          <t>Ampol Retail</t>
        </is>
      </c>
      <c r="O93" t="inlineStr">
        <is>
          <t>Store Operations</t>
        </is>
      </c>
      <c r="P93" t="inlineStr">
        <is>
          <t>POS</t>
        </is>
      </c>
      <c r="Q93" t="inlineStr">
        <is>
          <t>Squad</t>
        </is>
      </c>
      <c r="R93" t="inlineStr">
        <is>
          <t>Vacant</t>
        </is>
      </c>
    </row>
    <row r="94" ht="18" customHeight="1" s="506">
      <c r="A94" s="259" t="n">
        <v>85321</v>
      </c>
      <c r="B94" s="224" t="inlineStr">
        <is>
          <t>Karthikeyan Kuppan</t>
        </is>
      </c>
      <c r="C94" s="224" t="inlineStr">
        <is>
          <t>Lead - AU Retail Operations</t>
        </is>
      </c>
      <c r="D94" s="224" t="inlineStr">
        <is>
          <t>Vaishnavi Viswanathan</t>
        </is>
      </c>
      <c r="E94" s="224" t="inlineStr">
        <is>
          <t>Technology Manager, Store Platform</t>
        </is>
      </c>
      <c r="F94" s="224" t="inlineStr">
        <is>
          <t>Ampol Retail &amp; Z</t>
        </is>
      </c>
      <c r="G94" s="260" t="inlineStr">
        <is>
          <t>Ampol Retail</t>
        </is>
      </c>
      <c r="H94" s="224" t="inlineStr">
        <is>
          <t>Ampol  Retail, Store Platforms</t>
        </is>
      </c>
      <c r="I94" s="224" t="inlineStr">
        <is>
          <t>Retail</t>
        </is>
      </c>
      <c r="J94" s="260" t="inlineStr">
        <is>
          <t>Store Operations</t>
        </is>
      </c>
      <c r="K94" s="224" t="inlineStr">
        <is>
          <t>Store Operations</t>
        </is>
      </c>
      <c r="L94" s="260" t="n"/>
      <c r="M94" s="261" t="inlineStr">
        <is>
          <t>Australia</t>
        </is>
      </c>
      <c r="N94" t="inlineStr">
        <is>
          <t>Ampol Retail</t>
        </is>
      </c>
      <c r="O94" t="inlineStr">
        <is>
          <t>Store Operations</t>
        </is>
      </c>
      <c r="P94" t="inlineStr">
        <is>
          <t>Store Operations</t>
        </is>
      </c>
      <c r="Q94" t="inlineStr">
        <is>
          <t>Squad</t>
        </is>
      </c>
      <c r="R94" t="inlineStr">
        <is>
          <t>Filled</t>
        </is>
      </c>
    </row>
    <row r="95" ht="18" customHeight="1" s="506">
      <c r="A95" s="259" t="n">
        <v>114003</v>
      </c>
      <c r="B95" s="224" t="inlineStr">
        <is>
          <t>Sayan Kar</t>
        </is>
      </c>
      <c r="C95" s="224" t="inlineStr">
        <is>
          <t>Systems Analyst</t>
        </is>
      </c>
      <c r="D95" s="224" t="inlineStr">
        <is>
          <t>Vaishnavi Viswanathan</t>
        </is>
      </c>
      <c r="E95" s="224" t="inlineStr">
        <is>
          <t>Technology Manager, Store Platform</t>
        </is>
      </c>
      <c r="F95" s="224" t="inlineStr">
        <is>
          <t>Ampol Retail &amp; Z</t>
        </is>
      </c>
      <c r="G95" s="260" t="inlineStr">
        <is>
          <t>Ampol Retail</t>
        </is>
      </c>
      <c r="H95" s="224" t="inlineStr">
        <is>
          <t>Ampol  Retail, Store Platforms</t>
        </is>
      </c>
      <c r="I95" s="224" t="inlineStr">
        <is>
          <t>Retail</t>
        </is>
      </c>
      <c r="J95" s="260" t="inlineStr">
        <is>
          <t>Store Operations</t>
        </is>
      </c>
      <c r="K95" s="224" t="inlineStr">
        <is>
          <t>Payments</t>
        </is>
      </c>
      <c r="L95" s="260" t="n"/>
      <c r="M95" s="261" t="inlineStr">
        <is>
          <t>Australia</t>
        </is>
      </c>
      <c r="N95" t="inlineStr">
        <is>
          <t>Ampol Retail</t>
        </is>
      </c>
      <c r="O95" t="inlineStr">
        <is>
          <t>Store Operations</t>
        </is>
      </c>
      <c r="P95" t="inlineStr">
        <is>
          <t>Payments</t>
        </is>
      </c>
      <c r="Q95" t="inlineStr">
        <is>
          <t>Squad</t>
        </is>
      </c>
      <c r="R95" t="inlineStr">
        <is>
          <t>Filled</t>
        </is>
      </c>
    </row>
    <row r="96" ht="18" customHeight="1" s="506">
      <c r="A96" s="259" t="n">
        <v>99999101804</v>
      </c>
      <c r="B96" s="269" t="inlineStr">
        <is>
          <t>Kate Johnstone</t>
        </is>
      </c>
      <c r="C96" s="260" t="inlineStr">
        <is>
          <t>Program Manager POS</t>
        </is>
      </c>
      <c r="D96" s="224" t="inlineStr">
        <is>
          <t>Vance Anderson</t>
        </is>
      </c>
      <c r="E96" s="260" t="inlineStr">
        <is>
          <t>GM TDD, Ampol Retail &amp; Z</t>
        </is>
      </c>
      <c r="F96" s="224" t="inlineStr">
        <is>
          <t>Ampol Retail &amp; Z</t>
        </is>
      </c>
      <c r="G96" s="260" t="inlineStr">
        <is>
          <t>Program Management</t>
        </is>
      </c>
      <c r="H96" s="224" t="n"/>
      <c r="I96" s="224" t="inlineStr">
        <is>
          <t>Retail</t>
        </is>
      </c>
      <c r="J96" s="260" t="inlineStr">
        <is>
          <t>AMPOS</t>
        </is>
      </c>
      <c r="K96" s="260" t="inlineStr">
        <is>
          <t>AmPos</t>
        </is>
      </c>
      <c r="L96" s="260" t="n"/>
      <c r="M96" s="261" t="inlineStr">
        <is>
          <t>NZ</t>
        </is>
      </c>
      <c r="N96" t="inlineStr">
        <is>
          <t>Ampol Retail</t>
        </is>
      </c>
      <c r="O96" t="inlineStr">
        <is>
          <t>AmPOS</t>
        </is>
      </c>
      <c r="P96" t="inlineStr">
        <is>
          <t>AmPOS</t>
        </is>
      </c>
      <c r="Q96" t="inlineStr">
        <is>
          <t>Strategic Program</t>
        </is>
      </c>
      <c r="R96" t="inlineStr">
        <is>
          <t>Filled</t>
        </is>
      </c>
    </row>
    <row r="97" ht="18" customHeight="1" s="506">
      <c r="A97" s="259" t="n">
        <v>110852</v>
      </c>
      <c r="B97" s="224" t="inlineStr">
        <is>
          <t>Madan Murthy</t>
        </is>
      </c>
      <c r="C97" s="224" t="inlineStr">
        <is>
          <t>Head of Technology, AU Retail</t>
        </is>
      </c>
      <c r="D97" s="224" t="inlineStr">
        <is>
          <t>Vance Anderson</t>
        </is>
      </c>
      <c r="E97" s="260" t="inlineStr">
        <is>
          <t>GM TDD, Ampol Retail &amp; Z</t>
        </is>
      </c>
      <c r="F97" s="224" t="inlineStr">
        <is>
          <t>Ampol Retail &amp; Z</t>
        </is>
      </c>
      <c r="G97" s="260" t="inlineStr">
        <is>
          <t>Ampol Retail</t>
        </is>
      </c>
      <c r="H97" s="224" t="inlineStr">
        <is>
          <t>na</t>
        </is>
      </c>
      <c r="I97" s="224" t="inlineStr">
        <is>
          <t>Retail</t>
        </is>
      </c>
      <c r="J97" s="224" t="inlineStr">
        <is>
          <t>(All Retail)</t>
        </is>
      </c>
      <c r="K97" s="224" t="inlineStr">
        <is>
          <t>Leadership</t>
        </is>
      </c>
      <c r="L97" s="260" t="n"/>
      <c r="M97" s="261" t="inlineStr">
        <is>
          <t>Australia</t>
        </is>
      </c>
      <c r="N97" t="inlineStr">
        <is>
          <t>Ampol Retail</t>
        </is>
      </c>
      <c r="O97" t="inlineStr">
        <is>
          <t>Leadership</t>
        </is>
      </c>
      <c r="P97" t="inlineStr">
        <is>
          <t>Leadership</t>
        </is>
      </c>
      <c r="Q97" t="inlineStr">
        <is>
          <t>Leadership</t>
        </is>
      </c>
      <c r="R97" t="inlineStr">
        <is>
          <t>Filled</t>
        </is>
      </c>
    </row>
    <row r="98" ht="18" customHeight="1" s="506">
      <c r="A98" s="259" t="n"/>
      <c r="B98" s="224" t="inlineStr">
        <is>
          <t>Vacant</t>
        </is>
      </c>
      <c r="C98" s="224" t="inlineStr">
        <is>
          <t>Head of Technology, Z and Group Retail Platforms</t>
        </is>
      </c>
      <c r="D98" s="224" t="inlineStr">
        <is>
          <t>Vance Anderson</t>
        </is>
      </c>
      <c r="E98" s="260" t="inlineStr">
        <is>
          <t>GM TDD, Ampol Retail &amp; Z</t>
        </is>
      </c>
      <c r="F98" s="224" t="inlineStr">
        <is>
          <t>Ampol Retail &amp; Z</t>
        </is>
      </c>
      <c r="G98" s="260" t="inlineStr">
        <is>
          <t>Z &amp; Group Retail</t>
        </is>
      </c>
      <c r="H98" s="224" t="inlineStr">
        <is>
          <t>Delivery, Commercial Fuels</t>
        </is>
      </c>
      <c r="I98" s="224" t="inlineStr">
        <is>
          <t>Z</t>
        </is>
      </c>
      <c r="J98" s="224" t="inlineStr">
        <is>
          <t>Z Customer &amp; Z Supply</t>
        </is>
      </c>
      <c r="K98" s="260" t="inlineStr">
        <is>
          <t>Leadership</t>
        </is>
      </c>
      <c r="L98" s="260" t="n"/>
      <c r="M98" s="261" t="n"/>
      <c r="N98" t="inlineStr">
        <is>
          <t>Z Retail</t>
        </is>
      </c>
      <c r="O98" t="inlineStr">
        <is>
          <t>Leadership</t>
        </is>
      </c>
      <c r="P98" t="inlineStr">
        <is>
          <t>Leadership</t>
        </is>
      </c>
      <c r="Q98" t="inlineStr">
        <is>
          <t>Leadership</t>
        </is>
      </c>
      <c r="R98" t="inlineStr">
        <is>
          <t>Vacant</t>
        </is>
      </c>
    </row>
    <row r="99" ht="18" customHeight="1" s="506">
      <c r="A99" s="259" t="n">
        <v>0</v>
      </c>
      <c r="B99" s="224" t="inlineStr">
        <is>
          <t>Alex Prakhiy</t>
        </is>
      </c>
      <c r="C99" s="224" t="inlineStr">
        <is>
          <t>Business Analyst</t>
        </is>
      </c>
      <c r="D99" s="224" t="inlineStr">
        <is>
          <t>Vanessa Allen</t>
        </is>
      </c>
      <c r="E99" s="224" t="inlineStr">
        <is>
          <t>Delivery Manager, Ampol Retail</t>
        </is>
      </c>
      <c r="F99" s="224" t="inlineStr">
        <is>
          <t>Ampol Retail &amp; Z</t>
        </is>
      </c>
      <c r="G99" s="260" t="inlineStr">
        <is>
          <t>Ampol Retail</t>
        </is>
      </c>
      <c r="H99" s="224" t="inlineStr">
        <is>
          <t>Ampol Retail, Delivery</t>
        </is>
      </c>
      <c r="I99" s="224" t="inlineStr">
        <is>
          <t>EGI Integration</t>
        </is>
      </c>
      <c r="J99" s="260" t="inlineStr">
        <is>
          <t>EGI</t>
        </is>
      </c>
      <c r="K99" s="224" t="inlineStr">
        <is>
          <t>EGI Retail</t>
        </is>
      </c>
      <c r="L99" s="260" t="n"/>
      <c r="M99" s="261" t="n">
        <v>0</v>
      </c>
      <c r="N99" t="inlineStr">
        <is>
          <t>Ampol Retail</t>
        </is>
      </c>
      <c r="O99" t="inlineStr">
        <is>
          <t>EGI Retail</t>
        </is>
      </c>
      <c r="P99" t="inlineStr">
        <is>
          <t>EGI Retail</t>
        </is>
      </c>
      <c r="Q99" t="inlineStr">
        <is>
          <t>Strategic Program</t>
        </is>
      </c>
      <c r="R99" t="inlineStr">
        <is>
          <t>Filled</t>
        </is>
      </c>
    </row>
    <row r="100" ht="18" customHeight="1" s="506">
      <c r="A100" s="259" t="n">
        <v>0</v>
      </c>
      <c r="B100" s="224" t="inlineStr">
        <is>
          <t>Bhaskar Nandi</t>
        </is>
      </c>
      <c r="C100" s="224" t="inlineStr">
        <is>
          <t>Business Analyst</t>
        </is>
      </c>
      <c r="D100" s="224" t="inlineStr">
        <is>
          <t>Vanessa Allen</t>
        </is>
      </c>
      <c r="E100" s="224" t="inlineStr">
        <is>
          <t>Delivery Manager, Ampol Retail</t>
        </is>
      </c>
      <c r="F100" s="224" t="inlineStr">
        <is>
          <t>Ampol Retail &amp; Z</t>
        </is>
      </c>
      <c r="G100" s="260" t="inlineStr">
        <is>
          <t>Ampol Retail</t>
        </is>
      </c>
      <c r="H100" s="224" t="inlineStr">
        <is>
          <t>Ampol Retail, Delivery</t>
        </is>
      </c>
      <c r="I100" s="224" t="inlineStr">
        <is>
          <t>EGI Integration</t>
        </is>
      </c>
      <c r="J100" s="260" t="inlineStr">
        <is>
          <t>EGI</t>
        </is>
      </c>
      <c r="K100" s="224" t="inlineStr">
        <is>
          <t>EGI Retail</t>
        </is>
      </c>
      <c r="L100" s="260" t="n"/>
      <c r="M100" s="261" t="n">
        <v>0</v>
      </c>
      <c r="N100" t="inlineStr">
        <is>
          <t>Ampol Retail</t>
        </is>
      </c>
      <c r="O100" t="inlineStr">
        <is>
          <t>EGI Retail</t>
        </is>
      </c>
      <c r="P100" t="inlineStr">
        <is>
          <t>EGI Retail</t>
        </is>
      </c>
      <c r="Q100" t="inlineStr">
        <is>
          <t>Strategic Program</t>
        </is>
      </c>
      <c r="R100" t="inlineStr">
        <is>
          <t>Filled</t>
        </is>
      </c>
    </row>
    <row r="101" ht="18" customHeight="1" s="506">
      <c r="A101" s="259" t="n"/>
      <c r="B101" s="224" t="inlineStr">
        <is>
          <t>Vacant</t>
        </is>
      </c>
      <c r="C101" s="224" t="inlineStr">
        <is>
          <t>Delivery Lead</t>
        </is>
      </c>
      <c r="D101" s="224" t="inlineStr">
        <is>
          <t>Vanessa Allen</t>
        </is>
      </c>
      <c r="E101" s="224" t="inlineStr">
        <is>
          <t>Delivery Manager, Ampol Retail</t>
        </is>
      </c>
      <c r="F101" s="224" t="inlineStr">
        <is>
          <t>Ampol Retail &amp; Z</t>
        </is>
      </c>
      <c r="G101" s="260" t="inlineStr">
        <is>
          <t>Ampol Retail</t>
        </is>
      </c>
      <c r="H101" s="224" t="inlineStr">
        <is>
          <t>Ampol Retail, Delivery</t>
        </is>
      </c>
      <c r="I101" s="224" t="inlineStr">
        <is>
          <t>Retail</t>
        </is>
      </c>
      <c r="J101" s="274" t="inlineStr">
        <is>
          <t>Above Store</t>
        </is>
      </c>
      <c r="K101" s="274" t="inlineStr">
        <is>
          <t>Above Store</t>
        </is>
      </c>
      <c r="L101" s="260" t="n"/>
      <c r="M101" s="261" t="n"/>
      <c r="N101" s="262" t="inlineStr">
        <is>
          <t>Ampol Retail</t>
        </is>
      </c>
      <c r="O101" t="inlineStr">
        <is>
          <t>Above Store</t>
        </is>
      </c>
      <c r="P101" t="inlineStr">
        <is>
          <t>Above Store</t>
        </is>
      </c>
      <c r="Q101" t="inlineStr">
        <is>
          <t>Squad</t>
        </is>
      </c>
      <c r="R101" t="inlineStr">
        <is>
          <t>Vacant</t>
        </is>
      </c>
    </row>
    <row r="102" ht="18" customHeight="1" s="506">
      <c r="A102" s="259" t="n">
        <v>110704</v>
      </c>
      <c r="B102" s="224" t="inlineStr">
        <is>
          <t>Irfan Zavahir</t>
        </is>
      </c>
      <c r="C102" s="224" t="inlineStr">
        <is>
          <t>Delivery Lead</t>
        </is>
      </c>
      <c r="D102" s="224" t="inlineStr">
        <is>
          <t>Vanessa Allen</t>
        </is>
      </c>
      <c r="E102" s="224" t="inlineStr">
        <is>
          <t>Delivery Manager, Ampol Retail</t>
        </is>
      </c>
      <c r="F102" s="224" t="inlineStr">
        <is>
          <t>Ampol Retail &amp; Z</t>
        </is>
      </c>
      <c r="G102" s="260" t="inlineStr">
        <is>
          <t>Ampol Retail</t>
        </is>
      </c>
      <c r="H102" s="224" t="inlineStr">
        <is>
          <t>Ampol Retail, Delivery</t>
        </is>
      </c>
      <c r="I102" s="224" t="inlineStr">
        <is>
          <t>Retail</t>
        </is>
      </c>
      <c r="J102" s="260" t="inlineStr">
        <is>
          <t>AMPOS</t>
        </is>
      </c>
      <c r="K102" s="224" t="inlineStr">
        <is>
          <t>Ampos</t>
        </is>
      </c>
      <c r="L102" s="260" t="n"/>
      <c r="M102" s="261" t="inlineStr">
        <is>
          <t>Australia</t>
        </is>
      </c>
      <c r="N102" t="inlineStr">
        <is>
          <t>Ampol Retail</t>
        </is>
      </c>
      <c r="O102" t="inlineStr">
        <is>
          <t>AmPOS</t>
        </is>
      </c>
      <c r="P102" t="inlineStr">
        <is>
          <t>AmPOS</t>
        </is>
      </c>
      <c r="Q102" t="inlineStr">
        <is>
          <t>Strategic Program</t>
        </is>
      </c>
      <c r="R102" t="inlineStr">
        <is>
          <t>Filled</t>
        </is>
      </c>
    </row>
    <row r="103" ht="18" customFormat="1" customHeight="1" s="278">
      <c r="A103" s="259" t="n"/>
      <c r="B103" s="224" t="inlineStr">
        <is>
          <t>Vacant</t>
        </is>
      </c>
      <c r="C103" s="224" t="inlineStr">
        <is>
          <t>Business Analyst</t>
        </is>
      </c>
      <c r="D103" s="224" t="inlineStr">
        <is>
          <t>Vanessa Allen</t>
        </is>
      </c>
      <c r="E103" s="224" t="inlineStr">
        <is>
          <t>Delivery Manager, Ampol Retail</t>
        </is>
      </c>
      <c r="F103" s="224" t="inlineStr">
        <is>
          <t>Ampol Retail &amp; Z</t>
        </is>
      </c>
      <c r="G103" s="260" t="inlineStr">
        <is>
          <t>Ampol Retail</t>
        </is>
      </c>
      <c r="H103" s="224" t="inlineStr">
        <is>
          <t>Ampol Retail, Delivery</t>
        </is>
      </c>
      <c r="I103" s="224" t="inlineStr">
        <is>
          <t>Retail</t>
        </is>
      </c>
      <c r="J103" s="274" t="inlineStr">
        <is>
          <t>Above Store</t>
        </is>
      </c>
      <c r="K103" s="274" t="inlineStr">
        <is>
          <t>Above Store</t>
        </is>
      </c>
      <c r="L103" s="260" t="n"/>
      <c r="M103" s="261" t="n"/>
      <c r="N103" s="278" t="inlineStr">
        <is>
          <t>Ampol Retail</t>
        </is>
      </c>
      <c r="O103" t="inlineStr">
        <is>
          <t>Above Store</t>
        </is>
      </c>
      <c r="P103" t="inlineStr">
        <is>
          <t>Above Store</t>
        </is>
      </c>
      <c r="Q103" t="inlineStr">
        <is>
          <t>Squad</t>
        </is>
      </c>
      <c r="R103" t="inlineStr">
        <is>
          <t>Vacant</t>
        </is>
      </c>
    </row>
    <row r="104" ht="18" customFormat="1" customHeight="1" s="281">
      <c r="A104" s="279" t="n"/>
      <c r="B104" s="274" t="inlineStr">
        <is>
          <t>Vacant</t>
        </is>
      </c>
      <c r="C104" s="274" t="inlineStr">
        <is>
          <t>Business Analyst</t>
        </is>
      </c>
      <c r="D104" s="274" t="inlineStr">
        <is>
          <t>Vanessa Allen</t>
        </is>
      </c>
      <c r="E104" s="274" t="inlineStr">
        <is>
          <t>Delivery Manager, Ampol Retail</t>
        </is>
      </c>
      <c r="F104" s="274" t="inlineStr">
        <is>
          <t>Ampol Retail &amp; Z</t>
        </is>
      </c>
      <c r="G104" s="276" t="inlineStr">
        <is>
          <t>Ampol Retail</t>
        </is>
      </c>
      <c r="H104" s="274" t="inlineStr">
        <is>
          <t>Ampol Retail, Delivery</t>
        </is>
      </c>
      <c r="I104" s="274" t="inlineStr">
        <is>
          <t>Retail</t>
        </is>
      </c>
      <c r="J104" s="274" t="inlineStr">
        <is>
          <t>Above Store</t>
        </is>
      </c>
      <c r="K104" s="274" t="inlineStr">
        <is>
          <t>Above Store</t>
        </is>
      </c>
      <c r="L104" s="276" t="n"/>
      <c r="M104" s="280" t="n"/>
      <c r="N104" t="inlineStr">
        <is>
          <t>Ampol Retail</t>
        </is>
      </c>
      <c r="O104" t="inlineStr">
        <is>
          <t>Above Store</t>
        </is>
      </c>
      <c r="P104" t="inlineStr">
        <is>
          <t>Above Store</t>
        </is>
      </c>
      <c r="Q104" t="inlineStr">
        <is>
          <t>Squad</t>
        </is>
      </c>
      <c r="R104" t="inlineStr">
        <is>
          <t>Vacant</t>
        </is>
      </c>
    </row>
    <row r="105" ht="18" customHeight="1" s="506">
      <c r="A105" s="259" t="n">
        <v>97784</v>
      </c>
      <c r="B105" s="224" t="inlineStr">
        <is>
          <t>Balaji Murugan</t>
        </is>
      </c>
      <c r="C105" s="224" t="inlineStr">
        <is>
          <t>Delivery Lead</t>
        </is>
      </c>
      <c r="D105" s="224" t="inlineStr">
        <is>
          <t>Vanessa Allen</t>
        </is>
      </c>
      <c r="E105" s="224" t="inlineStr">
        <is>
          <t>Delivery Manager, Ampol Retail</t>
        </is>
      </c>
      <c r="F105" s="224" t="inlineStr">
        <is>
          <t>Ampol Retail &amp; Z</t>
        </is>
      </c>
      <c r="G105" s="260" t="inlineStr">
        <is>
          <t>Ampol Retail</t>
        </is>
      </c>
      <c r="H105" s="224" t="inlineStr">
        <is>
          <t>Ampol Retail, Delivery</t>
        </is>
      </c>
      <c r="I105" s="224" t="inlineStr">
        <is>
          <t>Retail</t>
        </is>
      </c>
      <c r="J105" s="260" t="inlineStr">
        <is>
          <t>AMPOS</t>
        </is>
      </c>
      <c r="K105" s="224" t="inlineStr">
        <is>
          <t>Ampos</t>
        </is>
      </c>
      <c r="L105" s="260" t="n"/>
      <c r="M105" s="261" t="inlineStr">
        <is>
          <t>Australia</t>
        </is>
      </c>
      <c r="N105" t="inlineStr">
        <is>
          <t>Ampol Retail</t>
        </is>
      </c>
      <c r="O105" t="inlineStr">
        <is>
          <t>AmPOS</t>
        </is>
      </c>
      <c r="P105" t="inlineStr">
        <is>
          <t>AmPOS</t>
        </is>
      </c>
      <c r="Q105" t="inlineStr">
        <is>
          <t>Strategic Program</t>
        </is>
      </c>
      <c r="R105" t="inlineStr">
        <is>
          <t>Filled</t>
        </is>
      </c>
    </row>
    <row r="106" ht="18" customHeight="1" s="506">
      <c r="A106" s="259" t="n"/>
      <c r="B106" s="224" t="inlineStr">
        <is>
          <t>Vacant</t>
        </is>
      </c>
      <c r="C106" s="224" t="inlineStr">
        <is>
          <t>Business Analyst</t>
        </is>
      </c>
      <c r="D106" s="224" t="inlineStr">
        <is>
          <t>Vanessa Allen</t>
        </is>
      </c>
      <c r="E106" s="224" t="inlineStr">
        <is>
          <t>Delivery Manager, Ampol Retail</t>
        </is>
      </c>
      <c r="F106" s="224" t="inlineStr">
        <is>
          <t>Ampol Retail &amp; Z</t>
        </is>
      </c>
      <c r="G106" s="260" t="inlineStr">
        <is>
          <t>Ampol Retail</t>
        </is>
      </c>
      <c r="H106" s="224" t="inlineStr">
        <is>
          <t>Ampol Retail, Delivery</t>
        </is>
      </c>
      <c r="I106" s="224" t="inlineStr">
        <is>
          <t>Retail</t>
        </is>
      </c>
      <c r="J106" s="260" t="inlineStr">
        <is>
          <t>Network/QSR</t>
        </is>
      </c>
      <c r="K106" s="224" t="inlineStr">
        <is>
          <t>Network &amp; QSR</t>
        </is>
      </c>
      <c r="L106" s="260" t="n"/>
      <c r="M106" s="261" t="n"/>
      <c r="N106" t="inlineStr">
        <is>
          <t>Ampol Retail</t>
        </is>
      </c>
      <c r="O106" t="inlineStr">
        <is>
          <t>Network / QSR</t>
        </is>
      </c>
      <c r="P106" t="inlineStr">
        <is>
          <t>Network / QSR</t>
        </is>
      </c>
      <c r="Q106" t="inlineStr">
        <is>
          <t>Squad</t>
        </is>
      </c>
      <c r="R106" t="inlineStr">
        <is>
          <t>Vacant</t>
        </is>
      </c>
    </row>
    <row r="107" ht="18" customHeight="1" s="506">
      <c r="A107" s="259" t="n"/>
      <c r="B107" s="224" t="inlineStr">
        <is>
          <t>Vacant</t>
        </is>
      </c>
      <c r="C107" s="224" t="inlineStr">
        <is>
          <t>Business Analyst</t>
        </is>
      </c>
      <c r="D107" s="224" t="inlineStr">
        <is>
          <t>Vanessa Allen</t>
        </is>
      </c>
      <c r="E107" s="224" t="inlineStr">
        <is>
          <t>Delivery Manager, Ampol Retail</t>
        </is>
      </c>
      <c r="F107" s="224" t="inlineStr">
        <is>
          <t>Ampol Retail &amp; Z</t>
        </is>
      </c>
      <c r="G107" s="260" t="inlineStr">
        <is>
          <t>Ampol Retail</t>
        </is>
      </c>
      <c r="H107" s="224" t="inlineStr">
        <is>
          <t>Ampol Retail, Delivery</t>
        </is>
      </c>
      <c r="I107" s="224" t="inlineStr">
        <is>
          <t>Retail</t>
        </is>
      </c>
      <c r="J107" s="274" t="inlineStr">
        <is>
          <t>Above Store</t>
        </is>
      </c>
      <c r="K107" s="274" t="inlineStr">
        <is>
          <t>Above Store</t>
        </is>
      </c>
      <c r="L107" s="260" t="n"/>
      <c r="M107" s="261" t="n"/>
      <c r="N107" t="inlineStr">
        <is>
          <t>Ampol Retail</t>
        </is>
      </c>
      <c r="O107" t="inlineStr">
        <is>
          <t>Above Store</t>
        </is>
      </c>
      <c r="P107" t="inlineStr">
        <is>
          <t>Above Store</t>
        </is>
      </c>
      <c r="Q107" t="inlineStr">
        <is>
          <t>Squad</t>
        </is>
      </c>
      <c r="R107" t="inlineStr">
        <is>
          <t>Vacant</t>
        </is>
      </c>
    </row>
    <row r="108" ht="18" customHeight="1" s="506">
      <c r="A108" s="259" t="n">
        <v>115831</v>
      </c>
      <c r="B108" s="224" t="inlineStr">
        <is>
          <t>Venkat Kedharanathan</t>
        </is>
      </c>
      <c r="C108" s="224" t="inlineStr">
        <is>
          <t>Senior Business Analyst</t>
        </is>
      </c>
      <c r="D108" s="224" t="inlineStr">
        <is>
          <t>Vanessa Allen</t>
        </is>
      </c>
      <c r="E108" s="224" t="inlineStr">
        <is>
          <t>Delivery Manager, Ampol Retail</t>
        </is>
      </c>
      <c r="F108" s="224" t="inlineStr">
        <is>
          <t>Ampol Retail &amp; Z</t>
        </is>
      </c>
      <c r="G108" s="260" t="inlineStr">
        <is>
          <t>Ampol Retail</t>
        </is>
      </c>
      <c r="H108" s="224" t="inlineStr">
        <is>
          <t>Ampol Retail, Delivery</t>
        </is>
      </c>
      <c r="I108" s="224" t="inlineStr">
        <is>
          <t>Retail</t>
        </is>
      </c>
      <c r="J108" s="260" t="inlineStr">
        <is>
          <t>Store Operations</t>
        </is>
      </c>
      <c r="K108" s="224" t="inlineStr">
        <is>
          <t>Payments</t>
        </is>
      </c>
      <c r="L108" s="260" t="n"/>
      <c r="M108" s="261" t="inlineStr">
        <is>
          <t>Australia</t>
        </is>
      </c>
      <c r="N108" t="inlineStr">
        <is>
          <t>Ampol Retail</t>
        </is>
      </c>
      <c r="O108" t="inlineStr">
        <is>
          <t>Store Operations</t>
        </is>
      </c>
      <c r="P108" t="inlineStr">
        <is>
          <t>Payments</t>
        </is>
      </c>
      <c r="Q108" t="inlineStr">
        <is>
          <t>Squad</t>
        </is>
      </c>
      <c r="R108" t="inlineStr">
        <is>
          <t>Filled</t>
        </is>
      </c>
    </row>
    <row r="109" ht="18" customHeight="1" s="506">
      <c r="A109" s="259" t="n">
        <v>98158</v>
      </c>
      <c r="B109" s="224" t="inlineStr">
        <is>
          <t>Vanessa Trujillo Munoz</t>
        </is>
      </c>
      <c r="C109" s="224" t="inlineStr">
        <is>
          <t>Delivery Lead</t>
        </is>
      </c>
      <c r="D109" s="224" t="inlineStr">
        <is>
          <t>Vanessa Allen</t>
        </is>
      </c>
      <c r="E109" s="224" t="inlineStr">
        <is>
          <t>Delivery Manager, Ampol Retail</t>
        </is>
      </c>
      <c r="F109" s="224" t="inlineStr">
        <is>
          <t>Ampol Retail &amp; Z</t>
        </is>
      </c>
      <c r="G109" s="260" t="inlineStr">
        <is>
          <t>Ampol Retail</t>
        </is>
      </c>
      <c r="H109" s="224" t="inlineStr">
        <is>
          <t>Ampol Retail, Delivery</t>
        </is>
      </c>
      <c r="I109" s="224" t="inlineStr">
        <is>
          <t>Retail</t>
        </is>
      </c>
      <c r="J109" s="260" t="inlineStr">
        <is>
          <t>Network/QSR</t>
        </is>
      </c>
      <c r="K109" s="224" t="inlineStr">
        <is>
          <t>Network &amp; QSR</t>
        </is>
      </c>
      <c r="L109" s="260" t="n"/>
      <c r="M109" s="261" t="inlineStr">
        <is>
          <t>Australia</t>
        </is>
      </c>
      <c r="N109" t="inlineStr">
        <is>
          <t>Ampol Retail</t>
        </is>
      </c>
      <c r="O109" t="inlineStr">
        <is>
          <t>Network / QSR</t>
        </is>
      </c>
      <c r="P109" t="inlineStr">
        <is>
          <t>Network / QSR</t>
        </is>
      </c>
      <c r="Q109" t="inlineStr">
        <is>
          <t>Squad</t>
        </is>
      </c>
      <c r="R109" t="inlineStr">
        <is>
          <t>Filled</t>
        </is>
      </c>
    </row>
    <row r="110" ht="18" customHeight="1" s="506">
      <c r="A110" s="259" t="n">
        <v>114616</v>
      </c>
      <c r="B110" s="224" t="inlineStr">
        <is>
          <t>Marty O'Shea</t>
        </is>
      </c>
      <c r="C110" s="224" t="inlineStr">
        <is>
          <t>Systems Analyst</t>
        </is>
      </c>
      <c r="D110" s="224" t="inlineStr">
        <is>
          <t>Vedran Jukic</t>
        </is>
      </c>
      <c r="E110" s="224" t="inlineStr">
        <is>
          <t>Technology Manager, Retail</t>
        </is>
      </c>
      <c r="F110" s="224" t="inlineStr">
        <is>
          <t>Ampol Retail &amp; Z</t>
        </is>
      </c>
      <c r="G110" s="260" t="inlineStr">
        <is>
          <t>Ampol Retail</t>
        </is>
      </c>
      <c r="H110" s="224" t="inlineStr">
        <is>
          <t>Ampol Retail, Technology</t>
        </is>
      </c>
      <c r="I110" s="224" t="inlineStr">
        <is>
          <t>Retail</t>
        </is>
      </c>
      <c r="J110" s="260" t="inlineStr">
        <is>
          <t>Network/QSR</t>
        </is>
      </c>
      <c r="K110" s="224" t="inlineStr">
        <is>
          <t>Network &amp; QSR</t>
        </is>
      </c>
      <c r="L110" s="260" t="n"/>
      <c r="M110" s="261" t="inlineStr">
        <is>
          <t>Australia</t>
        </is>
      </c>
      <c r="N110" t="inlineStr">
        <is>
          <t>Ampol Retail</t>
        </is>
      </c>
      <c r="O110" t="inlineStr">
        <is>
          <t>Network / QSR</t>
        </is>
      </c>
      <c r="P110" t="inlineStr">
        <is>
          <t>Network / QSR</t>
        </is>
      </c>
      <c r="Q110" t="inlineStr">
        <is>
          <t>Squad</t>
        </is>
      </c>
      <c r="R110" t="inlineStr">
        <is>
          <t>Filled</t>
        </is>
      </c>
    </row>
    <row r="111" ht="18" customHeight="1" s="506">
      <c r="A111" s="259" t="n">
        <v>110197</v>
      </c>
      <c r="B111" s="224" t="inlineStr">
        <is>
          <t>Anthony Dumbrell</t>
        </is>
      </c>
      <c r="C111" s="224" t="inlineStr">
        <is>
          <t>Technology &amp; Lab Specialist Stores</t>
        </is>
      </c>
      <c r="D111" s="224" t="inlineStr">
        <is>
          <t>Vedran Jukic</t>
        </is>
      </c>
      <c r="E111" s="224" t="inlineStr">
        <is>
          <t>Technology Manager, Retail</t>
        </is>
      </c>
      <c r="F111" s="224" t="inlineStr">
        <is>
          <t>Ampol Retail &amp; Z</t>
        </is>
      </c>
      <c r="G111" s="260" t="inlineStr">
        <is>
          <t>Ampol Retail</t>
        </is>
      </c>
      <c r="H111" s="224" t="inlineStr">
        <is>
          <t>Ampol Retail, Technology</t>
        </is>
      </c>
      <c r="I111" s="224" t="inlineStr">
        <is>
          <t>Retail</t>
        </is>
      </c>
      <c r="J111" s="260" t="inlineStr">
        <is>
          <t>Store Operations</t>
        </is>
      </c>
      <c r="K111" s="224" t="inlineStr">
        <is>
          <t xml:space="preserve">Deployment </t>
        </is>
      </c>
      <c r="L111" s="260" t="n"/>
      <c r="M111" s="261" t="inlineStr">
        <is>
          <t>Australia</t>
        </is>
      </c>
      <c r="N111" t="inlineStr">
        <is>
          <t>Ampol Retail</t>
        </is>
      </c>
      <c r="O111" t="inlineStr">
        <is>
          <t>Store Operations</t>
        </is>
      </c>
      <c r="P111" t="inlineStr">
        <is>
          <t>Deployment</t>
        </is>
      </c>
      <c r="Q111" t="inlineStr">
        <is>
          <t>Squad</t>
        </is>
      </c>
      <c r="R111" t="inlineStr">
        <is>
          <t>Filled</t>
        </is>
      </c>
    </row>
    <row r="112" ht="18" customHeight="1" s="506">
      <c r="A112" s="259" t="n">
        <v>107164</v>
      </c>
      <c r="B112" s="224" t="inlineStr">
        <is>
          <t>Santiago Hernandez Arevalo</t>
        </is>
      </c>
      <c r="C112" s="224" t="inlineStr">
        <is>
          <t>Systems Analyst</t>
        </is>
      </c>
      <c r="D112" s="224" t="inlineStr">
        <is>
          <t>Vedran Jukic</t>
        </is>
      </c>
      <c r="E112" s="224" t="inlineStr">
        <is>
          <t>Technology Manager, Retail</t>
        </is>
      </c>
      <c r="F112" s="224" t="inlineStr">
        <is>
          <t>Ampol Retail &amp; Z</t>
        </is>
      </c>
      <c r="G112" s="260" t="inlineStr">
        <is>
          <t>Ampol Retail</t>
        </is>
      </c>
      <c r="H112" s="224" t="inlineStr">
        <is>
          <t>Ampol Retail, Store Platforms</t>
        </is>
      </c>
      <c r="I112" s="224" t="inlineStr">
        <is>
          <t>Retail</t>
        </is>
      </c>
      <c r="J112" s="260" t="inlineStr">
        <is>
          <t>Network/QSR</t>
        </is>
      </c>
      <c r="K112" s="224" t="inlineStr">
        <is>
          <t>Network &amp; QSR</t>
        </is>
      </c>
      <c r="L112" s="260" t="n"/>
      <c r="M112" s="261" t="inlineStr">
        <is>
          <t>Australia</t>
        </is>
      </c>
      <c r="N112" t="inlineStr">
        <is>
          <t>Ampol Retail</t>
        </is>
      </c>
      <c r="O112" t="inlineStr">
        <is>
          <t>Network / QSR</t>
        </is>
      </c>
      <c r="P112" t="inlineStr">
        <is>
          <t>Network / QSR</t>
        </is>
      </c>
      <c r="Q112" t="inlineStr">
        <is>
          <t>Squad</t>
        </is>
      </c>
      <c r="R112" t="inlineStr">
        <is>
          <t>Filled</t>
        </is>
      </c>
    </row>
    <row r="113" ht="18" customHeight="1" s="506">
      <c r="A113" s="259" t="n">
        <v>95286</v>
      </c>
      <c r="B113" s="224" t="inlineStr">
        <is>
          <t>Navneet Singh</t>
        </is>
      </c>
      <c r="C113" s="224" t="inlineStr">
        <is>
          <t>Solution Architect</t>
        </is>
      </c>
      <c r="D113" s="224" t="inlineStr">
        <is>
          <t>Vedran Jukic</t>
        </is>
      </c>
      <c r="E113" s="224" t="inlineStr">
        <is>
          <t>Technology Manager, Retail</t>
        </is>
      </c>
      <c r="F113" s="224" t="inlineStr">
        <is>
          <t>Ampol Retail &amp; Z</t>
        </is>
      </c>
      <c r="G113" s="260" t="inlineStr">
        <is>
          <t>Ampol Retail</t>
        </is>
      </c>
      <c r="H113" s="224" t="inlineStr">
        <is>
          <t>Ampol Retail, Technology</t>
        </is>
      </c>
      <c r="I113" s="224" t="inlineStr">
        <is>
          <t>EGI Integration</t>
        </is>
      </c>
      <c r="J113" s="260" t="inlineStr">
        <is>
          <t>EGI</t>
        </is>
      </c>
      <c r="K113" s="224" t="inlineStr">
        <is>
          <t>EGI Retail</t>
        </is>
      </c>
      <c r="L113" s="260" t="n"/>
      <c r="M113" s="261" t="inlineStr">
        <is>
          <t>Australia</t>
        </is>
      </c>
      <c r="N113" t="inlineStr">
        <is>
          <t>Ampol Retail</t>
        </is>
      </c>
      <c r="O113" t="inlineStr">
        <is>
          <t>EGI Retail</t>
        </is>
      </c>
      <c r="P113" t="inlineStr">
        <is>
          <t>EGI Retail</t>
        </is>
      </c>
      <c r="Q113" t="inlineStr">
        <is>
          <t>Strategic Program</t>
        </is>
      </c>
      <c r="R113" t="inlineStr">
        <is>
          <t>Filled</t>
        </is>
      </c>
    </row>
    <row r="114" ht="18" customHeight="1" s="506">
      <c r="A114" s="259" t="n"/>
      <c r="B114" s="224" t="inlineStr">
        <is>
          <t>Vacant</t>
        </is>
      </c>
      <c r="C114" s="224" t="inlineStr">
        <is>
          <t>Engineer - Integration</t>
        </is>
      </c>
      <c r="D114" s="224" t="inlineStr">
        <is>
          <t>Vedran Jukic</t>
        </is>
      </c>
      <c r="E114" s="224" t="inlineStr">
        <is>
          <t>Technology Manager, Retail</t>
        </is>
      </c>
      <c r="F114" s="224" t="inlineStr">
        <is>
          <t>Ampol Retail &amp; Z</t>
        </is>
      </c>
      <c r="G114" s="260" t="inlineStr">
        <is>
          <t>Ampol Retail</t>
        </is>
      </c>
      <c r="H114" s="224" t="inlineStr">
        <is>
          <t>Ampol Retail, Technology</t>
        </is>
      </c>
      <c r="I114" s="224" t="inlineStr">
        <is>
          <t>Retail</t>
        </is>
      </c>
      <c r="J114" s="260" t="inlineStr">
        <is>
          <t>Network/QSR</t>
        </is>
      </c>
      <c r="K114" s="224" t="inlineStr">
        <is>
          <t>Network &amp; QSR</t>
        </is>
      </c>
      <c r="L114" s="260" t="n"/>
      <c r="M114" s="261" t="n"/>
      <c r="N114" t="inlineStr">
        <is>
          <t>Ampol Retail</t>
        </is>
      </c>
      <c r="O114" t="inlineStr">
        <is>
          <t>Network / QSR</t>
        </is>
      </c>
      <c r="P114" t="inlineStr">
        <is>
          <t>Network / QSR</t>
        </is>
      </c>
      <c r="Q114" t="inlineStr">
        <is>
          <t>Squad</t>
        </is>
      </c>
      <c r="R114" t="inlineStr">
        <is>
          <t>Vacant</t>
        </is>
      </c>
    </row>
    <row r="115" ht="18" customHeight="1" s="506">
      <c r="A115" s="259" t="n">
        <v>113555</v>
      </c>
      <c r="B115" s="224" t="inlineStr">
        <is>
          <t>Jill Martin</t>
        </is>
      </c>
      <c r="C115" s="224" t="inlineStr">
        <is>
          <t>Delivery Manager</t>
        </is>
      </c>
      <c r="D115" s="224" t="inlineStr">
        <is>
          <t>Andy Stewart</t>
        </is>
      </c>
      <c r="E115" s="224" t="inlineStr">
        <is>
          <t>Head of Technology, Loyalty &amp; Martech</t>
        </is>
      </c>
      <c r="F115" s="224" t="inlineStr">
        <is>
          <t>Customer</t>
        </is>
      </c>
      <c r="G115" s="260" t="inlineStr">
        <is>
          <t>Loyalty &amp; Martech</t>
        </is>
      </c>
      <c r="H115" s="224" t="inlineStr">
        <is>
          <t xml:space="preserve">Loyalty, Delivery </t>
        </is>
      </c>
      <c r="I115" s="224" t="inlineStr">
        <is>
          <t>Customer</t>
        </is>
      </c>
      <c r="J115" s="224" t="inlineStr">
        <is>
          <t>Customer Z, Group Customer Platforms</t>
        </is>
      </c>
      <c r="K115" s="224" t="inlineStr">
        <is>
          <t>Leadership</t>
        </is>
      </c>
      <c r="L115" s="260" t="n"/>
      <c r="M115" s="261" t="n"/>
      <c r="N115" t="inlineStr">
        <is>
          <t>Customer</t>
        </is>
      </c>
      <c r="O115" t="inlineStr">
        <is>
          <t>Leadership</t>
        </is>
      </c>
      <c r="P115" t="inlineStr">
        <is>
          <t>Leadership</t>
        </is>
      </c>
      <c r="Q115" t="inlineStr">
        <is>
          <t>Leadership</t>
        </is>
      </c>
      <c r="R115" t="inlineStr">
        <is>
          <t>Filled</t>
        </is>
      </c>
    </row>
    <row r="116" ht="18" customHeight="1" s="506">
      <c r="A116" s="259" t="n">
        <v>99999102079</v>
      </c>
      <c r="B116" s="224" t="inlineStr">
        <is>
          <t>Sam Turnball</t>
        </is>
      </c>
      <c r="C116" s="224" t="inlineStr">
        <is>
          <t>Associate Experience Designer</t>
        </is>
      </c>
      <c r="D116" s="224" t="inlineStr">
        <is>
          <t>Byron Thornhill</t>
        </is>
      </c>
      <c r="E116" s="224" t="inlineStr">
        <is>
          <t>Design Manager</t>
        </is>
      </c>
      <c r="F116" s="224" t="inlineStr">
        <is>
          <t>Customer</t>
        </is>
      </c>
      <c r="G116" s="260" t="inlineStr">
        <is>
          <t>Digital</t>
        </is>
      </c>
      <c r="H116" s="260" t="inlineStr">
        <is>
          <t>Digital, Design</t>
        </is>
      </c>
      <c r="I116" s="224" t="inlineStr">
        <is>
          <t>Customer</t>
        </is>
      </c>
      <c r="J116" s="224" t="inlineStr">
        <is>
          <t>Customer Z</t>
        </is>
      </c>
      <c r="K116" s="224" t="inlineStr">
        <is>
          <t>Z Energy Apps</t>
        </is>
      </c>
      <c r="L116" s="260" t="n"/>
      <c r="M116" s="261" t="inlineStr">
        <is>
          <t>NZ</t>
        </is>
      </c>
      <c r="N116" t="inlineStr">
        <is>
          <t>Customer</t>
        </is>
      </c>
      <c r="O116" t="inlineStr">
        <is>
          <t>Customer Z</t>
        </is>
      </c>
      <c r="P116" t="inlineStr">
        <is>
          <t>Z Energy Apps</t>
        </is>
      </c>
      <c r="Q116" t="inlineStr">
        <is>
          <t>Squad</t>
        </is>
      </c>
      <c r="R116" t="inlineStr">
        <is>
          <t>Filled</t>
        </is>
      </c>
    </row>
    <row r="117" ht="18" customHeight="1" s="506">
      <c r="A117" s="259" t="n">
        <v>99999101676</v>
      </c>
      <c r="B117" s="224" t="inlineStr">
        <is>
          <t>Ants Jackson</t>
        </is>
      </c>
      <c r="C117" s="224" t="inlineStr">
        <is>
          <t>Experience Designer</t>
        </is>
      </c>
      <c r="D117" s="224" t="inlineStr">
        <is>
          <t>Byron Thornhill</t>
        </is>
      </c>
      <c r="E117" s="224" t="inlineStr">
        <is>
          <t>Design Manager</t>
        </is>
      </c>
      <c r="F117" s="224" t="inlineStr">
        <is>
          <t>Customer</t>
        </is>
      </c>
      <c r="G117" s="260" t="inlineStr">
        <is>
          <t>Digital</t>
        </is>
      </c>
      <c r="H117" s="260" t="inlineStr">
        <is>
          <t>Digital, Design</t>
        </is>
      </c>
      <c r="I117" s="224" t="inlineStr">
        <is>
          <t>Customer</t>
        </is>
      </c>
      <c r="J117" s="224" t="inlineStr">
        <is>
          <t>Customer Z</t>
        </is>
      </c>
      <c r="K117" s="224" t="inlineStr">
        <is>
          <t>Z Energy Apps</t>
        </is>
      </c>
      <c r="L117" s="260" t="n"/>
      <c r="M117" s="261" t="inlineStr">
        <is>
          <t>NZ</t>
        </is>
      </c>
      <c r="N117" t="inlineStr">
        <is>
          <t>Customer</t>
        </is>
      </c>
      <c r="O117" t="inlineStr">
        <is>
          <t>Customer Z</t>
        </is>
      </c>
      <c r="P117" t="inlineStr">
        <is>
          <t>Z Energy Apps</t>
        </is>
      </c>
      <c r="Q117" t="inlineStr">
        <is>
          <t>Squad</t>
        </is>
      </c>
      <c r="R117" t="inlineStr">
        <is>
          <t>Filled</t>
        </is>
      </c>
    </row>
    <row r="118" ht="18" customHeight="1" s="506">
      <c r="A118" s="259" t="n">
        <v>98015</v>
      </c>
      <c r="B118" s="224" t="inlineStr">
        <is>
          <t>Ethan Laffan</t>
        </is>
      </c>
      <c r="C118" s="224" t="inlineStr">
        <is>
          <t>Associate Experience Designer</t>
        </is>
      </c>
      <c r="D118" s="224" t="inlineStr">
        <is>
          <t>Byron Thornhill</t>
        </is>
      </c>
      <c r="E118" s="224" t="inlineStr">
        <is>
          <t>Design Manager</t>
        </is>
      </c>
      <c r="F118" s="224" t="inlineStr">
        <is>
          <t>Customer</t>
        </is>
      </c>
      <c r="G118" s="260" t="inlineStr">
        <is>
          <t>Digital</t>
        </is>
      </c>
      <c r="H118" s="260" t="inlineStr">
        <is>
          <t>Digital, Design</t>
        </is>
      </c>
      <c r="I118" s="224" t="inlineStr">
        <is>
          <t>Customer</t>
        </is>
      </c>
      <c r="J118" s="224" t="inlineStr">
        <is>
          <t>Ampol Digital</t>
        </is>
      </c>
      <c r="K118" s="224" t="inlineStr">
        <is>
          <t>Ampol App</t>
        </is>
      </c>
      <c r="L118" s="260" t="n"/>
      <c r="M118" s="261" t="inlineStr">
        <is>
          <t>Australia</t>
        </is>
      </c>
      <c r="N118" t="inlineStr">
        <is>
          <t>Customer</t>
        </is>
      </c>
      <c r="O118" t="inlineStr">
        <is>
          <t>Ampol Digital</t>
        </is>
      </c>
      <c r="P118" t="inlineStr">
        <is>
          <t>Ampol App</t>
        </is>
      </c>
      <c r="Q118" t="inlineStr">
        <is>
          <t>Squad</t>
        </is>
      </c>
      <c r="R118" t="inlineStr">
        <is>
          <t>Filled</t>
        </is>
      </c>
    </row>
    <row r="119" ht="18" customHeight="1" s="506">
      <c r="A119" s="259" t="n">
        <v>113463</v>
      </c>
      <c r="B119" s="224" t="inlineStr">
        <is>
          <t>Alisha Allport</t>
        </is>
      </c>
      <c r="C119" s="224" t="inlineStr">
        <is>
          <t>Principal Experience Designer</t>
        </is>
      </c>
      <c r="D119" s="224" t="inlineStr">
        <is>
          <t>Byron Thornhill</t>
        </is>
      </c>
      <c r="E119" s="224" t="inlineStr">
        <is>
          <t>Design Manager</t>
        </is>
      </c>
      <c r="F119" s="224" t="inlineStr">
        <is>
          <t>Customer</t>
        </is>
      </c>
      <c r="G119" s="260" t="inlineStr">
        <is>
          <t>Loyalty &amp; Martech</t>
        </is>
      </c>
      <c r="H119" s="260" t="inlineStr">
        <is>
          <t>Digital, Design</t>
        </is>
      </c>
      <c r="I119" s="260" t="inlineStr">
        <is>
          <t>Customer</t>
        </is>
      </c>
      <c r="J119" s="224" t="inlineStr">
        <is>
          <t>Ampol Digital</t>
        </is>
      </c>
      <c r="K119" s="224" t="inlineStr">
        <is>
          <t>Ampol App</t>
        </is>
      </c>
      <c r="L119" s="260" t="n"/>
      <c r="M119" s="261" t="inlineStr">
        <is>
          <t>Australia</t>
        </is>
      </c>
      <c r="N119" t="inlineStr">
        <is>
          <t>Customer</t>
        </is>
      </c>
      <c r="O119" t="inlineStr">
        <is>
          <t>Ampol Digital</t>
        </is>
      </c>
      <c r="P119" t="inlineStr">
        <is>
          <t>Ampol App</t>
        </is>
      </c>
      <c r="Q119" t="inlineStr">
        <is>
          <t>Squad</t>
        </is>
      </c>
      <c r="R119" t="inlineStr">
        <is>
          <t>Filled</t>
        </is>
      </c>
    </row>
    <row r="120" ht="18" customHeight="1" s="506">
      <c r="A120" s="259" t="n">
        <v>99999101757</v>
      </c>
      <c r="B120" s="224" t="inlineStr">
        <is>
          <t>Tim Corin</t>
        </is>
      </c>
      <c r="C120" s="224" t="inlineStr">
        <is>
          <t>Experience Designer</t>
        </is>
      </c>
      <c r="D120" s="224" t="inlineStr">
        <is>
          <t>Byron Thornhill</t>
        </is>
      </c>
      <c r="E120" s="224" t="inlineStr">
        <is>
          <t>Design Manager</t>
        </is>
      </c>
      <c r="F120" s="224" t="inlineStr">
        <is>
          <t>Customer</t>
        </is>
      </c>
      <c r="G120" s="260" t="inlineStr">
        <is>
          <t>Digital</t>
        </is>
      </c>
      <c r="H120" s="260" t="inlineStr">
        <is>
          <t>Ampol Retail, Store Platforms</t>
        </is>
      </c>
      <c r="I120" s="224" t="inlineStr">
        <is>
          <t>Customer</t>
        </is>
      </c>
      <c r="J120" s="224" t="inlineStr">
        <is>
          <t>Customer Z</t>
        </is>
      </c>
      <c r="K120" s="224" t="inlineStr">
        <is>
          <t>Z Energy Apps</t>
        </is>
      </c>
      <c r="L120" s="260" t="n"/>
      <c r="M120" s="261" t="inlineStr">
        <is>
          <t>NZ</t>
        </is>
      </c>
      <c r="N120" t="inlineStr">
        <is>
          <t>Customer</t>
        </is>
      </c>
      <c r="O120" t="inlineStr">
        <is>
          <t>Customer Z</t>
        </is>
      </c>
      <c r="P120" t="inlineStr">
        <is>
          <t>Z Energy Apps</t>
        </is>
      </c>
      <c r="Q120" t="inlineStr">
        <is>
          <t>Squad</t>
        </is>
      </c>
      <c r="R120" t="inlineStr">
        <is>
          <t>Filled</t>
        </is>
      </c>
    </row>
    <row r="121" ht="18" customHeight="1" s="506">
      <c r="A121" s="259" t="n">
        <v>116714</v>
      </c>
      <c r="B121" s="224" t="inlineStr">
        <is>
          <t>Maria Salman</t>
        </is>
      </c>
      <c r="C121" s="224" t="inlineStr">
        <is>
          <t>Experience Designer</t>
        </is>
      </c>
      <c r="D121" s="224" t="inlineStr">
        <is>
          <t>Byron Thornhill</t>
        </is>
      </c>
      <c r="E121" s="224" t="inlineStr">
        <is>
          <t>Design Manager</t>
        </is>
      </c>
      <c r="F121" s="224" t="inlineStr">
        <is>
          <t>Customer</t>
        </is>
      </c>
      <c r="G121" s="260" t="inlineStr">
        <is>
          <t>Digital</t>
        </is>
      </c>
      <c r="H121" s="260" t="inlineStr">
        <is>
          <t>Digital, Design</t>
        </is>
      </c>
      <c r="I121" s="260" t="inlineStr">
        <is>
          <t>Customer</t>
        </is>
      </c>
      <c r="J121" s="224" t="inlineStr">
        <is>
          <t>Ampol Digital</t>
        </is>
      </c>
      <c r="K121" s="224" t="inlineStr">
        <is>
          <t>Ampol App</t>
        </is>
      </c>
      <c r="L121" s="260" t="n"/>
      <c r="M121" s="261" t="inlineStr">
        <is>
          <t>Australia</t>
        </is>
      </c>
      <c r="N121" t="inlineStr">
        <is>
          <t>Customer</t>
        </is>
      </c>
      <c r="O121" t="inlineStr">
        <is>
          <t>Ampol Digital</t>
        </is>
      </c>
      <c r="P121" t="inlineStr">
        <is>
          <t>Ampol App</t>
        </is>
      </c>
      <c r="Q121" t="inlineStr">
        <is>
          <t>Squad</t>
        </is>
      </c>
      <c r="R121" t="inlineStr">
        <is>
          <t>Filled</t>
        </is>
      </c>
    </row>
    <row r="122" ht="18" customHeight="1" s="506">
      <c r="A122" s="259" t="n">
        <v>0</v>
      </c>
      <c r="B122" s="224" t="inlineStr">
        <is>
          <t>Adam Anticaglia</t>
        </is>
      </c>
      <c r="C122" s="224" t="inlineStr">
        <is>
          <t>Experience Designer (CMS)</t>
        </is>
      </c>
      <c r="D122" s="224" t="inlineStr">
        <is>
          <t>Byron Thornhill</t>
        </is>
      </c>
      <c r="E122" s="224" t="inlineStr">
        <is>
          <t>Design Manager</t>
        </is>
      </c>
      <c r="F122" s="224" t="inlineStr">
        <is>
          <t>Customer</t>
        </is>
      </c>
      <c r="G122" s="260" t="inlineStr">
        <is>
          <t>Digital</t>
        </is>
      </c>
      <c r="H122" s="260" t="inlineStr">
        <is>
          <t>Digital, Design</t>
        </is>
      </c>
      <c r="I122" s="224" t="inlineStr">
        <is>
          <t>Customer</t>
        </is>
      </c>
      <c r="J122" s="224" t="inlineStr">
        <is>
          <t>Ampol Digital</t>
        </is>
      </c>
      <c r="K122" s="224" t="inlineStr">
        <is>
          <t>Ampol Web</t>
        </is>
      </c>
      <c r="L122" s="260" t="n"/>
      <c r="M122" s="261" t="inlineStr">
        <is>
          <t>Australia</t>
        </is>
      </c>
      <c r="N122" t="inlineStr">
        <is>
          <t>Customer</t>
        </is>
      </c>
      <c r="O122" t="inlineStr">
        <is>
          <t>Ampol Digital</t>
        </is>
      </c>
      <c r="P122" t="inlineStr">
        <is>
          <t>Ampol Web</t>
        </is>
      </c>
      <c r="Q122" t="inlineStr">
        <is>
          <t>Squad</t>
        </is>
      </c>
      <c r="R122" t="inlineStr">
        <is>
          <t>Filled</t>
        </is>
      </c>
    </row>
    <row r="123" ht="18" customHeight="1" s="506">
      <c r="A123" s="259" t="n"/>
      <c r="B123" s="224" t="inlineStr">
        <is>
          <t>Vacant</t>
        </is>
      </c>
      <c r="C123" s="224" t="inlineStr">
        <is>
          <t>Program Manager</t>
        </is>
      </c>
      <c r="D123" s="224" t="inlineStr">
        <is>
          <t>Harley Giles</t>
        </is>
      </c>
      <c r="E123" s="224" t="inlineStr">
        <is>
          <t>GM TDD, Customer</t>
        </is>
      </c>
      <c r="F123" s="224" t="inlineStr">
        <is>
          <t>Customer</t>
        </is>
      </c>
      <c r="G123" s="260" t="inlineStr">
        <is>
          <t>Customer, PMO</t>
        </is>
      </c>
      <c r="H123" s="224" t="n"/>
      <c r="I123" s="224" t="inlineStr">
        <is>
          <t>Customer</t>
        </is>
      </c>
      <c r="J123" s="224" t="inlineStr">
        <is>
          <t>Ampol Digital, Group Customer Platforms</t>
        </is>
      </c>
      <c r="K123" s="224" t="inlineStr">
        <is>
          <t>Leadership</t>
        </is>
      </c>
      <c r="L123" s="260" t="n"/>
      <c r="M123" s="261" t="n"/>
      <c r="N123" t="inlineStr">
        <is>
          <t>Customer</t>
        </is>
      </c>
      <c r="O123" t="inlineStr">
        <is>
          <t>Leadership</t>
        </is>
      </c>
      <c r="P123" t="inlineStr">
        <is>
          <t>Leadership</t>
        </is>
      </c>
      <c r="Q123" t="inlineStr">
        <is>
          <t>Leadership</t>
        </is>
      </c>
      <c r="R123" t="inlineStr">
        <is>
          <t>Vacant</t>
        </is>
      </c>
    </row>
    <row r="124" ht="18" customHeight="1" s="506">
      <c r="A124" s="259" t="n">
        <v>99999101543</v>
      </c>
      <c r="B124" s="224" t="inlineStr">
        <is>
          <t>Shona Paul</t>
        </is>
      </c>
      <c r="C124" s="224" t="inlineStr">
        <is>
          <t>Head of Technology - Digital</t>
        </is>
      </c>
      <c r="D124" s="224" t="inlineStr">
        <is>
          <t>Harley Giles</t>
        </is>
      </c>
      <c r="E124" s="224" t="inlineStr">
        <is>
          <t>GM TDD, Customer</t>
        </is>
      </c>
      <c r="F124" s="224" t="inlineStr">
        <is>
          <t>Customer</t>
        </is>
      </c>
      <c r="G124" s="260" t="inlineStr">
        <is>
          <t>Digital</t>
        </is>
      </c>
      <c r="H124" s="224" t="n"/>
      <c r="I124" s="224" t="inlineStr">
        <is>
          <t>Customer</t>
        </is>
      </c>
      <c r="J124" s="224" t="inlineStr">
        <is>
          <t>(All Customer)</t>
        </is>
      </c>
      <c r="K124" s="224" t="inlineStr">
        <is>
          <t>Leadership</t>
        </is>
      </c>
      <c r="L124" s="260" t="n"/>
      <c r="M124" s="261" t="inlineStr">
        <is>
          <t>NZ</t>
        </is>
      </c>
      <c r="N124" t="inlineStr">
        <is>
          <t>Customer</t>
        </is>
      </c>
      <c r="O124" t="inlineStr">
        <is>
          <t>Leadership</t>
        </is>
      </c>
      <c r="P124" t="inlineStr">
        <is>
          <t>Leadership</t>
        </is>
      </c>
      <c r="Q124" t="inlineStr">
        <is>
          <t>Leadership</t>
        </is>
      </c>
      <c r="R124" t="inlineStr">
        <is>
          <t>Filled</t>
        </is>
      </c>
    </row>
    <row r="125" ht="18" customHeight="1" s="506">
      <c r="A125" s="259" t="n"/>
      <c r="B125" s="224" t="inlineStr">
        <is>
          <t>vacant</t>
        </is>
      </c>
      <c r="C125" s="224" t="inlineStr">
        <is>
          <t>engineer - BE</t>
        </is>
      </c>
      <c r="D125" s="224" t="inlineStr">
        <is>
          <t>Khalid Mahmud</t>
        </is>
      </c>
      <c r="E125" s="224" t="inlineStr">
        <is>
          <t>Lead Engineer - BE</t>
        </is>
      </c>
      <c r="F125" s="224" t="inlineStr">
        <is>
          <t>Customer</t>
        </is>
      </c>
      <c r="G125" s="260" t="inlineStr">
        <is>
          <t>Digital</t>
        </is>
      </c>
      <c r="H125" s="260" t="inlineStr">
        <is>
          <t>Tech, Digital Engineering</t>
        </is>
      </c>
      <c r="I125" s="260" t="inlineStr">
        <is>
          <t>Customer</t>
        </is>
      </c>
      <c r="J125" s="224" t="inlineStr">
        <is>
          <t>Ampol Digital</t>
        </is>
      </c>
      <c r="K125" s="224" t="inlineStr">
        <is>
          <t>Energy</t>
        </is>
      </c>
      <c r="L125" s="260" t="n"/>
      <c r="M125" s="261" t="inlineStr">
        <is>
          <t>Australia</t>
        </is>
      </c>
      <c r="N125" t="inlineStr">
        <is>
          <t>Energy Solutions &amp; B2B</t>
        </is>
      </c>
      <c r="O125" t="inlineStr">
        <is>
          <t>Energy Solutions</t>
        </is>
      </c>
      <c r="P125" t="inlineStr">
        <is>
          <t>Energy</t>
        </is>
      </c>
      <c r="Q125" t="inlineStr">
        <is>
          <t>Squad</t>
        </is>
      </c>
      <c r="R125" t="inlineStr">
        <is>
          <t>Vacant</t>
        </is>
      </c>
    </row>
    <row r="126" ht="18" customHeight="1" s="506">
      <c r="A126" s="259" t="n">
        <v>98144</v>
      </c>
      <c r="B126" s="224" t="inlineStr">
        <is>
          <t>Angie Ng</t>
        </is>
      </c>
      <c r="C126" s="224" t="inlineStr">
        <is>
          <t>Snr Engineer - BE</t>
        </is>
      </c>
      <c r="D126" s="224" t="inlineStr">
        <is>
          <t>Khalid Mahmud</t>
        </is>
      </c>
      <c r="E126" s="224" t="inlineStr">
        <is>
          <t>Lead Engineer - BE</t>
        </is>
      </c>
      <c r="F126" s="224" t="inlineStr">
        <is>
          <t>Customer</t>
        </is>
      </c>
      <c r="G126" s="260" t="inlineStr">
        <is>
          <t>Digital</t>
        </is>
      </c>
      <c r="H126" s="260" t="inlineStr">
        <is>
          <t>Technology, T&amp;S Data</t>
        </is>
      </c>
      <c r="I126" s="260" t="inlineStr">
        <is>
          <t>EGI Integration</t>
        </is>
      </c>
      <c r="J126" s="224" t="inlineStr">
        <is>
          <t>EGI</t>
        </is>
      </c>
      <c r="K126" s="224" t="inlineStr">
        <is>
          <t>EGI Customer</t>
        </is>
      </c>
      <c r="L126" s="260" t="n"/>
      <c r="M126" s="261" t="inlineStr">
        <is>
          <t>Australia</t>
        </is>
      </c>
      <c r="N126" t="inlineStr">
        <is>
          <t>Customer</t>
        </is>
      </c>
      <c r="O126" t="inlineStr">
        <is>
          <t>EGI Customer</t>
        </is>
      </c>
      <c r="P126" t="inlineStr">
        <is>
          <t>EGI Customer</t>
        </is>
      </c>
      <c r="Q126" t="inlineStr">
        <is>
          <t>Strategic Program</t>
        </is>
      </c>
      <c r="R126" t="inlineStr">
        <is>
          <t>Filled</t>
        </is>
      </c>
    </row>
    <row r="127" ht="18" customHeight="1" s="506">
      <c r="A127" s="259" t="n">
        <v>99999101672</v>
      </c>
      <c r="B127" s="269" t="inlineStr">
        <is>
          <t>Kaye Javier</t>
        </is>
      </c>
      <c r="C127" s="260" t="inlineStr">
        <is>
          <t>QA Analyst</t>
        </is>
      </c>
      <c r="D127" s="260" t="inlineStr">
        <is>
          <t>Kris Hamilton</t>
        </is>
      </c>
      <c r="E127" s="260" t="inlineStr">
        <is>
          <t>Technology Manager, Loyalty &amp; Martech</t>
        </is>
      </c>
      <c r="F127" s="224" t="inlineStr">
        <is>
          <t>Customer</t>
        </is>
      </c>
      <c r="G127" s="260" t="inlineStr">
        <is>
          <t>Loyatly &amp; Martec</t>
        </is>
      </c>
      <c r="H127" s="260" t="inlineStr">
        <is>
          <t>Loyalty, Tech</t>
        </is>
      </c>
      <c r="I127" s="224" t="inlineStr">
        <is>
          <t>Customer</t>
        </is>
      </c>
      <c r="J127" s="260" t="inlineStr">
        <is>
          <t>Customer Z</t>
        </is>
      </c>
      <c r="K127" s="260" t="inlineStr">
        <is>
          <t>Z Energy Martech</t>
        </is>
      </c>
      <c r="L127" s="260" t="n"/>
      <c r="M127" s="261" t="inlineStr">
        <is>
          <t>NZ</t>
        </is>
      </c>
      <c r="N127" t="inlineStr">
        <is>
          <t>Customer</t>
        </is>
      </c>
      <c r="O127" t="inlineStr">
        <is>
          <t>Customer Z</t>
        </is>
      </c>
      <c r="P127" t="inlineStr">
        <is>
          <t>Z Energy Martech</t>
        </is>
      </c>
      <c r="Q127" t="inlineStr">
        <is>
          <t>Squad</t>
        </is>
      </c>
      <c r="R127" t="inlineStr">
        <is>
          <t>Filled</t>
        </is>
      </c>
    </row>
    <row r="128" ht="18" customHeight="1" s="506">
      <c r="A128" s="259" t="n">
        <v>99999101500</v>
      </c>
      <c r="B128" s="269" t="inlineStr">
        <is>
          <t>Bharat Talreja</t>
        </is>
      </c>
      <c r="C128" s="260" t="inlineStr">
        <is>
          <t>Marketing Technology Lead</t>
        </is>
      </c>
      <c r="D128" s="260" t="inlineStr">
        <is>
          <t>Kris Hamilton</t>
        </is>
      </c>
      <c r="E128" s="260" t="inlineStr">
        <is>
          <t>Technology Manager, Loyalty &amp; Martech</t>
        </is>
      </c>
      <c r="F128" s="224" t="inlineStr">
        <is>
          <t>Customer</t>
        </is>
      </c>
      <c r="G128" s="260" t="inlineStr">
        <is>
          <t>Loyatly &amp; Martec</t>
        </is>
      </c>
      <c r="H128" s="260" t="inlineStr">
        <is>
          <t>Loyalty, Tech</t>
        </is>
      </c>
      <c r="I128" s="224" t="inlineStr">
        <is>
          <t>Customer</t>
        </is>
      </c>
      <c r="J128" s="260" t="inlineStr">
        <is>
          <t>Customer Z</t>
        </is>
      </c>
      <c r="K128" s="260" t="inlineStr">
        <is>
          <t>Z Energy Martech</t>
        </is>
      </c>
      <c r="L128" s="260" t="n"/>
      <c r="M128" s="261" t="inlineStr">
        <is>
          <t>NZ</t>
        </is>
      </c>
      <c r="N128" t="inlineStr">
        <is>
          <t>Customer</t>
        </is>
      </c>
      <c r="O128" t="inlineStr">
        <is>
          <t>Customer Z</t>
        </is>
      </c>
      <c r="P128" t="inlineStr">
        <is>
          <t>Z Energy Martech</t>
        </is>
      </c>
      <c r="Q128" t="inlineStr">
        <is>
          <t>Squad</t>
        </is>
      </c>
      <c r="R128" t="inlineStr">
        <is>
          <t>Filled</t>
        </is>
      </c>
    </row>
    <row r="129" ht="18" customHeight="1" s="506">
      <c r="A129" s="259" t="n"/>
      <c r="B129" s="282" t="inlineStr">
        <is>
          <t>Vacant</t>
        </is>
      </c>
      <c r="C129" s="260" t="inlineStr">
        <is>
          <t>Solution Architect</t>
        </is>
      </c>
      <c r="D129" s="260" t="inlineStr">
        <is>
          <t>Kris Hamilton</t>
        </is>
      </c>
      <c r="E129" s="260" t="inlineStr">
        <is>
          <t>Technology Manager, Loyalty &amp; Martech</t>
        </is>
      </c>
      <c r="F129" s="224" t="inlineStr">
        <is>
          <t>Customer</t>
        </is>
      </c>
      <c r="G129" s="260" t="inlineStr">
        <is>
          <t>Loyatly &amp; Martec</t>
        </is>
      </c>
      <c r="H129" s="260" t="inlineStr">
        <is>
          <t>Loyalty, Tech</t>
        </is>
      </c>
      <c r="I129" s="224" t="inlineStr">
        <is>
          <t>Customer</t>
        </is>
      </c>
      <c r="J129" s="260" t="inlineStr">
        <is>
          <t>Customer Z</t>
        </is>
      </c>
      <c r="K129" s="260" t="inlineStr">
        <is>
          <t>Z Energy Martech</t>
        </is>
      </c>
      <c r="L129" s="260" t="n"/>
      <c r="M129" s="261" t="n"/>
      <c r="N129" t="inlineStr">
        <is>
          <t>Customer</t>
        </is>
      </c>
      <c r="O129" t="inlineStr">
        <is>
          <t>Customer Z</t>
        </is>
      </c>
      <c r="P129" t="inlineStr">
        <is>
          <t>Z Energy Martech</t>
        </is>
      </c>
      <c r="Q129" t="inlineStr">
        <is>
          <t>Squad</t>
        </is>
      </c>
      <c r="R129" t="inlineStr">
        <is>
          <t>Vacant</t>
        </is>
      </c>
    </row>
    <row r="130" ht="18" customHeight="1" s="506">
      <c r="A130" s="259" t="n">
        <v>99999101633</v>
      </c>
      <c r="B130" s="269" t="inlineStr">
        <is>
          <t>Kishore Ganesan</t>
        </is>
      </c>
      <c r="C130" s="260" t="inlineStr">
        <is>
          <t>Intermediate Quality Assurance</t>
        </is>
      </c>
      <c r="D130" s="260" t="inlineStr">
        <is>
          <t>Kris Hamilton</t>
        </is>
      </c>
      <c r="E130" s="260" t="inlineStr">
        <is>
          <t>Technology Manager, Loyalty &amp; Martech</t>
        </is>
      </c>
      <c r="F130" s="224" t="inlineStr">
        <is>
          <t>Customer</t>
        </is>
      </c>
      <c r="G130" s="260" t="inlineStr">
        <is>
          <t>Loyatly &amp; Martec</t>
        </is>
      </c>
      <c r="H130" s="260" t="inlineStr">
        <is>
          <t>Loyalty, Tech</t>
        </is>
      </c>
      <c r="I130" s="224" t="inlineStr">
        <is>
          <t>Customer</t>
        </is>
      </c>
      <c r="J130" s="260" t="inlineStr">
        <is>
          <t>Customer Z</t>
        </is>
      </c>
      <c r="K130" s="260" t="inlineStr">
        <is>
          <t>Z Energy Martech</t>
        </is>
      </c>
      <c r="L130" s="260" t="n"/>
      <c r="M130" s="261" t="inlineStr">
        <is>
          <t>NZ</t>
        </is>
      </c>
      <c r="N130" t="inlineStr">
        <is>
          <t>Customer</t>
        </is>
      </c>
      <c r="O130" t="inlineStr">
        <is>
          <t>Customer Z</t>
        </is>
      </c>
      <c r="P130" t="inlineStr">
        <is>
          <t>Z Energy Martech</t>
        </is>
      </c>
      <c r="Q130" t="inlineStr">
        <is>
          <t>Squad</t>
        </is>
      </c>
      <c r="R130" t="inlineStr">
        <is>
          <t>Filled</t>
        </is>
      </c>
    </row>
    <row r="131" ht="18" customHeight="1" s="506">
      <c r="A131" s="259" t="n">
        <v>99999101656</v>
      </c>
      <c r="B131" s="269" t="inlineStr">
        <is>
          <t>Carianne Monast</t>
        </is>
      </c>
      <c r="C131" s="260" t="inlineStr">
        <is>
          <t>Martech Specialist</t>
        </is>
      </c>
      <c r="D131" s="260" t="inlineStr">
        <is>
          <t>Kris Hamilton</t>
        </is>
      </c>
      <c r="E131" s="260" t="inlineStr">
        <is>
          <t>Technology Manager, Loyalty &amp; Martech</t>
        </is>
      </c>
      <c r="F131" s="224" t="inlineStr">
        <is>
          <t>Customer</t>
        </is>
      </c>
      <c r="G131" s="260" t="inlineStr">
        <is>
          <t>Loyatly &amp; Martec</t>
        </is>
      </c>
      <c r="H131" s="260" t="inlineStr">
        <is>
          <t>Loyalty, Tech</t>
        </is>
      </c>
      <c r="I131" s="224" t="inlineStr">
        <is>
          <t>Customer</t>
        </is>
      </c>
      <c r="J131" s="260" t="inlineStr">
        <is>
          <t>Customer Z</t>
        </is>
      </c>
      <c r="K131" s="260" t="inlineStr">
        <is>
          <t>Z Energy Martech</t>
        </is>
      </c>
      <c r="L131" s="260" t="n"/>
      <c r="M131" s="261" t="inlineStr">
        <is>
          <t>NZ</t>
        </is>
      </c>
      <c r="N131" t="inlineStr">
        <is>
          <t>Customer</t>
        </is>
      </c>
      <c r="O131" t="inlineStr">
        <is>
          <t>Customer Z</t>
        </is>
      </c>
      <c r="P131" t="inlineStr">
        <is>
          <t>Z Energy Martech</t>
        </is>
      </c>
      <c r="Q131" t="inlineStr">
        <is>
          <t>Squad</t>
        </is>
      </c>
      <c r="R131" t="inlineStr">
        <is>
          <t>Filled</t>
        </is>
      </c>
    </row>
    <row r="132" ht="18" customHeight="1" s="506">
      <c r="A132" s="259" t="n">
        <v>97357</v>
      </c>
      <c r="B132" s="224" t="inlineStr">
        <is>
          <t>Daniel Arban</t>
        </is>
      </c>
      <c r="C132" s="224" t="inlineStr">
        <is>
          <t>Service Delivery Lead</t>
        </is>
      </c>
      <c r="D132" s="224" t="inlineStr">
        <is>
          <t>Mark Wilson</t>
        </is>
      </c>
      <c r="E132" s="224" t="inlineStr">
        <is>
          <t>Digital Support Manager(AU)</t>
        </is>
      </c>
      <c r="F132" s="224" t="inlineStr">
        <is>
          <t>Customer</t>
        </is>
      </c>
      <c r="G132" s="260" t="inlineStr">
        <is>
          <t>Digital</t>
        </is>
      </c>
      <c r="H132" s="224" t="inlineStr">
        <is>
          <t>Digital Support (AU)</t>
        </is>
      </c>
      <c r="I132" s="260" t="inlineStr">
        <is>
          <t>Customer</t>
        </is>
      </c>
      <c r="J132" s="224" t="inlineStr">
        <is>
          <t>Ampol Digital</t>
        </is>
      </c>
      <c r="K132" t="inlineStr">
        <is>
          <t>Digital Ops Support</t>
        </is>
      </c>
      <c r="L132" s="260" t="n"/>
      <c r="M132" s="261" t="inlineStr">
        <is>
          <t>Australia</t>
        </is>
      </c>
      <c r="N132" t="inlineStr">
        <is>
          <t>Customer</t>
        </is>
      </c>
      <c r="O132" t="inlineStr">
        <is>
          <t>Ampol Digital</t>
        </is>
      </c>
      <c r="P132" t="inlineStr">
        <is>
          <t>Digital Operations</t>
        </is>
      </c>
      <c r="Q132" t="inlineStr">
        <is>
          <t>Squad</t>
        </is>
      </c>
      <c r="R132" t="inlineStr">
        <is>
          <t>Filled</t>
        </is>
      </c>
    </row>
    <row r="133" ht="18" customHeight="1" s="506">
      <c r="A133" s="259" t="n">
        <v>106200</v>
      </c>
      <c r="B133" s="224" t="inlineStr">
        <is>
          <t>Emile Violi</t>
        </is>
      </c>
      <c r="C133" s="224" t="inlineStr">
        <is>
          <t>Engineer - BE</t>
        </is>
      </c>
      <c r="D133" s="224" t="inlineStr">
        <is>
          <t>Mark Wilson</t>
        </is>
      </c>
      <c r="E133" t="inlineStr">
        <is>
          <t>Digital Support Manager(AU)</t>
        </is>
      </c>
      <c r="F133" s="224" t="inlineStr">
        <is>
          <t>Customer</t>
        </is>
      </c>
      <c r="G133" s="260" t="inlineStr">
        <is>
          <t>Digital</t>
        </is>
      </c>
      <c r="H133" s="224" t="inlineStr">
        <is>
          <t>Digital Support (AU)</t>
        </is>
      </c>
      <c r="I133" s="260" t="inlineStr">
        <is>
          <t>Customer</t>
        </is>
      </c>
      <c r="J133" s="224" t="inlineStr">
        <is>
          <t>Ampol Digital</t>
        </is>
      </c>
      <c r="K133" s="224" t="inlineStr">
        <is>
          <t>Digital Ops Support</t>
        </is>
      </c>
      <c r="L133" s="260" t="n"/>
      <c r="M133" s="261" t="inlineStr">
        <is>
          <t>Australia</t>
        </is>
      </c>
      <c r="N133" t="inlineStr">
        <is>
          <t>Customer</t>
        </is>
      </c>
      <c r="O133" t="inlineStr">
        <is>
          <t>Ampol Digital</t>
        </is>
      </c>
      <c r="P133" t="inlineStr">
        <is>
          <t>Digital Operations</t>
        </is>
      </c>
      <c r="Q133" t="inlineStr">
        <is>
          <t>Squad</t>
        </is>
      </c>
      <c r="R133" t="inlineStr">
        <is>
          <t>Filled</t>
        </is>
      </c>
    </row>
    <row r="134" ht="18" customHeight="1" s="506">
      <c r="A134" s="259" t="n">
        <v>116957</v>
      </c>
      <c r="B134" s="269" t="inlineStr">
        <is>
          <t>Raj Ganesan</t>
        </is>
      </c>
      <c r="C134" s="260" t="inlineStr">
        <is>
          <t>Engineer - Mobile (ios)</t>
        </is>
      </c>
      <c r="D134" s="260" t="inlineStr">
        <is>
          <t>Mitesh Shah</t>
        </is>
      </c>
      <c r="E134" s="224" t="inlineStr">
        <is>
          <t>Technology Manager, Digitial</t>
        </is>
      </c>
      <c r="F134" s="224" t="inlineStr">
        <is>
          <t>Customer</t>
        </is>
      </c>
      <c r="G134" s="260" t="inlineStr">
        <is>
          <t>Digital</t>
        </is>
      </c>
      <c r="H134" s="260" t="inlineStr">
        <is>
          <t>Tech, Digital</t>
        </is>
      </c>
      <c r="I134" s="260" t="inlineStr">
        <is>
          <t>Customer</t>
        </is>
      </c>
      <c r="J134" s="224" t="inlineStr">
        <is>
          <t>Ampol Digital</t>
        </is>
      </c>
      <c r="K134" s="224" t="inlineStr">
        <is>
          <t>Ampol App</t>
        </is>
      </c>
      <c r="L134" s="260" t="n"/>
      <c r="M134" s="261" t="inlineStr">
        <is>
          <t>Australia</t>
        </is>
      </c>
      <c r="N134" t="inlineStr">
        <is>
          <t>Customer</t>
        </is>
      </c>
      <c r="O134" t="inlineStr">
        <is>
          <t>Ampol Digital</t>
        </is>
      </c>
      <c r="P134" t="inlineStr">
        <is>
          <t>Ampol App</t>
        </is>
      </c>
      <c r="Q134" t="inlineStr">
        <is>
          <t>Squad</t>
        </is>
      </c>
      <c r="R134" t="inlineStr">
        <is>
          <t>Filled</t>
        </is>
      </c>
    </row>
    <row r="135" ht="18" customHeight="1" s="506">
      <c r="A135" s="259" t="n"/>
      <c r="B135" t="inlineStr">
        <is>
          <t>Shreema Das</t>
        </is>
      </c>
      <c r="C135" s="224" t="inlineStr">
        <is>
          <t>Solution Architect</t>
        </is>
      </c>
      <c r="D135" s="224" t="inlineStr">
        <is>
          <t>Mitesh Shah</t>
        </is>
      </c>
      <c r="E135" s="224" t="inlineStr">
        <is>
          <t>Technology Manager, Digitial</t>
        </is>
      </c>
      <c r="F135" s="224" t="inlineStr">
        <is>
          <t>Customer</t>
        </is>
      </c>
      <c r="G135" s="260" t="inlineStr">
        <is>
          <t>Digital</t>
        </is>
      </c>
      <c r="H135" s="224" t="inlineStr">
        <is>
          <t>Digital, Tech</t>
        </is>
      </c>
      <c r="I135" s="260" t="inlineStr">
        <is>
          <t>Customer</t>
        </is>
      </c>
      <c r="J135" s="224" t="inlineStr">
        <is>
          <t>Ampol Digital</t>
        </is>
      </c>
      <c r="K135" s="224" t="inlineStr">
        <is>
          <t>Digital Ops Support</t>
        </is>
      </c>
      <c r="L135" s="260" t="n"/>
      <c r="M135" s="261" t="inlineStr">
        <is>
          <t>Australia</t>
        </is>
      </c>
      <c r="N135" t="inlineStr">
        <is>
          <t>Customer</t>
        </is>
      </c>
      <c r="O135" t="inlineStr">
        <is>
          <t>Ampol Digital</t>
        </is>
      </c>
      <c r="P135" t="inlineStr">
        <is>
          <t>Digital Operations</t>
        </is>
      </c>
      <c r="Q135" t="inlineStr">
        <is>
          <t>Squad</t>
        </is>
      </c>
      <c r="R135" t="inlineStr">
        <is>
          <t>Filled</t>
        </is>
      </c>
    </row>
    <row r="136" ht="18" customHeight="1" s="506">
      <c r="A136" s="259" t="n">
        <v>0</v>
      </c>
      <c r="B136" s="224" t="inlineStr">
        <is>
          <t>Jordan Askwith</t>
        </is>
      </c>
      <c r="C136" s="224" t="inlineStr">
        <is>
          <t>Solution Architect</t>
        </is>
      </c>
      <c r="D136" s="224" t="inlineStr">
        <is>
          <t>Mitesh Shah</t>
        </is>
      </c>
      <c r="E136" s="224" t="inlineStr">
        <is>
          <t>Technology Manager, Digitial</t>
        </is>
      </c>
      <c r="F136" s="224" t="inlineStr">
        <is>
          <t>Customer</t>
        </is>
      </c>
      <c r="G136" s="260" t="inlineStr">
        <is>
          <t>Digital</t>
        </is>
      </c>
      <c r="H136" s="224" t="inlineStr">
        <is>
          <t>Digital, Tech</t>
        </is>
      </c>
      <c r="I136" s="260" t="inlineStr">
        <is>
          <t>Customer</t>
        </is>
      </c>
      <c r="J136" s="224" t="inlineStr">
        <is>
          <t>Ampol Digital</t>
        </is>
      </c>
      <c r="K136" s="224" t="inlineStr">
        <is>
          <t>Ampol Web</t>
        </is>
      </c>
      <c r="L136" s="260" t="n"/>
      <c r="M136" s="261" t="inlineStr">
        <is>
          <t>Australia</t>
        </is>
      </c>
      <c r="N136" t="inlineStr">
        <is>
          <t>Customer</t>
        </is>
      </c>
      <c r="O136" t="inlineStr">
        <is>
          <t>Ampol Digital</t>
        </is>
      </c>
      <c r="P136" t="inlineStr">
        <is>
          <t>Ampol Web</t>
        </is>
      </c>
      <c r="Q136" t="inlineStr">
        <is>
          <t>Squad</t>
        </is>
      </c>
      <c r="R136" t="inlineStr">
        <is>
          <t>Filled</t>
        </is>
      </c>
    </row>
    <row r="137" ht="18" customHeight="1" s="506">
      <c r="A137" s="259" t="n">
        <v>107781</v>
      </c>
      <c r="B137" s="224" t="inlineStr">
        <is>
          <t>Ramez Haider</t>
        </is>
      </c>
      <c r="C137" s="224" t="inlineStr">
        <is>
          <t>Solution Architect</t>
        </is>
      </c>
      <c r="D137" s="224" t="inlineStr">
        <is>
          <t>Mitesh Shah</t>
        </is>
      </c>
      <c r="E137" s="224" t="inlineStr">
        <is>
          <t>Technology Manager, Digitial</t>
        </is>
      </c>
      <c r="F137" s="224" t="inlineStr">
        <is>
          <t>Customer</t>
        </is>
      </c>
      <c r="G137" s="260" t="inlineStr">
        <is>
          <t>Digital</t>
        </is>
      </c>
      <c r="H137" s="224" t="inlineStr">
        <is>
          <t>Digital, Tech</t>
        </is>
      </c>
      <c r="I137" s="260" t="inlineStr">
        <is>
          <t>EGI Integration</t>
        </is>
      </c>
      <c r="J137" s="224" t="inlineStr">
        <is>
          <t>EGI</t>
        </is>
      </c>
      <c r="K137" s="224" t="inlineStr">
        <is>
          <t>EGI Customer</t>
        </is>
      </c>
      <c r="L137" s="260" t="n"/>
      <c r="M137" s="261" t="inlineStr">
        <is>
          <t>Australia</t>
        </is>
      </c>
      <c r="N137" t="inlineStr">
        <is>
          <t>Customer</t>
        </is>
      </c>
      <c r="O137" t="inlineStr">
        <is>
          <t>EGI Customer</t>
        </is>
      </c>
      <c r="P137" t="inlineStr">
        <is>
          <t>EGI Customer</t>
        </is>
      </c>
      <c r="Q137" t="inlineStr">
        <is>
          <t>Strategic Program</t>
        </is>
      </c>
      <c r="R137" t="inlineStr">
        <is>
          <t>Filled</t>
        </is>
      </c>
    </row>
    <row r="138" ht="18" customHeight="1" s="506">
      <c r="A138" s="259" t="n">
        <v>0</v>
      </c>
      <c r="B138" s="224" t="inlineStr">
        <is>
          <t>Annabel Phu</t>
        </is>
      </c>
      <c r="C138" s="224" t="inlineStr">
        <is>
          <t>Engineer - Mobile</t>
        </is>
      </c>
      <c r="D138" s="224" t="inlineStr">
        <is>
          <t>Mitesh Shah</t>
        </is>
      </c>
      <c r="E138" s="224" t="inlineStr">
        <is>
          <t>Technology Manager, Digitial</t>
        </is>
      </c>
      <c r="F138" s="224" t="inlineStr">
        <is>
          <t>Customer</t>
        </is>
      </c>
      <c r="G138" s="260" t="inlineStr">
        <is>
          <t>Digital</t>
        </is>
      </c>
      <c r="H138" s="224" t="inlineStr">
        <is>
          <t>Digital, Tech</t>
        </is>
      </c>
      <c r="I138" s="260" t="inlineStr">
        <is>
          <t>Customer</t>
        </is>
      </c>
      <c r="J138" s="224" t="inlineStr">
        <is>
          <t>Ampol Digital</t>
        </is>
      </c>
      <c r="K138" s="224" t="inlineStr">
        <is>
          <t>Ampol App</t>
        </is>
      </c>
      <c r="L138" s="260" t="n"/>
      <c r="M138" s="261" t="inlineStr">
        <is>
          <t>Australia</t>
        </is>
      </c>
      <c r="N138" t="inlineStr">
        <is>
          <t>Customer</t>
        </is>
      </c>
      <c r="O138" t="inlineStr">
        <is>
          <t>Ampol Digital</t>
        </is>
      </c>
      <c r="P138" t="inlineStr">
        <is>
          <t>Ampol App</t>
        </is>
      </c>
      <c r="Q138" t="inlineStr">
        <is>
          <t>Squad</t>
        </is>
      </c>
      <c r="R138" t="inlineStr">
        <is>
          <t>Filled</t>
        </is>
      </c>
    </row>
    <row r="139" ht="18" customHeight="1" s="506">
      <c r="A139" s="259" t="n">
        <v>108287</v>
      </c>
      <c r="B139" s="224" t="inlineStr">
        <is>
          <t>Binumon Mathai</t>
        </is>
      </c>
      <c r="C139" s="224" t="inlineStr">
        <is>
          <t>Senior Quality Assurance</t>
        </is>
      </c>
      <c r="D139" s="224" t="inlineStr">
        <is>
          <t>Mitesh Shah</t>
        </is>
      </c>
      <c r="E139" s="224" t="inlineStr">
        <is>
          <t>Technology Manager, Digitial</t>
        </is>
      </c>
      <c r="F139" s="224" t="inlineStr">
        <is>
          <t>Customer</t>
        </is>
      </c>
      <c r="G139" s="260" t="inlineStr">
        <is>
          <t>Digital</t>
        </is>
      </c>
      <c r="H139" s="224" t="inlineStr">
        <is>
          <t>Digital, Tech</t>
        </is>
      </c>
      <c r="I139" s="260" t="inlineStr">
        <is>
          <t>Customer</t>
        </is>
      </c>
      <c r="J139" s="224" t="inlineStr">
        <is>
          <t>Ampol Digital</t>
        </is>
      </c>
      <c r="K139" s="224" t="inlineStr">
        <is>
          <t>Ampol App</t>
        </is>
      </c>
      <c r="L139" s="260" t="n"/>
      <c r="M139" s="261" t="inlineStr">
        <is>
          <t>Australia</t>
        </is>
      </c>
      <c r="N139" t="inlineStr">
        <is>
          <t>Customer</t>
        </is>
      </c>
      <c r="O139" t="inlineStr">
        <is>
          <t>Ampol Digital</t>
        </is>
      </c>
      <c r="P139" t="inlineStr">
        <is>
          <t>Ampol App</t>
        </is>
      </c>
      <c r="Q139" t="inlineStr">
        <is>
          <t>Squad</t>
        </is>
      </c>
      <c r="R139" t="inlineStr">
        <is>
          <t>Filled</t>
        </is>
      </c>
    </row>
    <row r="140" ht="18" customHeight="1" s="506">
      <c r="A140" s="259" t="n">
        <v>0</v>
      </c>
      <c r="B140" s="224" t="inlineStr">
        <is>
          <t>Sheetal Karkera</t>
        </is>
      </c>
      <c r="C140" s="224" t="inlineStr">
        <is>
          <t>Lead Engineer - Mobile</t>
        </is>
      </c>
      <c r="D140" s="224" t="inlineStr">
        <is>
          <t>Mitesh Shah</t>
        </is>
      </c>
      <c r="E140" s="224" t="inlineStr">
        <is>
          <t>Technology Manager, Digitial</t>
        </is>
      </c>
      <c r="F140" s="224" t="inlineStr">
        <is>
          <t>Customer</t>
        </is>
      </c>
      <c r="G140" s="260" t="inlineStr">
        <is>
          <t>Digital</t>
        </is>
      </c>
      <c r="H140" s="224" t="inlineStr">
        <is>
          <t>Digital, Tech</t>
        </is>
      </c>
      <c r="I140" s="260" t="inlineStr">
        <is>
          <t>Customer</t>
        </is>
      </c>
      <c r="J140" s="224" t="inlineStr">
        <is>
          <t>Ampol Digital</t>
        </is>
      </c>
      <c r="K140" s="224" t="inlineStr">
        <is>
          <t>Ampol App</t>
        </is>
      </c>
      <c r="L140" s="260" t="n"/>
      <c r="M140" s="261" t="inlineStr">
        <is>
          <t>Australia</t>
        </is>
      </c>
      <c r="N140" t="inlineStr">
        <is>
          <t>Customer</t>
        </is>
      </c>
      <c r="O140" t="inlineStr">
        <is>
          <t>Ampol Digital</t>
        </is>
      </c>
      <c r="P140" t="inlineStr">
        <is>
          <t>Ampol App</t>
        </is>
      </c>
      <c r="Q140" t="inlineStr">
        <is>
          <t>Squad</t>
        </is>
      </c>
      <c r="R140" t="inlineStr">
        <is>
          <t>Filled</t>
        </is>
      </c>
    </row>
    <row r="141" ht="18" customHeight="1" s="506">
      <c r="A141" s="259" t="n">
        <v>115964</v>
      </c>
      <c r="B141" s="224" t="inlineStr">
        <is>
          <t>Toby Clark</t>
        </is>
      </c>
      <c r="C141" s="224" t="inlineStr">
        <is>
          <t>Engineer - Mobile (iOS)</t>
        </is>
      </c>
      <c r="D141" s="224" t="inlineStr">
        <is>
          <t>Mitesh Shah</t>
        </is>
      </c>
      <c r="E141" s="224" t="inlineStr">
        <is>
          <t>Technology Manager, Digitial</t>
        </is>
      </c>
      <c r="F141" s="224" t="inlineStr">
        <is>
          <t>Customer</t>
        </is>
      </c>
      <c r="G141" s="260" t="inlineStr">
        <is>
          <t>Digital</t>
        </is>
      </c>
      <c r="H141" s="224" t="inlineStr">
        <is>
          <t>Digital, Tech</t>
        </is>
      </c>
      <c r="I141" s="260" t="inlineStr">
        <is>
          <t>Customer</t>
        </is>
      </c>
      <c r="J141" s="224" t="inlineStr">
        <is>
          <t>Ampol Digital</t>
        </is>
      </c>
      <c r="K141" s="224" t="inlineStr">
        <is>
          <t>Ampol App</t>
        </is>
      </c>
      <c r="L141" s="260" t="n"/>
      <c r="M141" s="261" t="inlineStr">
        <is>
          <t>Australia</t>
        </is>
      </c>
      <c r="N141" t="inlineStr">
        <is>
          <t>Customer</t>
        </is>
      </c>
      <c r="O141" t="inlineStr">
        <is>
          <t>Ampol Digital</t>
        </is>
      </c>
      <c r="P141" t="inlineStr">
        <is>
          <t>Ampol App</t>
        </is>
      </c>
      <c r="Q141" t="inlineStr">
        <is>
          <t>Squad</t>
        </is>
      </c>
      <c r="R141" t="inlineStr">
        <is>
          <t>Filled</t>
        </is>
      </c>
    </row>
    <row r="142" ht="18" customHeight="1" s="506">
      <c r="A142" s="259" t="n">
        <v>99999101220</v>
      </c>
      <c r="B142" s="224" t="inlineStr">
        <is>
          <t>Byron Thornhill</t>
        </is>
      </c>
      <c r="C142" s="224" t="inlineStr">
        <is>
          <t>Design Manager</t>
        </is>
      </c>
      <c r="D142" s="224" t="inlineStr">
        <is>
          <t>Shona Paul</t>
        </is>
      </c>
      <c r="E142" s="224" t="inlineStr">
        <is>
          <t>Head of Technology, Digital</t>
        </is>
      </c>
      <c r="F142" s="224" t="inlineStr">
        <is>
          <t>Customer</t>
        </is>
      </c>
      <c r="G142" s="260" t="inlineStr">
        <is>
          <t>Digital</t>
        </is>
      </c>
      <c r="H142" s="260" t="inlineStr">
        <is>
          <t>Digital, Design</t>
        </is>
      </c>
      <c r="I142" s="224" t="inlineStr">
        <is>
          <t>Customer</t>
        </is>
      </c>
      <c r="J142" s="224" t="inlineStr">
        <is>
          <t>Customer Z, Ampol Digital</t>
        </is>
      </c>
      <c r="K142" s="224" t="inlineStr">
        <is>
          <t>Leadership</t>
        </is>
      </c>
      <c r="L142" s="260" t="n"/>
      <c r="M142" s="261" t="inlineStr">
        <is>
          <t>NZ</t>
        </is>
      </c>
      <c r="N142" t="inlineStr">
        <is>
          <t>Customer</t>
        </is>
      </c>
      <c r="O142" t="inlineStr">
        <is>
          <t>Leadership</t>
        </is>
      </c>
      <c r="P142" t="inlineStr">
        <is>
          <t>Leadership</t>
        </is>
      </c>
      <c r="Q142" t="inlineStr">
        <is>
          <t>Leadership</t>
        </is>
      </c>
      <c r="R142" t="inlineStr">
        <is>
          <t>Filled</t>
        </is>
      </c>
    </row>
    <row r="143" ht="18" customHeight="1" s="506">
      <c r="A143" s="259" t="n">
        <v>114123</v>
      </c>
      <c r="B143" s="224" t="inlineStr">
        <is>
          <t>Adriel Jeyanandhan</t>
        </is>
      </c>
      <c r="C143" s="224" t="inlineStr">
        <is>
          <t>Delivery Manager</t>
        </is>
      </c>
      <c r="D143" s="224" t="inlineStr">
        <is>
          <t>Shona Paul</t>
        </is>
      </c>
      <c r="E143" s="224" t="inlineStr">
        <is>
          <t>Head of Technology, Digital</t>
        </is>
      </c>
      <c r="F143" s="224" t="inlineStr">
        <is>
          <t>Customer</t>
        </is>
      </c>
      <c r="G143" s="260" t="inlineStr">
        <is>
          <t>Digital</t>
        </is>
      </c>
      <c r="H143" s="224" t="inlineStr">
        <is>
          <t>Digital, Delivery</t>
        </is>
      </c>
      <c r="I143" s="224" t="inlineStr">
        <is>
          <t>Customer</t>
        </is>
      </c>
      <c r="J143" s="224" t="inlineStr">
        <is>
          <t>Ampol Digital</t>
        </is>
      </c>
      <c r="K143" s="224" t="inlineStr">
        <is>
          <t>Leadership</t>
        </is>
      </c>
      <c r="L143" s="260" t="n"/>
      <c r="M143" s="261" t="inlineStr">
        <is>
          <t>Australia</t>
        </is>
      </c>
      <c r="N143" t="inlineStr">
        <is>
          <t>Customer</t>
        </is>
      </c>
      <c r="O143" t="inlineStr">
        <is>
          <t>Leadership</t>
        </is>
      </c>
      <c r="P143" t="inlineStr">
        <is>
          <t>Leadership</t>
        </is>
      </c>
      <c r="Q143" t="inlineStr">
        <is>
          <t>Leadership</t>
        </is>
      </c>
      <c r="R143" t="inlineStr">
        <is>
          <t>Filled</t>
        </is>
      </c>
    </row>
    <row r="144" ht="18" customHeight="1" s="506">
      <c r="A144" s="259" t="n"/>
      <c r="B144" s="282" t="inlineStr">
        <is>
          <t>Vacant (B2B)</t>
        </is>
      </c>
      <c r="C144" s="224" t="inlineStr">
        <is>
          <t>Engineer - BE</t>
        </is>
      </c>
      <c r="D144" s="224" t="inlineStr">
        <is>
          <t>vacant</t>
        </is>
      </c>
      <c r="E144" s="224" t="inlineStr">
        <is>
          <t>Technology Manager, Digital Engineering</t>
        </is>
      </c>
      <c r="F144" s="224" t="inlineStr">
        <is>
          <t>Customer</t>
        </is>
      </c>
      <c r="G144" s="260" t="inlineStr">
        <is>
          <t>Digital</t>
        </is>
      </c>
      <c r="H144" s="260" t="inlineStr">
        <is>
          <t>Tech, Digital Engineering</t>
        </is>
      </c>
      <c r="I144" s="260" t="inlineStr">
        <is>
          <t>Customer</t>
        </is>
      </c>
      <c r="J144" s="224" t="inlineStr">
        <is>
          <t>Ampol Digital</t>
        </is>
      </c>
      <c r="K144" s="224" t="inlineStr">
        <is>
          <t>B2B</t>
        </is>
      </c>
      <c r="L144" s="260" t="n"/>
      <c r="M144" s="261" t="inlineStr">
        <is>
          <t>Australia</t>
        </is>
      </c>
      <c r="N144" t="inlineStr">
        <is>
          <t>Energy Solutions &amp; B2B</t>
        </is>
      </c>
      <c r="O144" t="inlineStr">
        <is>
          <t>B2B</t>
        </is>
      </c>
      <c r="P144" t="inlineStr">
        <is>
          <t>B2B</t>
        </is>
      </c>
      <c r="Q144" t="inlineStr">
        <is>
          <t>Squad</t>
        </is>
      </c>
      <c r="R144" t="inlineStr">
        <is>
          <t>Filled</t>
        </is>
      </c>
    </row>
    <row r="145" ht="18" customHeight="1" s="506">
      <c r="A145" s="259" t="n">
        <v>117173</v>
      </c>
      <c r="B145" s="224" t="inlineStr">
        <is>
          <t>Ashwini Gaikwad</t>
        </is>
      </c>
      <c r="C145" s="224" t="inlineStr">
        <is>
          <t>Quality Assurance</t>
        </is>
      </c>
      <c r="D145" s="224" t="inlineStr">
        <is>
          <t>Vacant</t>
        </is>
      </c>
      <c r="E145" s="224" t="inlineStr">
        <is>
          <t>Technology Manager, Digitial</t>
        </is>
      </c>
      <c r="F145" s="224" t="inlineStr">
        <is>
          <t>Customer</t>
        </is>
      </c>
      <c r="G145" s="260" t="inlineStr">
        <is>
          <t>Digital</t>
        </is>
      </c>
      <c r="H145" s="224" t="inlineStr">
        <is>
          <t>Digital, Tech</t>
        </is>
      </c>
      <c r="I145" s="260" t="inlineStr">
        <is>
          <t>Customer</t>
        </is>
      </c>
      <c r="J145" s="224" t="inlineStr">
        <is>
          <t>Ampol Digital</t>
        </is>
      </c>
      <c r="K145" s="224" t="inlineStr">
        <is>
          <t>Ampol Web</t>
        </is>
      </c>
      <c r="L145" s="260" t="n"/>
      <c r="M145" s="261" t="inlineStr">
        <is>
          <t>Australia</t>
        </is>
      </c>
      <c r="N145" t="inlineStr">
        <is>
          <t>Customer</t>
        </is>
      </c>
      <c r="O145" t="inlineStr">
        <is>
          <t>Ampol Digital</t>
        </is>
      </c>
      <c r="P145" t="inlineStr">
        <is>
          <t>Ampol Web</t>
        </is>
      </c>
      <c r="Q145" t="inlineStr">
        <is>
          <t>Squad</t>
        </is>
      </c>
      <c r="R145" t="inlineStr">
        <is>
          <t>Filled</t>
        </is>
      </c>
    </row>
    <row r="146" ht="18" customHeight="1" s="506">
      <c r="A146" s="259" t="n">
        <v>0</v>
      </c>
      <c r="B146" s="224" t="inlineStr">
        <is>
          <t>Phillip Kewley</t>
        </is>
      </c>
      <c r="C146" s="224" t="inlineStr">
        <is>
          <t>Quality Assurance</t>
        </is>
      </c>
      <c r="D146" s="224" t="inlineStr">
        <is>
          <t>Vacant</t>
        </is>
      </c>
      <c r="E146" s="224" t="inlineStr">
        <is>
          <t>Technology Manager, Digitial</t>
        </is>
      </c>
      <c r="F146" s="224" t="inlineStr">
        <is>
          <t>Customer</t>
        </is>
      </c>
      <c r="G146" s="260" t="inlineStr">
        <is>
          <t>Digital</t>
        </is>
      </c>
      <c r="H146" s="224" t="inlineStr">
        <is>
          <t>Digital, Tech</t>
        </is>
      </c>
      <c r="I146" s="260" t="inlineStr">
        <is>
          <t>Customer</t>
        </is>
      </c>
      <c r="J146" s="224" t="inlineStr">
        <is>
          <t>Ampol Digital</t>
        </is>
      </c>
      <c r="K146" s="224" t="inlineStr">
        <is>
          <t>Ampol App</t>
        </is>
      </c>
      <c r="L146" s="260" t="n"/>
      <c r="M146" s="261" t="inlineStr">
        <is>
          <t>Australia</t>
        </is>
      </c>
      <c r="N146" t="inlineStr">
        <is>
          <t>Customer</t>
        </is>
      </c>
      <c r="O146" t="inlineStr">
        <is>
          <t>Ampol Digital</t>
        </is>
      </c>
      <c r="P146" t="inlineStr">
        <is>
          <t>Ampol App</t>
        </is>
      </c>
      <c r="Q146" t="inlineStr">
        <is>
          <t>Squad</t>
        </is>
      </c>
      <c r="R146" t="inlineStr">
        <is>
          <t>Filled</t>
        </is>
      </c>
    </row>
    <row r="147" ht="18" customHeight="1" s="506">
      <c r="A147" s="259" t="n">
        <v>99999101454</v>
      </c>
      <c r="B147" s="269" t="inlineStr">
        <is>
          <t>Celia Voysey</t>
        </is>
      </c>
      <c r="C147" s="260" t="inlineStr">
        <is>
          <t>Delivery Lead</t>
        </is>
      </c>
      <c r="D147" s="260" t="inlineStr">
        <is>
          <t>Vacant</t>
        </is>
      </c>
      <c r="E147" s="260" t="inlineStr">
        <is>
          <t>Delivery Manager, Loyalty</t>
        </is>
      </c>
      <c r="F147" s="224" t="inlineStr">
        <is>
          <t>Customer</t>
        </is>
      </c>
      <c r="G147" s="260" t="inlineStr">
        <is>
          <t>Loyatly &amp; Martec</t>
        </is>
      </c>
      <c r="H147" s="224" t="inlineStr">
        <is>
          <t xml:space="preserve">Loyalty, Delivery </t>
        </is>
      </c>
      <c r="I147" s="224" t="inlineStr">
        <is>
          <t>Customer</t>
        </is>
      </c>
      <c r="J147" s="260" t="inlineStr">
        <is>
          <t>Customer Z</t>
        </is>
      </c>
      <c r="K147" s="260" t="inlineStr">
        <is>
          <t>Z Energy Martech</t>
        </is>
      </c>
      <c r="L147" s="260" t="n"/>
      <c r="M147" s="261" t="inlineStr">
        <is>
          <t>NZ</t>
        </is>
      </c>
      <c r="N147" t="inlineStr">
        <is>
          <t>Customer</t>
        </is>
      </c>
      <c r="O147" t="inlineStr">
        <is>
          <t>Customer Z</t>
        </is>
      </c>
      <c r="P147" t="inlineStr">
        <is>
          <t>Z Energy Martech</t>
        </is>
      </c>
      <c r="Q147" t="inlineStr">
        <is>
          <t>Squad</t>
        </is>
      </c>
      <c r="R147" t="inlineStr">
        <is>
          <t>Filled</t>
        </is>
      </c>
    </row>
    <row r="148" ht="18" customHeight="1" s="506">
      <c r="A148" s="259" t="n"/>
      <c r="B148" s="282" t="inlineStr">
        <is>
          <t>Vacant</t>
        </is>
      </c>
      <c r="C148" s="260" t="inlineStr">
        <is>
          <t>System Specialist</t>
        </is>
      </c>
      <c r="D148" s="260" t="inlineStr">
        <is>
          <t>Vacant</t>
        </is>
      </c>
      <c r="E148" s="260" t="inlineStr">
        <is>
          <t>Delivery Manager, Loyalty</t>
        </is>
      </c>
      <c r="F148" s="224" t="inlineStr">
        <is>
          <t>Customer</t>
        </is>
      </c>
      <c r="G148" s="260" t="inlineStr">
        <is>
          <t>Loyatly &amp; Martec</t>
        </is>
      </c>
      <c r="H148" s="224" t="inlineStr">
        <is>
          <t xml:space="preserve">Loyalty, Delivery </t>
        </is>
      </c>
      <c r="I148" s="224" t="inlineStr">
        <is>
          <t>Customer</t>
        </is>
      </c>
      <c r="J148" s="260" t="inlineStr">
        <is>
          <t>Group Customer</t>
        </is>
      </c>
      <c r="K148" s="260" t="inlineStr">
        <is>
          <t>AU CRM &amp; Martech</t>
        </is>
      </c>
      <c r="L148" s="260" t="n"/>
      <c r="M148" s="261" t="n"/>
      <c r="N148" t="inlineStr">
        <is>
          <t>Customer</t>
        </is>
      </c>
      <c r="O148" t="inlineStr">
        <is>
          <t>Group Customer Platforms</t>
        </is>
      </c>
      <c r="P148" t="inlineStr">
        <is>
          <t>AU CRM &amp; Martech</t>
        </is>
      </c>
      <c r="Q148" t="inlineStr">
        <is>
          <t>Squad</t>
        </is>
      </c>
      <c r="R148" t="inlineStr">
        <is>
          <t>Vacant</t>
        </is>
      </c>
    </row>
    <row r="149" ht="18" customHeight="1" s="506">
      <c r="A149" s="259" t="n">
        <v>99999101891</v>
      </c>
      <c r="B149" s="269" t="inlineStr">
        <is>
          <t>Shinal Chamberlain</t>
        </is>
      </c>
      <c r="C149" s="260" t="inlineStr">
        <is>
          <t>Business Analyst</t>
        </is>
      </c>
      <c r="D149" s="260" t="inlineStr">
        <is>
          <t>Vacant</t>
        </is>
      </c>
      <c r="E149" s="260" t="inlineStr">
        <is>
          <t>Delivery Manager, Loyalty</t>
        </is>
      </c>
      <c r="F149" s="224" t="inlineStr">
        <is>
          <t>Customer</t>
        </is>
      </c>
      <c r="G149" s="260" t="inlineStr">
        <is>
          <t>Loyatly &amp; Martec</t>
        </is>
      </c>
      <c r="H149" s="224" t="inlineStr">
        <is>
          <t xml:space="preserve">Loyalty, Delivery </t>
        </is>
      </c>
      <c r="I149" s="224" t="inlineStr">
        <is>
          <t>Customer</t>
        </is>
      </c>
      <c r="J149" s="260" t="inlineStr">
        <is>
          <t>Group Customer</t>
        </is>
      </c>
      <c r="K149" s="260" t="inlineStr">
        <is>
          <t>AU CRM &amp; Martech</t>
        </is>
      </c>
      <c r="L149" s="260" t="n"/>
      <c r="M149" s="261" t="inlineStr">
        <is>
          <t>NZ</t>
        </is>
      </c>
      <c r="N149" t="inlineStr">
        <is>
          <t>Customer</t>
        </is>
      </c>
      <c r="O149" t="inlineStr">
        <is>
          <t>Group Customer Platforms</t>
        </is>
      </c>
      <c r="P149" t="inlineStr">
        <is>
          <t>AU CRM &amp; Martech</t>
        </is>
      </c>
      <c r="Q149" t="inlineStr">
        <is>
          <t>Squad</t>
        </is>
      </c>
      <c r="R149" t="inlineStr">
        <is>
          <t>Filled</t>
        </is>
      </c>
    </row>
    <row r="150" ht="18" customHeight="1" s="506">
      <c r="A150" s="259" t="n">
        <v>99999101370</v>
      </c>
      <c r="B150" s="269" t="inlineStr">
        <is>
          <t>Denise Esguerra</t>
        </is>
      </c>
      <c r="C150" s="260" t="inlineStr">
        <is>
          <t>Martech Specialist</t>
        </is>
      </c>
      <c r="D150" s="260" t="inlineStr">
        <is>
          <t>Vacant</t>
        </is>
      </c>
      <c r="E150" s="260" t="inlineStr">
        <is>
          <t>Technology Manager, Loyalty &amp; Martech</t>
        </is>
      </c>
      <c r="F150" s="224" t="inlineStr">
        <is>
          <t>Customer</t>
        </is>
      </c>
      <c r="G150" s="260" t="inlineStr">
        <is>
          <t>Loyatly &amp; Martec</t>
        </is>
      </c>
      <c r="H150" s="260" t="inlineStr">
        <is>
          <t>Loyalty, Tech</t>
        </is>
      </c>
      <c r="I150" s="224" t="inlineStr">
        <is>
          <t>Customer</t>
        </is>
      </c>
      <c r="J150" s="260" t="inlineStr">
        <is>
          <t>(All Customer)</t>
        </is>
      </c>
      <c r="K150" s="260" t="inlineStr">
        <is>
          <t>Z Energy Martech</t>
        </is>
      </c>
      <c r="L150" s="260" t="n"/>
      <c r="M150" s="261" t="inlineStr">
        <is>
          <t>NZ</t>
        </is>
      </c>
      <c r="N150" t="inlineStr">
        <is>
          <t>Customer</t>
        </is>
      </c>
      <c r="O150" t="inlineStr">
        <is>
          <t>Customer Z</t>
        </is>
      </c>
      <c r="P150" t="inlineStr">
        <is>
          <t>Z Energy Martech</t>
        </is>
      </c>
      <c r="Q150" t="inlineStr">
        <is>
          <t>Squad</t>
        </is>
      </c>
      <c r="R150" t="inlineStr">
        <is>
          <t>Filled</t>
        </is>
      </c>
    </row>
    <row r="151" ht="18" customHeight="1" s="506">
      <c r="A151" s="259" t="n">
        <v>0</v>
      </c>
      <c r="B151" s="224" t="inlineStr">
        <is>
          <t>Waheed Malek</t>
        </is>
      </c>
      <c r="C151" s="224" t="inlineStr">
        <is>
          <t>Quality Assurance</t>
        </is>
      </c>
      <c r="D151" s="224" t="inlineStr">
        <is>
          <t>Vacant</t>
        </is>
      </c>
      <c r="E151" s="224" t="inlineStr">
        <is>
          <t>Technology Manager, Digitial</t>
        </is>
      </c>
      <c r="F151" s="224" t="inlineStr">
        <is>
          <t>Customer</t>
        </is>
      </c>
      <c r="G151" s="260" t="inlineStr">
        <is>
          <t>Loyalty &amp; Martech</t>
        </is>
      </c>
      <c r="H151" s="224" t="inlineStr">
        <is>
          <t>Digital, Tech</t>
        </is>
      </c>
      <c r="I151" s="260" t="inlineStr">
        <is>
          <t>EGI Integration</t>
        </is>
      </c>
      <c r="J151" s="224" t="inlineStr">
        <is>
          <t>EGI</t>
        </is>
      </c>
      <c r="K151" s="224" t="inlineStr">
        <is>
          <t>EGI Customer</t>
        </is>
      </c>
      <c r="L151" s="260" t="n"/>
      <c r="M151" s="261" t="inlineStr">
        <is>
          <t>Australia</t>
        </is>
      </c>
      <c r="N151" t="inlineStr">
        <is>
          <t>Customer</t>
        </is>
      </c>
      <c r="O151" t="inlineStr">
        <is>
          <t>EGI Customer</t>
        </is>
      </c>
      <c r="P151" t="inlineStr">
        <is>
          <t>EGI Customer</t>
        </is>
      </c>
      <c r="Q151" t="inlineStr">
        <is>
          <t>Strategic Program</t>
        </is>
      </c>
      <c r="R151" t="inlineStr">
        <is>
          <t>Filled</t>
        </is>
      </c>
    </row>
    <row r="152" ht="18" customHeight="1" s="506">
      <c r="A152" s="259" t="n">
        <v>114753</v>
      </c>
      <c r="B152" s="224" t="inlineStr">
        <is>
          <t>Zoe Udy</t>
        </is>
      </c>
      <c r="C152" s="224" t="inlineStr">
        <is>
          <t>Technology Manager – Data &amp; Engineering</t>
        </is>
      </c>
      <c r="D152" s="224" t="inlineStr">
        <is>
          <t>Vacant</t>
        </is>
      </c>
      <c r="E152" s="224" t="inlineStr">
        <is>
          <t>Head of Technology, Loyalty &amp; Martech</t>
        </is>
      </c>
      <c r="F152" s="224" t="inlineStr">
        <is>
          <t>Customer</t>
        </is>
      </c>
      <c r="G152" s="260" t="inlineStr">
        <is>
          <t>Loyalty &amp; Martech</t>
        </is>
      </c>
      <c r="H152" s="224" t="inlineStr">
        <is>
          <t>Loyalty, Data &amp; Engineering</t>
        </is>
      </c>
      <c r="I152" s="224" t="inlineStr">
        <is>
          <t>Customer</t>
        </is>
      </c>
      <c r="J152" s="224" t="inlineStr">
        <is>
          <t>Customer Z, Group Customer Platforms</t>
        </is>
      </c>
      <c r="K152" s="224" t="inlineStr">
        <is>
          <t>Leadership</t>
        </is>
      </c>
      <c r="L152" s="260" t="n"/>
      <c r="M152" s="261" t="n"/>
      <c r="N152" t="inlineStr">
        <is>
          <t>Customer</t>
        </is>
      </c>
      <c r="O152" t="inlineStr">
        <is>
          <t>Leadership</t>
        </is>
      </c>
      <c r="P152" t="inlineStr">
        <is>
          <t>Leadership</t>
        </is>
      </c>
      <c r="Q152" t="inlineStr">
        <is>
          <t>Leadership</t>
        </is>
      </c>
      <c r="R152" t="inlineStr">
        <is>
          <t>Filled</t>
        </is>
      </c>
    </row>
    <row r="153" ht="18" customHeight="1" s="506">
      <c r="A153" s="259" t="n"/>
      <c r="B153" s="282" t="inlineStr">
        <is>
          <t>Vacant</t>
        </is>
      </c>
      <c r="C153" s="260" t="inlineStr">
        <is>
          <t>Engineer Data (Snowflake)</t>
        </is>
      </c>
      <c r="D153" s="260" t="inlineStr">
        <is>
          <t>Vacant</t>
        </is>
      </c>
      <c r="E153" s="260" t="inlineStr">
        <is>
          <t>Technology Manager, Data &amp; Engineering</t>
        </is>
      </c>
      <c r="F153" s="224" t="inlineStr">
        <is>
          <t>Customer</t>
        </is>
      </c>
      <c r="G153" s="260" t="inlineStr">
        <is>
          <t>Loyatly &amp; Martec</t>
        </is>
      </c>
      <c r="H153" s="224" t="inlineStr">
        <is>
          <t>Loyalty, Data &amp; Engineering</t>
        </is>
      </c>
      <c r="I153" s="224" t="inlineStr">
        <is>
          <t>Customer</t>
        </is>
      </c>
      <c r="J153" s="260" t="inlineStr">
        <is>
          <t>Group Customer</t>
        </is>
      </c>
      <c r="K153" s="224" t="inlineStr">
        <is>
          <t>AU CRM &amp; Martech</t>
        </is>
      </c>
      <c r="L153" s="260" t="n"/>
      <c r="M153" s="261" t="n"/>
      <c r="N153" t="inlineStr">
        <is>
          <t>Customer</t>
        </is>
      </c>
      <c r="O153" t="inlineStr">
        <is>
          <t>Group Customer Platforms</t>
        </is>
      </c>
      <c r="P153" t="inlineStr">
        <is>
          <t>AU CRM &amp; Martech</t>
        </is>
      </c>
      <c r="Q153" t="inlineStr">
        <is>
          <t>Squad</t>
        </is>
      </c>
      <c r="R153" t="inlineStr">
        <is>
          <t>Vacant</t>
        </is>
      </c>
    </row>
    <row r="154" ht="18" customHeight="1" s="506">
      <c r="A154" s="259" t="n">
        <v>97200</v>
      </c>
      <c r="B154" s="224" t="inlineStr">
        <is>
          <t>Mitesh Shah</t>
        </is>
      </c>
      <c r="C154" s="224" t="inlineStr">
        <is>
          <t>Technology Manager - Digital</t>
        </is>
      </c>
      <c r="D154" s="224" t="inlineStr">
        <is>
          <t>Vacant</t>
        </is>
      </c>
      <c r="E154" s="224" t="inlineStr">
        <is>
          <t>Head of Technology, Digital</t>
        </is>
      </c>
      <c r="F154" s="224" t="inlineStr">
        <is>
          <t>Customer</t>
        </is>
      </c>
      <c r="G154" s="260" t="inlineStr">
        <is>
          <t>Digital</t>
        </is>
      </c>
      <c r="H154" s="260" t="inlineStr">
        <is>
          <t>Tech, Digital</t>
        </is>
      </c>
      <c r="I154" s="224" t="inlineStr">
        <is>
          <t>Customer</t>
        </is>
      </c>
      <c r="J154" s="224" t="inlineStr">
        <is>
          <t>Ampol Digital</t>
        </is>
      </c>
      <c r="K154" s="224" t="inlineStr">
        <is>
          <t>Leadership</t>
        </is>
      </c>
      <c r="L154" s="260" t="n"/>
      <c r="M154" s="261" t="inlineStr">
        <is>
          <t>Australia</t>
        </is>
      </c>
      <c r="N154" t="inlineStr">
        <is>
          <t>Customer</t>
        </is>
      </c>
      <c r="O154" t="inlineStr">
        <is>
          <t>Leadership</t>
        </is>
      </c>
      <c r="P154" t="inlineStr">
        <is>
          <t>Leadership</t>
        </is>
      </c>
      <c r="Q154" t="inlineStr">
        <is>
          <t>Leadership</t>
        </is>
      </c>
      <c r="R154" t="inlineStr">
        <is>
          <t>Filled</t>
        </is>
      </c>
    </row>
    <row r="155" ht="18" customHeight="1" s="506">
      <c r="A155" s="259" t="n">
        <v>99999100279</v>
      </c>
      <c r="B155" s="224" t="inlineStr">
        <is>
          <t>Kris Hamilton</t>
        </is>
      </c>
      <c r="C155" s="224" t="inlineStr">
        <is>
          <t>Technology Manager - Loyalty &amp; Martech</t>
        </is>
      </c>
      <c r="D155" s="224" t="inlineStr">
        <is>
          <t>Vacant</t>
        </is>
      </c>
      <c r="E155" s="224" t="inlineStr">
        <is>
          <t>Head of Technology, Loyalty &amp; Martech</t>
        </is>
      </c>
      <c r="F155" s="224" t="inlineStr">
        <is>
          <t>Customer</t>
        </is>
      </c>
      <c r="G155" s="260" t="inlineStr">
        <is>
          <t>Loyalty &amp; Martech</t>
        </is>
      </c>
      <c r="H155" s="224" t="inlineStr">
        <is>
          <t>Loyalty, Tech</t>
        </is>
      </c>
      <c r="I155" s="224" t="inlineStr">
        <is>
          <t>Customer</t>
        </is>
      </c>
      <c r="J155" s="224" t="inlineStr">
        <is>
          <t>Customer Z, Group Customer Platforms</t>
        </is>
      </c>
      <c r="K155" s="224" t="inlineStr">
        <is>
          <t>Leadership</t>
        </is>
      </c>
      <c r="L155" s="260" t="n"/>
      <c r="M155" s="261" t="inlineStr">
        <is>
          <t>NZ</t>
        </is>
      </c>
      <c r="N155" t="inlineStr">
        <is>
          <t>Customer</t>
        </is>
      </c>
      <c r="O155" t="inlineStr">
        <is>
          <t>Leadership</t>
        </is>
      </c>
      <c r="P155" t="inlineStr">
        <is>
          <t>Leadership</t>
        </is>
      </c>
      <c r="Q155" t="inlineStr">
        <is>
          <t>Leadership</t>
        </is>
      </c>
      <c r="R155" t="inlineStr">
        <is>
          <t>Filled</t>
        </is>
      </c>
    </row>
    <row r="156" ht="18" customHeight="1" s="506">
      <c r="A156" s="259" t="n">
        <v>0</v>
      </c>
      <c r="B156" s="224" t="inlineStr">
        <is>
          <t>Aaron Lu</t>
        </is>
      </c>
      <c r="C156" s="224" t="inlineStr">
        <is>
          <t>Engineer - BE</t>
        </is>
      </c>
      <c r="D156" s="224" t="inlineStr">
        <is>
          <t>vacant</t>
        </is>
      </c>
      <c r="E156" s="224" t="inlineStr">
        <is>
          <t>Technology Manager, Digital Engineering</t>
        </is>
      </c>
      <c r="F156" s="224" t="inlineStr">
        <is>
          <t>Customer</t>
        </is>
      </c>
      <c r="G156" s="260" t="inlineStr">
        <is>
          <t>Digital</t>
        </is>
      </c>
      <c r="H156" s="260" t="inlineStr">
        <is>
          <t>Tech, Digital Engineering</t>
        </is>
      </c>
      <c r="I156" s="260" t="inlineStr">
        <is>
          <t>Customer</t>
        </is>
      </c>
      <c r="J156" s="224" t="inlineStr">
        <is>
          <t>Ampol Digital</t>
        </is>
      </c>
      <c r="K156" s="224" t="inlineStr">
        <is>
          <t>Ampol Web</t>
        </is>
      </c>
      <c r="L156" s="260" t="n"/>
      <c r="M156" s="261" t="inlineStr">
        <is>
          <t>Australia</t>
        </is>
      </c>
      <c r="N156" t="inlineStr">
        <is>
          <t>Customer</t>
        </is>
      </c>
      <c r="O156" t="inlineStr">
        <is>
          <t>Ampol Digital</t>
        </is>
      </c>
      <c r="P156" t="inlineStr">
        <is>
          <t>Ampol Web</t>
        </is>
      </c>
      <c r="Q156" t="inlineStr">
        <is>
          <t>Squad</t>
        </is>
      </c>
      <c r="R156" t="inlineStr">
        <is>
          <t>Filled</t>
        </is>
      </c>
    </row>
    <row r="157" ht="18" customHeight="1" s="506">
      <c r="A157" s="259" t="n">
        <v>0</v>
      </c>
      <c r="B157" s="224" t="inlineStr">
        <is>
          <t>Safiq Iqbal</t>
        </is>
      </c>
      <c r="C157" s="224" t="inlineStr">
        <is>
          <t>Principal Engineer</t>
        </is>
      </c>
      <c r="D157" s="224" t="inlineStr">
        <is>
          <t>Vacant</t>
        </is>
      </c>
      <c r="E157" s="224" t="inlineStr">
        <is>
          <t>Head of Technology, Digital</t>
        </is>
      </c>
      <c r="F157" s="224" t="inlineStr">
        <is>
          <t>Customer</t>
        </is>
      </c>
      <c r="G157" s="260" t="inlineStr">
        <is>
          <t>Digital</t>
        </is>
      </c>
      <c r="H157" s="260" t="inlineStr">
        <is>
          <t>EGI</t>
        </is>
      </c>
      <c r="I157" s="260" t="inlineStr">
        <is>
          <t>EGI Integration</t>
        </is>
      </c>
      <c r="J157" s="224" t="inlineStr">
        <is>
          <t>EGI</t>
        </is>
      </c>
      <c r="K157" s="224" t="inlineStr">
        <is>
          <t>EGI Customer</t>
        </is>
      </c>
      <c r="L157" s="260" t="n"/>
      <c r="M157" s="261" t="inlineStr">
        <is>
          <t>Australia</t>
        </is>
      </c>
      <c r="N157" t="inlineStr">
        <is>
          <t>Customer</t>
        </is>
      </c>
      <c r="O157" t="inlineStr">
        <is>
          <t>EGI Customer</t>
        </is>
      </c>
      <c r="P157" t="inlineStr">
        <is>
          <t>EGI Customer</t>
        </is>
      </c>
      <c r="Q157" t="inlineStr">
        <is>
          <t>Strategic Program</t>
        </is>
      </c>
      <c r="R157" t="inlineStr">
        <is>
          <t>Filled</t>
        </is>
      </c>
    </row>
    <row r="158" ht="18" customHeight="1" s="506">
      <c r="A158" s="259" t="n"/>
      <c r="B158" s="224" t="inlineStr">
        <is>
          <t>Vacant</t>
        </is>
      </c>
      <c r="C158" s="260" t="inlineStr">
        <is>
          <t>Snr Engineer, (TBD</t>
        </is>
      </c>
      <c r="D158" s="260" t="inlineStr">
        <is>
          <t>vacant</t>
        </is>
      </c>
      <c r="E158" s="260" t="inlineStr">
        <is>
          <t>AI Enablement Lead</t>
        </is>
      </c>
      <c r="F158" s="224" t="inlineStr">
        <is>
          <t>Customer</t>
        </is>
      </c>
      <c r="G158" s="260" t="inlineStr">
        <is>
          <t>Customer, AI Enablement</t>
        </is>
      </c>
      <c r="H158" s="260" t="n"/>
      <c r="I158" s="260" t="inlineStr">
        <is>
          <t>Customer</t>
        </is>
      </c>
      <c r="J158" s="260" t="inlineStr">
        <is>
          <t>(All Customer)</t>
        </is>
      </c>
      <c r="K158" s="224" t="inlineStr">
        <is>
          <t>Customer, AI</t>
        </is>
      </c>
      <c r="L158" s="260" t="n"/>
      <c r="M158" s="261" t="n"/>
      <c r="N158" t="inlineStr">
        <is>
          <t>Customer</t>
        </is>
      </c>
      <c r="O158" t="inlineStr">
        <is>
          <t>-</t>
        </is>
      </c>
      <c r="P158" t="inlineStr">
        <is>
          <t>Customer AI</t>
        </is>
      </c>
      <c r="Q158" t="inlineStr">
        <is>
          <t>Unmapped</t>
        </is>
      </c>
      <c r="R158" t="inlineStr">
        <is>
          <t>Vacant</t>
        </is>
      </c>
    </row>
    <row r="159" ht="18" customHeight="1" s="506">
      <c r="A159" s="259" t="n"/>
      <c r="B159" s="224" t="inlineStr">
        <is>
          <t>Vacant (B2B)</t>
        </is>
      </c>
      <c r="C159" s="224" t="inlineStr">
        <is>
          <t>Engineer - BE</t>
        </is>
      </c>
      <c r="D159" s="224" t="inlineStr">
        <is>
          <t>vacant</t>
        </is>
      </c>
      <c r="E159" s="224" t="inlineStr">
        <is>
          <t>Technology Manager, Digital Engineering</t>
        </is>
      </c>
      <c r="F159" s="224" t="inlineStr">
        <is>
          <t>Customer</t>
        </is>
      </c>
      <c r="G159" s="260" t="inlineStr">
        <is>
          <t>Digital</t>
        </is>
      </c>
      <c r="H159" s="260" t="inlineStr">
        <is>
          <t>Tech, Digital Engineering</t>
        </is>
      </c>
      <c r="I159" s="260" t="inlineStr">
        <is>
          <t>Customer</t>
        </is>
      </c>
      <c r="J159" s="224" t="inlineStr">
        <is>
          <t>Ampol Digital</t>
        </is>
      </c>
      <c r="K159" s="224" t="inlineStr">
        <is>
          <t>B2B</t>
        </is>
      </c>
      <c r="L159" s="260" t="n"/>
      <c r="M159" s="261" t="inlineStr">
        <is>
          <t>Australia</t>
        </is>
      </c>
      <c r="N159" t="inlineStr">
        <is>
          <t>Energy Solutions &amp; B2B</t>
        </is>
      </c>
      <c r="O159" t="inlineStr">
        <is>
          <t>B2B</t>
        </is>
      </c>
      <c r="P159" t="inlineStr">
        <is>
          <t>B2B</t>
        </is>
      </c>
      <c r="Q159" t="inlineStr">
        <is>
          <t>Squad</t>
        </is>
      </c>
      <c r="R159" t="inlineStr">
        <is>
          <t>Filled</t>
        </is>
      </c>
    </row>
    <row r="160" ht="18" customHeight="1" s="506">
      <c r="A160" s="259" t="n"/>
      <c r="B160" s="224" t="inlineStr">
        <is>
          <t>Vacant</t>
        </is>
      </c>
      <c r="C160" s="224" t="inlineStr">
        <is>
          <t>AI Enablement Lead</t>
        </is>
      </c>
      <c r="D160" s="224" t="inlineStr">
        <is>
          <t>Vacant</t>
        </is>
      </c>
      <c r="E160" s="224" t="inlineStr">
        <is>
          <t>GM TDD, Customer</t>
        </is>
      </c>
      <c r="F160" s="224" t="inlineStr">
        <is>
          <t>Customer</t>
        </is>
      </c>
      <c r="G160" s="260" t="inlineStr">
        <is>
          <t>Customer, AI Enablement</t>
        </is>
      </c>
      <c r="H160" s="224" t="n"/>
      <c r="I160" s="224" t="inlineStr">
        <is>
          <t>Customer</t>
        </is>
      </c>
      <c r="J160" s="224" t="inlineStr">
        <is>
          <t>(All Customer)</t>
        </is>
      </c>
      <c r="K160" s="224" t="inlineStr">
        <is>
          <t>Leadership</t>
        </is>
      </c>
      <c r="L160" s="260" t="n"/>
      <c r="M160" s="261" t="n"/>
      <c r="N160" t="inlineStr">
        <is>
          <t>Customer</t>
        </is>
      </c>
      <c r="O160" t="inlineStr">
        <is>
          <t>Leadership</t>
        </is>
      </c>
      <c r="P160" t="inlineStr">
        <is>
          <t>Leadership</t>
        </is>
      </c>
      <c r="Q160" t="inlineStr">
        <is>
          <t>Leadership</t>
        </is>
      </c>
      <c r="R160" t="inlineStr">
        <is>
          <t>Vacant</t>
        </is>
      </c>
    </row>
    <row r="161" ht="18" customHeight="1" s="506">
      <c r="A161" s="259" t="n">
        <v>99999101612</v>
      </c>
      <c r="B161" s="224" t="inlineStr">
        <is>
          <t>Shane Abrahams</t>
        </is>
      </c>
      <c r="C161" s="224" t="inlineStr">
        <is>
          <t>Digital Support Manager - NZ</t>
        </is>
      </c>
      <c r="D161" s="224" t="inlineStr">
        <is>
          <t>Vacant</t>
        </is>
      </c>
      <c r="E161" s="224" t="inlineStr">
        <is>
          <t>Head of Technology, Digital</t>
        </is>
      </c>
      <c r="F161" s="224" t="inlineStr">
        <is>
          <t>Customer</t>
        </is>
      </c>
      <c r="G161" s="260" t="inlineStr">
        <is>
          <t>Digital</t>
        </is>
      </c>
      <c r="H161" s="260" t="inlineStr">
        <is>
          <t>Digital Support (NZ)</t>
        </is>
      </c>
      <c r="I161" s="224" t="inlineStr">
        <is>
          <t>Customer</t>
        </is>
      </c>
      <c r="J161" s="224" t="inlineStr">
        <is>
          <t>Customer Z</t>
        </is>
      </c>
      <c r="K161" s="224" t="inlineStr">
        <is>
          <t>Z Energy Apps</t>
        </is>
      </c>
      <c r="L161" s="260" t="n"/>
      <c r="M161" s="261" t="inlineStr">
        <is>
          <t>NZ</t>
        </is>
      </c>
      <c r="N161" t="inlineStr">
        <is>
          <t>Customer</t>
        </is>
      </c>
      <c r="O161" t="inlineStr">
        <is>
          <t>Customer Z</t>
        </is>
      </c>
      <c r="P161" t="inlineStr">
        <is>
          <t>Z Energy Apps</t>
        </is>
      </c>
      <c r="Q161" t="inlineStr">
        <is>
          <t>Squad</t>
        </is>
      </c>
      <c r="R161" t="inlineStr">
        <is>
          <t>Filled</t>
        </is>
      </c>
    </row>
    <row r="162" ht="18" customHeight="1" s="506">
      <c r="A162" s="259" t="n">
        <v>4781</v>
      </c>
      <c r="B162" s="224" t="inlineStr">
        <is>
          <t>Mark Wilson</t>
        </is>
      </c>
      <c r="C162" s="224" t="inlineStr">
        <is>
          <t>Digital Support Manager (AU)</t>
        </is>
      </c>
      <c r="D162" s="224" t="inlineStr">
        <is>
          <t>Vacant</t>
        </is>
      </c>
      <c r="E162" s="224" t="inlineStr">
        <is>
          <t>Head of Technology, Digital</t>
        </is>
      </c>
      <c r="F162" s="224" t="inlineStr">
        <is>
          <t>Customer</t>
        </is>
      </c>
      <c r="G162" s="260" t="inlineStr">
        <is>
          <t>Digital</t>
        </is>
      </c>
      <c r="H162" s="260" t="inlineStr">
        <is>
          <t>Digital Support (AU)</t>
        </is>
      </c>
      <c r="I162" s="260" t="inlineStr">
        <is>
          <t>Customer</t>
        </is>
      </c>
      <c r="J162" s="224" t="inlineStr">
        <is>
          <t>Ampol Digital</t>
        </is>
      </c>
      <c r="K162" s="224" t="inlineStr">
        <is>
          <t>Digital Ops Support</t>
        </is>
      </c>
      <c r="L162" s="260" t="n"/>
      <c r="M162" s="261" t="inlineStr">
        <is>
          <t>Australia</t>
        </is>
      </c>
      <c r="N162" t="inlineStr">
        <is>
          <t>Customer</t>
        </is>
      </c>
      <c r="O162" t="inlineStr">
        <is>
          <t>Ampol Digital</t>
        </is>
      </c>
      <c r="P162" t="inlineStr">
        <is>
          <t>Digital Operations</t>
        </is>
      </c>
      <c r="Q162" t="inlineStr">
        <is>
          <t>Squad</t>
        </is>
      </c>
      <c r="R162" t="inlineStr">
        <is>
          <t>Filled</t>
        </is>
      </c>
    </row>
    <row r="163" ht="18" customHeight="1" s="506">
      <c r="A163" s="259" t="n">
        <v>115607</v>
      </c>
      <c r="B163" s="224" t="inlineStr">
        <is>
          <t>Zohan Sim</t>
        </is>
      </c>
      <c r="C163" s="224" t="inlineStr">
        <is>
          <t>Engineer - BE</t>
        </is>
      </c>
      <c r="D163" s="224" t="inlineStr">
        <is>
          <t>Vacant</t>
        </is>
      </c>
      <c r="E163" s="224" t="inlineStr">
        <is>
          <t>Lead Engineer - BE</t>
        </is>
      </c>
      <c r="F163" s="224" t="inlineStr">
        <is>
          <t>Customer</t>
        </is>
      </c>
      <c r="G163" s="260" t="inlineStr">
        <is>
          <t>Digital</t>
        </is>
      </c>
      <c r="H163" s="260" t="inlineStr">
        <is>
          <t>Tech, Digital Engineering</t>
        </is>
      </c>
      <c r="I163" s="260" t="inlineStr">
        <is>
          <t>Customer</t>
        </is>
      </c>
      <c r="J163" s="224" t="inlineStr">
        <is>
          <t>Ampol Digital</t>
        </is>
      </c>
      <c r="K163" s="224" t="inlineStr">
        <is>
          <t>Ampol Web</t>
        </is>
      </c>
      <c r="L163" s="260" t="n"/>
      <c r="M163" s="261" t="inlineStr">
        <is>
          <t>Australia</t>
        </is>
      </c>
      <c r="N163" t="inlineStr">
        <is>
          <t>Customer</t>
        </is>
      </c>
      <c r="O163" t="inlineStr">
        <is>
          <t>Ampol Digital</t>
        </is>
      </c>
      <c r="P163" t="inlineStr">
        <is>
          <t>Ampol Web</t>
        </is>
      </c>
      <c r="Q163" t="inlineStr">
        <is>
          <t>Squad</t>
        </is>
      </c>
      <c r="R163" t="inlineStr">
        <is>
          <t>Filled</t>
        </is>
      </c>
    </row>
    <row r="164" ht="18" customHeight="1" s="506">
      <c r="A164" s="259" t="n"/>
      <c r="B164" s="224" t="inlineStr">
        <is>
          <t>Vacant</t>
        </is>
      </c>
      <c r="C164" s="224" t="inlineStr">
        <is>
          <t>Engineer - BE</t>
        </is>
      </c>
      <c r="D164" s="224" t="inlineStr">
        <is>
          <t>Vacant</t>
        </is>
      </c>
      <c r="E164" s="224" t="inlineStr">
        <is>
          <t>Digital Support Manager(AU)</t>
        </is>
      </c>
      <c r="F164" s="224" t="inlineStr">
        <is>
          <t>Customer</t>
        </is>
      </c>
      <c r="G164" s="260" t="inlineStr">
        <is>
          <t>Digital</t>
        </is>
      </c>
      <c r="H164" s="224" t="inlineStr">
        <is>
          <t>Delivery, Commercial Fuels</t>
        </is>
      </c>
      <c r="I164" s="260" t="inlineStr">
        <is>
          <t>Customer</t>
        </is>
      </c>
      <c r="J164" s="224" t="inlineStr">
        <is>
          <t>Ampol Digital</t>
        </is>
      </c>
      <c r="K164" s="224" t="inlineStr">
        <is>
          <t>Digital Ops Support</t>
        </is>
      </c>
      <c r="L164" s="260" t="n"/>
      <c r="M164" s="261" t="inlineStr">
        <is>
          <t>Australia</t>
        </is>
      </c>
      <c r="N164" t="inlineStr">
        <is>
          <t>Customer</t>
        </is>
      </c>
      <c r="O164" t="inlineStr">
        <is>
          <t>Ampol Digital</t>
        </is>
      </c>
      <c r="P164" t="inlineStr">
        <is>
          <t>Digital Operations</t>
        </is>
      </c>
      <c r="Q164" t="inlineStr">
        <is>
          <t>Squad</t>
        </is>
      </c>
      <c r="R164" t="inlineStr">
        <is>
          <t>Vacant</t>
        </is>
      </c>
    </row>
    <row r="165" ht="18" customHeight="1" s="506">
      <c r="A165" s="259" t="n"/>
      <c r="B165" s="224" t="inlineStr">
        <is>
          <t>Vacant</t>
        </is>
      </c>
      <c r="C165" s="260" t="inlineStr">
        <is>
          <t>Engineer, (TBD)</t>
        </is>
      </c>
      <c r="D165" s="260" t="inlineStr">
        <is>
          <t>Vacant</t>
        </is>
      </c>
      <c r="E165" s="260" t="inlineStr">
        <is>
          <t>AI Enablement Lead</t>
        </is>
      </c>
      <c r="F165" s="224" t="inlineStr">
        <is>
          <t>Customer</t>
        </is>
      </c>
      <c r="G165" s="260" t="inlineStr">
        <is>
          <t>Customer, AI Enablement</t>
        </is>
      </c>
      <c r="H165" s="260" t="n"/>
      <c r="I165" s="260" t="inlineStr">
        <is>
          <t>Customer</t>
        </is>
      </c>
      <c r="J165" s="260" t="inlineStr">
        <is>
          <t>(All Customer)</t>
        </is>
      </c>
      <c r="K165" s="224" t="inlineStr">
        <is>
          <t>Customer, AI</t>
        </is>
      </c>
      <c r="L165" s="260" t="n"/>
      <c r="M165" s="261" t="n"/>
      <c r="N165" t="inlineStr">
        <is>
          <t>Customer</t>
        </is>
      </c>
      <c r="O165" t="inlineStr">
        <is>
          <t>-</t>
        </is>
      </c>
      <c r="P165" t="inlineStr">
        <is>
          <t>Customer AI</t>
        </is>
      </c>
      <c r="Q165" t="inlineStr">
        <is>
          <t>Unmapped</t>
        </is>
      </c>
      <c r="R165" t="inlineStr">
        <is>
          <t>Vacant</t>
        </is>
      </c>
    </row>
    <row r="166" ht="18" customHeight="1" s="506">
      <c r="A166" s="259" t="n">
        <v>114395</v>
      </c>
      <c r="B166" s="224" t="inlineStr">
        <is>
          <t>Rishabh Bhatia</t>
        </is>
      </c>
      <c r="C166" s="224" t="inlineStr">
        <is>
          <t>Engineer - Mobile (Android)</t>
        </is>
      </c>
      <c r="D166" s="224" t="inlineStr">
        <is>
          <t>Vacant</t>
        </is>
      </c>
      <c r="E166" s="224" t="inlineStr">
        <is>
          <t>Technology Manager, Digitial</t>
        </is>
      </c>
      <c r="F166" s="224" t="inlineStr">
        <is>
          <t>Customer</t>
        </is>
      </c>
      <c r="G166" s="260" t="inlineStr">
        <is>
          <t>Digital</t>
        </is>
      </c>
      <c r="H166" s="224" t="inlineStr">
        <is>
          <t>Digital, Tech</t>
        </is>
      </c>
      <c r="I166" s="260" t="inlineStr">
        <is>
          <t>EGI Integration</t>
        </is>
      </c>
      <c r="J166" s="224" t="inlineStr">
        <is>
          <t>EGI</t>
        </is>
      </c>
      <c r="K166" s="224" t="inlineStr">
        <is>
          <t>EGI Customer</t>
        </is>
      </c>
      <c r="L166" s="260" t="n"/>
      <c r="M166" s="261" t="inlineStr">
        <is>
          <t>Australia</t>
        </is>
      </c>
      <c r="N166" t="inlineStr">
        <is>
          <t>Customer</t>
        </is>
      </c>
      <c r="O166" t="inlineStr">
        <is>
          <t>EGI Customer</t>
        </is>
      </c>
      <c r="P166" t="inlineStr">
        <is>
          <t>EGI Customer</t>
        </is>
      </c>
      <c r="Q166" t="inlineStr">
        <is>
          <t>Strategic Program</t>
        </is>
      </c>
      <c r="R166" t="inlineStr">
        <is>
          <t>Filled</t>
        </is>
      </c>
    </row>
    <row r="167" ht="18" customHeight="1" s="506">
      <c r="A167" s="259" t="n"/>
      <c r="B167" s="224" t="inlineStr">
        <is>
          <t>Vacant</t>
        </is>
      </c>
      <c r="C167" s="224" t="inlineStr">
        <is>
          <t>Engineer - BE</t>
        </is>
      </c>
      <c r="D167" s="224" t="inlineStr">
        <is>
          <t>Vacant</t>
        </is>
      </c>
      <c r="E167" s="224" t="inlineStr">
        <is>
          <t>Digital Support Manager(AU)</t>
        </is>
      </c>
      <c r="F167" s="224" t="inlineStr">
        <is>
          <t>Customer</t>
        </is>
      </c>
      <c r="G167" s="260" t="inlineStr">
        <is>
          <t>Digital</t>
        </is>
      </c>
      <c r="H167" s="224" t="inlineStr">
        <is>
          <t>Digital Support (AU)</t>
        </is>
      </c>
      <c r="I167" s="260" t="inlineStr">
        <is>
          <t>Customer</t>
        </is>
      </c>
      <c r="J167" s="224" t="inlineStr">
        <is>
          <t>Ampol Digital</t>
        </is>
      </c>
      <c r="K167" s="224" t="inlineStr">
        <is>
          <t>Digital Ops Support</t>
        </is>
      </c>
      <c r="L167" s="260" t="n"/>
      <c r="M167" s="261" t="inlineStr">
        <is>
          <t>Australia</t>
        </is>
      </c>
      <c r="N167" t="inlineStr">
        <is>
          <t>Customer</t>
        </is>
      </c>
      <c r="O167" t="inlineStr">
        <is>
          <t>Ampol Digital</t>
        </is>
      </c>
      <c r="P167" t="inlineStr">
        <is>
          <t>Digital Operations</t>
        </is>
      </c>
      <c r="Q167" t="inlineStr">
        <is>
          <t>Squad</t>
        </is>
      </c>
      <c r="R167" t="inlineStr">
        <is>
          <t>Vacant</t>
        </is>
      </c>
    </row>
    <row r="168" ht="18" customHeight="1" s="506">
      <c r="A168" s="259" t="n">
        <v>99999101730</v>
      </c>
      <c r="B168" s="269" t="inlineStr">
        <is>
          <t>Scott Cullen</t>
        </is>
      </c>
      <c r="C168" s="260" t="inlineStr">
        <is>
          <t>Engineer, Dev Ops</t>
        </is>
      </c>
      <c r="D168" s="260" t="inlineStr">
        <is>
          <t>Vacant</t>
        </is>
      </c>
      <c r="E168" s="260" t="inlineStr">
        <is>
          <t>Technology Manager, Data &amp; Engineering</t>
        </is>
      </c>
      <c r="F168" s="224" t="inlineStr">
        <is>
          <t>Customer</t>
        </is>
      </c>
      <c r="G168" s="260" t="inlineStr">
        <is>
          <t>Loyatly &amp; Martec</t>
        </is>
      </c>
      <c r="H168" s="224" t="inlineStr">
        <is>
          <t>Loyalty, Data &amp; Engineering</t>
        </is>
      </c>
      <c r="I168" s="224" t="inlineStr">
        <is>
          <t>Customer</t>
        </is>
      </c>
      <c r="J168" s="260" t="inlineStr">
        <is>
          <t>Customer Z</t>
        </is>
      </c>
      <c r="K168" s="260" t="inlineStr">
        <is>
          <t>Z Energy Martech</t>
        </is>
      </c>
      <c r="L168" s="260" t="n"/>
      <c r="M168" s="261" t="inlineStr">
        <is>
          <t>NZ</t>
        </is>
      </c>
      <c r="N168" t="inlineStr">
        <is>
          <t>Customer</t>
        </is>
      </c>
      <c r="O168" t="inlineStr">
        <is>
          <t>Customer Z</t>
        </is>
      </c>
      <c r="P168" t="inlineStr">
        <is>
          <t>Z Energy Martech</t>
        </is>
      </c>
      <c r="Q168" t="inlineStr">
        <is>
          <t>Squad</t>
        </is>
      </c>
      <c r="R168" t="inlineStr">
        <is>
          <t>Filled</t>
        </is>
      </c>
    </row>
    <row r="169" ht="18" customHeight="1" s="506">
      <c r="A169" s="259" t="n">
        <v>97634</v>
      </c>
      <c r="B169" s="224" t="inlineStr">
        <is>
          <t>Khalid Mahmud</t>
        </is>
      </c>
      <c r="C169" s="224" t="inlineStr">
        <is>
          <t>Lead Engineer - BE</t>
        </is>
      </c>
      <c r="D169" s="224" t="inlineStr">
        <is>
          <t>vacant</t>
        </is>
      </c>
      <c r="E169" s="224" t="inlineStr">
        <is>
          <t>Technology Manager, Digital Engineering</t>
        </is>
      </c>
      <c r="F169" s="224" t="inlineStr">
        <is>
          <t>Customer</t>
        </is>
      </c>
      <c r="G169" s="260" t="inlineStr">
        <is>
          <t>Digital</t>
        </is>
      </c>
      <c r="H169" s="260" t="inlineStr">
        <is>
          <t>Tech, Digital Engineering</t>
        </is>
      </c>
      <c r="I169" s="260" t="inlineStr">
        <is>
          <t>Customer</t>
        </is>
      </c>
      <c r="J169" s="224" t="inlineStr">
        <is>
          <t>Ampol Digital</t>
        </is>
      </c>
      <c r="K169" s="224" t="inlineStr">
        <is>
          <t>Ampol App</t>
        </is>
      </c>
      <c r="L169" s="260" t="n"/>
      <c r="M169" s="261" t="inlineStr">
        <is>
          <t>Australia</t>
        </is>
      </c>
      <c r="N169" t="inlineStr">
        <is>
          <t>Customer</t>
        </is>
      </c>
      <c r="O169" t="inlineStr">
        <is>
          <t>Ampol Digital</t>
        </is>
      </c>
      <c r="P169" t="inlineStr">
        <is>
          <t>Ampol App</t>
        </is>
      </c>
      <c r="Q169" t="inlineStr">
        <is>
          <t>Squad</t>
        </is>
      </c>
      <c r="R169" t="inlineStr">
        <is>
          <t>Filled</t>
        </is>
      </c>
    </row>
    <row r="170" ht="18" customHeight="1" s="506">
      <c r="A170" s="259" t="n">
        <v>107144</v>
      </c>
      <c r="B170" s="224" t="inlineStr">
        <is>
          <t>Jasper Na</t>
        </is>
      </c>
      <c r="C170" s="224" t="inlineStr">
        <is>
          <t>Associate Engineer - BE</t>
        </is>
      </c>
      <c r="D170" s="224" t="inlineStr">
        <is>
          <t>Vacant</t>
        </is>
      </c>
      <c r="E170" s="224" t="inlineStr">
        <is>
          <t>Lead Engineer - BE</t>
        </is>
      </c>
      <c r="F170" s="224" t="inlineStr">
        <is>
          <t>Customer</t>
        </is>
      </c>
      <c r="G170" s="260" t="inlineStr">
        <is>
          <t>Digital</t>
        </is>
      </c>
      <c r="H170" s="260" t="inlineStr">
        <is>
          <t>Tech, Digital Engineering</t>
        </is>
      </c>
      <c r="I170" s="260" t="inlineStr">
        <is>
          <t>Customer</t>
        </is>
      </c>
      <c r="J170" s="224" t="inlineStr">
        <is>
          <t>Ampol Digital</t>
        </is>
      </c>
      <c r="K170" s="224" t="inlineStr">
        <is>
          <t>Energy</t>
        </is>
      </c>
      <c r="L170" s="260" t="n"/>
      <c r="M170" s="261" t="inlineStr">
        <is>
          <t>Australia</t>
        </is>
      </c>
      <c r="N170" t="inlineStr">
        <is>
          <t>Energy Solutions &amp; B2B</t>
        </is>
      </c>
      <c r="O170" t="inlineStr">
        <is>
          <t>Energy Solutions</t>
        </is>
      </c>
      <c r="P170" t="inlineStr">
        <is>
          <t>Energy</t>
        </is>
      </c>
      <c r="Q170" t="inlineStr">
        <is>
          <t>Squad</t>
        </is>
      </c>
      <c r="R170" t="inlineStr">
        <is>
          <t>Filled</t>
        </is>
      </c>
    </row>
    <row r="171" ht="18" customHeight="1" s="506">
      <c r="A171" s="259" t="n"/>
      <c r="B171" s="224" t="inlineStr">
        <is>
          <t>Vacant</t>
        </is>
      </c>
      <c r="C171" s="224" t="inlineStr">
        <is>
          <t>Snr Engineer - BE</t>
        </is>
      </c>
      <c r="D171" s="224" t="inlineStr">
        <is>
          <t>Vacant</t>
        </is>
      </c>
      <c r="E171" s="224" t="inlineStr">
        <is>
          <t>Lead Engineer - BE</t>
        </is>
      </c>
      <c r="F171" s="224" t="inlineStr">
        <is>
          <t>Customer</t>
        </is>
      </c>
      <c r="G171" s="260" t="inlineStr">
        <is>
          <t>Digital</t>
        </is>
      </c>
      <c r="H171" s="260" t="inlineStr">
        <is>
          <t>Tech, Digital Engineering</t>
        </is>
      </c>
      <c r="I171" s="260" t="inlineStr">
        <is>
          <t>Customer</t>
        </is>
      </c>
      <c r="J171" s="224" t="inlineStr">
        <is>
          <t>Ampol Digital</t>
        </is>
      </c>
      <c r="K171" s="224" t="inlineStr">
        <is>
          <t>Ampol Web</t>
        </is>
      </c>
      <c r="L171" s="260" t="n"/>
      <c r="M171" s="261" t="inlineStr">
        <is>
          <t>Australia</t>
        </is>
      </c>
      <c r="N171" t="inlineStr">
        <is>
          <t>Customer</t>
        </is>
      </c>
      <c r="O171" t="inlineStr">
        <is>
          <t>Ampol Digital</t>
        </is>
      </c>
      <c r="P171" t="inlineStr">
        <is>
          <t>Ampol Web</t>
        </is>
      </c>
      <c r="Q171" t="inlineStr">
        <is>
          <t>Squad</t>
        </is>
      </c>
      <c r="R171" t="inlineStr">
        <is>
          <t>Vacant</t>
        </is>
      </c>
    </row>
    <row r="172" ht="18" customHeight="1" s="506">
      <c r="A172" s="259" t="n"/>
      <c r="B172" s="282" t="inlineStr">
        <is>
          <t>Vacant</t>
        </is>
      </c>
      <c r="C172" s="260" t="inlineStr">
        <is>
          <t>Data Analyst</t>
        </is>
      </c>
      <c r="D172" s="260" t="inlineStr">
        <is>
          <t>Vacant</t>
        </is>
      </c>
      <c r="E172" s="260" t="inlineStr">
        <is>
          <t>Technology Manager, Data &amp; Engineering</t>
        </is>
      </c>
      <c r="F172" s="224" t="inlineStr">
        <is>
          <t>Customer</t>
        </is>
      </c>
      <c r="G172" s="260" t="inlineStr">
        <is>
          <t>Loyatly &amp; Martec</t>
        </is>
      </c>
      <c r="H172" s="224" t="inlineStr">
        <is>
          <t>Loyalty, Data &amp; Engineering</t>
        </is>
      </c>
      <c r="I172" s="224" t="inlineStr">
        <is>
          <t>Customer</t>
        </is>
      </c>
      <c r="J172" s="260" t="inlineStr">
        <is>
          <t>Group Customer</t>
        </is>
      </c>
      <c r="K172" s="224" t="inlineStr">
        <is>
          <t>AU CRM &amp; Martech</t>
        </is>
      </c>
      <c r="L172" s="260" t="n"/>
      <c r="M172" s="261" t="n"/>
      <c r="N172" t="inlineStr">
        <is>
          <t>Customer</t>
        </is>
      </c>
      <c r="O172" t="inlineStr">
        <is>
          <t>Group Customer Platforms</t>
        </is>
      </c>
      <c r="P172" t="inlineStr">
        <is>
          <t>AU CRM &amp; Martech</t>
        </is>
      </c>
      <c r="Q172" t="inlineStr">
        <is>
          <t>Squad</t>
        </is>
      </c>
      <c r="R172" t="inlineStr">
        <is>
          <t>Vacant</t>
        </is>
      </c>
    </row>
    <row r="173" ht="18" customHeight="1" s="506">
      <c r="A173" s="259" t="n">
        <v>99999101324</v>
      </c>
      <c r="B173" s="269" t="inlineStr">
        <is>
          <t>Angela Gilbert</t>
        </is>
      </c>
      <c r="C173" s="260" t="inlineStr">
        <is>
          <t>Martech Lead - Dynamics</t>
        </is>
      </c>
      <c r="D173" s="260" t="inlineStr">
        <is>
          <t>Vacant</t>
        </is>
      </c>
      <c r="E173" s="260" t="inlineStr">
        <is>
          <t>Delivery Manager, Loyalty</t>
        </is>
      </c>
      <c r="F173" s="224" t="inlineStr">
        <is>
          <t>Customer</t>
        </is>
      </c>
      <c r="G173" s="260" t="inlineStr">
        <is>
          <t>Loyatly &amp; Martec</t>
        </is>
      </c>
      <c r="H173" s="224" t="inlineStr">
        <is>
          <t xml:space="preserve">Loyalty, Delivery </t>
        </is>
      </c>
      <c r="I173" s="224" t="inlineStr">
        <is>
          <t>Customer</t>
        </is>
      </c>
      <c r="J173" s="260" t="inlineStr">
        <is>
          <t>Group Customer</t>
        </is>
      </c>
      <c r="K173" s="260" t="inlineStr">
        <is>
          <t>AU CRM &amp; Martech</t>
        </is>
      </c>
      <c r="L173" s="260" t="n"/>
      <c r="M173" s="261" t="inlineStr">
        <is>
          <t>NZ</t>
        </is>
      </c>
      <c r="N173" t="inlineStr">
        <is>
          <t>Customer</t>
        </is>
      </c>
      <c r="O173" t="inlineStr">
        <is>
          <t>Group Customer Platforms</t>
        </is>
      </c>
      <c r="P173" t="inlineStr">
        <is>
          <t>AU CRM &amp; Martech</t>
        </is>
      </c>
      <c r="Q173" t="inlineStr">
        <is>
          <t>Squad</t>
        </is>
      </c>
      <c r="R173" t="inlineStr">
        <is>
          <t>Filled</t>
        </is>
      </c>
    </row>
    <row r="174" ht="18" customHeight="1" s="506">
      <c r="A174" s="259" t="n">
        <v>109041</v>
      </c>
      <c r="B174" s="224" t="inlineStr">
        <is>
          <t>Darwin Morales</t>
        </is>
      </c>
      <c r="C174" s="224" t="inlineStr">
        <is>
          <t>Snr Engineer - FE</t>
        </is>
      </c>
      <c r="D174" s="224" t="inlineStr">
        <is>
          <t>Vacant</t>
        </is>
      </c>
      <c r="E174" s="224" t="inlineStr">
        <is>
          <t>Technology Manager, Digitial</t>
        </is>
      </c>
      <c r="F174" s="224" t="inlineStr">
        <is>
          <t>Customer</t>
        </is>
      </c>
      <c r="G174" s="260" t="inlineStr">
        <is>
          <t>Digital</t>
        </is>
      </c>
      <c r="H174" s="224" t="inlineStr">
        <is>
          <t>Digital, Tech</t>
        </is>
      </c>
      <c r="I174" s="260" t="inlineStr">
        <is>
          <t>Customer</t>
        </is>
      </c>
      <c r="J174" s="224" t="inlineStr">
        <is>
          <t>Ampol Digital</t>
        </is>
      </c>
      <c r="K174" s="224" t="inlineStr">
        <is>
          <t>Ampol Web</t>
        </is>
      </c>
      <c r="L174" s="260" t="n"/>
      <c r="M174" s="261" t="inlineStr">
        <is>
          <t>Australia</t>
        </is>
      </c>
      <c r="N174" t="inlineStr">
        <is>
          <t>Customer</t>
        </is>
      </c>
      <c r="O174" t="inlineStr">
        <is>
          <t>Ampol Digital</t>
        </is>
      </c>
      <c r="P174" t="inlineStr">
        <is>
          <t>Ampol Web</t>
        </is>
      </c>
      <c r="Q174" t="inlineStr">
        <is>
          <t>Squad</t>
        </is>
      </c>
      <c r="R174" t="inlineStr">
        <is>
          <t>Filled</t>
        </is>
      </c>
    </row>
    <row r="175" ht="18" customHeight="1" s="506">
      <c r="A175" s="259" t="n">
        <v>116387</v>
      </c>
      <c r="B175" s="224" t="inlineStr">
        <is>
          <t>Christian Lazano</t>
        </is>
      </c>
      <c r="C175" s="224" t="inlineStr">
        <is>
          <t>Business Analyst</t>
        </is>
      </c>
      <c r="D175" s="224" t="inlineStr">
        <is>
          <t>Vacant</t>
        </is>
      </c>
      <c r="E175" s="224" t="inlineStr">
        <is>
          <t>customer, program manager</t>
        </is>
      </c>
      <c r="F175" s="224" t="inlineStr">
        <is>
          <t>Customer</t>
        </is>
      </c>
      <c r="G175" s="260" t="inlineStr">
        <is>
          <t>Customer, PMO</t>
        </is>
      </c>
      <c r="H175" s="224" t="n"/>
      <c r="I175" s="224" t="inlineStr">
        <is>
          <t>Customer</t>
        </is>
      </c>
      <c r="J175" s="260" t="inlineStr">
        <is>
          <t>(All Customer)</t>
        </is>
      </c>
      <c r="K175" s="224" t="inlineStr">
        <is>
          <t>Leadership</t>
        </is>
      </c>
      <c r="L175" s="260" t="n"/>
      <c r="M175" s="261" t="inlineStr">
        <is>
          <t>Australia</t>
        </is>
      </c>
      <c r="N175" t="inlineStr">
        <is>
          <t>Customer</t>
        </is>
      </c>
      <c r="O175" t="inlineStr">
        <is>
          <t>Leadership</t>
        </is>
      </c>
      <c r="P175" t="inlineStr">
        <is>
          <t>Leadership</t>
        </is>
      </c>
      <c r="Q175" t="inlineStr">
        <is>
          <t>Leadership</t>
        </is>
      </c>
      <c r="R175" t="inlineStr">
        <is>
          <t>Filled</t>
        </is>
      </c>
    </row>
    <row r="176" ht="18" customHeight="1" s="506">
      <c r="A176" s="259" t="n">
        <v>116408</v>
      </c>
      <c r="B176" s="224" t="inlineStr">
        <is>
          <t>Abhilash Reddy</t>
        </is>
      </c>
      <c r="C176" s="224" t="inlineStr">
        <is>
          <t>Project Manager</t>
        </is>
      </c>
      <c r="D176" s="224" t="inlineStr">
        <is>
          <t>Vacant</t>
        </is>
      </c>
      <c r="E176" s="224" t="inlineStr">
        <is>
          <t>Program Manager</t>
        </is>
      </c>
      <c r="F176" s="224" t="inlineStr">
        <is>
          <t>Customer</t>
        </is>
      </c>
      <c r="G176" s="260" t="inlineStr">
        <is>
          <t>Customer, PMO</t>
        </is>
      </c>
      <c r="H176" s="224" t="n"/>
      <c r="I176" s="224" t="inlineStr">
        <is>
          <t>Customer</t>
        </is>
      </c>
      <c r="J176" s="224" t="inlineStr">
        <is>
          <t>Ampol Digital</t>
        </is>
      </c>
      <c r="K176" s="224" t="inlineStr">
        <is>
          <t>Leadership</t>
        </is>
      </c>
      <c r="L176" s="260" t="n"/>
      <c r="M176" s="261" t="inlineStr">
        <is>
          <t>Australia</t>
        </is>
      </c>
      <c r="N176" t="inlineStr">
        <is>
          <t>Customer</t>
        </is>
      </c>
      <c r="O176" t="inlineStr">
        <is>
          <t>Leadership</t>
        </is>
      </c>
      <c r="P176" t="inlineStr">
        <is>
          <t>Leadership</t>
        </is>
      </c>
      <c r="Q176" t="inlineStr">
        <is>
          <t>Leadership</t>
        </is>
      </c>
      <c r="R176" t="inlineStr">
        <is>
          <t>Filled</t>
        </is>
      </c>
    </row>
    <row r="177" ht="18" customHeight="1" s="506">
      <c r="A177" s="259" t="n">
        <v>99999102164</v>
      </c>
      <c r="B177" s="282" t="inlineStr">
        <is>
          <t>anthonty gen</t>
        </is>
      </c>
      <c r="C177" s="260" t="inlineStr">
        <is>
          <t>Data Analyst</t>
        </is>
      </c>
      <c r="D177" s="260" t="inlineStr">
        <is>
          <t>Vacant</t>
        </is>
      </c>
      <c r="E177" s="260" t="inlineStr">
        <is>
          <t>Technology Manager, Data &amp; Engineering</t>
        </is>
      </c>
      <c r="F177" s="224" t="inlineStr">
        <is>
          <t>Customer</t>
        </is>
      </c>
      <c r="G177" s="260" t="inlineStr">
        <is>
          <t>Loyatly &amp; Martec</t>
        </is>
      </c>
      <c r="H177" s="224" t="inlineStr">
        <is>
          <t>Loyalty, Data &amp; Engineering</t>
        </is>
      </c>
      <c r="I177" s="224" t="inlineStr">
        <is>
          <t>Customer</t>
        </is>
      </c>
      <c r="J177" s="260" t="inlineStr">
        <is>
          <t>Group Customer</t>
        </is>
      </c>
      <c r="K177" s="224" t="inlineStr">
        <is>
          <t>Z Energy Martech</t>
        </is>
      </c>
      <c r="L177" s="260" t="n"/>
      <c r="M177" s="261" t="inlineStr">
        <is>
          <t>NZ</t>
        </is>
      </c>
      <c r="N177" t="inlineStr">
        <is>
          <t>Customer</t>
        </is>
      </c>
      <c r="O177" t="inlineStr">
        <is>
          <t>Customer Z</t>
        </is>
      </c>
      <c r="P177" t="inlineStr">
        <is>
          <t>Z Energy Martech</t>
        </is>
      </c>
      <c r="Q177" t="inlineStr">
        <is>
          <t>Squad</t>
        </is>
      </c>
      <c r="R177" t="inlineStr">
        <is>
          <t>Filled</t>
        </is>
      </c>
    </row>
    <row r="178" ht="18" customHeight="1" s="506">
      <c r="A178" s="259" t="n">
        <v>111777</v>
      </c>
      <c r="B178" s="269" t="inlineStr">
        <is>
          <t>Jeremy Xu</t>
        </is>
      </c>
      <c r="C178" s="260" t="inlineStr">
        <is>
          <t>Data Analyst</t>
        </is>
      </c>
      <c r="D178" s="260" t="inlineStr">
        <is>
          <t>Vacant</t>
        </is>
      </c>
      <c r="E178" s="260" t="inlineStr">
        <is>
          <t>Technology Manager, Data &amp; Engineering</t>
        </is>
      </c>
      <c r="F178" s="224" t="inlineStr">
        <is>
          <t>Customer</t>
        </is>
      </c>
      <c r="G178" s="260" t="inlineStr">
        <is>
          <t>Loyatly &amp; Martec</t>
        </is>
      </c>
      <c r="H178" s="224" t="inlineStr">
        <is>
          <t>Loyalty, Data &amp; Engineering</t>
        </is>
      </c>
      <c r="I178" s="224" t="inlineStr">
        <is>
          <t>Customer</t>
        </is>
      </c>
      <c r="J178" s="260" t="inlineStr">
        <is>
          <t>Group Customer</t>
        </is>
      </c>
      <c r="K178" s="224" t="inlineStr">
        <is>
          <t>AU CRM &amp; Martech</t>
        </is>
      </c>
      <c r="L178" s="260" t="n"/>
      <c r="M178" s="261" t="inlineStr">
        <is>
          <t>Australia</t>
        </is>
      </c>
      <c r="N178" t="inlineStr">
        <is>
          <t>Customer</t>
        </is>
      </c>
      <c r="O178" t="inlineStr">
        <is>
          <t>Group Customer Platforms</t>
        </is>
      </c>
      <c r="P178" t="inlineStr">
        <is>
          <t>AU CRM &amp; Martech</t>
        </is>
      </c>
      <c r="Q178" t="inlineStr">
        <is>
          <t>Squad</t>
        </is>
      </c>
      <c r="R178" t="inlineStr">
        <is>
          <t>Filled</t>
        </is>
      </c>
    </row>
    <row r="179" ht="18" customHeight="1" s="506">
      <c r="A179" s="259" t="n"/>
      <c r="B179" s="224" t="inlineStr">
        <is>
          <t>Sri Balan Raj</t>
        </is>
      </c>
      <c r="C179" s="224" t="inlineStr">
        <is>
          <t>Business Analyst</t>
        </is>
      </c>
      <c r="D179" s="260" t="inlineStr">
        <is>
          <t>vacant</t>
        </is>
      </c>
      <c r="E179" s="224" t="inlineStr">
        <is>
          <t>Delivery Manager, Digital</t>
        </is>
      </c>
      <c r="F179" s="224" t="inlineStr">
        <is>
          <t>Customer</t>
        </is>
      </c>
      <c r="G179" s="260" t="inlineStr">
        <is>
          <t>Digital</t>
        </is>
      </c>
      <c r="H179" s="260" t="inlineStr">
        <is>
          <t>Digital, Delivery</t>
        </is>
      </c>
      <c r="I179" s="260" t="inlineStr">
        <is>
          <t>EGI Integration</t>
        </is>
      </c>
      <c r="J179" s="224" t="inlineStr">
        <is>
          <t>EGI</t>
        </is>
      </c>
      <c r="K179" s="224" t="inlineStr">
        <is>
          <t>EGI Customer</t>
        </is>
      </c>
      <c r="L179" s="260" t="n"/>
      <c r="M179" s="261" t="inlineStr">
        <is>
          <t>Australia</t>
        </is>
      </c>
      <c r="N179" t="inlineStr">
        <is>
          <t>Customer</t>
        </is>
      </c>
      <c r="O179" t="inlineStr">
        <is>
          <t>EGI Customer</t>
        </is>
      </c>
      <c r="P179" t="inlineStr">
        <is>
          <t>EGI Customer</t>
        </is>
      </c>
      <c r="Q179" t="inlineStr">
        <is>
          <t>Strategic Program</t>
        </is>
      </c>
      <c r="R179" t="inlineStr">
        <is>
          <t>Filled</t>
        </is>
      </c>
    </row>
    <row r="180" ht="18" customHeight="1" s="506">
      <c r="A180" s="259" t="n"/>
      <c r="B180" s="282" t="inlineStr">
        <is>
          <t>Vacant</t>
        </is>
      </c>
      <c r="C180" s="260" t="inlineStr">
        <is>
          <t>Snr Engineer, Data</t>
        </is>
      </c>
      <c r="D180" s="260" t="inlineStr">
        <is>
          <t>Vacant</t>
        </is>
      </c>
      <c r="E180" s="262" t="inlineStr">
        <is>
          <t>Technology Manager, Data &amp; Engineering</t>
        </is>
      </c>
      <c r="F180" s="224" t="inlineStr">
        <is>
          <t>Customer</t>
        </is>
      </c>
      <c r="G180" s="260" t="inlineStr">
        <is>
          <t>Loyatly &amp; Martec</t>
        </is>
      </c>
      <c r="H180" s="224" t="inlineStr">
        <is>
          <t>Loyalty, Data &amp; Engineering</t>
        </is>
      </c>
      <c r="I180" s="224" t="inlineStr">
        <is>
          <t>Customer</t>
        </is>
      </c>
      <c r="J180" s="260" t="inlineStr">
        <is>
          <t>Customer Z</t>
        </is>
      </c>
      <c r="K180" s="260" t="inlineStr">
        <is>
          <t>Z Energy Martech</t>
        </is>
      </c>
      <c r="L180" s="260" t="n"/>
      <c r="M180" s="261" t="n"/>
      <c r="N180" t="inlineStr">
        <is>
          <t>Customer</t>
        </is>
      </c>
      <c r="O180" t="inlineStr">
        <is>
          <t>Customer Z</t>
        </is>
      </c>
      <c r="P180" t="inlineStr">
        <is>
          <t>Z Energy Martech</t>
        </is>
      </c>
      <c r="Q180" t="inlineStr">
        <is>
          <t>Squad</t>
        </is>
      </c>
      <c r="R180" t="inlineStr">
        <is>
          <t>Vacant</t>
        </is>
      </c>
    </row>
    <row r="181" ht="18" customHeight="1" s="506">
      <c r="A181" s="259" t="n">
        <v>94663</v>
      </c>
      <c r="B181" s="224" t="inlineStr">
        <is>
          <t>Penny Pennisi</t>
        </is>
      </c>
      <c r="C181" s="224" t="inlineStr">
        <is>
          <t>Delivery Lead</t>
        </is>
      </c>
      <c r="D181" s="260" t="inlineStr">
        <is>
          <t>vacant</t>
        </is>
      </c>
      <c r="E181" s="224" t="inlineStr">
        <is>
          <t>Delivery Manager, Digital</t>
        </is>
      </c>
      <c r="F181" s="224" t="inlineStr">
        <is>
          <t>Customer</t>
        </is>
      </c>
      <c r="G181" s="260" t="inlineStr">
        <is>
          <t>Digital</t>
        </is>
      </c>
      <c r="H181" s="260" t="inlineStr">
        <is>
          <t>Digital, Delivery</t>
        </is>
      </c>
      <c r="I181" s="260" t="inlineStr">
        <is>
          <t>Customer</t>
        </is>
      </c>
      <c r="J181" s="224" t="inlineStr">
        <is>
          <t>Ampol Digital</t>
        </is>
      </c>
      <c r="K181" s="224" t="inlineStr">
        <is>
          <t>Ampol App</t>
        </is>
      </c>
      <c r="L181" s="260" t="n"/>
      <c r="M181" s="261" t="inlineStr">
        <is>
          <t>Australia</t>
        </is>
      </c>
      <c r="N181" t="inlineStr">
        <is>
          <t>Customer</t>
        </is>
      </c>
      <c r="O181" t="inlineStr">
        <is>
          <t>Ampol Digital</t>
        </is>
      </c>
      <c r="P181" t="inlineStr">
        <is>
          <t>Ampol App</t>
        </is>
      </c>
      <c r="Q181" t="inlineStr">
        <is>
          <t>Squad</t>
        </is>
      </c>
      <c r="R181" t="inlineStr">
        <is>
          <t>Filled</t>
        </is>
      </c>
    </row>
    <row r="182" ht="18" customHeight="1" s="506">
      <c r="A182" s="259" t="n">
        <v>108384</v>
      </c>
      <c r="B182" s="224" t="inlineStr">
        <is>
          <t>Saugata Acharya</t>
        </is>
      </c>
      <c r="C182" s="224" t="inlineStr">
        <is>
          <t>Delivery Lead</t>
        </is>
      </c>
      <c r="D182" s="260" t="inlineStr">
        <is>
          <t>Vacant</t>
        </is>
      </c>
      <c r="E182" s="224" t="inlineStr">
        <is>
          <t>Delivery Manager, Digital</t>
        </is>
      </c>
      <c r="F182" s="224" t="inlineStr">
        <is>
          <t>Customer</t>
        </is>
      </c>
      <c r="G182" s="260" t="inlineStr">
        <is>
          <t>Digital</t>
        </is>
      </c>
      <c r="H182" s="260" t="inlineStr">
        <is>
          <t>Digital, Delivery</t>
        </is>
      </c>
      <c r="I182" s="260" t="inlineStr">
        <is>
          <t>Customer</t>
        </is>
      </c>
      <c r="J182" s="224" t="inlineStr">
        <is>
          <t>Ampol Digital</t>
        </is>
      </c>
      <c r="K182" s="224" t="inlineStr">
        <is>
          <t>Ampol Web</t>
        </is>
      </c>
      <c r="L182" s="260" t="n"/>
      <c r="M182" s="261" t="inlineStr">
        <is>
          <t>Australia</t>
        </is>
      </c>
      <c r="N182" t="inlineStr">
        <is>
          <t>Customer</t>
        </is>
      </c>
      <c r="O182" t="inlineStr">
        <is>
          <t>Ampol Digital</t>
        </is>
      </c>
      <c r="P182" t="inlineStr">
        <is>
          <t>Ampol Web</t>
        </is>
      </c>
      <c r="Q182" t="inlineStr">
        <is>
          <t>Squad</t>
        </is>
      </c>
      <c r="R182" t="inlineStr">
        <is>
          <t>Filled</t>
        </is>
      </c>
    </row>
    <row r="183" ht="18" customHeight="1" s="506">
      <c r="A183" s="259" t="n">
        <v>99999100621</v>
      </c>
      <c r="B183" s="269" t="inlineStr">
        <is>
          <t>Kellie Gathergood</t>
        </is>
      </c>
      <c r="C183" s="260" t="inlineStr">
        <is>
          <t>Lead Quality Assurance</t>
        </is>
      </c>
      <c r="D183" s="260" t="inlineStr">
        <is>
          <t>Vacant</t>
        </is>
      </c>
      <c r="E183" s="260" t="inlineStr">
        <is>
          <t>Technology Manager, Loyalty &amp; Martech</t>
        </is>
      </c>
      <c r="F183" s="224" t="inlineStr">
        <is>
          <t>Customer</t>
        </is>
      </c>
      <c r="G183" s="260" t="inlineStr">
        <is>
          <t>Loyatly &amp; Martec</t>
        </is>
      </c>
      <c r="H183" s="260" t="inlineStr">
        <is>
          <t>Loyalty, Tech</t>
        </is>
      </c>
      <c r="I183" s="224" t="inlineStr">
        <is>
          <t>Customer</t>
        </is>
      </c>
      <c r="J183" s="260" t="inlineStr">
        <is>
          <t>Customer Z</t>
        </is>
      </c>
      <c r="K183" s="260" t="inlineStr">
        <is>
          <t>Z Energy Martech</t>
        </is>
      </c>
      <c r="L183" s="260" t="n"/>
      <c r="M183" s="261" t="inlineStr">
        <is>
          <t>NZ</t>
        </is>
      </c>
      <c r="N183" t="inlineStr">
        <is>
          <t>Customer</t>
        </is>
      </c>
      <c r="O183" t="inlineStr">
        <is>
          <t>Customer Z</t>
        </is>
      </c>
      <c r="P183" t="inlineStr">
        <is>
          <t>Z Energy Martech</t>
        </is>
      </c>
      <c r="Q183" t="inlineStr">
        <is>
          <t>Squad</t>
        </is>
      </c>
      <c r="R183" t="inlineStr">
        <is>
          <t>Filled</t>
        </is>
      </c>
    </row>
    <row r="184" ht="18" customHeight="1" s="506">
      <c r="A184" s="259" t="n"/>
      <c r="B184" s="224" t="inlineStr">
        <is>
          <t>Vacant</t>
        </is>
      </c>
      <c r="C184" s="224" t="inlineStr">
        <is>
          <t>Quality Assurance</t>
        </is>
      </c>
      <c r="D184" s="224" t="inlineStr">
        <is>
          <t>Vacant</t>
        </is>
      </c>
      <c r="E184" s="224" t="inlineStr">
        <is>
          <t>Digital Support Manager(AU)</t>
        </is>
      </c>
      <c r="F184" s="224" t="inlineStr">
        <is>
          <t>Customer</t>
        </is>
      </c>
      <c r="G184" s="260" t="inlineStr">
        <is>
          <t>Digital</t>
        </is>
      </c>
      <c r="H184" s="224" t="inlineStr">
        <is>
          <t>Digital Support (AU)</t>
        </is>
      </c>
      <c r="I184" s="260" t="inlineStr">
        <is>
          <t>Customer</t>
        </is>
      </c>
      <c r="J184" s="224" t="inlineStr">
        <is>
          <t>Ampol Digital</t>
        </is>
      </c>
      <c r="K184" s="224" t="inlineStr">
        <is>
          <t>Digital Ops Support</t>
        </is>
      </c>
      <c r="L184" s="260" t="n"/>
      <c r="M184" s="261" t="inlineStr">
        <is>
          <t>Australia</t>
        </is>
      </c>
      <c r="N184" t="inlineStr">
        <is>
          <t>Customer</t>
        </is>
      </c>
      <c r="O184" t="inlineStr">
        <is>
          <t>Ampol Digital</t>
        </is>
      </c>
      <c r="P184" t="inlineStr">
        <is>
          <t>Digital Operations</t>
        </is>
      </c>
      <c r="Q184" t="inlineStr">
        <is>
          <t>Squad</t>
        </is>
      </c>
      <c r="R184" t="inlineStr">
        <is>
          <t>Vacant</t>
        </is>
      </c>
    </row>
    <row r="185" ht="18" customHeight="1" s="506">
      <c r="A185" s="259" t="n">
        <v>0</v>
      </c>
      <c r="B185" s="224" t="inlineStr">
        <is>
          <t>Lily Fong</t>
        </is>
      </c>
      <c r="C185" s="224" t="inlineStr">
        <is>
          <t>Snr Business Analyst</t>
        </is>
      </c>
      <c r="D185" s="260" t="inlineStr">
        <is>
          <t>vacant</t>
        </is>
      </c>
      <c r="E185" s="224" t="inlineStr">
        <is>
          <t>Delivery Manager, Digital</t>
        </is>
      </c>
      <c r="F185" s="224" t="inlineStr">
        <is>
          <t>Customer</t>
        </is>
      </c>
      <c r="G185" s="260" t="inlineStr">
        <is>
          <t>Digital</t>
        </is>
      </c>
      <c r="H185" s="260" t="inlineStr">
        <is>
          <t>Ampol Retail, Store Platforms</t>
        </is>
      </c>
      <c r="I185" s="260" t="inlineStr">
        <is>
          <t>Customer</t>
        </is>
      </c>
      <c r="J185" s="224" t="inlineStr">
        <is>
          <t>Ampol Digital</t>
        </is>
      </c>
      <c r="K185" s="224" t="inlineStr">
        <is>
          <t>Ampol Web</t>
        </is>
      </c>
      <c r="L185" s="260" t="n"/>
      <c r="M185" s="261" t="inlineStr">
        <is>
          <t>Australia</t>
        </is>
      </c>
      <c r="N185" t="inlineStr">
        <is>
          <t>Customer</t>
        </is>
      </c>
      <c r="O185" t="inlineStr">
        <is>
          <t>Ampol Digital</t>
        </is>
      </c>
      <c r="P185" t="inlineStr">
        <is>
          <t>Ampol Web</t>
        </is>
      </c>
      <c r="Q185" t="inlineStr">
        <is>
          <t>Squad</t>
        </is>
      </c>
      <c r="R185" t="inlineStr">
        <is>
          <t>Filled</t>
        </is>
      </c>
    </row>
    <row r="186" ht="18" customHeight="1" s="506">
      <c r="A186" s="259" t="n"/>
      <c r="B186" s="282" t="inlineStr">
        <is>
          <t>Vacant</t>
        </is>
      </c>
      <c r="C186" s="260" t="inlineStr">
        <is>
          <t>Quality Assurance</t>
        </is>
      </c>
      <c r="D186" s="260" t="inlineStr">
        <is>
          <t>Vacant</t>
        </is>
      </c>
      <c r="E186" s="260" t="inlineStr">
        <is>
          <t>Delivery Manager, Loyalty</t>
        </is>
      </c>
      <c r="F186" s="224" t="inlineStr">
        <is>
          <t>Customer</t>
        </is>
      </c>
      <c r="G186" s="260" t="inlineStr">
        <is>
          <t>Loyalty &amp; Martech</t>
        </is>
      </c>
      <c r="H186" s="224" t="inlineStr">
        <is>
          <t xml:space="preserve">Loyalty, Delivery </t>
        </is>
      </c>
      <c r="I186" s="224" t="inlineStr">
        <is>
          <t>Customer</t>
        </is>
      </c>
      <c r="J186" s="260" t="inlineStr">
        <is>
          <t>Group Customer</t>
        </is>
      </c>
      <c r="K186" s="260" t="inlineStr">
        <is>
          <t>AU CRM &amp; Martech</t>
        </is>
      </c>
      <c r="L186" s="260" t="n"/>
      <c r="M186" s="261" t="n"/>
      <c r="N186" t="inlineStr">
        <is>
          <t>Customer</t>
        </is>
      </c>
      <c r="O186" t="inlineStr">
        <is>
          <t>Group Customer Platforms</t>
        </is>
      </c>
      <c r="P186" t="inlineStr">
        <is>
          <t>AU CRM &amp; Martech</t>
        </is>
      </c>
      <c r="Q186" t="inlineStr">
        <is>
          <t>Squad</t>
        </is>
      </c>
      <c r="R186" t="inlineStr">
        <is>
          <t>Vacant</t>
        </is>
      </c>
    </row>
    <row r="187" ht="18" customHeight="1" s="506">
      <c r="A187" s="259" t="n">
        <v>0</v>
      </c>
      <c r="B187" s="224" t="inlineStr">
        <is>
          <t>Swapnil Pithwa</t>
        </is>
      </c>
      <c r="C187" s="224" t="inlineStr">
        <is>
          <t>Engineer - BE</t>
        </is>
      </c>
      <c r="D187" s="224" t="inlineStr">
        <is>
          <t>vacant</t>
        </is>
      </c>
      <c r="E187" s="224" t="inlineStr">
        <is>
          <t>Technology Manager, Digital Engineering</t>
        </is>
      </c>
      <c r="F187" s="224" t="inlineStr">
        <is>
          <t>Customer</t>
        </is>
      </c>
      <c r="G187" s="260" t="inlineStr">
        <is>
          <t>Digital</t>
        </is>
      </c>
      <c r="H187" s="260" t="inlineStr">
        <is>
          <t>Tech, Digital Engineering</t>
        </is>
      </c>
      <c r="I187" s="260" t="inlineStr">
        <is>
          <t>Commercial Fuels</t>
        </is>
      </c>
      <c r="J187" s="224" t="inlineStr">
        <is>
          <t>CTRM</t>
        </is>
      </c>
      <c r="K187" s="224" t="inlineStr">
        <is>
          <t>CTRM</t>
        </is>
      </c>
      <c r="L187" s="260" t="n"/>
      <c r="M187" s="261" t="inlineStr">
        <is>
          <t>Australia</t>
        </is>
      </c>
      <c r="N187" t="inlineStr">
        <is>
          <t>Commercial Fuels</t>
        </is>
      </c>
      <c r="O187" t="inlineStr">
        <is>
          <t>CTRM</t>
        </is>
      </c>
      <c r="P187" t="inlineStr">
        <is>
          <t>CTRM</t>
        </is>
      </c>
      <c r="Q187" t="inlineStr">
        <is>
          <t>Strategic Program</t>
        </is>
      </c>
      <c r="R187" t="inlineStr">
        <is>
          <t>Filled</t>
        </is>
      </c>
    </row>
    <row r="188" ht="18" customHeight="1" s="506">
      <c r="A188" s="259" t="n"/>
      <c r="B188" s="224" t="inlineStr">
        <is>
          <t>Vacant</t>
        </is>
      </c>
      <c r="C188" s="224" t="inlineStr">
        <is>
          <t>Technology Manager, Engineering</t>
        </is>
      </c>
      <c r="D188" s="224" t="inlineStr">
        <is>
          <t>Vacant</t>
        </is>
      </c>
      <c r="E188" s="224" t="inlineStr">
        <is>
          <t>Head of Technology, Digital</t>
        </is>
      </c>
      <c r="F188" s="224" t="inlineStr">
        <is>
          <t>Customer</t>
        </is>
      </c>
      <c r="G188" s="260" t="inlineStr">
        <is>
          <t>Loyalty &amp; Martech</t>
        </is>
      </c>
      <c r="H188" s="260" t="inlineStr">
        <is>
          <t>Tech, Digital Engineering</t>
        </is>
      </c>
      <c r="I188" s="260" t="inlineStr">
        <is>
          <t>Customer</t>
        </is>
      </c>
      <c r="J188" s="224" t="inlineStr">
        <is>
          <t>Ampol Digital</t>
        </is>
      </c>
      <c r="K188" s="224" t="inlineStr">
        <is>
          <t>Leadership</t>
        </is>
      </c>
      <c r="L188" s="260" t="n"/>
      <c r="M188" s="261" t="inlineStr">
        <is>
          <t>Australia</t>
        </is>
      </c>
      <c r="N188" t="inlineStr">
        <is>
          <t>Customer</t>
        </is>
      </c>
      <c r="O188" t="inlineStr">
        <is>
          <t>Leadership</t>
        </is>
      </c>
      <c r="P188" t="inlineStr">
        <is>
          <t>Leadership</t>
        </is>
      </c>
      <c r="Q188" t="inlineStr">
        <is>
          <t>Leadership</t>
        </is>
      </c>
      <c r="R188" t="inlineStr">
        <is>
          <t>Vacant</t>
        </is>
      </c>
    </row>
    <row r="189" ht="18" customHeight="1" s="506">
      <c r="A189" s="259" t="n">
        <v>0</v>
      </c>
      <c r="B189" s="224" t="inlineStr">
        <is>
          <t>Rob Jadrjevic</t>
        </is>
      </c>
      <c r="C189" s="224" t="inlineStr">
        <is>
          <t>Engineer - BE</t>
        </is>
      </c>
      <c r="D189" s="224" t="inlineStr">
        <is>
          <t>Vacant</t>
        </is>
      </c>
      <c r="E189" s="224" t="inlineStr">
        <is>
          <t>Technology Manager, Digital Engineering</t>
        </is>
      </c>
      <c r="F189" s="224" t="inlineStr">
        <is>
          <t>Customer</t>
        </is>
      </c>
      <c r="G189" s="260" t="inlineStr">
        <is>
          <t>Digital</t>
        </is>
      </c>
      <c r="H189" s="260" t="inlineStr">
        <is>
          <t>Delivery, Commercial Fuels</t>
        </is>
      </c>
      <c r="I189" s="260" t="inlineStr">
        <is>
          <t>EGI Integration</t>
        </is>
      </c>
      <c r="J189" s="224" t="inlineStr">
        <is>
          <t>EGI</t>
        </is>
      </c>
      <c r="K189" s="224" t="inlineStr">
        <is>
          <t>EGI Customer</t>
        </is>
      </c>
      <c r="L189" s="260" t="n"/>
      <c r="M189" s="261" t="inlineStr">
        <is>
          <t>Australia</t>
        </is>
      </c>
      <c r="N189" t="inlineStr">
        <is>
          <t>Customer</t>
        </is>
      </c>
      <c r="O189" t="inlineStr">
        <is>
          <t>EGI Customer</t>
        </is>
      </c>
      <c r="P189" t="inlineStr">
        <is>
          <t>EGI Customer</t>
        </is>
      </c>
      <c r="Q189" t="inlineStr">
        <is>
          <t>Strategic Program</t>
        </is>
      </c>
      <c r="R189" t="inlineStr">
        <is>
          <t>Filled</t>
        </is>
      </c>
    </row>
    <row r="190" ht="18" customHeight="1" s="506">
      <c r="A190" s="259" t="n">
        <v>0</v>
      </c>
      <c r="B190" s="224" t="inlineStr">
        <is>
          <t>Andy Stewart</t>
        </is>
      </c>
      <c r="C190" s="224" t="inlineStr">
        <is>
          <t>Head of Technology, Loyalty &amp; Martech</t>
        </is>
      </c>
      <c r="D190" s="224" t="inlineStr">
        <is>
          <t>Vacant</t>
        </is>
      </c>
      <c r="E190" s="224" t="inlineStr">
        <is>
          <t>GM TDD, Customer</t>
        </is>
      </c>
      <c r="F190" s="224" t="inlineStr">
        <is>
          <t>Customer</t>
        </is>
      </c>
      <c r="G190" s="260" t="inlineStr">
        <is>
          <t>Loyalty &amp; Martech</t>
        </is>
      </c>
      <c r="H190" s="224" t="n"/>
      <c r="I190" s="224" t="inlineStr">
        <is>
          <t>Customer</t>
        </is>
      </c>
      <c r="J190" s="224" t="inlineStr">
        <is>
          <t>Customer Z, Group Customer Platforms</t>
        </is>
      </c>
      <c r="K190" s="224" t="inlineStr">
        <is>
          <t>Leadership</t>
        </is>
      </c>
      <c r="L190" s="260" t="n"/>
      <c r="M190" s="261" t="n">
        <v>0</v>
      </c>
      <c r="N190" t="inlineStr">
        <is>
          <t>Customer</t>
        </is>
      </c>
      <c r="O190" t="inlineStr">
        <is>
          <t>Leadership</t>
        </is>
      </c>
      <c r="P190" t="inlineStr">
        <is>
          <t>Leadership</t>
        </is>
      </c>
      <c r="Q190" t="inlineStr">
        <is>
          <t>Leadership</t>
        </is>
      </c>
      <c r="R190" t="inlineStr">
        <is>
          <t>Filled</t>
        </is>
      </c>
    </row>
    <row r="191" ht="18" customHeight="1" s="506">
      <c r="A191" s="259" t="n">
        <v>99999100847</v>
      </c>
      <c r="B191" s="269" t="inlineStr">
        <is>
          <t>Nimi Rose</t>
        </is>
      </c>
      <c r="C191" s="260" t="inlineStr">
        <is>
          <t>Marketing Technology Lead</t>
        </is>
      </c>
      <c r="D191" s="260" t="inlineStr">
        <is>
          <t>Vacant</t>
        </is>
      </c>
      <c r="E191" s="260" t="inlineStr">
        <is>
          <t>Technology Manager, Loyalty &amp; Martech</t>
        </is>
      </c>
      <c r="F191" s="224" t="inlineStr">
        <is>
          <t>Customer</t>
        </is>
      </c>
      <c r="G191" s="260" t="inlineStr">
        <is>
          <t>Loyatly &amp; Martec</t>
        </is>
      </c>
      <c r="H191" s="260" t="inlineStr">
        <is>
          <t>Loyalty, Tech</t>
        </is>
      </c>
      <c r="I191" s="224" t="inlineStr">
        <is>
          <t>Customer</t>
        </is>
      </c>
      <c r="J191" s="260" t="inlineStr">
        <is>
          <t>Customer Z</t>
        </is>
      </c>
      <c r="K191" s="260" t="inlineStr">
        <is>
          <t>Z Energy Martech</t>
        </is>
      </c>
      <c r="L191" s="260" t="n"/>
      <c r="M191" s="261" t="inlineStr">
        <is>
          <t>NZ</t>
        </is>
      </c>
      <c r="N191" t="inlineStr">
        <is>
          <t>Customer</t>
        </is>
      </c>
      <c r="O191" t="inlineStr">
        <is>
          <t>Customer Z</t>
        </is>
      </c>
      <c r="P191" t="inlineStr">
        <is>
          <t>Z Energy Martech</t>
        </is>
      </c>
      <c r="Q191" t="inlineStr">
        <is>
          <t>Squad</t>
        </is>
      </c>
      <c r="R191" t="inlineStr">
        <is>
          <t>Filled</t>
        </is>
      </c>
    </row>
    <row r="192" ht="18" customHeight="1" s="506">
      <c r="A192" s="259" t="n">
        <v>114650</v>
      </c>
      <c r="B192" s="224" t="inlineStr">
        <is>
          <t>Jin Zhong</t>
        </is>
      </c>
      <c r="C192" s="224" t="inlineStr">
        <is>
          <t>Lead Engineer - BE</t>
        </is>
      </c>
      <c r="D192" s="224" t="inlineStr">
        <is>
          <t>vacant</t>
        </is>
      </c>
      <c r="E192" s="224" t="inlineStr">
        <is>
          <t>Technology Manager, Digital Engineering</t>
        </is>
      </c>
      <c r="F192" s="224" t="inlineStr">
        <is>
          <t>Customer</t>
        </is>
      </c>
      <c r="G192" s="260" t="inlineStr">
        <is>
          <t>Digital</t>
        </is>
      </c>
      <c r="H192" s="260" t="inlineStr">
        <is>
          <t>Tech, Digital Engineering</t>
        </is>
      </c>
      <c r="I192" s="260" t="inlineStr">
        <is>
          <t>Customer</t>
        </is>
      </c>
      <c r="J192" s="224" t="inlineStr">
        <is>
          <t>Ampol Digital</t>
        </is>
      </c>
      <c r="K192" s="224" t="inlineStr">
        <is>
          <t>Ampol Web</t>
        </is>
      </c>
      <c r="L192" s="260" t="n"/>
      <c r="M192" s="261" t="inlineStr">
        <is>
          <t>Australia</t>
        </is>
      </c>
      <c r="N192" t="inlineStr">
        <is>
          <t>Customer</t>
        </is>
      </c>
      <c r="O192" t="inlineStr">
        <is>
          <t>Ampol Digital</t>
        </is>
      </c>
      <c r="P192" t="inlineStr">
        <is>
          <t>Ampol Web</t>
        </is>
      </c>
      <c r="Q192" t="inlineStr">
        <is>
          <t>Squad</t>
        </is>
      </c>
      <c r="R192" t="inlineStr">
        <is>
          <t>Filled</t>
        </is>
      </c>
    </row>
    <row r="193" ht="18" customHeight="1" s="506">
      <c r="A193" s="259" t="n">
        <v>99999101540</v>
      </c>
      <c r="B193" s="224" t="inlineStr">
        <is>
          <t>James Nicolle</t>
        </is>
      </c>
      <c r="C193" s="224" t="inlineStr">
        <is>
          <t>Delivery Lead</t>
        </is>
      </c>
      <c r="D193" s="260" t="inlineStr">
        <is>
          <t>vacant</t>
        </is>
      </c>
      <c r="E193" s="224" t="inlineStr">
        <is>
          <t>Delivery Manager, Digital</t>
        </is>
      </c>
      <c r="F193" s="224" t="inlineStr">
        <is>
          <t>Customer</t>
        </is>
      </c>
      <c r="G193" s="260" t="inlineStr">
        <is>
          <t>Digital</t>
        </is>
      </c>
      <c r="H193" s="260" t="inlineStr">
        <is>
          <t>Digital, Delivery</t>
        </is>
      </c>
      <c r="I193" s="224" t="inlineStr">
        <is>
          <t>Customer</t>
        </is>
      </c>
      <c r="J193" s="224" t="inlineStr">
        <is>
          <t>Customer Z</t>
        </is>
      </c>
      <c r="K193" s="224" t="inlineStr">
        <is>
          <t>Z Energy Apps</t>
        </is>
      </c>
      <c r="L193" s="260" t="n"/>
      <c r="M193" s="261" t="inlineStr">
        <is>
          <t>NZ</t>
        </is>
      </c>
      <c r="N193" t="inlineStr">
        <is>
          <t>Customer</t>
        </is>
      </c>
      <c r="O193" t="inlineStr">
        <is>
          <t>Customer Z</t>
        </is>
      </c>
      <c r="P193" t="inlineStr">
        <is>
          <t>Z Energy Apps</t>
        </is>
      </c>
      <c r="Q193" t="inlineStr">
        <is>
          <t>Squad</t>
        </is>
      </c>
      <c r="R193" t="inlineStr">
        <is>
          <t>Filled</t>
        </is>
      </c>
    </row>
    <row r="194" ht="18" customHeight="1" s="506">
      <c r="A194" s="259" t="n"/>
      <c r="B194" s="282" t="inlineStr">
        <is>
          <t>Vacant</t>
        </is>
      </c>
      <c r="C194" s="260" t="inlineStr">
        <is>
          <t>Engineer, Software</t>
        </is>
      </c>
      <c r="D194" s="260" t="inlineStr">
        <is>
          <t>Vacant</t>
        </is>
      </c>
      <c r="E194" s="260" t="inlineStr">
        <is>
          <t>Technology Manager, Data &amp; Engineering</t>
        </is>
      </c>
      <c r="F194" s="224" t="inlineStr">
        <is>
          <t>Customer</t>
        </is>
      </c>
      <c r="G194" s="260" t="inlineStr">
        <is>
          <t>Loyatly &amp; Martec</t>
        </is>
      </c>
      <c r="H194" s="224" t="inlineStr">
        <is>
          <t>Loyalty, Data &amp; Engineering</t>
        </is>
      </c>
      <c r="I194" s="224" t="inlineStr">
        <is>
          <t>Customer</t>
        </is>
      </c>
      <c r="J194" s="260" t="inlineStr">
        <is>
          <t>Customer Z</t>
        </is>
      </c>
      <c r="K194" s="260" t="inlineStr">
        <is>
          <t>Z Energy Martech</t>
        </is>
      </c>
      <c r="L194" s="260" t="n"/>
      <c r="M194" s="261" t="n"/>
      <c r="N194" t="inlineStr">
        <is>
          <t>Customer</t>
        </is>
      </c>
      <c r="O194" t="inlineStr">
        <is>
          <t>Customer Z</t>
        </is>
      </c>
      <c r="P194" t="inlineStr">
        <is>
          <t>Z Energy Martech</t>
        </is>
      </c>
      <c r="Q194" t="inlineStr">
        <is>
          <t>Squad</t>
        </is>
      </c>
      <c r="R194" t="inlineStr">
        <is>
          <t>Vacant</t>
        </is>
      </c>
    </row>
    <row r="195" ht="18" customHeight="1" s="506">
      <c r="A195" s="259" t="n">
        <v>99999101312</v>
      </c>
      <c r="B195" s="269" t="inlineStr">
        <is>
          <t>Megan Rodgers</t>
        </is>
      </c>
      <c r="C195" s="260" t="inlineStr">
        <is>
          <t>Business Analyst</t>
        </is>
      </c>
      <c r="D195" s="260" t="inlineStr">
        <is>
          <t>Vacant</t>
        </is>
      </c>
      <c r="E195" s="260" t="inlineStr">
        <is>
          <t>Delivery Manager, Loyalty</t>
        </is>
      </c>
      <c r="F195" s="224" t="inlineStr">
        <is>
          <t>Customer</t>
        </is>
      </c>
      <c r="G195" s="260" t="inlineStr">
        <is>
          <t>Loyatly &amp; Martec</t>
        </is>
      </c>
      <c r="H195" s="224" t="inlineStr">
        <is>
          <t xml:space="preserve">Loyalty, Delivery </t>
        </is>
      </c>
      <c r="I195" s="224" t="inlineStr">
        <is>
          <t>Customer</t>
        </is>
      </c>
      <c r="J195" s="260" t="inlineStr">
        <is>
          <t>Customer Z</t>
        </is>
      </c>
      <c r="K195" s="260" t="inlineStr">
        <is>
          <t>Z Energy Martech</t>
        </is>
      </c>
      <c r="L195" s="260" t="n"/>
      <c r="M195" s="261" t="inlineStr">
        <is>
          <t>NZ</t>
        </is>
      </c>
      <c r="N195" t="inlineStr">
        <is>
          <t>Customer</t>
        </is>
      </c>
      <c r="O195" t="inlineStr">
        <is>
          <t>Customer Z</t>
        </is>
      </c>
      <c r="P195" t="inlineStr">
        <is>
          <t>Z Energy Martech</t>
        </is>
      </c>
      <c r="Q195" t="inlineStr">
        <is>
          <t>Squad</t>
        </is>
      </c>
      <c r="R195" t="inlineStr">
        <is>
          <t>Filled</t>
        </is>
      </c>
    </row>
    <row r="196" ht="18" customHeight="1" s="506">
      <c r="A196" s="259" t="n">
        <v>99999102155</v>
      </c>
      <c r="B196" s="269" t="inlineStr">
        <is>
          <t>Yash Thakkar</t>
        </is>
      </c>
      <c r="C196" s="260" t="inlineStr">
        <is>
          <t>Martech Specialist</t>
        </is>
      </c>
      <c r="D196" s="260" t="inlineStr">
        <is>
          <t>Vacant</t>
        </is>
      </c>
      <c r="E196" s="260" t="inlineStr">
        <is>
          <t>Technology Manager, Loyalty &amp; Martech</t>
        </is>
      </c>
      <c r="F196" s="224" t="inlineStr">
        <is>
          <t>Customer</t>
        </is>
      </c>
      <c r="G196" s="260" t="inlineStr">
        <is>
          <t>Loyatly &amp; Martec</t>
        </is>
      </c>
      <c r="H196" s="260" t="inlineStr">
        <is>
          <t>Loyalty, Tech</t>
        </is>
      </c>
      <c r="I196" s="224" t="inlineStr">
        <is>
          <t>Customer</t>
        </is>
      </c>
      <c r="J196" s="260" t="inlineStr">
        <is>
          <t>(All Customer)</t>
        </is>
      </c>
      <c r="K196" s="260" t="inlineStr">
        <is>
          <t>Z Energy Martech</t>
        </is>
      </c>
      <c r="L196" s="260" t="n"/>
      <c r="M196" s="261" t="inlineStr">
        <is>
          <t>NZ</t>
        </is>
      </c>
      <c r="N196" t="inlineStr">
        <is>
          <t>Customer</t>
        </is>
      </c>
      <c r="O196" t="inlineStr">
        <is>
          <t>Customer Z</t>
        </is>
      </c>
      <c r="P196" t="inlineStr">
        <is>
          <t>Z Energy Martech</t>
        </is>
      </c>
      <c r="Q196" t="inlineStr">
        <is>
          <t>Squad</t>
        </is>
      </c>
      <c r="R196" t="inlineStr">
        <is>
          <t>Filled</t>
        </is>
      </c>
    </row>
    <row r="197" ht="18" customHeight="1" s="506">
      <c r="A197" s="259" t="n">
        <v>0</v>
      </c>
      <c r="B197" s="224" t="inlineStr">
        <is>
          <t>Alan Peng</t>
        </is>
      </c>
      <c r="C197" s="224" t="inlineStr">
        <is>
          <t>Delivery Lead</t>
        </is>
      </c>
      <c r="D197" s="260" t="inlineStr">
        <is>
          <t>vacant</t>
        </is>
      </c>
      <c r="E197" s="224" t="inlineStr">
        <is>
          <t>Delivery Manager, Digital</t>
        </is>
      </c>
      <c r="F197" s="224" t="inlineStr">
        <is>
          <t>Customer</t>
        </is>
      </c>
      <c r="G197" s="260" t="inlineStr">
        <is>
          <t>Digital</t>
        </is>
      </c>
      <c r="H197" s="260" t="inlineStr">
        <is>
          <t>Digital, Delivery</t>
        </is>
      </c>
      <c r="I197" s="260" t="inlineStr">
        <is>
          <t>EGI Integration</t>
        </is>
      </c>
      <c r="J197" s="224" t="inlineStr">
        <is>
          <t>EGI</t>
        </is>
      </c>
      <c r="K197" s="224" t="inlineStr">
        <is>
          <t>EGI Customer</t>
        </is>
      </c>
      <c r="L197" s="260" t="n"/>
      <c r="M197" s="261" t="inlineStr">
        <is>
          <t>Australia</t>
        </is>
      </c>
      <c r="N197" t="inlineStr">
        <is>
          <t>Customer</t>
        </is>
      </c>
      <c r="O197" t="inlineStr">
        <is>
          <t>EGI Customer</t>
        </is>
      </c>
      <c r="P197" t="inlineStr">
        <is>
          <t>EGI Customer</t>
        </is>
      </c>
      <c r="Q197" t="inlineStr">
        <is>
          <t>Strategic Program</t>
        </is>
      </c>
      <c r="R197" t="inlineStr">
        <is>
          <t>Filled</t>
        </is>
      </c>
    </row>
    <row r="198" ht="18" customHeight="1" s="506">
      <c r="A198" s="259" t="n">
        <v>114411</v>
      </c>
      <c r="B198" s="224" t="inlineStr">
        <is>
          <t>Vacant</t>
        </is>
      </c>
      <c r="C198" s="224" t="inlineStr">
        <is>
          <t>Senior Engineer - BE</t>
        </is>
      </c>
      <c r="D198" s="224" t="inlineStr">
        <is>
          <t>Vacant</t>
        </is>
      </c>
      <c r="E198" s="224" t="inlineStr">
        <is>
          <t>Lead Engineer - BE</t>
        </is>
      </c>
      <c r="F198" s="224" t="inlineStr">
        <is>
          <t>Customer</t>
        </is>
      </c>
      <c r="G198" s="260" t="inlineStr">
        <is>
          <t>Digital</t>
        </is>
      </c>
      <c r="H198" s="260" t="inlineStr">
        <is>
          <t>Tech, Digital Engineering</t>
        </is>
      </c>
      <c r="I198" s="260" t="inlineStr">
        <is>
          <t>Customer</t>
        </is>
      </c>
      <c r="J198" s="224" t="inlineStr">
        <is>
          <t>Ampol Digital</t>
        </is>
      </c>
      <c r="K198" s="224" t="inlineStr">
        <is>
          <t>Ampol App</t>
        </is>
      </c>
      <c r="L198" s="260" t="n"/>
      <c r="M198" s="261" t="inlineStr">
        <is>
          <t>Australia</t>
        </is>
      </c>
      <c r="N198" t="inlineStr">
        <is>
          <t>Customer</t>
        </is>
      </c>
      <c r="O198" t="inlineStr">
        <is>
          <t>Ampol Digital</t>
        </is>
      </c>
      <c r="P198" t="inlineStr">
        <is>
          <t>Ampol App</t>
        </is>
      </c>
      <c r="Q198" t="inlineStr">
        <is>
          <t>Squad</t>
        </is>
      </c>
      <c r="R198" t="inlineStr">
        <is>
          <t>Vacant</t>
        </is>
      </c>
    </row>
    <row r="199" ht="18" customHeight="1" s="506">
      <c r="A199" s="259" t="n">
        <v>0</v>
      </c>
      <c r="B199" s="224" t="inlineStr">
        <is>
          <t>Anup Antony</t>
        </is>
      </c>
      <c r="C199" s="224" t="inlineStr">
        <is>
          <t>Engineer - BE</t>
        </is>
      </c>
      <c r="D199" s="224" t="inlineStr">
        <is>
          <t>vacant</t>
        </is>
      </c>
      <c r="E199" s="224" t="inlineStr">
        <is>
          <t>Technology Manager, Digital Engineering</t>
        </is>
      </c>
      <c r="F199" s="224" t="inlineStr">
        <is>
          <t>Customer</t>
        </is>
      </c>
      <c r="G199" s="260" t="inlineStr">
        <is>
          <t>Digital</t>
        </is>
      </c>
      <c r="H199" s="260" t="inlineStr">
        <is>
          <t>Tech, Digital Engineering</t>
        </is>
      </c>
      <c r="I199" s="260" t="inlineStr">
        <is>
          <t>Customer</t>
        </is>
      </c>
      <c r="J199" s="224" t="inlineStr">
        <is>
          <t>Ampol Digital</t>
        </is>
      </c>
      <c r="K199" s="224" t="inlineStr">
        <is>
          <t>Ampol App</t>
        </is>
      </c>
      <c r="L199" s="260" t="n"/>
      <c r="M199" s="261" t="inlineStr">
        <is>
          <t>Australia</t>
        </is>
      </c>
      <c r="N199" t="inlineStr">
        <is>
          <t>Customer</t>
        </is>
      </c>
      <c r="O199" t="inlineStr">
        <is>
          <t>Ampol Digital</t>
        </is>
      </c>
      <c r="P199" t="inlineStr">
        <is>
          <t>Ampol App</t>
        </is>
      </c>
      <c r="Q199" t="inlineStr">
        <is>
          <t>Squad</t>
        </is>
      </c>
      <c r="R199" t="inlineStr">
        <is>
          <t>Filled</t>
        </is>
      </c>
    </row>
    <row r="200" ht="18" customHeight="1" s="506">
      <c r="A200" s="259" t="n"/>
      <c r="B200" s="224" t="inlineStr">
        <is>
          <t>Dasha Fothergill</t>
        </is>
      </c>
      <c r="C200" s="224" t="inlineStr">
        <is>
          <t>Data Analyst</t>
        </is>
      </c>
      <c r="D200" s="224" t="inlineStr">
        <is>
          <t>Vacant</t>
        </is>
      </c>
      <c r="E200" s="224" t="inlineStr">
        <is>
          <t>Technology Manager, Data &amp; Engineering</t>
        </is>
      </c>
      <c r="F200" s="269" t="inlineStr">
        <is>
          <t>Customer</t>
        </is>
      </c>
      <c r="G200" s="260" t="inlineStr">
        <is>
          <t>Loyatly &amp; Martec</t>
        </is>
      </c>
      <c r="H200" s="269" t="inlineStr">
        <is>
          <t>Ampol Retail, Store Platforms</t>
        </is>
      </c>
      <c r="I200" s="260" t="inlineStr">
        <is>
          <t>EGI Integration</t>
        </is>
      </c>
      <c r="J200" s="260" t="inlineStr">
        <is>
          <t>EGI</t>
        </is>
      </c>
      <c r="K200" s="224" t="inlineStr">
        <is>
          <t>EGI Customer</t>
        </is>
      </c>
      <c r="L200" s="260" t="n"/>
      <c r="M200" s="261" t="inlineStr">
        <is>
          <t>NZ</t>
        </is>
      </c>
      <c r="N200" t="inlineStr">
        <is>
          <t>Customer</t>
        </is>
      </c>
      <c r="O200" t="inlineStr">
        <is>
          <t>EGI Customer</t>
        </is>
      </c>
      <c r="P200" t="inlineStr">
        <is>
          <t>EGI Customer</t>
        </is>
      </c>
      <c r="Q200" t="inlineStr">
        <is>
          <t>Strategic Program</t>
        </is>
      </c>
      <c r="R200" t="inlineStr">
        <is>
          <t>Filled</t>
        </is>
      </c>
    </row>
    <row r="201" ht="18" customHeight="1" s="506">
      <c r="A201" s="259" t="n"/>
      <c r="B201" s="224" t="inlineStr">
        <is>
          <t>Vacant</t>
        </is>
      </c>
      <c r="C201" s="224" t="inlineStr">
        <is>
          <t>Snr Business Analyst</t>
        </is>
      </c>
      <c r="D201" s="260" t="inlineStr">
        <is>
          <t>vacant</t>
        </is>
      </c>
      <c r="E201" s="224" t="inlineStr">
        <is>
          <t>Delivery Manager, Digital</t>
        </is>
      </c>
      <c r="F201" s="224" t="inlineStr">
        <is>
          <t>Customer</t>
        </is>
      </c>
      <c r="G201" s="260" t="inlineStr">
        <is>
          <t>Digital</t>
        </is>
      </c>
      <c r="H201" s="283" t="inlineStr">
        <is>
          <t>Technology, CF Engineering</t>
        </is>
      </c>
      <c r="I201" s="260" t="inlineStr">
        <is>
          <t>Customer</t>
        </is>
      </c>
      <c r="J201" s="224" t="inlineStr">
        <is>
          <t>Leadership</t>
        </is>
      </c>
      <c r="K201" s="260" t="inlineStr">
        <is>
          <t>Leadership</t>
        </is>
      </c>
      <c r="L201" s="260" t="n"/>
      <c r="M201" s="261" t="inlineStr">
        <is>
          <t>Australia</t>
        </is>
      </c>
      <c r="N201" t="inlineStr">
        <is>
          <t>Customer</t>
        </is>
      </c>
      <c r="O201" t="inlineStr">
        <is>
          <t>Leadership</t>
        </is>
      </c>
      <c r="P201" t="inlineStr">
        <is>
          <t>Leadership</t>
        </is>
      </c>
      <c r="Q201" t="inlineStr">
        <is>
          <t>Leadership</t>
        </is>
      </c>
      <c r="R201" t="inlineStr">
        <is>
          <t>Vacant</t>
        </is>
      </c>
    </row>
    <row r="202" ht="18" customHeight="1" s="506">
      <c r="A202" s="259" t="n">
        <v>99999101601</v>
      </c>
      <c r="B202" s="269" t="inlineStr">
        <is>
          <t>Jordan Kettles</t>
        </is>
      </c>
      <c r="C202" s="260" t="inlineStr">
        <is>
          <t>Engineer, Sotware</t>
        </is>
      </c>
      <c r="D202" s="260" t="inlineStr">
        <is>
          <t>Vacant</t>
        </is>
      </c>
      <c r="E202" s="260" t="inlineStr">
        <is>
          <t>Technology Manager, Data &amp; Engineering</t>
        </is>
      </c>
      <c r="F202" s="224" t="inlineStr">
        <is>
          <t>Customer</t>
        </is>
      </c>
      <c r="G202" s="260" t="inlineStr">
        <is>
          <t>Loyatly &amp; Martec</t>
        </is>
      </c>
      <c r="H202" s="224" t="inlineStr">
        <is>
          <t>Loyalty, Data &amp; Engineering</t>
        </is>
      </c>
      <c r="I202" s="224" t="inlineStr">
        <is>
          <t>Customer</t>
        </is>
      </c>
      <c r="J202" s="260" t="inlineStr">
        <is>
          <t>Customer Z</t>
        </is>
      </c>
      <c r="K202" s="260" t="inlineStr">
        <is>
          <t>Z Energy Martech</t>
        </is>
      </c>
      <c r="L202" s="260" t="n"/>
      <c r="M202" s="261" t="inlineStr">
        <is>
          <t>NZ</t>
        </is>
      </c>
      <c r="N202" t="inlineStr">
        <is>
          <t>Customer</t>
        </is>
      </c>
      <c r="O202" t="inlineStr">
        <is>
          <t>Customer Z</t>
        </is>
      </c>
      <c r="P202" t="inlineStr">
        <is>
          <t>Z Energy Martech</t>
        </is>
      </c>
      <c r="Q202" t="inlineStr">
        <is>
          <t>Squad</t>
        </is>
      </c>
      <c r="R202" t="inlineStr">
        <is>
          <t>Filled</t>
        </is>
      </c>
    </row>
    <row r="203" ht="18" customHeight="1" s="506">
      <c r="A203" s="259" t="n"/>
      <c r="B203" s="224" t="inlineStr">
        <is>
          <t xml:space="preserve">Vacant </t>
        </is>
      </c>
      <c r="C203" s="224" t="inlineStr">
        <is>
          <t>Data Risk Analyst</t>
        </is>
      </c>
      <c r="D203" s="224" t="inlineStr">
        <is>
          <t>Brian Gates</t>
        </is>
      </c>
      <c r="E203" s="224" t="n"/>
      <c r="F203" s="224" t="inlineStr">
        <is>
          <t>Cyber, Risk &amp; Operations</t>
        </is>
      </c>
      <c r="G203" s="260" t="inlineStr">
        <is>
          <t>Cyber Risk</t>
        </is>
      </c>
      <c r="H203" s="224" t="inlineStr">
        <is>
          <t>Ampol Retail, Store Platforms</t>
        </is>
      </c>
      <c r="I203" s="224" t="inlineStr">
        <is>
          <t>NA</t>
        </is>
      </c>
      <c r="J203" s="224" t="inlineStr">
        <is>
          <t>NA</t>
        </is>
      </c>
      <c r="K203" s="224" t="inlineStr">
        <is>
          <t>NA</t>
        </is>
      </c>
      <c r="L203" s="224" t="n"/>
      <c r="M203" s="261" t="n"/>
      <c r="N203" t="inlineStr">
        <is>
          <t>TDD Cyber</t>
        </is>
      </c>
      <c r="O203" t="inlineStr">
        <is>
          <t>TDD Cyber, Risk &amp; Service Ops</t>
        </is>
      </c>
      <c r="P203" t="inlineStr">
        <is>
          <t>TDD Cyber</t>
        </is>
      </c>
      <c r="Q203" t="inlineStr">
        <is>
          <t>Squad</t>
        </is>
      </c>
      <c r="R203" t="inlineStr">
        <is>
          <t>Vacant</t>
        </is>
      </c>
    </row>
    <row r="204" ht="18" customHeight="1" s="506">
      <c r="A204" s="259" t="n">
        <v>96830</v>
      </c>
      <c r="B204" s="224" t="inlineStr">
        <is>
          <t>Lynda Niewidok</t>
        </is>
      </c>
      <c r="C204" s="224" t="inlineStr">
        <is>
          <t>Lead – Service Desk</t>
        </is>
      </c>
      <c r="D204" s="224" t="inlineStr">
        <is>
          <t>Chris Rojas</t>
        </is>
      </c>
      <c r="E204" s="224" t="inlineStr">
        <is>
          <t xml:space="preserve">CISO </t>
        </is>
      </c>
      <c r="F204" s="224" t="inlineStr">
        <is>
          <t>Cyber, Risk &amp; Operations</t>
        </is>
      </c>
      <c r="G204" s="260" t="inlineStr">
        <is>
          <t>Service Op &amp; Assurance</t>
        </is>
      </c>
      <c r="H204" s="224" t="inlineStr">
        <is>
          <t>NA</t>
        </is>
      </c>
      <c r="I204" s="224" t="inlineStr">
        <is>
          <t>NA</t>
        </is>
      </c>
      <c r="J204" s="224" t="inlineStr">
        <is>
          <t>NA</t>
        </is>
      </c>
      <c r="K204" s="224" t="inlineStr">
        <is>
          <t>NA</t>
        </is>
      </c>
      <c r="L204" s="224" t="n"/>
      <c r="M204" s="261" t="inlineStr">
        <is>
          <t>Australia</t>
        </is>
      </c>
      <c r="N204" t="inlineStr">
        <is>
          <t>TDD Cyber</t>
        </is>
      </c>
      <c r="O204" t="inlineStr">
        <is>
          <t>TDD Cyber, Risk &amp; Service Ops</t>
        </is>
      </c>
      <c r="P204" t="inlineStr">
        <is>
          <t>TDD Cyber</t>
        </is>
      </c>
      <c r="Q204" t="inlineStr">
        <is>
          <t>Squad</t>
        </is>
      </c>
      <c r="R204" t="inlineStr">
        <is>
          <t>Filled</t>
        </is>
      </c>
    </row>
    <row r="205" ht="18" customHeight="1" s="506">
      <c r="A205" s="259" t="n">
        <v>92681</v>
      </c>
      <c r="B205" s="224" t="inlineStr">
        <is>
          <t>Mark Pearson</t>
        </is>
      </c>
      <c r="C205" s="224" t="inlineStr">
        <is>
          <t>Lead – Technology Support</t>
        </is>
      </c>
      <c r="D205" s="224" t="inlineStr">
        <is>
          <t>Chris Rojas</t>
        </is>
      </c>
      <c r="E205" s="224" t="inlineStr">
        <is>
          <t xml:space="preserve">Manager Service Management &amp; Major Incident Management Lead </t>
        </is>
      </c>
      <c r="F205" s="224" t="inlineStr">
        <is>
          <t>Cyber, Risk &amp; Operations</t>
        </is>
      </c>
      <c r="G205" s="260" t="inlineStr">
        <is>
          <t>Service Op &amp; Assurance</t>
        </is>
      </c>
      <c r="H205" s="224" t="inlineStr">
        <is>
          <t>NA</t>
        </is>
      </c>
      <c r="I205" s="224" t="inlineStr">
        <is>
          <t>NA</t>
        </is>
      </c>
      <c r="J205" s="224" t="inlineStr">
        <is>
          <t>NA</t>
        </is>
      </c>
      <c r="K205" s="224" t="inlineStr">
        <is>
          <t>NA</t>
        </is>
      </c>
      <c r="L205" s="224" t="n"/>
      <c r="M205" s="261" t="inlineStr">
        <is>
          <t>Australia</t>
        </is>
      </c>
      <c r="N205" t="inlineStr">
        <is>
          <t>TDD Cyber</t>
        </is>
      </c>
      <c r="O205" t="inlineStr">
        <is>
          <t>TDD Cyber, Risk &amp; Service Ops</t>
        </is>
      </c>
      <c r="P205" t="inlineStr">
        <is>
          <t>TDD Cyber</t>
        </is>
      </c>
      <c r="Q205" t="inlineStr">
        <is>
          <t>Squad</t>
        </is>
      </c>
      <c r="R205" t="inlineStr">
        <is>
          <t>Filled</t>
        </is>
      </c>
    </row>
    <row r="206" ht="18" customHeight="1" s="506">
      <c r="A206" s="259" t="n"/>
      <c r="B206" s="224" t="inlineStr">
        <is>
          <t>Vacant</t>
        </is>
      </c>
      <c r="C206" s="224" t="inlineStr">
        <is>
          <t>Lead – Problem Management</t>
        </is>
      </c>
      <c r="D206" s="224" t="inlineStr">
        <is>
          <t>Darren Koller</t>
        </is>
      </c>
      <c r="E206" s="224" t="inlineStr">
        <is>
          <t>Manager Cyber Security GRC</t>
        </is>
      </c>
      <c r="F206" s="224" t="inlineStr">
        <is>
          <t>Cyber, Risk &amp; Operations</t>
        </is>
      </c>
      <c r="G206" s="260" t="inlineStr">
        <is>
          <t>Service Op &amp; Assurance</t>
        </is>
      </c>
      <c r="H206" s="224" t="inlineStr">
        <is>
          <t>NA</t>
        </is>
      </c>
      <c r="I206" s="224" t="inlineStr">
        <is>
          <t>NA</t>
        </is>
      </c>
      <c r="J206" s="224" t="inlineStr">
        <is>
          <t>NA</t>
        </is>
      </c>
      <c r="K206" s="224" t="inlineStr">
        <is>
          <t>NA</t>
        </is>
      </c>
      <c r="L206" s="224" t="n"/>
      <c r="M206" s="261" t="n"/>
      <c r="N206" t="inlineStr">
        <is>
          <t>TDD Cyber</t>
        </is>
      </c>
      <c r="O206" t="inlineStr">
        <is>
          <t>TDD Cyber, Risk &amp; Service Ops</t>
        </is>
      </c>
      <c r="P206" t="inlineStr">
        <is>
          <t>TDD Cyber</t>
        </is>
      </c>
      <c r="Q206" t="inlineStr">
        <is>
          <t>Squad</t>
        </is>
      </c>
      <c r="R206" t="inlineStr">
        <is>
          <t>Vacant</t>
        </is>
      </c>
    </row>
    <row r="207" ht="18" customHeight="1" s="506">
      <c r="A207" s="259" t="n">
        <v>99999101697</v>
      </c>
      <c r="B207" s="224" t="inlineStr">
        <is>
          <t>Vanessa Castro</t>
        </is>
      </c>
      <c r="C207" s="224" t="inlineStr">
        <is>
          <t>Cyber GRC Analyst</t>
        </is>
      </c>
      <c r="D207" s="224" t="inlineStr">
        <is>
          <t>Diya Thomas</t>
        </is>
      </c>
      <c r="E207" s="224" t="n"/>
      <c r="F207" s="224" t="inlineStr">
        <is>
          <t>Cyber, Risk &amp; Operations</t>
        </is>
      </c>
      <c r="G207" s="260" t="inlineStr">
        <is>
          <t>Cyber GRC</t>
        </is>
      </c>
      <c r="H207" s="224" t="inlineStr">
        <is>
          <t>NA</t>
        </is>
      </c>
      <c r="I207" s="224" t="inlineStr">
        <is>
          <t>NA</t>
        </is>
      </c>
      <c r="J207" s="224" t="inlineStr">
        <is>
          <t>NA</t>
        </is>
      </c>
      <c r="K207" s="224" t="inlineStr">
        <is>
          <t>NA</t>
        </is>
      </c>
      <c r="L207" s="224" t="n"/>
      <c r="M207" s="261" t="inlineStr">
        <is>
          <t>NZ</t>
        </is>
      </c>
      <c r="N207" t="inlineStr">
        <is>
          <t>TDD Cyber</t>
        </is>
      </c>
      <c r="O207" t="inlineStr">
        <is>
          <t>TDD Cyber, Risk &amp; Service Ops</t>
        </is>
      </c>
      <c r="P207" t="inlineStr">
        <is>
          <t>TDD Cyber</t>
        </is>
      </c>
      <c r="Q207" t="inlineStr">
        <is>
          <t>Squad</t>
        </is>
      </c>
      <c r="R207" t="inlineStr">
        <is>
          <t>Filled</t>
        </is>
      </c>
    </row>
    <row r="208" ht="18" customHeight="1" s="506">
      <c r="A208" s="259" t="n">
        <v>114683</v>
      </c>
      <c r="B208" s="224" t="inlineStr">
        <is>
          <t>Prashanth Chandran</t>
        </is>
      </c>
      <c r="C208" s="224" t="inlineStr">
        <is>
          <t>Senior Cyber GRC Specialist</t>
        </is>
      </c>
      <c r="D208" s="224" t="inlineStr">
        <is>
          <t>Diya Thomas</t>
        </is>
      </c>
      <c r="E208" s="224" t="inlineStr">
        <is>
          <t>Manager Cyber Security GRC</t>
        </is>
      </c>
      <c r="F208" s="224" t="inlineStr">
        <is>
          <t>Cyber, Risk &amp; Operations</t>
        </is>
      </c>
      <c r="G208" s="260" t="inlineStr">
        <is>
          <t>Cyber GRC</t>
        </is>
      </c>
      <c r="H208" s="224" t="inlineStr">
        <is>
          <t>NA</t>
        </is>
      </c>
      <c r="I208" s="224" t="inlineStr">
        <is>
          <t>NA</t>
        </is>
      </c>
      <c r="J208" s="224" t="inlineStr">
        <is>
          <t>NA</t>
        </is>
      </c>
      <c r="K208" s="224" t="inlineStr">
        <is>
          <t>NA</t>
        </is>
      </c>
      <c r="L208" s="224" t="n"/>
      <c r="M208" s="261" t="inlineStr">
        <is>
          <t>Australia</t>
        </is>
      </c>
      <c r="N208" t="inlineStr">
        <is>
          <t>TDD Cyber</t>
        </is>
      </c>
      <c r="O208" t="inlineStr">
        <is>
          <t>TDD Cyber, Risk &amp; Service Ops</t>
        </is>
      </c>
      <c r="P208" t="inlineStr">
        <is>
          <t>TDD Cyber</t>
        </is>
      </c>
      <c r="Q208" t="inlineStr">
        <is>
          <t>Squad</t>
        </is>
      </c>
      <c r="R208" t="inlineStr">
        <is>
          <t>Filled</t>
        </is>
      </c>
    </row>
    <row r="209" ht="18" customHeight="1" s="506">
      <c r="A209" s="259" t="n">
        <v>109491</v>
      </c>
      <c r="B209" s="224" t="inlineStr">
        <is>
          <t>Pooja Kuperkar</t>
        </is>
      </c>
      <c r="C209" s="224" t="inlineStr">
        <is>
          <t>Cyber GRC Analyst</t>
        </is>
      </c>
      <c r="D209" s="224" t="inlineStr">
        <is>
          <t>Diya Thomas</t>
        </is>
      </c>
      <c r="E209" s="224" t="n"/>
      <c r="F209" s="224" t="inlineStr">
        <is>
          <t>Cyber, Risk &amp; Operations</t>
        </is>
      </c>
      <c r="G209" s="260" t="inlineStr">
        <is>
          <t>Cyber GRC</t>
        </is>
      </c>
      <c r="H209" s="224" t="inlineStr">
        <is>
          <t>NA</t>
        </is>
      </c>
      <c r="I209" s="224" t="inlineStr">
        <is>
          <t>NA</t>
        </is>
      </c>
      <c r="J209" s="224" t="inlineStr">
        <is>
          <t>NA</t>
        </is>
      </c>
      <c r="K209" s="224" t="inlineStr">
        <is>
          <t>NA</t>
        </is>
      </c>
      <c r="L209" s="224" t="n"/>
      <c r="M209" s="261" t="inlineStr">
        <is>
          <t>Australia</t>
        </is>
      </c>
      <c r="N209" t="inlineStr">
        <is>
          <t>TDD Cyber</t>
        </is>
      </c>
      <c r="O209" t="inlineStr">
        <is>
          <t>TDD Cyber, Risk &amp; Service Ops</t>
        </is>
      </c>
      <c r="P209" t="inlineStr">
        <is>
          <t>TDD Cyber</t>
        </is>
      </c>
      <c r="Q209" t="inlineStr">
        <is>
          <t>Squad</t>
        </is>
      </c>
      <c r="R209" t="inlineStr">
        <is>
          <t>Filled</t>
        </is>
      </c>
    </row>
    <row r="210" ht="18" customHeight="1" s="506">
      <c r="A210" s="259" t="n">
        <v>98823</v>
      </c>
      <c r="B210" s="224" t="inlineStr">
        <is>
          <t>Brian Gates</t>
        </is>
      </c>
      <c r="C210" s="224" t="inlineStr">
        <is>
          <t>Manager Risk &amp; Resilience</t>
        </is>
      </c>
      <c r="D210" s="224" t="inlineStr">
        <is>
          <t>Frances Bouzo</t>
        </is>
      </c>
      <c r="E210" s="224" t="inlineStr">
        <is>
          <t xml:space="preserve">CISO </t>
        </is>
      </c>
      <c r="F210" s="224" t="inlineStr">
        <is>
          <t>Cyber, Risk &amp; Operations</t>
        </is>
      </c>
      <c r="G210" s="260" t="inlineStr">
        <is>
          <t>Cyber Risk</t>
        </is>
      </c>
      <c r="H210" s="224" t="inlineStr">
        <is>
          <t xml:space="preserve">Risk &amp; Resilience </t>
        </is>
      </c>
      <c r="I210" s="224" t="inlineStr">
        <is>
          <t>NA</t>
        </is>
      </c>
      <c r="J210" s="224" t="inlineStr">
        <is>
          <t>NA</t>
        </is>
      </c>
      <c r="K210" s="224" t="inlineStr">
        <is>
          <t>NA</t>
        </is>
      </c>
      <c r="L210" s="224" t="n"/>
      <c r="M210" s="261" t="inlineStr">
        <is>
          <t>Australia</t>
        </is>
      </c>
      <c r="N210" t="inlineStr">
        <is>
          <t>TDD Cyber</t>
        </is>
      </c>
      <c r="O210" t="inlineStr">
        <is>
          <t>TDD Cyber, Risk &amp; Service Ops</t>
        </is>
      </c>
      <c r="P210" t="inlineStr">
        <is>
          <t>TDD Cyber</t>
        </is>
      </c>
      <c r="Q210" t="inlineStr">
        <is>
          <t>Squad</t>
        </is>
      </c>
      <c r="R210" t="inlineStr">
        <is>
          <t>Filled</t>
        </is>
      </c>
    </row>
    <row r="211" ht="18" customHeight="1" s="506">
      <c r="A211" s="259" t="n">
        <v>101700</v>
      </c>
      <c r="B211" s="224" t="inlineStr">
        <is>
          <t>Diya Thomas</t>
        </is>
      </c>
      <c r="C211" s="224" t="inlineStr">
        <is>
          <t>Manager Cyber Security GRC</t>
        </is>
      </c>
      <c r="D211" s="224" t="inlineStr">
        <is>
          <t>Frances Bouzo</t>
        </is>
      </c>
      <c r="E211" s="224" t="inlineStr">
        <is>
          <t xml:space="preserve">Manager Cyber Security Operations </t>
        </is>
      </c>
      <c r="F211" s="224" t="inlineStr">
        <is>
          <t>Cyber, Risk &amp; Operations</t>
        </is>
      </c>
      <c r="G211" s="260" t="inlineStr">
        <is>
          <t>Loyalty &amp; Martech</t>
        </is>
      </c>
      <c r="H211" s="224" t="inlineStr">
        <is>
          <t>NA</t>
        </is>
      </c>
      <c r="I211" s="224" t="inlineStr">
        <is>
          <t>NA</t>
        </is>
      </c>
      <c r="J211" s="224" t="inlineStr">
        <is>
          <t>NA</t>
        </is>
      </c>
      <c r="K211" s="224" t="inlineStr">
        <is>
          <t>NA</t>
        </is>
      </c>
      <c r="L211" s="224" t="n"/>
      <c r="M211" s="261" t="inlineStr">
        <is>
          <t>Australia</t>
        </is>
      </c>
      <c r="N211" t="inlineStr">
        <is>
          <t>Customer</t>
        </is>
      </c>
      <c r="O211" t="inlineStr">
        <is>
          <t>Group Customer Platforms</t>
        </is>
      </c>
      <c r="P211" t="inlineStr">
        <is>
          <t>AU CRM &amp; Martech</t>
        </is>
      </c>
      <c r="Q211" t="inlineStr">
        <is>
          <t>Squad</t>
        </is>
      </c>
      <c r="R211" t="inlineStr">
        <is>
          <t>Filled</t>
        </is>
      </c>
    </row>
    <row r="212" ht="18" customHeight="1" s="506">
      <c r="A212" s="259" t="n">
        <v>100825</v>
      </c>
      <c r="B212" s="224" t="inlineStr">
        <is>
          <t>James Byrne</t>
        </is>
      </c>
      <c r="C212" s="224" t="inlineStr">
        <is>
          <t>Head of Cyber Strategy &amp; Technology</t>
        </is>
      </c>
      <c r="D212" s="224" t="inlineStr">
        <is>
          <t>Frances Bouzo</t>
        </is>
      </c>
      <c r="E212" s="224" t="inlineStr">
        <is>
          <t xml:space="preserve">Manager Customer Support Operations </t>
        </is>
      </c>
      <c r="F212" s="224" t="inlineStr">
        <is>
          <t>Cyber, Risk &amp; Operations</t>
        </is>
      </c>
      <c r="G212" s="260" t="inlineStr">
        <is>
          <t>Cyber Strat &amp; Tech</t>
        </is>
      </c>
      <c r="H212" s="224" t="inlineStr">
        <is>
          <t>NA</t>
        </is>
      </c>
      <c r="I212" s="224" t="inlineStr">
        <is>
          <t>EGI Integration</t>
        </is>
      </c>
      <c r="J212" s="224" t="inlineStr">
        <is>
          <t>EGI</t>
        </is>
      </c>
      <c r="K212" s="224" t="inlineStr">
        <is>
          <t>EGI Retail</t>
        </is>
      </c>
      <c r="L212" s="224" t="n"/>
      <c r="M212" s="261" t="inlineStr">
        <is>
          <t>Australia</t>
        </is>
      </c>
      <c r="N212" t="inlineStr">
        <is>
          <t>Ampol Retail</t>
        </is>
      </c>
      <c r="O212" t="inlineStr">
        <is>
          <t>EGI Retail</t>
        </is>
      </c>
      <c r="P212" t="inlineStr">
        <is>
          <t>EGI Retail</t>
        </is>
      </c>
      <c r="Q212" t="inlineStr">
        <is>
          <t>Strategic Program</t>
        </is>
      </c>
      <c r="R212" t="inlineStr">
        <is>
          <t>Filled</t>
        </is>
      </c>
    </row>
    <row r="213" ht="18" customHeight="1" s="506">
      <c r="A213" s="259" t="n">
        <v>97592</v>
      </c>
      <c r="B213" s="224" t="inlineStr">
        <is>
          <t>Kevin Sheerin</t>
        </is>
      </c>
      <c r="C213" s="224" t="inlineStr">
        <is>
          <t>Cyber Architecture Lead</t>
        </is>
      </c>
      <c r="D213" s="224" t="inlineStr">
        <is>
          <t>James Byrne</t>
        </is>
      </c>
      <c r="E213" s="224" t="n"/>
      <c r="F213" s="224" t="inlineStr">
        <is>
          <t>Cyber, Risk &amp; Operations</t>
        </is>
      </c>
      <c r="G213" s="260" t="inlineStr">
        <is>
          <t>Cyber Strat &amp; Tech</t>
        </is>
      </c>
      <c r="H213" s="224" t="inlineStr">
        <is>
          <t>NA</t>
        </is>
      </c>
      <c r="I213" s="224" t="inlineStr">
        <is>
          <t>NA</t>
        </is>
      </c>
      <c r="J213" s="224" t="inlineStr">
        <is>
          <t>NA</t>
        </is>
      </c>
      <c r="K213" s="224" t="inlineStr">
        <is>
          <t>NA</t>
        </is>
      </c>
      <c r="L213" s="224" t="n"/>
      <c r="M213" s="261" t="inlineStr">
        <is>
          <t>Australia</t>
        </is>
      </c>
      <c r="N213" t="inlineStr">
        <is>
          <t>TDD Cyber</t>
        </is>
      </c>
      <c r="O213" t="inlineStr">
        <is>
          <t>TDD Cyber, Risk &amp; Service Ops</t>
        </is>
      </c>
      <c r="P213" t="inlineStr">
        <is>
          <t>TDD Cyber</t>
        </is>
      </c>
      <c r="Q213" t="inlineStr">
        <is>
          <t>Squad</t>
        </is>
      </c>
      <c r="R213" t="inlineStr">
        <is>
          <t>Filled</t>
        </is>
      </c>
    </row>
    <row r="214" ht="18" customHeight="1" s="506">
      <c r="A214" s="259" t="n">
        <v>108809</v>
      </c>
      <c r="B214" s="224" t="inlineStr">
        <is>
          <t>Joe Nahma</t>
        </is>
      </c>
      <c r="C214" s="224" t="inlineStr">
        <is>
          <t>Manager Identity &amp; Access Management</t>
        </is>
      </c>
      <c r="D214" s="224" t="inlineStr">
        <is>
          <t>James Byrne</t>
        </is>
      </c>
      <c r="E214" s="224" t="inlineStr">
        <is>
          <t>Manager Cyber Security GRC</t>
        </is>
      </c>
      <c r="F214" s="224" t="inlineStr">
        <is>
          <t>Cyber, Risk &amp; Operations</t>
        </is>
      </c>
      <c r="G214" s="260" t="inlineStr">
        <is>
          <t>Cyber Strat &amp; Tech</t>
        </is>
      </c>
      <c r="H214" s="224" t="inlineStr">
        <is>
          <t>NA</t>
        </is>
      </c>
      <c r="I214" s="224" t="inlineStr">
        <is>
          <t>NA</t>
        </is>
      </c>
      <c r="J214" s="224" t="inlineStr">
        <is>
          <t>NA</t>
        </is>
      </c>
      <c r="K214" s="224" t="inlineStr">
        <is>
          <t>NA</t>
        </is>
      </c>
      <c r="L214" s="224" t="n"/>
      <c r="M214" s="261" t="inlineStr">
        <is>
          <t>Australia</t>
        </is>
      </c>
      <c r="N214" t="inlineStr">
        <is>
          <t>TDD Cyber</t>
        </is>
      </c>
      <c r="O214" t="inlineStr">
        <is>
          <t>TDD Cyber, Risk &amp; Service Ops</t>
        </is>
      </c>
      <c r="P214" t="inlineStr">
        <is>
          <t>TDD Cyber</t>
        </is>
      </c>
      <c r="Q214" t="inlineStr">
        <is>
          <t>Squad</t>
        </is>
      </c>
      <c r="R214" t="inlineStr">
        <is>
          <t>Filled</t>
        </is>
      </c>
    </row>
    <row r="215" ht="18" customHeight="1" s="506">
      <c r="A215" s="259" t="n">
        <v>101830</v>
      </c>
      <c r="B215" s="224" t="inlineStr">
        <is>
          <t>Vivienne Vasak</t>
        </is>
      </c>
      <c r="C215" s="224" t="inlineStr">
        <is>
          <t>Portfolio Manager Cyber Security</t>
        </is>
      </c>
      <c r="D215" s="224" t="inlineStr">
        <is>
          <t>James Byrne</t>
        </is>
      </c>
      <c r="E215" s="224" t="inlineStr">
        <is>
          <t xml:space="preserve">Manager Service Perforance &amp; Assurance </t>
        </is>
      </c>
      <c r="F215" s="224" t="inlineStr">
        <is>
          <t>Cyber, Risk &amp; Operations</t>
        </is>
      </c>
      <c r="G215" s="260" t="inlineStr">
        <is>
          <t>Cyber Strat &amp; Tech</t>
        </is>
      </c>
      <c r="H215" s="224" t="inlineStr">
        <is>
          <t>NA</t>
        </is>
      </c>
      <c r="I215" s="224" t="inlineStr">
        <is>
          <t>NA</t>
        </is>
      </c>
      <c r="J215" s="224" t="inlineStr">
        <is>
          <t>NA</t>
        </is>
      </c>
      <c r="K215" s="224" t="inlineStr">
        <is>
          <t>NA</t>
        </is>
      </c>
      <c r="L215" s="224" t="n"/>
      <c r="M215" s="261" t="inlineStr">
        <is>
          <t>Australia</t>
        </is>
      </c>
      <c r="N215" t="inlineStr">
        <is>
          <t>TDD Cyber</t>
        </is>
      </c>
      <c r="O215" t="inlineStr">
        <is>
          <t>TDD Cyber, Risk &amp; Service Ops</t>
        </is>
      </c>
      <c r="P215" t="inlineStr">
        <is>
          <t>TDD Cyber</t>
        </is>
      </c>
      <c r="Q215" t="inlineStr">
        <is>
          <t>Squad</t>
        </is>
      </c>
      <c r="R215" t="inlineStr">
        <is>
          <t>Filled</t>
        </is>
      </c>
    </row>
    <row r="216" ht="18" customHeight="1" s="506">
      <c r="A216" s="259" t="n">
        <v>86962</v>
      </c>
      <c r="B216" s="224" t="inlineStr">
        <is>
          <t>Cameron Watman</t>
        </is>
      </c>
      <c r="C216" s="224" t="inlineStr">
        <is>
          <t>Engineer - IDAM</t>
        </is>
      </c>
      <c r="D216" s="224" t="inlineStr">
        <is>
          <t>Joe Nahma</t>
        </is>
      </c>
      <c r="E216" s="224" t="inlineStr">
        <is>
          <t xml:space="preserve">Head of Cyber Strategy &amp; Technology </t>
        </is>
      </c>
      <c r="F216" s="224" t="inlineStr">
        <is>
          <t>Cyber, Risk &amp; Operations</t>
        </is>
      </c>
      <c r="G216" s="260" t="inlineStr">
        <is>
          <t>Cyber Strat &amp; Tech</t>
        </is>
      </c>
      <c r="H216" s="260" t="inlineStr">
        <is>
          <t xml:space="preserve">Identity &amp; Access Management </t>
        </is>
      </c>
      <c r="I216" s="224" t="inlineStr">
        <is>
          <t>NA</t>
        </is>
      </c>
      <c r="J216" s="224" t="inlineStr">
        <is>
          <t>NA</t>
        </is>
      </c>
      <c r="K216" s="224" t="inlineStr">
        <is>
          <t>NA</t>
        </is>
      </c>
      <c r="L216" s="224" t="n"/>
      <c r="M216" s="261" t="inlineStr">
        <is>
          <t>Australia</t>
        </is>
      </c>
      <c r="N216" t="inlineStr">
        <is>
          <t>TDD Cyber</t>
        </is>
      </c>
      <c r="O216" t="inlineStr">
        <is>
          <t>TDD Cyber, Risk &amp; Service Ops</t>
        </is>
      </c>
      <c r="P216" t="inlineStr">
        <is>
          <t>TDD Cyber</t>
        </is>
      </c>
      <c r="Q216" t="inlineStr">
        <is>
          <t>Squad</t>
        </is>
      </c>
      <c r="R216" t="inlineStr">
        <is>
          <t>Filled</t>
        </is>
      </c>
    </row>
    <row r="217" ht="18" customHeight="1" s="506">
      <c r="A217" s="259" t="n">
        <v>116241</v>
      </c>
      <c r="B217" s="224" t="inlineStr">
        <is>
          <t>Raymond Cheung</t>
        </is>
      </c>
      <c r="C217" s="224" t="inlineStr">
        <is>
          <t>Engineer - IDAM</t>
        </is>
      </c>
      <c r="D217" s="224" t="inlineStr">
        <is>
          <t>Joe Nahma</t>
        </is>
      </c>
      <c r="E217" s="224" t="inlineStr">
        <is>
          <t xml:space="preserve">Head Cyber Strategy &amp; Technology </t>
        </is>
      </c>
      <c r="F217" s="224" t="inlineStr">
        <is>
          <t>Cyber, Risk &amp; Operations</t>
        </is>
      </c>
      <c r="G217" s="260" t="inlineStr">
        <is>
          <t>Cyber Strat &amp; Tech</t>
        </is>
      </c>
      <c r="H217" s="224" t="inlineStr">
        <is>
          <t>NA</t>
        </is>
      </c>
      <c r="I217" s="224" t="inlineStr">
        <is>
          <t>NA</t>
        </is>
      </c>
      <c r="J217" s="224" t="inlineStr">
        <is>
          <t>NA</t>
        </is>
      </c>
      <c r="K217" s="224" t="inlineStr">
        <is>
          <t>NA</t>
        </is>
      </c>
      <c r="L217" s="224" t="n"/>
      <c r="M217" s="261" t="inlineStr">
        <is>
          <t>Australia</t>
        </is>
      </c>
      <c r="N217" t="inlineStr">
        <is>
          <t>TDD Cyber</t>
        </is>
      </c>
      <c r="O217" t="inlineStr">
        <is>
          <t>TDD Cyber, Risk &amp; Service Ops</t>
        </is>
      </c>
      <c r="P217" t="inlineStr">
        <is>
          <t>TDD Cyber</t>
        </is>
      </c>
      <c r="Q217" t="inlineStr">
        <is>
          <t>Squad</t>
        </is>
      </c>
      <c r="R217" t="inlineStr">
        <is>
          <t>Filled</t>
        </is>
      </c>
    </row>
    <row r="218" ht="18" customHeight="1" s="506">
      <c r="A218" s="259" t="n">
        <v>102385</v>
      </c>
      <c r="B218" s="224" t="inlineStr">
        <is>
          <t>Chris Lyons</t>
        </is>
      </c>
      <c r="C218" s="224" t="inlineStr">
        <is>
          <t>Cyber Security Architect</t>
        </is>
      </c>
      <c r="D218" s="224" t="inlineStr">
        <is>
          <t>Kevin Sheerin</t>
        </is>
      </c>
      <c r="E218" s="224" t="inlineStr">
        <is>
          <t xml:space="preserve">Head of Cyber Strategy &amp; Technology </t>
        </is>
      </c>
      <c r="F218" s="224" t="inlineStr">
        <is>
          <t>Cyber, Risk &amp; Operations</t>
        </is>
      </c>
      <c r="G218" s="260" t="inlineStr">
        <is>
          <t>Cyber Strat &amp; Tech</t>
        </is>
      </c>
      <c r="H218" s="224" t="inlineStr">
        <is>
          <t>NA</t>
        </is>
      </c>
      <c r="I218" s="224" t="inlineStr">
        <is>
          <t>NA</t>
        </is>
      </c>
      <c r="J218" s="224" t="inlineStr">
        <is>
          <t>NA</t>
        </is>
      </c>
      <c r="K218" s="224" t="inlineStr">
        <is>
          <t>NA</t>
        </is>
      </c>
      <c r="L218" s="224" t="n"/>
      <c r="M218" s="261" t="inlineStr">
        <is>
          <t>Australia</t>
        </is>
      </c>
      <c r="N218" t="inlineStr">
        <is>
          <t>TDD Cyber</t>
        </is>
      </c>
      <c r="O218" t="inlineStr">
        <is>
          <t>TDD Cyber, Risk &amp; Service Ops</t>
        </is>
      </c>
      <c r="P218" t="inlineStr">
        <is>
          <t>TDD Cyber</t>
        </is>
      </c>
      <c r="Q218" t="inlineStr">
        <is>
          <t>Squad</t>
        </is>
      </c>
      <c r="R218" t="inlineStr">
        <is>
          <t>Filled</t>
        </is>
      </c>
    </row>
    <row r="219" ht="18" customHeight="1" s="506">
      <c r="A219" s="259" t="n">
        <v>99707</v>
      </c>
      <c r="B219" s="224" t="inlineStr">
        <is>
          <t>Darshan Suvama</t>
        </is>
      </c>
      <c r="C219" s="224" t="inlineStr">
        <is>
          <t>Cyber Offensive Security Lead</t>
        </is>
      </c>
      <c r="D219" s="224" t="inlineStr">
        <is>
          <t>Kevin Sheerin</t>
        </is>
      </c>
      <c r="E219" s="224" t="inlineStr">
        <is>
          <t>Cyber Architecture Lead</t>
        </is>
      </c>
      <c r="F219" s="224" t="inlineStr">
        <is>
          <t>Cyber, Risk &amp; Operations</t>
        </is>
      </c>
      <c r="G219" s="260" t="inlineStr">
        <is>
          <t>Cyber Strat &amp; Tech</t>
        </is>
      </c>
      <c r="H219" s="224" t="inlineStr">
        <is>
          <t>NA</t>
        </is>
      </c>
      <c r="I219" s="224" t="inlineStr">
        <is>
          <t>NA</t>
        </is>
      </c>
      <c r="J219" s="224" t="inlineStr">
        <is>
          <t>NA</t>
        </is>
      </c>
      <c r="K219" s="224" t="inlineStr">
        <is>
          <t>NA</t>
        </is>
      </c>
      <c r="L219" s="224" t="n"/>
      <c r="M219" s="261" t="inlineStr">
        <is>
          <t>Australia</t>
        </is>
      </c>
      <c r="N219" t="inlineStr">
        <is>
          <t>TDD Cyber</t>
        </is>
      </c>
      <c r="O219" t="inlineStr">
        <is>
          <t>TDD Cyber, Risk &amp; Service Ops</t>
        </is>
      </c>
      <c r="P219" t="inlineStr">
        <is>
          <t>TDD Cyber</t>
        </is>
      </c>
      <c r="Q219" t="inlineStr">
        <is>
          <t>Squad</t>
        </is>
      </c>
      <c r="R219" t="inlineStr">
        <is>
          <t>Filled</t>
        </is>
      </c>
    </row>
    <row r="220" ht="18" customHeight="1" s="506">
      <c r="A220" s="259" t="n">
        <v>104966</v>
      </c>
      <c r="B220" s="224" t="inlineStr">
        <is>
          <t>Rahul Sahni</t>
        </is>
      </c>
      <c r="C220" s="224" t="inlineStr">
        <is>
          <t>Cyber Security Architect</t>
        </is>
      </c>
      <c r="D220" s="224" t="inlineStr">
        <is>
          <t>Kevin Sheerin</t>
        </is>
      </c>
      <c r="E220" s="224" t="n"/>
      <c r="F220" s="224" t="inlineStr">
        <is>
          <t>Cyber, Risk &amp; Operations</t>
        </is>
      </c>
      <c r="G220" s="260" t="inlineStr">
        <is>
          <t>Cyber Strat &amp; Tech</t>
        </is>
      </c>
      <c r="H220" s="224" t="inlineStr">
        <is>
          <t>NA</t>
        </is>
      </c>
      <c r="I220" s="224" t="inlineStr">
        <is>
          <t>NA</t>
        </is>
      </c>
      <c r="J220" s="224" t="inlineStr">
        <is>
          <t>NA</t>
        </is>
      </c>
      <c r="K220" s="224" t="inlineStr">
        <is>
          <t>NA</t>
        </is>
      </c>
      <c r="L220" s="224" t="n"/>
      <c r="M220" s="261" t="inlineStr">
        <is>
          <t>Australia</t>
        </is>
      </c>
      <c r="N220" t="inlineStr">
        <is>
          <t>TDD Cyber</t>
        </is>
      </c>
      <c r="O220" t="inlineStr">
        <is>
          <t>TDD Cyber, Risk &amp; Service Ops</t>
        </is>
      </c>
      <c r="P220" t="inlineStr">
        <is>
          <t>TDD Cyber</t>
        </is>
      </c>
      <c r="Q220" t="inlineStr">
        <is>
          <t>Squad</t>
        </is>
      </c>
      <c r="R220" t="inlineStr">
        <is>
          <t>Filled</t>
        </is>
      </c>
    </row>
    <row r="221" ht="18" customHeight="1" s="506">
      <c r="A221" s="259" t="n"/>
      <c r="B221" s="224" t="inlineStr">
        <is>
          <t>Vacant</t>
        </is>
      </c>
      <c r="C221" s="224" t="inlineStr">
        <is>
          <t>Cyber Architect (backfill for EGI Secondment)</t>
        </is>
      </c>
      <c r="D221" s="224" t="inlineStr">
        <is>
          <t>Kevin Sheerin</t>
        </is>
      </c>
      <c r="E221" s="224" t="n"/>
      <c r="F221" s="224" t="inlineStr">
        <is>
          <t>Cyber, Risk &amp; Operations</t>
        </is>
      </c>
      <c r="G221" s="260" t="inlineStr">
        <is>
          <t>Cyber Strat &amp; Tech</t>
        </is>
      </c>
      <c r="H221" s="224" t="inlineStr">
        <is>
          <t>NA</t>
        </is>
      </c>
      <c r="I221" s="224" t="inlineStr">
        <is>
          <t>NA</t>
        </is>
      </c>
      <c r="J221" s="224" t="inlineStr">
        <is>
          <t>NA</t>
        </is>
      </c>
      <c r="K221" s="224" t="inlineStr">
        <is>
          <t>NA</t>
        </is>
      </c>
      <c r="L221" s="224" t="n"/>
      <c r="M221" s="261" t="n"/>
      <c r="N221" t="inlineStr">
        <is>
          <t>TDD Cyber</t>
        </is>
      </c>
      <c r="O221" t="inlineStr">
        <is>
          <t>TDD Cyber, Risk &amp; Service Ops</t>
        </is>
      </c>
      <c r="P221" t="inlineStr">
        <is>
          <t>TDD Cyber</t>
        </is>
      </c>
      <c r="Q221" t="inlineStr">
        <is>
          <t>Squad</t>
        </is>
      </c>
      <c r="R221" t="inlineStr">
        <is>
          <t>Vacant</t>
        </is>
      </c>
    </row>
    <row r="222" ht="18" customHeight="1" s="506">
      <c r="A222" s="259" t="n">
        <v>113382</v>
      </c>
      <c r="B222" s="224" t="inlineStr">
        <is>
          <t>Jack Jenkins</t>
        </is>
      </c>
      <c r="C222" s="224" t="inlineStr">
        <is>
          <t>Asset Analyst</t>
        </is>
      </c>
      <c r="D222" s="224" t="inlineStr">
        <is>
          <t>Lead – Asset &amp; Configuration (Vacant)</t>
        </is>
      </c>
      <c r="E222" s="224" t="n"/>
      <c r="F222" s="224" t="inlineStr">
        <is>
          <t>Cyber, Risk &amp; Operations</t>
        </is>
      </c>
      <c r="G222" s="260" t="inlineStr">
        <is>
          <t>Service Op &amp; Assurance</t>
        </is>
      </c>
      <c r="H222" s="224" t="inlineStr">
        <is>
          <t>NA</t>
        </is>
      </c>
      <c r="I222" s="224" t="inlineStr">
        <is>
          <t>NA</t>
        </is>
      </c>
      <c r="J222" s="224" t="inlineStr">
        <is>
          <t>NA</t>
        </is>
      </c>
      <c r="K222" s="224" t="inlineStr">
        <is>
          <t>NA</t>
        </is>
      </c>
      <c r="L222" s="224" t="n"/>
      <c r="M222" s="261" t="inlineStr">
        <is>
          <t>Australia</t>
        </is>
      </c>
      <c r="N222" t="inlineStr">
        <is>
          <t>TDD Cyber</t>
        </is>
      </c>
      <c r="O222" t="inlineStr">
        <is>
          <t>TDD Cyber, Risk &amp; Service Ops</t>
        </is>
      </c>
      <c r="P222" t="inlineStr">
        <is>
          <t>TDD Cyber</t>
        </is>
      </c>
      <c r="Q222" t="inlineStr">
        <is>
          <t>Squad</t>
        </is>
      </c>
      <c r="R222" t="inlineStr">
        <is>
          <t>Filled</t>
        </is>
      </c>
    </row>
    <row r="223" ht="18" customHeight="1" s="506">
      <c r="A223" s="259" t="n">
        <v>104555</v>
      </c>
      <c r="B223" s="224" t="inlineStr">
        <is>
          <t>Ritika Salaria</t>
        </is>
      </c>
      <c r="C223" s="224" t="inlineStr">
        <is>
          <t>Configuration Analyst</t>
        </is>
      </c>
      <c r="D223" s="224" t="inlineStr">
        <is>
          <t>Lead – Asset &amp; Configuration (Vacant)</t>
        </is>
      </c>
      <c r="E223" s="224" t="n"/>
      <c r="F223" s="224" t="inlineStr">
        <is>
          <t>Cyber, Risk &amp; Operations</t>
        </is>
      </c>
      <c r="G223" s="260" t="inlineStr">
        <is>
          <t>Service Op &amp; Assurance</t>
        </is>
      </c>
      <c r="H223" s="224" t="inlineStr">
        <is>
          <t>NA</t>
        </is>
      </c>
      <c r="I223" s="224" t="inlineStr">
        <is>
          <t>NA</t>
        </is>
      </c>
      <c r="J223" s="224" t="inlineStr">
        <is>
          <t>NA</t>
        </is>
      </c>
      <c r="K223" s="224" t="inlineStr">
        <is>
          <t>NA</t>
        </is>
      </c>
      <c r="L223" s="224" t="n"/>
      <c r="M223" s="261" t="inlineStr">
        <is>
          <t>Australia</t>
        </is>
      </c>
      <c r="N223" t="inlineStr">
        <is>
          <t>TDD Cyber</t>
        </is>
      </c>
      <c r="O223" t="inlineStr">
        <is>
          <t>TDD Cyber, Risk &amp; Service Ops</t>
        </is>
      </c>
      <c r="P223" t="inlineStr">
        <is>
          <t>TDD Cyber</t>
        </is>
      </c>
      <c r="Q223" t="inlineStr">
        <is>
          <t>Squad</t>
        </is>
      </c>
      <c r="R223" t="inlineStr">
        <is>
          <t>Filled</t>
        </is>
      </c>
    </row>
    <row r="224" ht="18" customHeight="1" s="506">
      <c r="A224" s="259" t="n">
        <v>114354</v>
      </c>
      <c r="B224" s="224" t="inlineStr">
        <is>
          <t>Kaaviya Salai Manimudian</t>
        </is>
      </c>
      <c r="C224" s="224" t="inlineStr">
        <is>
          <t>Graduate</t>
        </is>
      </c>
      <c r="D224" s="224" t="inlineStr">
        <is>
          <t>Lynda Niewidok</t>
        </is>
      </c>
      <c r="E224" s="224" t="inlineStr">
        <is>
          <t xml:space="preserve">Manager Customer Support Operations </t>
        </is>
      </c>
      <c r="F224" s="224" t="inlineStr">
        <is>
          <t>Cyber, Risk &amp; Operations</t>
        </is>
      </c>
      <c r="G224" s="260" t="inlineStr">
        <is>
          <t>Service Op &amp; Assurance</t>
        </is>
      </c>
      <c r="H224" s="224" t="inlineStr">
        <is>
          <t>NA</t>
        </is>
      </c>
      <c r="I224" s="224" t="inlineStr">
        <is>
          <t>NA</t>
        </is>
      </c>
      <c r="J224" s="224" t="inlineStr">
        <is>
          <t>NA</t>
        </is>
      </c>
      <c r="K224" s="224" t="inlineStr">
        <is>
          <t>NA</t>
        </is>
      </c>
      <c r="L224" s="224" t="n"/>
      <c r="M224" s="261" t="inlineStr">
        <is>
          <t>Australia</t>
        </is>
      </c>
      <c r="N224" t="inlineStr">
        <is>
          <t>TDD Cyber</t>
        </is>
      </c>
      <c r="O224" t="inlineStr">
        <is>
          <t>TDD Cyber, Risk &amp; Service Ops</t>
        </is>
      </c>
      <c r="P224" t="inlineStr">
        <is>
          <t>TDD Cyber</t>
        </is>
      </c>
      <c r="Q224" t="inlineStr">
        <is>
          <t>Squad</t>
        </is>
      </c>
      <c r="R224" t="inlineStr">
        <is>
          <t>Filled</t>
        </is>
      </c>
    </row>
    <row r="225" ht="18" customHeight="1" s="506">
      <c r="A225" s="259" t="n"/>
      <c r="B225" s="224" t="inlineStr">
        <is>
          <t>Vacant (SYD)</t>
        </is>
      </c>
      <c r="C225" s="224" t="inlineStr">
        <is>
          <t>Tech Support Technician</t>
        </is>
      </c>
      <c r="D225" s="224" t="inlineStr">
        <is>
          <t>Mark Pearson</t>
        </is>
      </c>
      <c r="E225" s="224" t="n"/>
      <c r="F225" s="224" t="inlineStr">
        <is>
          <t>Cyber, Risk &amp; Operations</t>
        </is>
      </c>
      <c r="G225" s="260" t="inlineStr">
        <is>
          <t>Service Op &amp; Assurance</t>
        </is>
      </c>
      <c r="H225" s="224" t="inlineStr">
        <is>
          <t>NA</t>
        </is>
      </c>
      <c r="I225" s="224" t="inlineStr">
        <is>
          <t>NA</t>
        </is>
      </c>
      <c r="J225" s="224" t="inlineStr">
        <is>
          <t>NA</t>
        </is>
      </c>
      <c r="K225" s="224" t="inlineStr">
        <is>
          <t>NA</t>
        </is>
      </c>
      <c r="L225" s="224" t="n"/>
      <c r="M225" s="261" t="n"/>
      <c r="N225" t="inlineStr">
        <is>
          <t>TDD Cyber</t>
        </is>
      </c>
      <c r="O225" t="inlineStr">
        <is>
          <t>TDD Cyber, Risk &amp; Service Ops</t>
        </is>
      </c>
      <c r="P225" t="inlineStr">
        <is>
          <t>TDD Cyber</t>
        </is>
      </c>
      <c r="Q225" t="inlineStr">
        <is>
          <t>Squad</t>
        </is>
      </c>
      <c r="R225" t="inlineStr">
        <is>
          <t>Filled</t>
        </is>
      </c>
    </row>
    <row r="226" ht="18" customHeight="1" s="506">
      <c r="A226" s="259" t="n">
        <v>108727</v>
      </c>
      <c r="B226" s="224" t="inlineStr">
        <is>
          <t>Jas Mann</t>
        </is>
      </c>
      <c r="C226" s="224" t="inlineStr">
        <is>
          <t>Technology Support Engineer</t>
        </is>
      </c>
      <c r="D226" s="224" t="inlineStr">
        <is>
          <t>Mark Pearson</t>
        </is>
      </c>
      <c r="E226" s="224" t="inlineStr">
        <is>
          <t xml:space="preserve">Lead Technology Support </t>
        </is>
      </c>
      <c r="F226" s="224" t="inlineStr">
        <is>
          <t>Cyber, Risk &amp; Operations</t>
        </is>
      </c>
      <c r="G226" s="260" t="inlineStr">
        <is>
          <t>Service Op &amp; Assurance</t>
        </is>
      </c>
      <c r="H226" s="224" t="inlineStr">
        <is>
          <t>NA</t>
        </is>
      </c>
      <c r="I226" s="224" t="inlineStr">
        <is>
          <t>NA</t>
        </is>
      </c>
      <c r="J226" s="224" t="inlineStr">
        <is>
          <t>NA</t>
        </is>
      </c>
      <c r="K226" s="224" t="inlineStr">
        <is>
          <t>NA</t>
        </is>
      </c>
      <c r="L226" s="224" t="n"/>
      <c r="M226" s="261" t="inlineStr">
        <is>
          <t>Australia</t>
        </is>
      </c>
      <c r="N226" t="inlineStr">
        <is>
          <t>TDD Cyber</t>
        </is>
      </c>
      <c r="O226" t="inlineStr">
        <is>
          <t>TDD Cyber, Risk &amp; Service Ops</t>
        </is>
      </c>
      <c r="P226" t="inlineStr">
        <is>
          <t>TDD Cyber</t>
        </is>
      </c>
      <c r="Q226" t="inlineStr">
        <is>
          <t>Squad</t>
        </is>
      </c>
      <c r="R226" t="inlineStr">
        <is>
          <t>Filled</t>
        </is>
      </c>
    </row>
    <row r="227" ht="18" customHeight="1" s="506">
      <c r="A227" s="259" t="n">
        <v>108013</v>
      </c>
      <c r="B227" s="224" t="inlineStr">
        <is>
          <t>Vacant</t>
        </is>
      </c>
      <c r="C227" s="224" t="inlineStr">
        <is>
          <t>Technology Support Engineer</t>
        </is>
      </c>
      <c r="D227" s="224" t="inlineStr">
        <is>
          <t>Mark Pearson</t>
        </is>
      </c>
      <c r="E227" s="224" t="inlineStr">
        <is>
          <t xml:space="preserve">Lead Technology Support </t>
        </is>
      </c>
      <c r="F227" s="224" t="inlineStr">
        <is>
          <t>Cyber, Risk &amp; Operations</t>
        </is>
      </c>
      <c r="G227" s="260" t="inlineStr">
        <is>
          <t>Service Op &amp; Assurance</t>
        </is>
      </c>
      <c r="H227" s="224" t="inlineStr">
        <is>
          <t xml:space="preserve">Technology Support </t>
        </is>
      </c>
      <c r="I227" s="224" t="inlineStr">
        <is>
          <t>NA</t>
        </is>
      </c>
      <c r="J227" s="224" t="inlineStr">
        <is>
          <t>NA</t>
        </is>
      </c>
      <c r="K227" s="224" t="inlineStr">
        <is>
          <t>NA</t>
        </is>
      </c>
      <c r="L227" s="224" t="n"/>
      <c r="M227" s="261" t="inlineStr">
        <is>
          <t>Australia</t>
        </is>
      </c>
      <c r="N227" t="inlineStr">
        <is>
          <t>TDD Cyber</t>
        </is>
      </c>
      <c r="O227" t="inlineStr">
        <is>
          <t>TDD Cyber, Risk &amp; Service Ops</t>
        </is>
      </c>
      <c r="P227" t="inlineStr">
        <is>
          <t>TDD Cyber</t>
        </is>
      </c>
      <c r="Q227" t="inlineStr">
        <is>
          <t>Squad</t>
        </is>
      </c>
      <c r="R227" t="inlineStr">
        <is>
          <t>Vacant</t>
        </is>
      </c>
    </row>
    <row r="228" ht="18" customHeight="1" s="506">
      <c r="A228" s="259" t="n"/>
      <c r="B228" s="224" t="inlineStr">
        <is>
          <t>Vacant</t>
        </is>
      </c>
      <c r="C228" s="224" t="inlineStr">
        <is>
          <t>Operations Analyst</t>
        </is>
      </c>
      <c r="D228" s="224" t="inlineStr">
        <is>
          <t>Mick Collins</t>
        </is>
      </c>
      <c r="E228" s="224" t="inlineStr">
        <is>
          <t xml:space="preserve">Manager Service Management &amp; Major Incident Management Lead </t>
        </is>
      </c>
      <c r="F228" s="224" t="inlineStr">
        <is>
          <t>Cyber, Risk &amp; Operations</t>
        </is>
      </c>
      <c r="G228" s="260" t="inlineStr">
        <is>
          <t>Loyalty &amp; Martech</t>
        </is>
      </c>
      <c r="H228" s="224" t="inlineStr">
        <is>
          <t>NA</t>
        </is>
      </c>
      <c r="I228" s="224" t="inlineStr">
        <is>
          <t>NA</t>
        </is>
      </c>
      <c r="J228" s="224" t="inlineStr">
        <is>
          <t>NA</t>
        </is>
      </c>
      <c r="K228" s="224" t="inlineStr">
        <is>
          <t>NA</t>
        </is>
      </c>
      <c r="L228" s="224" t="n"/>
      <c r="M228" s="261" t="n"/>
      <c r="N228" t="inlineStr">
        <is>
          <t>Customer</t>
        </is>
      </c>
      <c r="O228" t="inlineStr">
        <is>
          <t>Group Customer Platforms</t>
        </is>
      </c>
      <c r="P228" t="inlineStr">
        <is>
          <t>AU CRM &amp; Martech</t>
        </is>
      </c>
      <c r="Q228" t="inlineStr">
        <is>
          <t>Squad</t>
        </is>
      </c>
      <c r="R228" t="inlineStr">
        <is>
          <t>Vacant</t>
        </is>
      </c>
    </row>
    <row r="229" ht="18" customHeight="1" s="506">
      <c r="A229" s="259" t="n">
        <v>99999101684</v>
      </c>
      <c r="B229" s="224" t="inlineStr">
        <is>
          <t>Ashley Mueller</t>
        </is>
      </c>
      <c r="C229" s="224" t="inlineStr">
        <is>
          <t>Lead – Service Assurance</t>
        </is>
      </c>
      <c r="D229" s="224" t="inlineStr">
        <is>
          <t>Mick Collins</t>
        </is>
      </c>
      <c r="E229" s="224" t="inlineStr">
        <is>
          <t>Cyber Architecture Lead</t>
        </is>
      </c>
      <c r="F229" s="224" t="inlineStr">
        <is>
          <t>Cyber, Risk &amp; Operations</t>
        </is>
      </c>
      <c r="G229" s="260" t="inlineStr">
        <is>
          <t>Service Op &amp; Assurance</t>
        </is>
      </c>
      <c r="H229" s="224" t="inlineStr">
        <is>
          <t xml:space="preserve">Service Performance &amp; Assurance </t>
        </is>
      </c>
      <c r="I229" s="224" t="inlineStr">
        <is>
          <t>NA</t>
        </is>
      </c>
      <c r="J229" s="224" t="inlineStr">
        <is>
          <t>NA</t>
        </is>
      </c>
      <c r="K229" s="224" t="inlineStr">
        <is>
          <t>NA</t>
        </is>
      </c>
      <c r="L229" s="224" t="n"/>
      <c r="M229" s="261" t="inlineStr">
        <is>
          <t>NZ</t>
        </is>
      </c>
      <c r="N229" t="inlineStr">
        <is>
          <t>TDD Cyber</t>
        </is>
      </c>
      <c r="O229" t="inlineStr">
        <is>
          <t>TDD Cyber, Risk &amp; Service Ops</t>
        </is>
      </c>
      <c r="P229" t="inlineStr">
        <is>
          <t>TDD Cyber</t>
        </is>
      </c>
      <c r="Q229" t="inlineStr">
        <is>
          <t>Squad</t>
        </is>
      </c>
      <c r="R229" t="inlineStr">
        <is>
          <t>Filled</t>
        </is>
      </c>
    </row>
    <row r="230" ht="18" customHeight="1" s="506">
      <c r="A230" s="259" t="n"/>
      <c r="B230" s="224" t="inlineStr">
        <is>
          <t>Vacant</t>
        </is>
      </c>
      <c r="C230" s="224" t="inlineStr">
        <is>
          <t>Lead – Asset &amp; Configuration</t>
        </is>
      </c>
      <c r="D230" s="224" t="inlineStr">
        <is>
          <t>Mick Collins</t>
        </is>
      </c>
      <c r="E230" s="224" t="inlineStr">
        <is>
          <t xml:space="preserve">Manager Cyber Security Operations </t>
        </is>
      </c>
      <c r="F230" s="224" t="inlineStr">
        <is>
          <t>Cyber, Risk &amp; Operations</t>
        </is>
      </c>
      <c r="G230" s="260" t="inlineStr">
        <is>
          <t>Service Op &amp; Assurance</t>
        </is>
      </c>
      <c r="H230" s="224" t="inlineStr">
        <is>
          <t>NA</t>
        </is>
      </c>
      <c r="I230" s="224" t="inlineStr">
        <is>
          <t>NA</t>
        </is>
      </c>
      <c r="J230" s="224" t="inlineStr">
        <is>
          <t>NA</t>
        </is>
      </c>
      <c r="K230" s="224" t="inlineStr">
        <is>
          <t>NA</t>
        </is>
      </c>
      <c r="L230" s="224" t="n"/>
      <c r="M230" s="261" t="n"/>
      <c r="N230" t="inlineStr">
        <is>
          <t>TDD Cyber</t>
        </is>
      </c>
      <c r="O230" t="inlineStr">
        <is>
          <t>TDD Cyber, Risk &amp; Service Ops</t>
        </is>
      </c>
      <c r="P230" t="inlineStr">
        <is>
          <t>TDD Cyber</t>
        </is>
      </c>
      <c r="Q230" t="inlineStr">
        <is>
          <t>Squad</t>
        </is>
      </c>
      <c r="R230" t="inlineStr">
        <is>
          <t>Vacant</t>
        </is>
      </c>
    </row>
    <row r="231" ht="18" customHeight="1" s="506">
      <c r="A231" s="259" t="n">
        <v>6307</v>
      </c>
      <c r="B231" s="224" t="inlineStr">
        <is>
          <t>Darren Koller</t>
        </is>
      </c>
      <c r="C231" s="224" t="inlineStr">
        <is>
          <t>Manager, Service Management &amp; Major Incident Mgmt Lead</t>
        </is>
      </c>
      <c r="D231" s="224" t="inlineStr">
        <is>
          <t>Rajini Onteddu Reddy</t>
        </is>
      </c>
      <c r="E231" s="224" t="inlineStr">
        <is>
          <t>Head of Service Operatoins &amp; Assurance</t>
        </is>
      </c>
      <c r="F231" s="224" t="inlineStr">
        <is>
          <t>Cyber, Risk &amp; Operations</t>
        </is>
      </c>
      <c r="G231" s="260" t="inlineStr">
        <is>
          <t>Service Op &amp; Assurance</t>
        </is>
      </c>
      <c r="H231" s="224" t="inlineStr">
        <is>
          <t>NA</t>
        </is>
      </c>
      <c r="I231" s="224" t="inlineStr">
        <is>
          <t>NA</t>
        </is>
      </c>
      <c r="J231" s="224" t="inlineStr">
        <is>
          <t>NA</t>
        </is>
      </c>
      <c r="K231" s="224" t="inlineStr">
        <is>
          <t>NA</t>
        </is>
      </c>
      <c r="L231" s="224" t="n"/>
      <c r="M231" s="261" t="inlineStr">
        <is>
          <t>Australia</t>
        </is>
      </c>
      <c r="N231" t="inlineStr">
        <is>
          <t>TDD Cyber</t>
        </is>
      </c>
      <c r="O231" t="inlineStr">
        <is>
          <t>TDD Cyber, Risk &amp; Service Ops</t>
        </is>
      </c>
      <c r="P231" t="inlineStr">
        <is>
          <t>TDD Cyber</t>
        </is>
      </c>
      <c r="Q231" t="inlineStr">
        <is>
          <t>Squad</t>
        </is>
      </c>
      <c r="R231" t="inlineStr">
        <is>
          <t>Filled</t>
        </is>
      </c>
    </row>
    <row r="232" ht="18" customHeight="1" s="506">
      <c r="A232" s="259" t="n">
        <v>99999101673</v>
      </c>
      <c r="B232" s="224" t="inlineStr">
        <is>
          <t>Lisa Ng</t>
        </is>
      </c>
      <c r="C232" s="224" t="inlineStr">
        <is>
          <t>Cyber Security Analyst</t>
        </is>
      </c>
      <c r="D232" s="224" t="inlineStr">
        <is>
          <t>Steven Atcheson</t>
        </is>
      </c>
      <c r="E232" s="224" t="n"/>
      <c r="F232" s="224" t="inlineStr">
        <is>
          <t>Cyber, Risk &amp; Operations</t>
        </is>
      </c>
      <c r="G232" s="260" t="inlineStr">
        <is>
          <t>Cyber Sec Ops</t>
        </is>
      </c>
      <c r="H232" s="224" t="inlineStr">
        <is>
          <t>NA</t>
        </is>
      </c>
      <c r="I232" s="224" t="inlineStr">
        <is>
          <t>NA</t>
        </is>
      </c>
      <c r="J232" s="224" t="inlineStr">
        <is>
          <t>NA</t>
        </is>
      </c>
      <c r="K232" s="224" t="inlineStr">
        <is>
          <t>NA</t>
        </is>
      </c>
      <c r="L232" s="224" t="n"/>
      <c r="M232" s="261" t="inlineStr">
        <is>
          <t>NZ</t>
        </is>
      </c>
      <c r="N232" t="inlineStr">
        <is>
          <t>TDD Cyber</t>
        </is>
      </c>
      <c r="O232" t="inlineStr">
        <is>
          <t>TDD Cyber, Risk &amp; Service Ops</t>
        </is>
      </c>
      <c r="P232" t="inlineStr">
        <is>
          <t>TDD Cyber</t>
        </is>
      </c>
      <c r="Q232" t="inlineStr">
        <is>
          <t>Squad</t>
        </is>
      </c>
      <c r="R232" t="inlineStr">
        <is>
          <t>Filled</t>
        </is>
      </c>
    </row>
    <row r="233" ht="18" customHeight="1" s="506">
      <c r="A233" s="259" t="n">
        <v>98371</v>
      </c>
      <c r="B233" s="224" t="inlineStr">
        <is>
          <t>Stafford Dowling</t>
        </is>
      </c>
      <c r="C233" s="224" t="inlineStr">
        <is>
          <t>Cyber Security Analyst</t>
        </is>
      </c>
      <c r="D233" s="224" t="inlineStr">
        <is>
          <t>Steven Atcheson</t>
        </is>
      </c>
      <c r="E233" s="224" t="n"/>
      <c r="F233" s="224" t="inlineStr">
        <is>
          <t>Cyber, Risk &amp; Operations</t>
        </is>
      </c>
      <c r="G233" s="260" t="inlineStr">
        <is>
          <t>Cyber Sec Ops</t>
        </is>
      </c>
      <c r="H233" s="224" t="inlineStr">
        <is>
          <t>NA</t>
        </is>
      </c>
      <c r="I233" s="224" t="inlineStr">
        <is>
          <t>NA</t>
        </is>
      </c>
      <c r="J233" s="224" t="inlineStr">
        <is>
          <t>NA</t>
        </is>
      </c>
      <c r="K233" s="224" t="inlineStr">
        <is>
          <t>NA</t>
        </is>
      </c>
      <c r="L233" s="224" t="n"/>
      <c r="M233" s="261" t="inlineStr">
        <is>
          <t>Australia</t>
        </is>
      </c>
      <c r="N233" t="inlineStr">
        <is>
          <t>TDD Cyber</t>
        </is>
      </c>
      <c r="O233" t="inlineStr">
        <is>
          <t>TDD Cyber, Risk &amp; Service Ops</t>
        </is>
      </c>
      <c r="P233" t="inlineStr">
        <is>
          <t>TDD Cyber</t>
        </is>
      </c>
      <c r="Q233" t="inlineStr">
        <is>
          <t>Squad</t>
        </is>
      </c>
      <c r="R233" t="inlineStr">
        <is>
          <t>Filled</t>
        </is>
      </c>
    </row>
    <row r="234" ht="18" customHeight="1" s="506">
      <c r="A234" s="259" t="n">
        <v>97425</v>
      </c>
      <c r="B234" s="224" t="inlineStr">
        <is>
          <t>Nischal Bhusal</t>
        </is>
      </c>
      <c r="C234" s="224" t="inlineStr">
        <is>
          <t>Cyber Security Analyst</t>
        </is>
      </c>
      <c r="D234" s="224" t="inlineStr">
        <is>
          <t>Steven Atcheson</t>
        </is>
      </c>
      <c r="E234" s="224" t="n"/>
      <c r="F234" s="224" t="inlineStr">
        <is>
          <t>Cyber, Risk &amp; Operations</t>
        </is>
      </c>
      <c r="G234" s="260" t="inlineStr">
        <is>
          <t>Cyber Sec Ops</t>
        </is>
      </c>
      <c r="H234" s="224" t="inlineStr">
        <is>
          <t>NA</t>
        </is>
      </c>
      <c r="I234" s="224" t="inlineStr">
        <is>
          <t>NA</t>
        </is>
      </c>
      <c r="J234" s="224" t="inlineStr">
        <is>
          <t>NA</t>
        </is>
      </c>
      <c r="K234" s="224" t="inlineStr">
        <is>
          <t>NA</t>
        </is>
      </c>
      <c r="L234" s="224" t="n"/>
      <c r="M234" s="261" t="inlineStr">
        <is>
          <t>Australia</t>
        </is>
      </c>
      <c r="N234" t="inlineStr">
        <is>
          <t>TDD Cyber</t>
        </is>
      </c>
      <c r="O234" t="inlineStr">
        <is>
          <t>TDD Cyber, Risk &amp; Service Ops</t>
        </is>
      </c>
      <c r="P234" t="inlineStr">
        <is>
          <t>TDD Cyber</t>
        </is>
      </c>
      <c r="Q234" t="inlineStr">
        <is>
          <t>Squad</t>
        </is>
      </c>
      <c r="R234" t="inlineStr">
        <is>
          <t>Filled</t>
        </is>
      </c>
    </row>
    <row r="235" ht="18" customHeight="1" s="506">
      <c r="A235" s="259" t="n">
        <v>99999101321</v>
      </c>
      <c r="B235" s="224" t="inlineStr">
        <is>
          <t>Sameer Pattanaik</t>
        </is>
      </c>
      <c r="C235" s="224" t="inlineStr">
        <is>
          <t>Cyber Security Operations Lead</t>
        </is>
      </c>
      <c r="D235" s="224" t="inlineStr">
        <is>
          <t>Steven Atcheson</t>
        </is>
      </c>
      <c r="E235" s="224" t="n"/>
      <c r="F235" s="224" t="inlineStr">
        <is>
          <t>Cyber, Risk &amp; Operations</t>
        </is>
      </c>
      <c r="G235" s="260" t="inlineStr">
        <is>
          <t>Cyber Sec Ops</t>
        </is>
      </c>
      <c r="H235" s="224" t="inlineStr">
        <is>
          <t>NA</t>
        </is>
      </c>
      <c r="I235" s="224" t="inlineStr">
        <is>
          <t>NA</t>
        </is>
      </c>
      <c r="J235" s="224" t="inlineStr">
        <is>
          <t>NA</t>
        </is>
      </c>
      <c r="K235" s="224" t="inlineStr">
        <is>
          <t>NA</t>
        </is>
      </c>
      <c r="L235" s="224" t="n"/>
      <c r="M235" s="261" t="inlineStr">
        <is>
          <t>NZ</t>
        </is>
      </c>
      <c r="N235" t="inlineStr">
        <is>
          <t>TDD Cyber</t>
        </is>
      </c>
      <c r="O235" t="inlineStr">
        <is>
          <t>TDD Cyber, Risk &amp; Service Ops</t>
        </is>
      </c>
      <c r="P235" t="inlineStr">
        <is>
          <t>TDD Cyber</t>
        </is>
      </c>
      <c r="Q235" t="inlineStr">
        <is>
          <t>Squad</t>
        </is>
      </c>
      <c r="R235" t="inlineStr">
        <is>
          <t>Filled</t>
        </is>
      </c>
    </row>
    <row r="236" ht="18" customHeight="1" s="506">
      <c r="A236" s="259" t="n">
        <v>98924</v>
      </c>
      <c r="B236" s="224" t="inlineStr">
        <is>
          <t>Dan Balsamo</t>
        </is>
      </c>
      <c r="C236" s="224" t="inlineStr">
        <is>
          <t>Senior Cyber Project Manager</t>
        </is>
      </c>
      <c r="D236" s="224" t="inlineStr">
        <is>
          <t>Vacant</t>
        </is>
      </c>
      <c r="E236" s="224" t="inlineStr">
        <is>
          <t xml:space="preserve">Head of Cyber Strategy &amp; Technology </t>
        </is>
      </c>
      <c r="F236" s="224" t="inlineStr">
        <is>
          <t>Cyber, Risk &amp; Operations</t>
        </is>
      </c>
      <c r="G236" s="260" t="inlineStr">
        <is>
          <t>Cyber Strat &amp; Tech</t>
        </is>
      </c>
      <c r="H236" s="224" t="inlineStr">
        <is>
          <t>NA</t>
        </is>
      </c>
      <c r="I236" s="224" t="inlineStr">
        <is>
          <t>NA</t>
        </is>
      </c>
      <c r="J236" s="224" t="inlineStr">
        <is>
          <t>NA</t>
        </is>
      </c>
      <c r="K236" s="224" t="inlineStr">
        <is>
          <t>NA</t>
        </is>
      </c>
      <c r="L236" s="224" t="n"/>
      <c r="M236" s="261" t="inlineStr">
        <is>
          <t>Australia</t>
        </is>
      </c>
      <c r="N236" t="inlineStr">
        <is>
          <t>TDD Cyber</t>
        </is>
      </c>
      <c r="O236" t="inlineStr">
        <is>
          <t>TDD Cyber, Risk &amp; Service Ops</t>
        </is>
      </c>
      <c r="P236" t="inlineStr">
        <is>
          <t>TDD Cyber</t>
        </is>
      </c>
      <c r="Q236" t="inlineStr">
        <is>
          <t>Squad</t>
        </is>
      </c>
      <c r="R236" t="inlineStr">
        <is>
          <t>Filled</t>
        </is>
      </c>
    </row>
    <row r="237" ht="18" customHeight="1" s="506">
      <c r="A237" s="259" t="n">
        <v>87951</v>
      </c>
      <c r="B237" s="224" t="inlineStr">
        <is>
          <t>Iwan Wibisono</t>
        </is>
      </c>
      <c r="C237" s="224" t="inlineStr">
        <is>
          <t>Engineer - IDAM</t>
        </is>
      </c>
      <c r="D237" s="224" t="inlineStr">
        <is>
          <t>Vacant</t>
        </is>
      </c>
      <c r="E237" s="224" t="inlineStr">
        <is>
          <t xml:space="preserve">Lead Service Desk </t>
        </is>
      </c>
      <c r="F237" s="224" t="inlineStr">
        <is>
          <t>Cyber, Risk &amp; Operations</t>
        </is>
      </c>
      <c r="G237" s="260" t="inlineStr">
        <is>
          <t>Cyber Strat &amp; Tech</t>
        </is>
      </c>
      <c r="H237" s="224" t="inlineStr">
        <is>
          <t>NA</t>
        </is>
      </c>
      <c r="I237" s="224" t="inlineStr">
        <is>
          <t>NA</t>
        </is>
      </c>
      <c r="J237" s="224" t="inlineStr">
        <is>
          <t>NA</t>
        </is>
      </c>
      <c r="K237" s="224" t="inlineStr">
        <is>
          <t>NA</t>
        </is>
      </c>
      <c r="L237" s="224" t="n"/>
      <c r="M237" s="261" t="inlineStr">
        <is>
          <t>Australia</t>
        </is>
      </c>
      <c r="N237" t="inlineStr">
        <is>
          <t>TDD Cyber</t>
        </is>
      </c>
      <c r="O237" t="inlineStr">
        <is>
          <t>TDD Cyber, Risk &amp; Service Ops</t>
        </is>
      </c>
      <c r="P237" t="inlineStr">
        <is>
          <t>TDD Cyber</t>
        </is>
      </c>
      <c r="Q237" t="inlineStr">
        <is>
          <t>Squad</t>
        </is>
      </c>
      <c r="R237" t="inlineStr">
        <is>
          <t>Filled</t>
        </is>
      </c>
    </row>
    <row r="238" ht="18" customHeight="1" s="506">
      <c r="A238" s="259" t="n">
        <v>108728</v>
      </c>
      <c r="B238" s="224" t="inlineStr">
        <is>
          <t>Remya Pookat</t>
        </is>
      </c>
      <c r="C238" s="224" t="inlineStr">
        <is>
          <t>Lead – Change &amp; Release Management</t>
        </is>
      </c>
      <c r="D238" s="224" t="inlineStr">
        <is>
          <t>Vacant</t>
        </is>
      </c>
      <c r="E238" s="224" t="inlineStr">
        <is>
          <t>Manager Cyber Security GRC</t>
        </is>
      </c>
      <c r="F238" s="224" t="inlineStr">
        <is>
          <t>Cyber, Risk &amp; Operations</t>
        </is>
      </c>
      <c r="G238" s="260" t="inlineStr">
        <is>
          <t>Service Op &amp; Assurance</t>
        </is>
      </c>
      <c r="H238" s="224" t="inlineStr">
        <is>
          <t>NA</t>
        </is>
      </c>
      <c r="I238" s="224" t="inlineStr">
        <is>
          <t>NA</t>
        </is>
      </c>
      <c r="J238" s="224" t="inlineStr">
        <is>
          <t>NA</t>
        </is>
      </c>
      <c r="K238" s="224" t="inlineStr">
        <is>
          <t>NA</t>
        </is>
      </c>
      <c r="L238" s="224" t="n"/>
      <c r="M238" s="261" t="inlineStr">
        <is>
          <t>Australia</t>
        </is>
      </c>
      <c r="N238" t="inlineStr">
        <is>
          <t>TDD Cyber</t>
        </is>
      </c>
      <c r="O238" t="inlineStr">
        <is>
          <t>TDD Cyber, Risk &amp; Service Ops</t>
        </is>
      </c>
      <c r="P238" t="inlineStr">
        <is>
          <t>TDD Cyber</t>
        </is>
      </c>
      <c r="Q238" t="inlineStr">
        <is>
          <t>Squad</t>
        </is>
      </c>
      <c r="R238" t="inlineStr">
        <is>
          <t>Filled</t>
        </is>
      </c>
    </row>
    <row r="239" ht="18" customHeight="1" s="506">
      <c r="A239" s="259" t="n">
        <v>113900</v>
      </c>
      <c r="B239" s="224" t="inlineStr">
        <is>
          <t>Mick Collins</t>
        </is>
      </c>
      <c r="C239" s="224" t="inlineStr">
        <is>
          <t>Manager, Service Performance &amp; Assurance</t>
        </is>
      </c>
      <c r="D239" s="224" t="inlineStr">
        <is>
          <t>Vacant</t>
        </is>
      </c>
      <c r="E239" s="224" t="n"/>
      <c r="F239" s="224" t="inlineStr">
        <is>
          <t>Cyber, Risk &amp; Operations</t>
        </is>
      </c>
      <c r="G239" s="260" t="inlineStr">
        <is>
          <t>Service Op &amp; Assurance</t>
        </is>
      </c>
      <c r="H239" s="224" t="inlineStr">
        <is>
          <t>NA</t>
        </is>
      </c>
      <c r="I239" s="224" t="inlineStr">
        <is>
          <t>NA</t>
        </is>
      </c>
      <c r="J239" s="224" t="inlineStr">
        <is>
          <t>NA</t>
        </is>
      </c>
      <c r="K239" s="224" t="inlineStr">
        <is>
          <t>NA</t>
        </is>
      </c>
      <c r="L239" s="224" t="n"/>
      <c r="M239" s="261" t="inlineStr">
        <is>
          <t>Australia</t>
        </is>
      </c>
      <c r="N239" t="inlineStr">
        <is>
          <t>TDD Cyber</t>
        </is>
      </c>
      <c r="O239" t="inlineStr">
        <is>
          <t>TDD Cyber, Risk &amp; Service Ops</t>
        </is>
      </c>
      <c r="P239" t="inlineStr">
        <is>
          <t>TDD Cyber</t>
        </is>
      </c>
      <c r="Q239" t="inlineStr">
        <is>
          <t>Squad</t>
        </is>
      </c>
      <c r="R239" t="inlineStr">
        <is>
          <t>Filled</t>
        </is>
      </c>
    </row>
    <row r="240" ht="18" customHeight="1" s="506">
      <c r="A240" s="259" t="n">
        <v>99999100770</v>
      </c>
      <c r="B240" s="224" t="inlineStr">
        <is>
          <t>Spoilagi Bhutwala</t>
        </is>
      </c>
      <c r="C240" s="224" t="inlineStr">
        <is>
          <t>Tech Support Technician</t>
        </is>
      </c>
      <c r="D240" s="224" t="inlineStr">
        <is>
          <t>Vacant</t>
        </is>
      </c>
      <c r="E240" s="224" t="inlineStr">
        <is>
          <t xml:space="preserve">Lead Technology Support </t>
        </is>
      </c>
      <c r="F240" s="224" t="inlineStr">
        <is>
          <t>Cyber, Risk &amp; Operations</t>
        </is>
      </c>
      <c r="G240" s="260" t="inlineStr">
        <is>
          <t>Service Op &amp; Assurance</t>
        </is>
      </c>
      <c r="H240" s="224" t="inlineStr">
        <is>
          <t>NA</t>
        </is>
      </c>
      <c r="I240" s="224" t="inlineStr">
        <is>
          <t>NA</t>
        </is>
      </c>
      <c r="J240" s="224" t="inlineStr">
        <is>
          <t>NA</t>
        </is>
      </c>
      <c r="K240" s="224" t="inlineStr">
        <is>
          <t>NA</t>
        </is>
      </c>
      <c r="L240" s="224" t="n"/>
      <c r="M240" s="261" t="inlineStr">
        <is>
          <t>NZ</t>
        </is>
      </c>
      <c r="N240" t="inlineStr">
        <is>
          <t>TDD Cyber</t>
        </is>
      </c>
      <c r="O240" t="inlineStr">
        <is>
          <t>TDD Cyber, Risk &amp; Service Ops</t>
        </is>
      </c>
      <c r="P240" t="inlineStr">
        <is>
          <t>TDD Cyber</t>
        </is>
      </c>
      <c r="Q240" t="inlineStr">
        <is>
          <t>Squad</t>
        </is>
      </c>
      <c r="R240" t="inlineStr">
        <is>
          <t>Filled</t>
        </is>
      </c>
    </row>
    <row r="241" ht="18" customHeight="1" s="506">
      <c r="A241" s="259" t="n">
        <v>99999101346</v>
      </c>
      <c r="B241" s="224" t="inlineStr">
        <is>
          <t>Shomiya Shayal</t>
        </is>
      </c>
      <c r="C241" s="224" t="inlineStr">
        <is>
          <t>Risk &amp; Resilience Lead</t>
        </is>
      </c>
      <c r="D241" s="224" t="inlineStr">
        <is>
          <t>Vacant</t>
        </is>
      </c>
      <c r="E241" s="224" t="inlineStr">
        <is>
          <t xml:space="preserve">Manager Risk &amp; Resilience </t>
        </is>
      </c>
      <c r="F241" s="224" t="inlineStr">
        <is>
          <t>Cyber, Risk &amp; Operations</t>
        </is>
      </c>
      <c r="G241" s="260" t="inlineStr">
        <is>
          <t>Cyber Risk</t>
        </is>
      </c>
      <c r="H241" s="224" t="inlineStr">
        <is>
          <t>NA</t>
        </is>
      </c>
      <c r="I241" s="224" t="inlineStr">
        <is>
          <t>NA</t>
        </is>
      </c>
      <c r="J241" s="224" t="inlineStr">
        <is>
          <t>NA</t>
        </is>
      </c>
      <c r="K241" s="224" t="inlineStr">
        <is>
          <t>NA</t>
        </is>
      </c>
      <c r="L241" s="224" t="n"/>
      <c r="M241" s="261" t="inlineStr">
        <is>
          <t>NZ</t>
        </is>
      </c>
      <c r="N241" t="inlineStr">
        <is>
          <t>TDD Cyber</t>
        </is>
      </c>
      <c r="O241" t="inlineStr">
        <is>
          <t>TDD Cyber, Risk &amp; Service Ops</t>
        </is>
      </c>
      <c r="P241" t="inlineStr">
        <is>
          <t>TDD Cyber</t>
        </is>
      </c>
      <c r="Q241" t="inlineStr">
        <is>
          <t>Squad</t>
        </is>
      </c>
      <c r="R241" t="inlineStr">
        <is>
          <t>Filled</t>
        </is>
      </c>
    </row>
    <row r="242" ht="18" customHeight="1" s="506">
      <c r="A242" s="259" t="n"/>
      <c r="B242" s="224" t="inlineStr">
        <is>
          <t>Vacant</t>
        </is>
      </c>
      <c r="C242" s="224" t="inlineStr">
        <is>
          <t>Operations Analyst</t>
        </is>
      </c>
      <c r="D242" s="224" t="inlineStr">
        <is>
          <t>Vacant</t>
        </is>
      </c>
      <c r="E242" s="224" t="inlineStr">
        <is>
          <t>Cyber Architecture Lead</t>
        </is>
      </c>
      <c r="F242" s="224" t="inlineStr">
        <is>
          <t>Cyber, Risk &amp; Operations</t>
        </is>
      </c>
      <c r="G242" s="260" t="inlineStr">
        <is>
          <t>Service Op &amp; Assurance</t>
        </is>
      </c>
      <c r="H242" s="224" t="inlineStr">
        <is>
          <t>NA</t>
        </is>
      </c>
      <c r="I242" s="224" t="inlineStr">
        <is>
          <t>NA</t>
        </is>
      </c>
      <c r="J242" s="224" t="inlineStr">
        <is>
          <t>NA</t>
        </is>
      </c>
      <c r="K242" s="224" t="inlineStr">
        <is>
          <t>NA</t>
        </is>
      </c>
      <c r="L242" s="224" t="n"/>
      <c r="M242" s="261" t="n"/>
      <c r="N242" t="inlineStr">
        <is>
          <t>TDD Cyber</t>
        </is>
      </c>
      <c r="O242" t="inlineStr">
        <is>
          <t>TDD Cyber, Risk &amp; Service Ops</t>
        </is>
      </c>
      <c r="P242" t="inlineStr">
        <is>
          <t>TDD Cyber</t>
        </is>
      </c>
      <c r="Q242" t="inlineStr">
        <is>
          <t>Squad</t>
        </is>
      </c>
      <c r="R242" t="inlineStr">
        <is>
          <t>Vacant</t>
        </is>
      </c>
    </row>
    <row r="243" ht="18" customHeight="1" s="506">
      <c r="A243" s="259" t="n">
        <v>90096</v>
      </c>
      <c r="B243" s="224" t="inlineStr">
        <is>
          <t>Mary-Grace Rivera</t>
        </is>
      </c>
      <c r="C243" s="224" t="inlineStr">
        <is>
          <t>Lead, Service Management</t>
        </is>
      </c>
      <c r="D243" s="284" t="inlineStr">
        <is>
          <t>Vacant</t>
        </is>
      </c>
      <c r="E243" s="224" t="inlineStr">
        <is>
          <t>Darren Koller</t>
        </is>
      </c>
      <c r="F243" s="224" t="inlineStr">
        <is>
          <t>Cyber, Risk &amp; Operations</t>
        </is>
      </c>
      <c r="G243" s="260" t="inlineStr">
        <is>
          <t>Service Op &amp; Assurance</t>
        </is>
      </c>
      <c r="H243" s="224" t="inlineStr">
        <is>
          <t>NA</t>
        </is>
      </c>
      <c r="I243" s="224" t="inlineStr">
        <is>
          <t>NA</t>
        </is>
      </c>
      <c r="J243" s="224" t="inlineStr">
        <is>
          <t>NA</t>
        </is>
      </c>
      <c r="K243" s="224" t="inlineStr">
        <is>
          <t>NA</t>
        </is>
      </c>
      <c r="L243" s="224" t="n"/>
      <c r="M243" s="261" t="inlineStr">
        <is>
          <t>Australia</t>
        </is>
      </c>
      <c r="N243" t="inlineStr">
        <is>
          <t>TDD Cyber</t>
        </is>
      </c>
      <c r="O243" t="inlineStr">
        <is>
          <t>TDD Cyber, Risk &amp; Service Ops</t>
        </is>
      </c>
      <c r="P243" t="inlineStr">
        <is>
          <t>TDD Cyber</t>
        </is>
      </c>
      <c r="Q243" t="inlineStr">
        <is>
          <t>Squad</t>
        </is>
      </c>
      <c r="R243" t="inlineStr">
        <is>
          <t>Filled</t>
        </is>
      </c>
    </row>
    <row r="244" ht="18" customHeight="1" s="506">
      <c r="A244" s="259" t="n">
        <v>105647</v>
      </c>
      <c r="B244" s="224" t="inlineStr">
        <is>
          <t>Rajini Onteddu Reddy</t>
        </is>
      </c>
      <c r="C244" s="224" t="inlineStr">
        <is>
          <t>Head of Service Operations &amp; Assurance</t>
        </is>
      </c>
      <c r="D244" s="224" t="inlineStr">
        <is>
          <t>Vacant</t>
        </is>
      </c>
      <c r="E244" s="224" t="inlineStr">
        <is>
          <t xml:space="preserve">Manager Service Management &amp; Major Incident Management Lead </t>
        </is>
      </c>
      <c r="F244" s="224" t="inlineStr">
        <is>
          <t>Cyber, Risk &amp; Operations</t>
        </is>
      </c>
      <c r="G244" s="260" t="inlineStr">
        <is>
          <t>Service Op &amp; Assurance</t>
        </is>
      </c>
      <c r="H244" s="224" t="inlineStr">
        <is>
          <t>NA</t>
        </is>
      </c>
      <c r="I244" s="224" t="inlineStr">
        <is>
          <t>NA</t>
        </is>
      </c>
      <c r="J244" s="224" t="inlineStr">
        <is>
          <t>NA</t>
        </is>
      </c>
      <c r="K244" s="224" t="inlineStr">
        <is>
          <t>NA</t>
        </is>
      </c>
      <c r="L244" s="224" t="n"/>
      <c r="M244" s="261" t="inlineStr">
        <is>
          <t>Australia</t>
        </is>
      </c>
      <c r="N244" t="inlineStr">
        <is>
          <t>TDD Cyber</t>
        </is>
      </c>
      <c r="O244" t="inlineStr">
        <is>
          <t>TDD Cyber, Risk &amp; Service Ops</t>
        </is>
      </c>
      <c r="P244" t="inlineStr">
        <is>
          <t>TDD Cyber</t>
        </is>
      </c>
      <c r="Q244" t="inlineStr">
        <is>
          <t>Squad</t>
        </is>
      </c>
      <c r="R244" t="inlineStr">
        <is>
          <t>Filled</t>
        </is>
      </c>
    </row>
    <row r="245" ht="18" customHeight="1" s="506">
      <c r="A245" s="259" t="n">
        <v>106511</v>
      </c>
      <c r="B245" s="224" t="inlineStr">
        <is>
          <t>Catherine Gire</t>
        </is>
      </c>
      <c r="C245" s="224" t="inlineStr">
        <is>
          <t>Cyber Technical Business Analyst</t>
        </is>
      </c>
      <c r="D245" s="224" t="inlineStr">
        <is>
          <t>Vacant</t>
        </is>
      </c>
      <c r="E245" s="224" t="inlineStr">
        <is>
          <t xml:space="preserve">Portfolio Manger Cyber Security </t>
        </is>
      </c>
      <c r="F245" s="224" t="inlineStr">
        <is>
          <t>Cyber, Risk &amp; Operations</t>
        </is>
      </c>
      <c r="G245" s="260" t="inlineStr">
        <is>
          <t>Cyber Strat &amp; Tech</t>
        </is>
      </c>
      <c r="H245" s="224" t="inlineStr">
        <is>
          <t>Cyber Security Uplift Program</t>
        </is>
      </c>
      <c r="I245" s="224" t="inlineStr">
        <is>
          <t>NA</t>
        </is>
      </c>
      <c r="J245" s="224" t="inlineStr">
        <is>
          <t>NA</t>
        </is>
      </c>
      <c r="K245" s="224" t="inlineStr">
        <is>
          <t>NA</t>
        </is>
      </c>
      <c r="L245" s="224" t="n"/>
      <c r="M245" s="261" t="inlineStr">
        <is>
          <t>Australia</t>
        </is>
      </c>
      <c r="N245" t="inlineStr">
        <is>
          <t>TDD Cyber</t>
        </is>
      </c>
      <c r="O245" t="inlineStr">
        <is>
          <t>TDD Cyber, Risk &amp; Service Ops</t>
        </is>
      </c>
      <c r="P245" t="inlineStr">
        <is>
          <t>TDD Cyber</t>
        </is>
      </c>
      <c r="Q245" t="inlineStr">
        <is>
          <t>Squad</t>
        </is>
      </c>
      <c r="R245" t="inlineStr">
        <is>
          <t>Filled</t>
        </is>
      </c>
    </row>
    <row r="246" ht="18" customHeight="1" s="506">
      <c r="A246" s="259" t="n">
        <v>99999102157</v>
      </c>
      <c r="B246" s="224" t="inlineStr">
        <is>
          <t>Ethan Lamhert (FT)</t>
        </is>
      </c>
      <c r="C246" s="224" t="inlineStr">
        <is>
          <t>Tech Support Technician</t>
        </is>
      </c>
      <c r="D246" s="224" t="inlineStr">
        <is>
          <t>Vacant</t>
        </is>
      </c>
      <c r="E246" s="224" t="inlineStr">
        <is>
          <t xml:space="preserve">Lead Technology Support </t>
        </is>
      </c>
      <c r="F246" s="224" t="inlineStr">
        <is>
          <t>Cyber, Risk &amp; Operations</t>
        </is>
      </c>
      <c r="G246" s="260" t="inlineStr">
        <is>
          <t>Service Op &amp; Assurance</t>
        </is>
      </c>
      <c r="H246" s="224" t="inlineStr">
        <is>
          <t>NA</t>
        </is>
      </c>
      <c r="I246" s="224" t="inlineStr">
        <is>
          <t>NA</t>
        </is>
      </c>
      <c r="J246" s="224" t="inlineStr">
        <is>
          <t>NA</t>
        </is>
      </c>
      <c r="K246" s="224" t="inlineStr">
        <is>
          <t>NA</t>
        </is>
      </c>
      <c r="L246" s="224" t="n"/>
      <c r="M246" s="261" t="inlineStr">
        <is>
          <t>NZ</t>
        </is>
      </c>
      <c r="N246" t="inlineStr">
        <is>
          <t>TDD Cyber</t>
        </is>
      </c>
      <c r="O246" t="inlineStr">
        <is>
          <t>TDD Cyber, Risk &amp; Service Ops</t>
        </is>
      </c>
      <c r="P246" t="inlineStr">
        <is>
          <t>TDD Cyber</t>
        </is>
      </c>
      <c r="Q246" t="inlineStr">
        <is>
          <t>Squad</t>
        </is>
      </c>
      <c r="R246" t="inlineStr">
        <is>
          <t>Filled</t>
        </is>
      </c>
    </row>
    <row r="247" ht="18" customHeight="1" s="506">
      <c r="A247" s="259" t="n"/>
      <c r="B247" s="224" t="inlineStr">
        <is>
          <t>Vacant  (AKL )</t>
        </is>
      </c>
      <c r="C247" s="224" t="inlineStr">
        <is>
          <t>Tech Support Technician</t>
        </is>
      </c>
      <c r="D247" s="224" t="inlineStr">
        <is>
          <t>Vacant</t>
        </is>
      </c>
      <c r="E247" s="224" t="n"/>
      <c r="F247" s="224" t="inlineStr">
        <is>
          <t>Cyber, Risk &amp; Operations</t>
        </is>
      </c>
      <c r="G247" s="260" t="inlineStr">
        <is>
          <t>Service Op &amp; Assurance</t>
        </is>
      </c>
      <c r="H247" s="224" t="inlineStr">
        <is>
          <t>NA</t>
        </is>
      </c>
      <c r="I247" s="224" t="inlineStr">
        <is>
          <t>NA</t>
        </is>
      </c>
      <c r="J247" s="224" t="inlineStr">
        <is>
          <t>NA</t>
        </is>
      </c>
      <c r="K247" s="224" t="inlineStr">
        <is>
          <t>NA</t>
        </is>
      </c>
      <c r="L247" s="224" t="n"/>
      <c r="M247" s="261" t="n"/>
      <c r="N247" t="inlineStr">
        <is>
          <t>TDD Cyber</t>
        </is>
      </c>
      <c r="O247" t="inlineStr">
        <is>
          <t>TDD Cyber, Risk &amp; Service Ops</t>
        </is>
      </c>
      <c r="P247" t="inlineStr">
        <is>
          <t>TDD Cyber</t>
        </is>
      </c>
      <c r="Q247" t="inlineStr">
        <is>
          <t>Squad</t>
        </is>
      </c>
      <c r="R247" t="inlineStr">
        <is>
          <t>Filled</t>
        </is>
      </c>
    </row>
    <row r="248" ht="18" customHeight="1" s="506">
      <c r="A248" s="259" t="n">
        <v>110204</v>
      </c>
      <c r="B248" s="224" t="inlineStr">
        <is>
          <t>Daniel Jolley</t>
        </is>
      </c>
      <c r="C248" s="224" t="inlineStr">
        <is>
          <t>Tech Support Technician</t>
        </is>
      </c>
      <c r="D248" s="224" t="inlineStr">
        <is>
          <t>Vacant</t>
        </is>
      </c>
      <c r="E248" s="224" t="inlineStr">
        <is>
          <t xml:space="preserve">Lead Technology Support </t>
        </is>
      </c>
      <c r="F248" s="224" t="inlineStr">
        <is>
          <t>Cyber, Risk &amp; Operations</t>
        </is>
      </c>
      <c r="G248" s="260" t="inlineStr">
        <is>
          <t>Service Op &amp; Assurance</t>
        </is>
      </c>
      <c r="H248" s="224" t="inlineStr">
        <is>
          <t>NA</t>
        </is>
      </c>
      <c r="I248" s="224" t="inlineStr">
        <is>
          <t>NA</t>
        </is>
      </c>
      <c r="J248" s="224" t="inlineStr">
        <is>
          <t>NA</t>
        </is>
      </c>
      <c r="K248" s="224" t="inlineStr">
        <is>
          <t>NA</t>
        </is>
      </c>
      <c r="L248" s="224" t="n"/>
      <c r="M248" s="261" t="inlineStr">
        <is>
          <t>Australia</t>
        </is>
      </c>
      <c r="N248" t="inlineStr">
        <is>
          <t>TDD Cyber</t>
        </is>
      </c>
      <c r="O248" t="inlineStr">
        <is>
          <t>TDD Cyber, Risk &amp; Service Ops</t>
        </is>
      </c>
      <c r="P248" t="inlineStr">
        <is>
          <t>TDD Cyber</t>
        </is>
      </c>
      <c r="Q248" t="inlineStr">
        <is>
          <t>Squad</t>
        </is>
      </c>
      <c r="R248" t="inlineStr">
        <is>
          <t>Filled</t>
        </is>
      </c>
    </row>
    <row r="249" ht="18" customHeight="1" s="506">
      <c r="A249" s="259" t="n"/>
      <c r="B249" s="224" t="inlineStr">
        <is>
          <t xml:space="preserve">Vacant </t>
        </is>
      </c>
      <c r="C249" s="224" t="inlineStr">
        <is>
          <t>Data Risk Analyst</t>
        </is>
      </c>
      <c r="D249" s="224" t="inlineStr">
        <is>
          <t>Vacant</t>
        </is>
      </c>
      <c r="E249" s="224" t="n"/>
      <c r="F249" s="224" t="inlineStr">
        <is>
          <t>Cyber, Risk &amp; Operations</t>
        </is>
      </c>
      <c r="G249" s="260" t="inlineStr">
        <is>
          <t>Cyber Risk</t>
        </is>
      </c>
      <c r="H249" s="224" t="inlineStr">
        <is>
          <t>NA</t>
        </is>
      </c>
      <c r="I249" s="224" t="inlineStr">
        <is>
          <t>NA</t>
        </is>
      </c>
      <c r="J249" s="224" t="inlineStr">
        <is>
          <t>NA</t>
        </is>
      </c>
      <c r="K249" s="224" t="inlineStr">
        <is>
          <t>NA</t>
        </is>
      </c>
      <c r="L249" s="224" t="n"/>
      <c r="M249" s="261" t="n"/>
      <c r="N249" t="inlineStr">
        <is>
          <t>TDD Cyber</t>
        </is>
      </c>
      <c r="O249" t="inlineStr">
        <is>
          <t>TDD Cyber, Risk &amp; Service Ops</t>
        </is>
      </c>
      <c r="P249" t="inlineStr">
        <is>
          <t>TDD Cyber</t>
        </is>
      </c>
      <c r="Q249" t="inlineStr">
        <is>
          <t>Squad</t>
        </is>
      </c>
      <c r="R249" t="inlineStr">
        <is>
          <t>Vacant</t>
        </is>
      </c>
    </row>
    <row r="250" ht="18" customHeight="1" s="506">
      <c r="A250" s="259" t="n">
        <v>84274</v>
      </c>
      <c r="B250" s="224" t="inlineStr">
        <is>
          <t>Chris Rojas</t>
        </is>
      </c>
      <c r="C250" s="224" t="inlineStr">
        <is>
          <t>Manager, Customer Support Operations</t>
        </is>
      </c>
      <c r="D250" s="224" t="inlineStr">
        <is>
          <t>Vacant</t>
        </is>
      </c>
      <c r="E250" s="224" t="inlineStr">
        <is>
          <t xml:space="preserve">Manager Cyber Security Operations </t>
        </is>
      </c>
      <c r="F250" s="224" t="inlineStr">
        <is>
          <t>Cyber, Risk &amp; Operations</t>
        </is>
      </c>
      <c r="G250" s="260" t="inlineStr">
        <is>
          <t>Service Op &amp; Assurance</t>
        </is>
      </c>
      <c r="H250" s="224" t="inlineStr">
        <is>
          <t>NA</t>
        </is>
      </c>
      <c r="I250" s="224" t="inlineStr">
        <is>
          <t>NA</t>
        </is>
      </c>
      <c r="J250" s="224" t="inlineStr">
        <is>
          <t>NA</t>
        </is>
      </c>
      <c r="K250" s="224" t="inlineStr">
        <is>
          <t>NA</t>
        </is>
      </c>
      <c r="L250" s="224" t="n"/>
      <c r="M250" s="261" t="inlineStr">
        <is>
          <t>Australia</t>
        </is>
      </c>
      <c r="N250" t="inlineStr">
        <is>
          <t>TDD Cyber</t>
        </is>
      </c>
      <c r="O250" t="inlineStr">
        <is>
          <t>TDD Cyber, Risk &amp; Service Ops</t>
        </is>
      </c>
      <c r="P250" t="inlineStr">
        <is>
          <t>TDD Cyber</t>
        </is>
      </c>
      <c r="Q250" t="inlineStr">
        <is>
          <t>Squad</t>
        </is>
      </c>
      <c r="R250" t="inlineStr">
        <is>
          <t>Filled</t>
        </is>
      </c>
    </row>
    <row r="251" ht="18" customHeight="1" s="506">
      <c r="A251" s="259" t="n">
        <v>101504</v>
      </c>
      <c r="B251" s="224" t="inlineStr">
        <is>
          <t>Steven Atcheson</t>
        </is>
      </c>
      <c r="C251" s="224" t="inlineStr">
        <is>
          <t>Manager Cyber Security Operations</t>
        </is>
      </c>
      <c r="D251" s="224" t="inlineStr">
        <is>
          <t>Vacant</t>
        </is>
      </c>
      <c r="E251" s="224" t="inlineStr">
        <is>
          <t xml:space="preserve">Manager, Risk &amp; Resilience </t>
        </is>
      </c>
      <c r="F251" s="224" t="inlineStr">
        <is>
          <t>Cyber, Risk &amp; Operations</t>
        </is>
      </c>
      <c r="G251" s="260" t="inlineStr">
        <is>
          <t>Cyber Sec Ops</t>
        </is>
      </c>
      <c r="H251" s="224" t="inlineStr">
        <is>
          <t>NA</t>
        </is>
      </c>
      <c r="I251" s="224" t="inlineStr">
        <is>
          <t>NA</t>
        </is>
      </c>
      <c r="J251" s="224" t="inlineStr">
        <is>
          <t>NA</t>
        </is>
      </c>
      <c r="K251" s="224" t="inlineStr">
        <is>
          <t>NA</t>
        </is>
      </c>
      <c r="L251" s="224" t="n"/>
      <c r="M251" s="261" t="inlineStr">
        <is>
          <t>Australia</t>
        </is>
      </c>
      <c r="N251" t="inlineStr">
        <is>
          <t>TDD Cyber</t>
        </is>
      </c>
      <c r="O251" t="inlineStr">
        <is>
          <t>TDD Cyber, Risk &amp; Service Ops</t>
        </is>
      </c>
      <c r="P251" t="inlineStr">
        <is>
          <t>TDD Cyber</t>
        </is>
      </c>
      <c r="Q251" t="inlineStr">
        <is>
          <t>Squad</t>
        </is>
      </c>
      <c r="R251" t="inlineStr">
        <is>
          <t>Filled</t>
        </is>
      </c>
    </row>
    <row r="252" ht="18" customHeight="1" s="506">
      <c r="A252" s="259" t="n">
        <v>104805</v>
      </c>
      <c r="B252" s="224" t="inlineStr">
        <is>
          <t>Shruti Manchanda</t>
        </is>
      </c>
      <c r="C252" s="224" t="inlineStr">
        <is>
          <t>Cyber GRC Analyst</t>
        </is>
      </c>
      <c r="D252" s="224" t="inlineStr">
        <is>
          <t>Vacant</t>
        </is>
      </c>
      <c r="E252" s="224" t="n"/>
      <c r="F252" s="224" t="inlineStr">
        <is>
          <t>Cyber, Risk &amp; Operations</t>
        </is>
      </c>
      <c r="G252" s="260" t="inlineStr">
        <is>
          <t>Cyber GRC</t>
        </is>
      </c>
      <c r="H252" s="224" t="inlineStr">
        <is>
          <t>Technology, Trading &amp; Shipping</t>
        </is>
      </c>
      <c r="I252" s="224" t="inlineStr">
        <is>
          <t>NA</t>
        </is>
      </c>
      <c r="J252" s="224" t="inlineStr">
        <is>
          <t>Leadership</t>
        </is>
      </c>
      <c r="K252" s="224" t="inlineStr">
        <is>
          <t>Leadership</t>
        </is>
      </c>
      <c r="L252" s="224" t="n"/>
      <c r="M252" s="261" t="inlineStr">
        <is>
          <t>Australia</t>
        </is>
      </c>
      <c r="N252" t="inlineStr">
        <is>
          <t>Unmapped</t>
        </is>
      </c>
      <c r="O252" t="inlineStr">
        <is>
          <t>Leadership</t>
        </is>
      </c>
      <c r="P252" t="inlineStr">
        <is>
          <t>Leadership</t>
        </is>
      </c>
      <c r="Q252" t="inlineStr">
        <is>
          <t>Leadership</t>
        </is>
      </c>
      <c r="R252" t="inlineStr">
        <is>
          <t>Filled</t>
        </is>
      </c>
    </row>
    <row r="253" ht="18" customHeight="1" s="506">
      <c r="A253" s="259" t="n"/>
      <c r="B253" s="224" t="inlineStr">
        <is>
          <t>Vacant</t>
        </is>
      </c>
      <c r="C253" s="224" t="inlineStr">
        <is>
          <t>Lead – Service Performance &amp; Insights</t>
        </is>
      </c>
      <c r="D253" s="224" t="inlineStr">
        <is>
          <t>Vacant</t>
        </is>
      </c>
      <c r="E253" s="224" t="inlineStr">
        <is>
          <t xml:space="preserve">Manager Identity &amp; Access Management </t>
        </is>
      </c>
      <c r="F253" s="224" t="inlineStr">
        <is>
          <t>Cyber, Risk &amp; Operations</t>
        </is>
      </c>
      <c r="G253" s="260" t="inlineStr">
        <is>
          <t>Service Op &amp; Assurance</t>
        </is>
      </c>
      <c r="H253" s="224" t="inlineStr">
        <is>
          <t>NA</t>
        </is>
      </c>
      <c r="I253" s="224" t="inlineStr">
        <is>
          <t>NA</t>
        </is>
      </c>
      <c r="J253" s="224" t="inlineStr">
        <is>
          <t>NA</t>
        </is>
      </c>
      <c r="K253" s="224" t="inlineStr">
        <is>
          <t>NA</t>
        </is>
      </c>
      <c r="L253" s="224" t="n"/>
      <c r="M253" s="261" t="n"/>
      <c r="N253" t="inlineStr">
        <is>
          <t>TDD Cyber</t>
        </is>
      </c>
      <c r="O253" t="inlineStr">
        <is>
          <t>TDD Cyber, Risk &amp; Service Ops</t>
        </is>
      </c>
      <c r="P253" t="inlineStr">
        <is>
          <t>TDD Cyber</t>
        </is>
      </c>
      <c r="Q253" t="inlineStr">
        <is>
          <t>Squad</t>
        </is>
      </c>
      <c r="R253" t="inlineStr">
        <is>
          <t>Vacant</t>
        </is>
      </c>
    </row>
    <row r="254" ht="18" customHeight="1" s="506">
      <c r="A254" s="259" t="n">
        <v>114383</v>
      </c>
      <c r="B254" s="224" t="inlineStr">
        <is>
          <t>Tony Keeler</t>
        </is>
      </c>
      <c r="C254" s="224" t="inlineStr">
        <is>
          <t>Cyber Business Analyst</t>
        </is>
      </c>
      <c r="D254" s="224" t="inlineStr">
        <is>
          <t>Vivienne Vasak</t>
        </is>
      </c>
      <c r="E254" s="224" t="inlineStr">
        <is>
          <t xml:space="preserve">Portfolio Manger Cyber Security </t>
        </is>
      </c>
      <c r="F254" s="224" t="inlineStr">
        <is>
          <t>Cyber, Risk &amp; Operations</t>
        </is>
      </c>
      <c r="G254" s="260" t="inlineStr">
        <is>
          <t>Cyber Strat &amp; Tech</t>
        </is>
      </c>
      <c r="H254" s="224" t="inlineStr">
        <is>
          <t>NA</t>
        </is>
      </c>
      <c r="I254" s="224" t="inlineStr">
        <is>
          <t>NA</t>
        </is>
      </c>
      <c r="J254" s="224" t="inlineStr">
        <is>
          <t>NA</t>
        </is>
      </c>
      <c r="K254" s="224" t="inlineStr">
        <is>
          <t>NA</t>
        </is>
      </c>
      <c r="L254" s="224" t="n"/>
      <c r="M254" s="261" t="inlineStr">
        <is>
          <t>Australia</t>
        </is>
      </c>
      <c r="N254" t="inlineStr">
        <is>
          <t>TDD Cyber</t>
        </is>
      </c>
      <c r="O254" t="inlineStr">
        <is>
          <t>TDD Cyber, Risk &amp; Service Ops</t>
        </is>
      </c>
      <c r="P254" t="inlineStr">
        <is>
          <t>TDD Cyber</t>
        </is>
      </c>
      <c r="Q254" t="inlineStr">
        <is>
          <t>Squad</t>
        </is>
      </c>
      <c r="R254" t="inlineStr">
        <is>
          <t>Filled</t>
        </is>
      </c>
    </row>
    <row r="255" ht="18" customHeight="1" s="506">
      <c r="A255" s="259" t="n">
        <v>0</v>
      </c>
      <c r="B255" s="224" t="inlineStr">
        <is>
          <t>Niall Greene</t>
        </is>
      </c>
      <c r="C255" s="224" t="inlineStr">
        <is>
          <t>Project Manager (PEP13-EGI-UKG)</t>
        </is>
      </c>
      <c r="D255" s="270" t="inlineStr">
        <is>
          <t>Vacant</t>
        </is>
      </c>
      <c r="E255" s="224" t="n"/>
      <c r="F255" s="224" t="inlineStr">
        <is>
          <t>EGI</t>
        </is>
      </c>
      <c r="G255" s="260" t="n"/>
      <c r="H255" s="224" t="n"/>
      <c r="I255" s="224" t="inlineStr">
        <is>
          <t>EGI</t>
        </is>
      </c>
      <c r="J255" s="260" t="inlineStr">
        <is>
          <t>EGI</t>
        </is>
      </c>
      <c r="K255" s="224" t="inlineStr">
        <is>
          <t>EGI</t>
        </is>
      </c>
      <c r="L255" s="260" t="n"/>
      <c r="M255" s="261" t="n">
        <v>0</v>
      </c>
      <c r="N255" t="inlineStr">
        <is>
          <t>EGI</t>
        </is>
      </c>
      <c r="O255" t="inlineStr">
        <is>
          <t>EGI</t>
        </is>
      </c>
      <c r="P255" t="inlineStr">
        <is>
          <t>EGI (unassigned)</t>
        </is>
      </c>
      <c r="Q255" t="inlineStr">
        <is>
          <t>Unmapped</t>
        </is>
      </c>
      <c r="R255" t="inlineStr">
        <is>
          <t>Filled</t>
        </is>
      </c>
    </row>
    <row r="256" ht="18" customHeight="1" s="506">
      <c r="A256" s="259" t="n">
        <v>0</v>
      </c>
      <c r="B256" s="224" t="inlineStr">
        <is>
          <t>Winnie Fernandes</t>
        </is>
      </c>
      <c r="C256" s="224" t="inlineStr">
        <is>
          <t>Delivery Lead</t>
        </is>
      </c>
      <c r="D256" s="224" t="inlineStr">
        <is>
          <t>Vacant</t>
        </is>
      </c>
      <c r="E256" s="224" t="n"/>
      <c r="F256" s="224" t="inlineStr">
        <is>
          <t>EGI</t>
        </is>
      </c>
      <c r="G256" s="260" t="n"/>
      <c r="H256" s="224" t="n"/>
      <c r="I256" s="224" t="inlineStr">
        <is>
          <t>EGI</t>
        </is>
      </c>
      <c r="J256" s="260" t="inlineStr">
        <is>
          <t>EGI</t>
        </is>
      </c>
      <c r="K256" s="224" t="inlineStr">
        <is>
          <t>EGI</t>
        </is>
      </c>
      <c r="L256" s="260" t="n"/>
      <c r="M256" s="261" t="n">
        <v>0</v>
      </c>
      <c r="N256" t="inlineStr">
        <is>
          <t>EGI</t>
        </is>
      </c>
      <c r="O256" t="inlineStr">
        <is>
          <t>EGI</t>
        </is>
      </c>
      <c r="P256" t="inlineStr">
        <is>
          <t>EGI (unassigned)</t>
        </is>
      </c>
      <c r="Q256" t="inlineStr">
        <is>
          <t>Unmapped</t>
        </is>
      </c>
      <c r="R256" t="inlineStr">
        <is>
          <t>Filled</t>
        </is>
      </c>
    </row>
    <row r="257" ht="18" customHeight="1" s="506">
      <c r="A257" s="259" t="n">
        <v>0</v>
      </c>
      <c r="B257" s="224" t="inlineStr">
        <is>
          <t>Areum Kim Lee</t>
        </is>
      </c>
      <c r="C257" s="224" t="inlineStr">
        <is>
          <t>Program Manager (PEP13-EGI-UKG)</t>
        </is>
      </c>
      <c r="D257" s="224" t="n"/>
      <c r="E257" s="224" t="n"/>
      <c r="F257" s="224" t="inlineStr">
        <is>
          <t>EGI</t>
        </is>
      </c>
      <c r="G257" s="260" t="n"/>
      <c r="H257" s="224" t="n"/>
      <c r="I257" s="224" t="inlineStr">
        <is>
          <t>EGI</t>
        </is>
      </c>
      <c r="J257" s="260" t="inlineStr">
        <is>
          <t>EGI</t>
        </is>
      </c>
      <c r="K257" s="224" t="inlineStr">
        <is>
          <t>EGI</t>
        </is>
      </c>
      <c r="L257" s="260" t="n"/>
      <c r="M257" s="261" t="n">
        <v>0</v>
      </c>
      <c r="N257" t="inlineStr">
        <is>
          <t>EGI</t>
        </is>
      </c>
      <c r="O257" t="inlineStr">
        <is>
          <t>EGI</t>
        </is>
      </c>
      <c r="P257" t="inlineStr">
        <is>
          <t>EGI (unassigned)</t>
        </is>
      </c>
      <c r="Q257" t="inlineStr">
        <is>
          <t>Unmapped</t>
        </is>
      </c>
      <c r="R257" t="inlineStr">
        <is>
          <t>Filled</t>
        </is>
      </c>
    </row>
    <row r="258" ht="18" customHeight="1" s="506">
      <c r="A258" s="259" t="n">
        <v>113935</v>
      </c>
      <c r="B258" s="224" t="inlineStr">
        <is>
          <t>Thomas Reid</t>
        </is>
      </c>
      <c r="C258" s="224" t="inlineStr">
        <is>
          <t>TDD BP - Retail &amp; Customer - Store Digital</t>
        </is>
      </c>
      <c r="D258" s="224" t="inlineStr">
        <is>
          <t>Michael Schofield</t>
        </is>
      </c>
      <c r="E258" s="224" t="inlineStr">
        <is>
          <t>GM TDD, Partnering &amp; Transformation</t>
        </is>
      </c>
      <c r="F258" s="224" t="inlineStr">
        <is>
          <t>Partnering &amp; Transformation</t>
        </is>
      </c>
      <c r="G258" s="224" t="inlineStr">
        <is>
          <t>TDD Business Partner</t>
        </is>
      </c>
      <c r="H258" s="224" t="inlineStr">
        <is>
          <t>NA</t>
        </is>
      </c>
      <c r="I258" s="224" t="inlineStr">
        <is>
          <t>NA</t>
        </is>
      </c>
      <c r="J258" s="224" t="inlineStr">
        <is>
          <t>NA</t>
        </is>
      </c>
      <c r="K258" s="224" t="inlineStr">
        <is>
          <t>NA</t>
        </is>
      </c>
      <c r="L258" s="260" t="n"/>
      <c r="M258" s="261" t="inlineStr">
        <is>
          <t>Australia</t>
        </is>
      </c>
      <c r="N258" t="inlineStr">
        <is>
          <t>COE</t>
        </is>
      </c>
      <c r="O258" t="inlineStr">
        <is>
          <t>COE - Business Partnering</t>
        </is>
      </c>
      <c r="P258" t="inlineStr">
        <is>
          <t>COE - Business Partnering</t>
        </is>
      </c>
      <c r="Q258" t="inlineStr">
        <is>
          <t>COE</t>
        </is>
      </c>
      <c r="R258" t="inlineStr">
        <is>
          <t>Filled</t>
        </is>
      </c>
    </row>
    <row r="259" ht="18" customHeight="1" s="506">
      <c r="A259" s="259" t="n"/>
      <c r="B259" s="224" t="inlineStr">
        <is>
          <t>Vacant</t>
        </is>
      </c>
      <c r="C259" s="224" t="inlineStr">
        <is>
          <t>Head of Transformation</t>
        </is>
      </c>
      <c r="D259" s="224" t="inlineStr">
        <is>
          <t>Michael Schofield</t>
        </is>
      </c>
      <c r="E259" s="224" t="inlineStr">
        <is>
          <t>Head of Service Operatoins &amp; Assurance</t>
        </is>
      </c>
      <c r="F259" s="224" t="inlineStr">
        <is>
          <t>Partnering &amp; Transformation</t>
        </is>
      </c>
      <c r="G259" s="224" t="inlineStr">
        <is>
          <t>Transformation</t>
        </is>
      </c>
      <c r="H259" s="224" t="inlineStr">
        <is>
          <t>NA</t>
        </is>
      </c>
      <c r="I259" s="224" t="inlineStr">
        <is>
          <t>NA</t>
        </is>
      </c>
      <c r="J259" s="224" t="inlineStr">
        <is>
          <t>NA</t>
        </is>
      </c>
      <c r="K259" s="224" t="inlineStr">
        <is>
          <t>NA</t>
        </is>
      </c>
      <c r="L259" s="260" t="n"/>
      <c r="M259" s="261" t="n"/>
      <c r="N259" t="inlineStr">
        <is>
          <t>COE</t>
        </is>
      </c>
      <c r="O259" t="inlineStr">
        <is>
          <t>COE - Transformation</t>
        </is>
      </c>
      <c r="P259" t="inlineStr">
        <is>
          <t>COE - Transformation</t>
        </is>
      </c>
      <c r="Q259" t="inlineStr">
        <is>
          <t>COE</t>
        </is>
      </c>
      <c r="R259" t="inlineStr">
        <is>
          <t>Vacant</t>
        </is>
      </c>
    </row>
    <row r="260" ht="18" customHeight="1" s="506">
      <c r="A260" s="259" t="n"/>
      <c r="B260" s="224" t="inlineStr">
        <is>
          <t>Vacant</t>
        </is>
      </c>
      <c r="C260" s="224" t="inlineStr">
        <is>
          <t>Commercial Director</t>
        </is>
      </c>
      <c r="D260" s="224" t="inlineStr">
        <is>
          <t>Michael Schofield</t>
        </is>
      </c>
      <c r="E260" s="224" t="inlineStr">
        <is>
          <t>GM TDD, Partnering &amp; Transformation</t>
        </is>
      </c>
      <c r="F260" s="224" t="inlineStr">
        <is>
          <t>Partnering &amp; Transformation</t>
        </is>
      </c>
      <c r="G260" s="224" t="inlineStr">
        <is>
          <t>Commercial</t>
        </is>
      </c>
      <c r="H260" s="224" t="inlineStr">
        <is>
          <t>NA</t>
        </is>
      </c>
      <c r="I260" s="224" t="inlineStr">
        <is>
          <t>NA</t>
        </is>
      </c>
      <c r="J260" s="224" t="inlineStr">
        <is>
          <t>NA</t>
        </is>
      </c>
      <c r="K260" s="224" t="inlineStr">
        <is>
          <t>NA</t>
        </is>
      </c>
      <c r="L260" s="260" t="n"/>
      <c r="M260" s="261" t="n"/>
      <c r="N260" t="inlineStr">
        <is>
          <t>COE</t>
        </is>
      </c>
      <c r="O260" t="inlineStr">
        <is>
          <t>COE - Business Partnering</t>
        </is>
      </c>
      <c r="P260" t="inlineStr">
        <is>
          <t>COE - Business Partnering</t>
        </is>
      </c>
      <c r="Q260" t="inlineStr">
        <is>
          <t>COE</t>
        </is>
      </c>
      <c r="R260" t="inlineStr">
        <is>
          <t>Vacant</t>
        </is>
      </c>
    </row>
    <row r="261" ht="18" customHeight="1" s="506">
      <c r="A261" s="259" t="n"/>
      <c r="B261" s="224" t="inlineStr">
        <is>
          <t>Vacant</t>
        </is>
      </c>
      <c r="C261" s="224" t="inlineStr">
        <is>
          <t>Delivery Systems Analyst</t>
        </is>
      </c>
      <c r="D261" t="inlineStr">
        <is>
          <t>Ruth Chou</t>
        </is>
      </c>
      <c r="E261" s="224" t="inlineStr">
        <is>
          <t>Portfolio Reporting Manger</t>
        </is>
      </c>
      <c r="F261" s="224" t="inlineStr">
        <is>
          <t>Partnering &amp; Transformation</t>
        </is>
      </c>
      <c r="G261" s="224" t="inlineStr">
        <is>
          <t>Transformation</t>
        </is>
      </c>
      <c r="H261" s="224" t="inlineStr">
        <is>
          <t>NA</t>
        </is>
      </c>
      <c r="I261" s="224" t="inlineStr">
        <is>
          <t>NA</t>
        </is>
      </c>
      <c r="J261" s="224" t="inlineStr">
        <is>
          <t>NA</t>
        </is>
      </c>
      <c r="K261" s="224" t="inlineStr">
        <is>
          <t>NA</t>
        </is>
      </c>
      <c r="L261" s="260" t="n"/>
      <c r="M261" s="261" t="n"/>
      <c r="N261" t="inlineStr">
        <is>
          <t>COE</t>
        </is>
      </c>
      <c r="O261" t="inlineStr">
        <is>
          <t>COE - Transformation</t>
        </is>
      </c>
      <c r="P261" t="inlineStr">
        <is>
          <t>COE - Transformation</t>
        </is>
      </c>
      <c r="Q261" t="inlineStr">
        <is>
          <t>COE</t>
        </is>
      </c>
      <c r="R261" t="inlineStr">
        <is>
          <t>Vacant</t>
        </is>
      </c>
    </row>
    <row r="262" ht="18" customHeight="1" s="506">
      <c r="A262" s="259" t="n"/>
      <c r="B262" s="224" t="inlineStr">
        <is>
          <t xml:space="preserve">Vacant </t>
        </is>
      </c>
      <c r="C262" s="224" t="inlineStr">
        <is>
          <t>Portfolio Analyst</t>
        </is>
      </c>
      <c r="D262" s="224" t="inlineStr">
        <is>
          <t>Ruth Chou</t>
        </is>
      </c>
      <c r="E262" s="224" t="inlineStr">
        <is>
          <t xml:space="preserve">Manager Service Perforance &amp; Assurance </t>
        </is>
      </c>
      <c r="F262" s="224" t="inlineStr">
        <is>
          <t>Partnering &amp; Transformation</t>
        </is>
      </c>
      <c r="G262" s="224" t="inlineStr">
        <is>
          <t>Transformation</t>
        </is>
      </c>
      <c r="H262" s="224" t="inlineStr">
        <is>
          <t>NA</t>
        </is>
      </c>
      <c r="I262" s="224" t="inlineStr">
        <is>
          <t>NA</t>
        </is>
      </c>
      <c r="J262" s="224" t="inlineStr">
        <is>
          <t>NA</t>
        </is>
      </c>
      <c r="K262" s="224" t="inlineStr">
        <is>
          <t>NA</t>
        </is>
      </c>
      <c r="L262" s="260" t="n"/>
      <c r="M262" s="261" t="n"/>
      <c r="N262" t="inlineStr">
        <is>
          <t>COE</t>
        </is>
      </c>
      <c r="O262" t="inlineStr">
        <is>
          <t>COE - Transformation</t>
        </is>
      </c>
      <c r="P262" t="inlineStr">
        <is>
          <t>COE - Transformation</t>
        </is>
      </c>
      <c r="Q262" t="inlineStr">
        <is>
          <t>COE</t>
        </is>
      </c>
      <c r="R262" t="inlineStr">
        <is>
          <t>Vacant</t>
        </is>
      </c>
    </row>
    <row r="263" ht="18" customHeight="1" s="506">
      <c r="A263" s="259" t="n"/>
      <c r="B263" s="224" t="inlineStr">
        <is>
          <t xml:space="preserve">Vacant </t>
        </is>
      </c>
      <c r="C263" s="224" t="inlineStr">
        <is>
          <t>Portfolio Analyst</t>
        </is>
      </c>
      <c r="D263" s="224" t="inlineStr">
        <is>
          <t>Ruth Chou</t>
        </is>
      </c>
      <c r="E263" s="224" t="inlineStr">
        <is>
          <t xml:space="preserve">Manager Service Perforance &amp; Assurance </t>
        </is>
      </c>
      <c r="F263" s="224" t="inlineStr">
        <is>
          <t>Partnering &amp; Transformation</t>
        </is>
      </c>
      <c r="G263" s="224" t="inlineStr">
        <is>
          <t>Transformation</t>
        </is>
      </c>
      <c r="H263" s="224" t="inlineStr">
        <is>
          <t>NA</t>
        </is>
      </c>
      <c r="I263" s="224" t="inlineStr">
        <is>
          <t>NA</t>
        </is>
      </c>
      <c r="J263" s="224" t="inlineStr">
        <is>
          <t>NA</t>
        </is>
      </c>
      <c r="K263" s="224" t="inlineStr">
        <is>
          <t>NA</t>
        </is>
      </c>
      <c r="L263" s="260" t="n"/>
      <c r="M263" s="261" t="n"/>
      <c r="N263" t="inlineStr">
        <is>
          <t>COE</t>
        </is>
      </c>
      <c r="O263" t="inlineStr">
        <is>
          <t>COE - Transformation</t>
        </is>
      </c>
      <c r="P263" t="inlineStr">
        <is>
          <t>COE - Transformation</t>
        </is>
      </c>
      <c r="Q263" t="inlineStr">
        <is>
          <t>COE</t>
        </is>
      </c>
      <c r="R263" t="inlineStr">
        <is>
          <t>Vacant</t>
        </is>
      </c>
    </row>
    <row r="264" ht="18" customHeight="1" s="506">
      <c r="A264" s="259" t="n">
        <v>12992</v>
      </c>
      <c r="B264" s="224" t="inlineStr">
        <is>
          <t>Jeannie Chu</t>
        </is>
      </c>
      <c r="C264" s="224" t="inlineStr">
        <is>
          <t>Snr Finance Support Administrator</t>
        </is>
      </c>
      <c r="D264" t="inlineStr">
        <is>
          <t>Sam Chan</t>
        </is>
      </c>
      <c r="E264" s="224" t="inlineStr">
        <is>
          <t>Fin Ops Manager</t>
        </is>
      </c>
      <c r="F264" s="224" t="inlineStr">
        <is>
          <t>Partnering &amp; Transformation</t>
        </is>
      </c>
      <c r="G264" s="224" t="inlineStr">
        <is>
          <t>Transformation</t>
        </is>
      </c>
      <c r="H264" s="224" t="inlineStr">
        <is>
          <t>NA</t>
        </is>
      </c>
      <c r="I264" s="224" t="inlineStr">
        <is>
          <t>NA</t>
        </is>
      </c>
      <c r="J264" s="224" t="inlineStr">
        <is>
          <t>NA</t>
        </is>
      </c>
      <c r="K264" s="224" t="inlineStr">
        <is>
          <t>NA</t>
        </is>
      </c>
      <c r="L264" s="260" t="n"/>
      <c r="M264" s="261" t="inlineStr">
        <is>
          <t>Australia</t>
        </is>
      </c>
      <c r="N264" t="inlineStr">
        <is>
          <t>COE</t>
        </is>
      </c>
      <c r="O264" t="inlineStr">
        <is>
          <t>COE - Transformation</t>
        </is>
      </c>
      <c r="P264" t="inlineStr">
        <is>
          <t>COE - Transformation</t>
        </is>
      </c>
      <c r="Q264" t="inlineStr">
        <is>
          <t>COE</t>
        </is>
      </c>
      <c r="R264" t="inlineStr">
        <is>
          <t>Filled</t>
        </is>
      </c>
    </row>
    <row r="265" ht="18" customHeight="1" s="506">
      <c r="A265" s="259" t="n">
        <v>5607</v>
      </c>
      <c r="B265" s="224" t="inlineStr">
        <is>
          <t>Maria Somera</t>
        </is>
      </c>
      <c r="C265" s="224" t="inlineStr">
        <is>
          <t>Technology Finance Analyst</t>
        </is>
      </c>
      <c r="D265" s="224" t="inlineStr">
        <is>
          <t>Sam Chan</t>
        </is>
      </c>
      <c r="E265" s="224" t="inlineStr">
        <is>
          <t>Fin Ops Manager</t>
        </is>
      </c>
      <c r="F265" s="224" t="inlineStr">
        <is>
          <t>Partnering &amp; Transformation</t>
        </is>
      </c>
      <c r="G265" s="224" t="inlineStr">
        <is>
          <t>Transformation</t>
        </is>
      </c>
      <c r="H265" s="224" t="inlineStr">
        <is>
          <t>NA</t>
        </is>
      </c>
      <c r="I265" s="224" t="inlineStr">
        <is>
          <t>NA</t>
        </is>
      </c>
      <c r="J265" s="224" t="inlineStr">
        <is>
          <t>NA</t>
        </is>
      </c>
      <c r="K265" s="224" t="inlineStr">
        <is>
          <t>NA</t>
        </is>
      </c>
      <c r="L265" s="260" t="n"/>
      <c r="M265" s="261" t="inlineStr">
        <is>
          <t>Australia</t>
        </is>
      </c>
      <c r="N265" t="inlineStr">
        <is>
          <t>COE</t>
        </is>
      </c>
      <c r="O265" t="inlineStr">
        <is>
          <t>COE - Transformation</t>
        </is>
      </c>
      <c r="P265" t="inlineStr">
        <is>
          <t>COE - Transformation</t>
        </is>
      </c>
      <c r="Q265" t="inlineStr">
        <is>
          <t>COE</t>
        </is>
      </c>
      <c r="R265" t="inlineStr">
        <is>
          <t>Filled</t>
        </is>
      </c>
    </row>
    <row r="266" ht="18" customHeight="1" s="506">
      <c r="A266" s="259" t="n">
        <v>83658</v>
      </c>
      <c r="B266" s="224" t="inlineStr">
        <is>
          <t>Sam Chan</t>
        </is>
      </c>
      <c r="C266" s="224" t="inlineStr">
        <is>
          <t>FinOps Manager</t>
        </is>
      </c>
      <c r="D266" s="260" t="inlineStr">
        <is>
          <t>vacant</t>
        </is>
      </c>
      <c r="E266" s="224" t="inlineStr">
        <is>
          <t xml:space="preserve">Manager Cyber Security Operations </t>
        </is>
      </c>
      <c r="F266" s="224" t="inlineStr">
        <is>
          <t>Partnering &amp; Transformation</t>
        </is>
      </c>
      <c r="G266" s="224" t="inlineStr">
        <is>
          <t>Transformation</t>
        </is>
      </c>
      <c r="H266" s="224" t="inlineStr">
        <is>
          <t>NA</t>
        </is>
      </c>
      <c r="I266" s="224" t="inlineStr">
        <is>
          <t>NA</t>
        </is>
      </c>
      <c r="J266" s="224" t="inlineStr">
        <is>
          <t>NA</t>
        </is>
      </c>
      <c r="K266" s="224" t="inlineStr">
        <is>
          <t>NA</t>
        </is>
      </c>
      <c r="L266" s="260" t="n"/>
      <c r="M266" s="261" t="inlineStr">
        <is>
          <t>Australia</t>
        </is>
      </c>
      <c r="N266" t="inlineStr">
        <is>
          <t>COE</t>
        </is>
      </c>
      <c r="O266" t="inlineStr">
        <is>
          <t>COE - Transformation</t>
        </is>
      </c>
      <c r="P266" t="inlineStr">
        <is>
          <t>COE - Transformation</t>
        </is>
      </c>
      <c r="Q266" t="inlineStr">
        <is>
          <t>COE</t>
        </is>
      </c>
      <c r="R266" t="inlineStr">
        <is>
          <t>Filled</t>
        </is>
      </c>
    </row>
    <row r="267" ht="18" customHeight="1" s="506">
      <c r="A267" s="259" t="n">
        <v>116540</v>
      </c>
      <c r="B267" s="224" t="inlineStr">
        <is>
          <t>Neil Reilly</t>
        </is>
      </c>
      <c r="C267" s="224" t="inlineStr">
        <is>
          <t>TDD BP - T&amp;S</t>
        </is>
      </c>
      <c r="D267" s="224" t="inlineStr">
        <is>
          <t>Vacant</t>
        </is>
      </c>
      <c r="E267" s="224" t="inlineStr">
        <is>
          <t>GM TDD, Partnering &amp; Transformation</t>
        </is>
      </c>
      <c r="F267" s="224" t="inlineStr">
        <is>
          <t>Partnering &amp; Transformation</t>
        </is>
      </c>
      <c r="G267" s="224" t="inlineStr">
        <is>
          <t>TDD Business Partner</t>
        </is>
      </c>
      <c r="H267" s="224" t="inlineStr">
        <is>
          <t>NA</t>
        </is>
      </c>
      <c r="I267" s="224" t="inlineStr">
        <is>
          <t>NA</t>
        </is>
      </c>
      <c r="J267" s="224" t="inlineStr">
        <is>
          <t>NA</t>
        </is>
      </c>
      <c r="K267" s="224" t="inlineStr">
        <is>
          <t>NA</t>
        </is>
      </c>
      <c r="L267" s="260" t="n"/>
      <c r="M267" s="261" t="inlineStr">
        <is>
          <t>Singapore</t>
        </is>
      </c>
      <c r="N267" t="inlineStr">
        <is>
          <t>COE</t>
        </is>
      </c>
      <c r="O267" t="inlineStr">
        <is>
          <t>COE - Business Partnering</t>
        </is>
      </c>
      <c r="P267" t="inlineStr">
        <is>
          <t>COE - Business Partnering</t>
        </is>
      </c>
      <c r="Q267" t="inlineStr">
        <is>
          <t>COE</t>
        </is>
      </c>
      <c r="R267" t="inlineStr">
        <is>
          <t>Filled</t>
        </is>
      </c>
    </row>
    <row r="268" ht="18" customHeight="1" s="506">
      <c r="A268" s="259" t="n"/>
      <c r="B268" s="224" t="inlineStr">
        <is>
          <t>Vacant</t>
        </is>
      </c>
      <c r="C268" s="224" t="inlineStr">
        <is>
          <t>Business Analysis Practice Lead</t>
        </is>
      </c>
      <c r="D268" s="260" t="inlineStr">
        <is>
          <t>vacant</t>
        </is>
      </c>
      <c r="E268" s="224" t="inlineStr">
        <is>
          <t>Delivery Excellence Manager</t>
        </is>
      </c>
      <c r="F268" s="224" t="inlineStr">
        <is>
          <t>Partnering &amp; Transformation</t>
        </is>
      </c>
      <c r="G268" s="224" t="inlineStr">
        <is>
          <t>Transformation</t>
        </is>
      </c>
      <c r="H268" s="224" t="inlineStr">
        <is>
          <t>NA</t>
        </is>
      </c>
      <c r="I268" s="224" t="inlineStr">
        <is>
          <t>NA</t>
        </is>
      </c>
      <c r="J268" s="224" t="inlineStr">
        <is>
          <t>NA</t>
        </is>
      </c>
      <c r="K268" s="224" t="inlineStr">
        <is>
          <t>NA</t>
        </is>
      </c>
      <c r="L268" s="260" t="n"/>
      <c r="M268" s="261" t="n"/>
      <c r="N268" t="inlineStr">
        <is>
          <t>COE</t>
        </is>
      </c>
      <c r="O268" t="inlineStr">
        <is>
          <t>COE - Transformation</t>
        </is>
      </c>
      <c r="P268" t="inlineStr">
        <is>
          <t>COE - Transformation</t>
        </is>
      </c>
      <c r="Q268" t="inlineStr">
        <is>
          <t>COE</t>
        </is>
      </c>
      <c r="R268" t="inlineStr">
        <is>
          <t>Vacant</t>
        </is>
      </c>
    </row>
    <row r="269" ht="18" customHeight="1" s="506">
      <c r="A269" s="259" t="n">
        <v>95835</v>
      </c>
      <c r="B269" s="224" t="inlineStr">
        <is>
          <t>Briony Scott</t>
        </is>
      </c>
      <c r="C269" s="224" t="inlineStr">
        <is>
          <t>Service &amp; Contract Specialist AU</t>
        </is>
      </c>
      <c r="D269" s="260" t="inlineStr">
        <is>
          <t>vacant</t>
        </is>
      </c>
      <c r="E269" s="224" t="inlineStr">
        <is>
          <t>Commercial Director</t>
        </is>
      </c>
      <c r="F269" s="224" t="inlineStr">
        <is>
          <t>Partnering &amp; Transformation</t>
        </is>
      </c>
      <c r="G269" s="224" t="inlineStr">
        <is>
          <t>Commercial</t>
        </is>
      </c>
      <c r="H269" s="224" t="inlineStr">
        <is>
          <t>NA</t>
        </is>
      </c>
      <c r="I269" s="224" t="inlineStr">
        <is>
          <t>NA</t>
        </is>
      </c>
      <c r="J269" s="224" t="inlineStr">
        <is>
          <t>NA</t>
        </is>
      </c>
      <c r="K269" s="224" t="inlineStr">
        <is>
          <t>NA</t>
        </is>
      </c>
      <c r="L269" s="260" t="n"/>
      <c r="M269" s="261" t="inlineStr">
        <is>
          <t>Australia</t>
        </is>
      </c>
      <c r="N269" t="inlineStr">
        <is>
          <t>COE</t>
        </is>
      </c>
      <c r="O269" t="inlineStr">
        <is>
          <t>COE - Business Partnering</t>
        </is>
      </c>
      <c r="P269" t="inlineStr">
        <is>
          <t>COE - Business Partnering</t>
        </is>
      </c>
      <c r="Q269" t="inlineStr">
        <is>
          <t>COE</t>
        </is>
      </c>
      <c r="R269" t="inlineStr">
        <is>
          <t>Filled</t>
        </is>
      </c>
    </row>
    <row r="270" ht="18" customHeight="1" s="506">
      <c r="A270" s="259" t="n">
        <v>99999170371</v>
      </c>
      <c r="B270" s="224" t="inlineStr">
        <is>
          <t>Helen Ngu</t>
        </is>
      </c>
      <c r="C270" s="224" t="inlineStr">
        <is>
          <t>Service &amp; Contract Specialist NZ</t>
        </is>
      </c>
      <c r="D270" s="260" t="inlineStr">
        <is>
          <t>vacant</t>
        </is>
      </c>
      <c r="E270" s="224" t="inlineStr">
        <is>
          <t>Commercial Director</t>
        </is>
      </c>
      <c r="F270" s="224" t="inlineStr">
        <is>
          <t>Partnering &amp; Transformation</t>
        </is>
      </c>
      <c r="G270" s="224" t="inlineStr">
        <is>
          <t>Commercial</t>
        </is>
      </c>
      <c r="H270" s="224" t="inlineStr">
        <is>
          <t>NA</t>
        </is>
      </c>
      <c r="I270" s="224" t="inlineStr">
        <is>
          <t>NA</t>
        </is>
      </c>
      <c r="J270" s="224" t="inlineStr">
        <is>
          <t>NA</t>
        </is>
      </c>
      <c r="K270" s="224" t="inlineStr">
        <is>
          <t>NA</t>
        </is>
      </c>
      <c r="L270" s="260" t="n"/>
      <c r="M270" s="261" t="inlineStr">
        <is>
          <t>NZ</t>
        </is>
      </c>
      <c r="N270" t="inlineStr">
        <is>
          <t>COE</t>
        </is>
      </c>
      <c r="O270" t="inlineStr">
        <is>
          <t>COE - Business Partnering</t>
        </is>
      </c>
      <c r="P270" t="inlineStr">
        <is>
          <t>COE - Business Partnering</t>
        </is>
      </c>
      <c r="Q270" t="inlineStr">
        <is>
          <t>COE</t>
        </is>
      </c>
      <c r="R270" t="inlineStr">
        <is>
          <t>Filled</t>
        </is>
      </c>
    </row>
    <row r="271" ht="18" customHeight="1" s="506">
      <c r="A271" s="259" t="n">
        <v>101862</v>
      </c>
      <c r="B271" s="224" t="inlineStr">
        <is>
          <t>Vaughn Scott</t>
        </is>
      </c>
      <c r="C271" s="224" t="inlineStr">
        <is>
          <t>TDD BP - ES</t>
        </is>
      </c>
      <c r="D271" s="224" t="inlineStr">
        <is>
          <t>Vacant</t>
        </is>
      </c>
      <c r="E271" s="224" t="inlineStr">
        <is>
          <t>GM TDD, Partnering &amp; Transformation</t>
        </is>
      </c>
      <c r="F271" s="224" t="inlineStr">
        <is>
          <t>Partnering &amp; Transformation</t>
        </is>
      </c>
      <c r="G271" s="224" t="inlineStr">
        <is>
          <t>TDD Business Partner</t>
        </is>
      </c>
      <c r="H271" t="inlineStr">
        <is>
          <t>NA</t>
        </is>
      </c>
      <c r="I271" s="224" t="inlineStr">
        <is>
          <t>NA</t>
        </is>
      </c>
      <c r="J271" s="224" t="inlineStr">
        <is>
          <t>NA</t>
        </is>
      </c>
      <c r="K271" s="224" t="inlineStr">
        <is>
          <t>NA</t>
        </is>
      </c>
      <c r="L271" s="260" t="n"/>
      <c r="M271" s="261" t="inlineStr">
        <is>
          <t>Australia</t>
        </is>
      </c>
      <c r="N271" t="inlineStr">
        <is>
          <t>COE</t>
        </is>
      </c>
      <c r="O271" t="inlineStr">
        <is>
          <t>COE - Business Partnering</t>
        </is>
      </c>
      <c r="P271" t="inlineStr">
        <is>
          <t>COE - Business Partnering</t>
        </is>
      </c>
      <c r="Q271" t="inlineStr">
        <is>
          <t>COE</t>
        </is>
      </c>
      <c r="R271" t="inlineStr">
        <is>
          <t>Filled</t>
        </is>
      </c>
    </row>
    <row r="272" ht="18" customHeight="1" s="506">
      <c r="A272" s="259" t="n">
        <v>82561</v>
      </c>
      <c r="B272" s="224" t="inlineStr">
        <is>
          <t>Jenny Chan</t>
        </is>
      </c>
      <c r="C272" s="224" t="inlineStr">
        <is>
          <t>Project Finance Lead</t>
        </is>
      </c>
      <c r="D272" s="224" t="inlineStr">
        <is>
          <t>Vacant</t>
        </is>
      </c>
      <c r="E272" s="224" t="inlineStr">
        <is>
          <t xml:space="preserve">Manager Risk &amp; Resilience </t>
        </is>
      </c>
      <c r="F272" s="224" t="inlineStr">
        <is>
          <t>Partnering &amp; Transformation</t>
        </is>
      </c>
      <c r="G272" s="224" t="inlineStr">
        <is>
          <t>Transformation</t>
        </is>
      </c>
      <c r="H272" s="224" t="inlineStr">
        <is>
          <t>Technology, CF Engineering</t>
        </is>
      </c>
      <c r="I272" s="224" t="inlineStr">
        <is>
          <t>NA</t>
        </is>
      </c>
      <c r="J272" s="224" t="inlineStr">
        <is>
          <t>NA</t>
        </is>
      </c>
      <c r="K272" s="224" t="inlineStr">
        <is>
          <t>NA</t>
        </is>
      </c>
      <c r="L272" s="260" t="n"/>
      <c r="M272" s="261" t="inlineStr">
        <is>
          <t>Australia</t>
        </is>
      </c>
      <c r="N272" t="inlineStr">
        <is>
          <t>COE</t>
        </is>
      </c>
      <c r="O272" t="inlineStr">
        <is>
          <t>COE - Transformation</t>
        </is>
      </c>
      <c r="P272" t="inlineStr">
        <is>
          <t>COE - Transformation</t>
        </is>
      </c>
      <c r="Q272" t="inlineStr">
        <is>
          <t>COE</t>
        </is>
      </c>
      <c r="R272" t="inlineStr">
        <is>
          <t>Filled</t>
        </is>
      </c>
    </row>
    <row r="273" ht="18" customHeight="1" s="506">
      <c r="A273" s="259" t="n"/>
      <c r="B273" s="224" t="inlineStr">
        <is>
          <t>Vacant</t>
        </is>
      </c>
      <c r="C273" s="224" t="inlineStr">
        <is>
          <t>Scrum Master</t>
        </is>
      </c>
      <c r="D273" s="260" t="inlineStr">
        <is>
          <t>Vacant</t>
        </is>
      </c>
      <c r="E273" s="224" t="inlineStr">
        <is>
          <t xml:space="preserve">Lead Technology Support </t>
        </is>
      </c>
      <c r="F273" s="224" t="inlineStr">
        <is>
          <t>Partnering &amp; Transformation</t>
        </is>
      </c>
      <c r="G273" s="224" t="inlineStr">
        <is>
          <t>Loyalty &amp; Martech</t>
        </is>
      </c>
      <c r="H273" s="224" t="inlineStr">
        <is>
          <t>NA</t>
        </is>
      </c>
      <c r="I273" s="224" t="inlineStr">
        <is>
          <t>NA</t>
        </is>
      </c>
      <c r="J273" s="224" t="inlineStr">
        <is>
          <t>NA</t>
        </is>
      </c>
      <c r="K273" s="224" t="inlineStr">
        <is>
          <t>NA</t>
        </is>
      </c>
      <c r="L273" s="260" t="n"/>
      <c r="M273" s="261" t="n"/>
      <c r="N273" t="inlineStr">
        <is>
          <t>Customer</t>
        </is>
      </c>
      <c r="O273" t="inlineStr">
        <is>
          <t>Group Customer Platforms</t>
        </is>
      </c>
      <c r="P273" t="inlineStr">
        <is>
          <t>AU CRM &amp; Martech</t>
        </is>
      </c>
      <c r="Q273" t="inlineStr">
        <is>
          <t>Squad</t>
        </is>
      </c>
      <c r="R273" t="inlineStr">
        <is>
          <t>Vacant</t>
        </is>
      </c>
    </row>
    <row r="274" ht="18" customHeight="1" s="506">
      <c r="A274" s="259" t="n">
        <v>99999102029</v>
      </c>
      <c r="B274" s="224" t="inlineStr">
        <is>
          <t>Matt Saunders</t>
        </is>
      </c>
      <c r="C274" s="224" t="inlineStr">
        <is>
          <t>Scrum Master</t>
        </is>
      </c>
      <c r="D274" s="260" t="inlineStr">
        <is>
          <t>Vacant</t>
        </is>
      </c>
      <c r="E274" s="224" t="inlineStr">
        <is>
          <t xml:space="preserve">Lead Technology Support </t>
        </is>
      </c>
      <c r="F274" s="224" t="inlineStr">
        <is>
          <t>Partnering &amp; Transformation</t>
        </is>
      </c>
      <c r="G274" s="224" t="inlineStr">
        <is>
          <t>Transformation</t>
        </is>
      </c>
      <c r="H274" s="224" t="inlineStr">
        <is>
          <t>NA</t>
        </is>
      </c>
      <c r="I274" s="224" t="inlineStr">
        <is>
          <t>NA</t>
        </is>
      </c>
      <c r="J274" s="224" t="inlineStr">
        <is>
          <t>NA</t>
        </is>
      </c>
      <c r="K274" s="224" t="inlineStr">
        <is>
          <t>NA</t>
        </is>
      </c>
      <c r="L274" s="260" t="n"/>
      <c r="M274" s="261" t="inlineStr">
        <is>
          <t>NZ</t>
        </is>
      </c>
      <c r="N274" t="inlineStr">
        <is>
          <t>COE</t>
        </is>
      </c>
      <c r="O274" t="inlineStr">
        <is>
          <t>COE - Transformation</t>
        </is>
      </c>
      <c r="P274" t="inlineStr">
        <is>
          <t>COE - Transformation</t>
        </is>
      </c>
      <c r="Q274" t="inlineStr">
        <is>
          <t>COE</t>
        </is>
      </c>
      <c r="R274" t="inlineStr">
        <is>
          <t>Filled</t>
        </is>
      </c>
    </row>
    <row r="275" ht="18" customHeight="1" s="506">
      <c r="A275" s="259" t="n">
        <v>0</v>
      </c>
      <c r="B275" s="224" t="inlineStr">
        <is>
          <t>Malcolm Deare</t>
        </is>
      </c>
      <c r="C275" s="224" t="inlineStr">
        <is>
          <t>TDD BP, Group Functions</t>
        </is>
      </c>
      <c r="D275" s="224" t="inlineStr">
        <is>
          <t>Vacant</t>
        </is>
      </c>
      <c r="E275" s="224" t="inlineStr">
        <is>
          <t>GM TDD, Partnering &amp; Transformation</t>
        </is>
      </c>
      <c r="F275" s="224" t="inlineStr">
        <is>
          <t>Partnering &amp; Transformation</t>
        </is>
      </c>
      <c r="G275" s="224" t="inlineStr">
        <is>
          <t>TDD Business Partner</t>
        </is>
      </c>
      <c r="H275" s="224" t="inlineStr">
        <is>
          <t>NA</t>
        </is>
      </c>
      <c r="I275" s="224" t="inlineStr">
        <is>
          <t>NA</t>
        </is>
      </c>
      <c r="J275" s="224" t="inlineStr">
        <is>
          <t>NA</t>
        </is>
      </c>
      <c r="K275" s="224" t="inlineStr">
        <is>
          <t>NA</t>
        </is>
      </c>
      <c r="L275" s="260" t="n"/>
      <c r="M275" s="261" t="n">
        <v>0</v>
      </c>
      <c r="N275" t="inlineStr">
        <is>
          <t>COE</t>
        </is>
      </c>
      <c r="O275" t="inlineStr">
        <is>
          <t>COE - Business Partnering</t>
        </is>
      </c>
      <c r="P275" t="inlineStr">
        <is>
          <t>COE - Business Partnering</t>
        </is>
      </c>
      <c r="Q275" t="inlineStr">
        <is>
          <t>COE</t>
        </is>
      </c>
      <c r="R275" t="inlineStr">
        <is>
          <t>Filled</t>
        </is>
      </c>
    </row>
    <row r="276" ht="18" customHeight="1" s="506">
      <c r="A276" s="259" t="n">
        <v>113835</v>
      </c>
      <c r="B276" s="224" t="inlineStr">
        <is>
          <t>Ruth Chou</t>
        </is>
      </c>
      <c r="C276" s="224" t="inlineStr">
        <is>
          <t>Portfolio Reporting Manager</t>
        </is>
      </c>
      <c r="D276" s="260" t="inlineStr">
        <is>
          <t>vacant</t>
        </is>
      </c>
      <c r="E276" s="224" t="inlineStr">
        <is>
          <t xml:space="preserve">Manager Service Perforance &amp; Assurance </t>
        </is>
      </c>
      <c r="F276" s="224" t="inlineStr">
        <is>
          <t>Partnering &amp; Transformation</t>
        </is>
      </c>
      <c r="G276" s="224" t="inlineStr">
        <is>
          <t>Loyalty &amp; Martech</t>
        </is>
      </c>
      <c r="H276" s="224" t="inlineStr">
        <is>
          <t>NA</t>
        </is>
      </c>
      <c r="I276" s="224" t="inlineStr">
        <is>
          <t>NA</t>
        </is>
      </c>
      <c r="J276" s="224" t="inlineStr">
        <is>
          <t>NA</t>
        </is>
      </c>
      <c r="K276" s="224" t="inlineStr">
        <is>
          <t>NA</t>
        </is>
      </c>
      <c r="L276" s="260" t="n"/>
      <c r="M276" s="261" t="inlineStr">
        <is>
          <t>Australia</t>
        </is>
      </c>
      <c r="N276" t="inlineStr">
        <is>
          <t>Customer</t>
        </is>
      </c>
      <c r="O276" t="inlineStr">
        <is>
          <t>Group Customer Platforms</t>
        </is>
      </c>
      <c r="P276" t="inlineStr">
        <is>
          <t>AU CRM &amp; Martech</t>
        </is>
      </c>
      <c r="Q276" t="inlineStr">
        <is>
          <t>Squad</t>
        </is>
      </c>
      <c r="R276" t="inlineStr">
        <is>
          <t>Filled</t>
        </is>
      </c>
    </row>
    <row r="277" ht="18" customHeight="1" s="506">
      <c r="A277" s="259" t="n"/>
      <c r="B277" s="224" t="inlineStr">
        <is>
          <t>Vacant</t>
        </is>
      </c>
      <c r="C277" s="224" t="inlineStr">
        <is>
          <t>Delivery Capacity &amp; Assurance Lead</t>
        </is>
      </c>
      <c r="D277" s="284" t="inlineStr">
        <is>
          <t>Vacant</t>
        </is>
      </c>
      <c r="E277" s="260" t="inlineStr">
        <is>
          <t>vacant</t>
        </is>
      </c>
      <c r="F277" s="224" t="inlineStr">
        <is>
          <t>Partnering &amp; Transformation</t>
        </is>
      </c>
      <c r="G277" s="224" t="inlineStr">
        <is>
          <t>Transformation</t>
        </is>
      </c>
      <c r="H277" t="inlineStr">
        <is>
          <t>NA</t>
        </is>
      </c>
      <c r="I277" s="224" t="inlineStr">
        <is>
          <t>NA</t>
        </is>
      </c>
      <c r="J277" s="224" t="inlineStr">
        <is>
          <t>NA</t>
        </is>
      </c>
      <c r="K277" s="224" t="inlineStr">
        <is>
          <t>NA</t>
        </is>
      </c>
      <c r="L277" s="260" t="n"/>
      <c r="M277" s="261" t="n"/>
      <c r="N277" t="inlineStr">
        <is>
          <t>COE</t>
        </is>
      </c>
      <c r="O277" t="inlineStr">
        <is>
          <t>COE - Transformation</t>
        </is>
      </c>
      <c r="P277" t="inlineStr">
        <is>
          <t>COE - Transformation</t>
        </is>
      </c>
      <c r="Q277" t="inlineStr">
        <is>
          <t>COE</t>
        </is>
      </c>
      <c r="R277" t="inlineStr">
        <is>
          <t>Vacant</t>
        </is>
      </c>
    </row>
    <row r="278" ht="18" customHeight="1" s="506">
      <c r="A278" s="259" t="n">
        <v>99999102144</v>
      </c>
      <c r="B278" s="224" t="inlineStr">
        <is>
          <t>Shelley Crawford</t>
        </is>
      </c>
      <c r="C278" s="224" t="inlineStr">
        <is>
          <t>TDD BP - Z</t>
        </is>
      </c>
      <c r="D278" s="224" t="inlineStr">
        <is>
          <t>Vacant</t>
        </is>
      </c>
      <c r="E278" s="224" t="inlineStr">
        <is>
          <t>GM TDD, Partnering &amp; Transformation</t>
        </is>
      </c>
      <c r="F278" s="224" t="inlineStr">
        <is>
          <t>Partnering &amp; Transformation</t>
        </is>
      </c>
      <c r="G278" s="224" t="inlineStr">
        <is>
          <t>TDD Business Partner</t>
        </is>
      </c>
      <c r="H278" s="224" t="inlineStr">
        <is>
          <t>NA</t>
        </is>
      </c>
      <c r="I278" s="224" t="inlineStr">
        <is>
          <t>NA</t>
        </is>
      </c>
      <c r="J278" s="224" t="inlineStr">
        <is>
          <t>NA</t>
        </is>
      </c>
      <c r="K278" s="224" t="inlineStr">
        <is>
          <t>NA</t>
        </is>
      </c>
      <c r="L278" s="260" t="n"/>
      <c r="M278" s="261" t="inlineStr">
        <is>
          <t>NZ</t>
        </is>
      </c>
      <c r="N278" t="inlineStr">
        <is>
          <t>COE</t>
        </is>
      </c>
      <c r="O278" t="inlineStr">
        <is>
          <t>COE - Business Partnering</t>
        </is>
      </c>
      <c r="P278" t="inlineStr">
        <is>
          <t>COE - Business Partnering</t>
        </is>
      </c>
      <c r="Q278" t="inlineStr">
        <is>
          <t>COE</t>
        </is>
      </c>
      <c r="R278" t="inlineStr">
        <is>
          <t>Filled</t>
        </is>
      </c>
    </row>
    <row r="279" ht="18" customHeight="1" s="506">
      <c r="A279" s="259" t="n">
        <v>102411</v>
      </c>
      <c r="B279" s="224" t="inlineStr">
        <is>
          <t>Vacant</t>
        </is>
      </c>
      <c r="C279" s="224" t="inlineStr">
        <is>
          <t>TDD BP - Infrastructure</t>
        </is>
      </c>
      <c r="D279" s="224" t="inlineStr">
        <is>
          <t>Vacant</t>
        </is>
      </c>
      <c r="E279" s="224" t="inlineStr">
        <is>
          <t>GM TDD, Partnering &amp; Transformation</t>
        </is>
      </c>
      <c r="F279" s="224" t="inlineStr">
        <is>
          <t>Partnering &amp; Transformation</t>
        </is>
      </c>
      <c r="G279" s="224" t="inlineStr">
        <is>
          <t>TDD Business Partner</t>
        </is>
      </c>
      <c r="H279" s="224" t="inlineStr">
        <is>
          <t>NA</t>
        </is>
      </c>
      <c r="I279" s="224" t="inlineStr">
        <is>
          <t>NA</t>
        </is>
      </c>
      <c r="J279" s="224" t="inlineStr">
        <is>
          <t>NA</t>
        </is>
      </c>
      <c r="K279" s="224" t="inlineStr">
        <is>
          <t>NA</t>
        </is>
      </c>
      <c r="L279" s="260" t="n"/>
      <c r="M279" s="261" t="inlineStr">
        <is>
          <t>Australia</t>
        </is>
      </c>
      <c r="N279" t="inlineStr">
        <is>
          <t>COE</t>
        </is>
      </c>
      <c r="O279" t="inlineStr">
        <is>
          <t>COE - Business Partnering</t>
        </is>
      </c>
      <c r="P279" t="inlineStr">
        <is>
          <t>COE - Business Partnering</t>
        </is>
      </c>
      <c r="Q279" t="inlineStr">
        <is>
          <t>COE</t>
        </is>
      </c>
      <c r="R279" t="inlineStr">
        <is>
          <t>Vacant</t>
        </is>
      </c>
    </row>
    <row r="280" ht="18" customHeight="1" s="506">
      <c r="A280" s="259" t="n"/>
      <c r="B280" s="260" t="inlineStr">
        <is>
          <t>Vacant</t>
        </is>
      </c>
      <c r="C280" s="260" t="inlineStr">
        <is>
          <t>Delivery Assurance Manager</t>
        </is>
      </c>
      <c r="D280" s="260" t="inlineStr">
        <is>
          <t>vacant</t>
        </is>
      </c>
      <c r="E280" s="260" t="inlineStr">
        <is>
          <t xml:space="preserve">Manager Identity &amp; Access Management </t>
        </is>
      </c>
      <c r="F280" s="224" t="inlineStr">
        <is>
          <t>Partnering &amp; Transformation</t>
        </is>
      </c>
      <c r="G280" s="260" t="inlineStr">
        <is>
          <t>Transformation</t>
        </is>
      </c>
      <c r="H280" s="224" t="inlineStr">
        <is>
          <t>NA</t>
        </is>
      </c>
      <c r="I280" s="224" t="inlineStr">
        <is>
          <t>NA</t>
        </is>
      </c>
      <c r="J280" s="224" t="inlineStr">
        <is>
          <t>NA</t>
        </is>
      </c>
      <c r="K280" s="224" t="inlineStr">
        <is>
          <t>NA</t>
        </is>
      </c>
      <c r="L280" s="260" t="n"/>
      <c r="M280" s="261" t="n"/>
      <c r="N280" t="inlineStr">
        <is>
          <t>COE</t>
        </is>
      </c>
      <c r="O280" t="inlineStr">
        <is>
          <t>COE - Transformation</t>
        </is>
      </c>
      <c r="P280" t="inlineStr">
        <is>
          <t>COE - Transformation</t>
        </is>
      </c>
      <c r="Q280" t="inlineStr">
        <is>
          <t>COE</t>
        </is>
      </c>
      <c r="R280" t="inlineStr">
        <is>
          <t>Vacant</t>
        </is>
      </c>
    </row>
    <row r="281" ht="18" customHeight="1" s="506">
      <c r="A281" s="259" t="n">
        <v>113362</v>
      </c>
      <c r="B281" s="224" t="inlineStr">
        <is>
          <t>Vacant</t>
        </is>
      </c>
      <c r="C281" s="224" t="inlineStr">
        <is>
          <t>Software Asset Specialist</t>
        </is>
      </c>
      <c r="D281" s="260" t="inlineStr">
        <is>
          <t>vacant</t>
        </is>
      </c>
      <c r="E281" s="224" t="inlineStr">
        <is>
          <t>Commercial Director</t>
        </is>
      </c>
      <c r="F281" s="224" t="inlineStr">
        <is>
          <t>Partnering &amp; Transformation</t>
        </is>
      </c>
      <c r="G281" s="224" t="inlineStr">
        <is>
          <t>Commercial</t>
        </is>
      </c>
      <c r="H281" s="224" t="inlineStr">
        <is>
          <t>NA</t>
        </is>
      </c>
      <c r="I281" s="224" t="inlineStr">
        <is>
          <t>NA</t>
        </is>
      </c>
      <c r="J281" s="224" t="inlineStr">
        <is>
          <t>NA</t>
        </is>
      </c>
      <c r="K281" s="224" t="inlineStr">
        <is>
          <t>NA</t>
        </is>
      </c>
      <c r="L281" s="260" t="n"/>
      <c r="M281" s="261" t="inlineStr">
        <is>
          <t>Australia</t>
        </is>
      </c>
      <c r="N281" t="inlineStr">
        <is>
          <t>COE</t>
        </is>
      </c>
      <c r="O281" t="inlineStr">
        <is>
          <t>COE - Business Partnering</t>
        </is>
      </c>
      <c r="P281" t="inlineStr">
        <is>
          <t>COE - Business Partnering</t>
        </is>
      </c>
      <c r="Q281" t="inlineStr">
        <is>
          <t>COE</t>
        </is>
      </c>
      <c r="R281" t="inlineStr">
        <is>
          <t>Vacant</t>
        </is>
      </c>
    </row>
    <row r="282" ht="18" customHeight="1" s="506">
      <c r="A282" s="259" t="n"/>
      <c r="B282" s="224" t="inlineStr">
        <is>
          <t>Vacant</t>
        </is>
      </c>
      <c r="C282" s="224" t="inlineStr">
        <is>
          <t>Delivery Excellence Manager</t>
        </is>
      </c>
      <c r="D282" s="260" t="inlineStr">
        <is>
          <t>vacant</t>
        </is>
      </c>
      <c r="E282" s="224" t="inlineStr">
        <is>
          <t xml:space="preserve">CISO </t>
        </is>
      </c>
      <c r="F282" s="224" t="inlineStr">
        <is>
          <t>Partnering &amp; Transformation</t>
        </is>
      </c>
      <c r="G282" s="224" t="inlineStr">
        <is>
          <t>Transformation</t>
        </is>
      </c>
      <c r="H282" s="224" t="inlineStr">
        <is>
          <t>NA</t>
        </is>
      </c>
      <c r="I282" s="224" t="inlineStr">
        <is>
          <t>NA</t>
        </is>
      </c>
      <c r="J282" s="224" t="inlineStr">
        <is>
          <t>NA</t>
        </is>
      </c>
      <c r="K282" s="224" t="inlineStr">
        <is>
          <t>NA</t>
        </is>
      </c>
      <c r="L282" s="260" t="n"/>
      <c r="M282" s="261" t="n"/>
      <c r="N282" t="inlineStr">
        <is>
          <t>COE</t>
        </is>
      </c>
      <c r="O282" t="inlineStr">
        <is>
          <t>COE - Transformation</t>
        </is>
      </c>
      <c r="P282" t="inlineStr">
        <is>
          <t>COE - Transformation</t>
        </is>
      </c>
      <c r="Q282" t="inlineStr">
        <is>
          <t>COE</t>
        </is>
      </c>
      <c r="R282" t="inlineStr">
        <is>
          <t>Vacant</t>
        </is>
      </c>
    </row>
    <row r="283" ht="18" customHeight="1" s="506">
      <c r="A283" s="259" t="n"/>
      <c r="B283" s="224" t="inlineStr">
        <is>
          <t>Vacant</t>
        </is>
      </c>
      <c r="C283" s="224" t="inlineStr">
        <is>
          <t>Service Transition Lead</t>
        </is>
      </c>
      <c r="D283" s="224" t="inlineStr">
        <is>
          <t>Deepali Mahajan</t>
        </is>
      </c>
      <c r="E283" s="224" t="inlineStr">
        <is>
          <t>Data Operations Manager</t>
        </is>
      </c>
      <c r="F283" s="269" t="inlineStr">
        <is>
          <t>Strategy, Architecture &amp; Data</t>
        </is>
      </c>
      <c r="G283" s="260" t="inlineStr">
        <is>
          <t>Group Data</t>
        </is>
      </c>
      <c r="H283" s="269" t="inlineStr">
        <is>
          <t>Data Operations</t>
        </is>
      </c>
      <c r="I283" s="269" t="inlineStr">
        <is>
          <t>Enterprise Data</t>
        </is>
      </c>
      <c r="J283" s="260" t="n"/>
      <c r="K283" s="260" t="inlineStr">
        <is>
          <t>COE, Data Operations</t>
        </is>
      </c>
      <c r="L283" s="260" t="n"/>
      <c r="M283" s="261" t="n"/>
      <c r="N283" t="inlineStr">
        <is>
          <t>Enterprise Data</t>
        </is>
      </c>
      <c r="O283" t="inlineStr">
        <is>
          <t>Group Data</t>
        </is>
      </c>
      <c r="P283" t="inlineStr">
        <is>
          <t>Operations</t>
        </is>
      </c>
      <c r="Q283" t="inlineStr">
        <is>
          <t>Squad</t>
        </is>
      </c>
      <c r="R283" t="inlineStr">
        <is>
          <t>Vacant</t>
        </is>
      </c>
    </row>
    <row r="284" ht="18" customHeight="1" s="506">
      <c r="A284" s="259" t="n"/>
      <c r="B284" s="224" t="inlineStr">
        <is>
          <t>Vacant</t>
        </is>
      </c>
      <c r="C284" s="224" t="inlineStr">
        <is>
          <t>Engineer Data - Reporting</t>
        </is>
      </c>
      <c r="D284" s="224" t="inlineStr">
        <is>
          <t>Dinesh Chandrasekaran</t>
        </is>
      </c>
      <c r="E284" s="224" t="inlineStr">
        <is>
          <t>Lead Engineer (Snowflake)</t>
        </is>
      </c>
      <c r="F284" s="269" t="inlineStr">
        <is>
          <t>Strategy, Architecture &amp; Data</t>
        </is>
      </c>
      <c r="G284" s="260" t="inlineStr">
        <is>
          <t>Group Data</t>
        </is>
      </c>
      <c r="H284" s="269" t="inlineStr">
        <is>
          <t>Data Engineering &amp; Platforms</t>
        </is>
      </c>
      <c r="I284" s="269" t="inlineStr">
        <is>
          <t>Enterprise Data</t>
        </is>
      </c>
      <c r="J284" s="269" t="inlineStr">
        <is>
          <t>Group Data</t>
        </is>
      </c>
      <c r="K284" s="269" t="inlineStr">
        <is>
          <t>Reporting &amp; Analytics</t>
        </is>
      </c>
      <c r="L284" s="260" t="n"/>
      <c r="M284" s="261" t="n"/>
      <c r="N284" t="inlineStr">
        <is>
          <t>Enterprise Data</t>
        </is>
      </c>
      <c r="O284" t="inlineStr">
        <is>
          <t>Group Data</t>
        </is>
      </c>
      <c r="P284" t="inlineStr">
        <is>
          <t>Reporting &amp; Analytics</t>
        </is>
      </c>
      <c r="Q284" t="inlineStr">
        <is>
          <t>Squad</t>
        </is>
      </c>
      <c r="R284" t="inlineStr">
        <is>
          <t>Vacant</t>
        </is>
      </c>
    </row>
    <row r="285" ht="18" customHeight="1" s="506">
      <c r="A285" s="259" t="n"/>
      <c r="B285" s="224" t="inlineStr">
        <is>
          <t>Vacant</t>
        </is>
      </c>
      <c r="C285" s="224" t="inlineStr">
        <is>
          <t xml:space="preserve">Engineer Data  </t>
        </is>
      </c>
      <c r="D285" s="224" t="inlineStr">
        <is>
          <t>Dinesh Chandrasekaran</t>
        </is>
      </c>
      <c r="E285" s="224" t="inlineStr">
        <is>
          <t>Lead Engineer (Snowflake)</t>
        </is>
      </c>
      <c r="F285" s="269" t="inlineStr">
        <is>
          <t>Strategy, Architecture &amp; Data</t>
        </is>
      </c>
      <c r="G285" s="260" t="inlineStr">
        <is>
          <t>Group Data</t>
        </is>
      </c>
      <c r="H285" s="269" t="inlineStr">
        <is>
          <t>Data Engineering &amp; Platforms</t>
        </is>
      </c>
      <c r="I285" s="260" t="inlineStr">
        <is>
          <t>Enterprise Data</t>
        </is>
      </c>
      <c r="J285" s="269" t="inlineStr">
        <is>
          <t>Group Data</t>
        </is>
      </c>
      <c r="K285" s="260" t="inlineStr">
        <is>
          <t>Data Platform</t>
        </is>
      </c>
      <c r="L285" s="260" t="n"/>
      <c r="M285" s="261" t="n"/>
      <c r="N285" t="inlineStr">
        <is>
          <t>Enterprise Data</t>
        </is>
      </c>
      <c r="O285" t="inlineStr">
        <is>
          <t>Group Data</t>
        </is>
      </c>
      <c r="P285" t="inlineStr">
        <is>
          <t>Data Platforms</t>
        </is>
      </c>
      <c r="Q285" t="inlineStr">
        <is>
          <t>Squad</t>
        </is>
      </c>
      <c r="R285" t="inlineStr">
        <is>
          <t>Vacant</t>
        </is>
      </c>
    </row>
    <row r="286" ht="18" customHeight="1" s="506">
      <c r="A286" s="259" t="n">
        <v>113559</v>
      </c>
      <c r="B286" s="224" t="inlineStr">
        <is>
          <t>John Forde</t>
        </is>
      </c>
      <c r="C286" s="224" t="inlineStr">
        <is>
          <t>Enterprise Architect</t>
        </is>
      </c>
      <c r="D286" s="224" t="inlineStr">
        <is>
          <t>Ed Tacey</t>
        </is>
      </c>
      <c r="E286" s="224" t="inlineStr">
        <is>
          <t>Head of Architecture</t>
        </is>
      </c>
      <c r="F286" s="269" t="inlineStr">
        <is>
          <t>Strategy, Architecture &amp; Data</t>
        </is>
      </c>
      <c r="G286" s="260" t="inlineStr">
        <is>
          <t>Architecture</t>
        </is>
      </c>
      <c r="H286" s="269" t="inlineStr">
        <is>
          <t>Architecture</t>
        </is>
      </c>
      <c r="I286" s="269" t="n"/>
      <c r="J286" s="269" t="n"/>
      <c r="K286" s="260" t="inlineStr">
        <is>
          <t>COE, Architecture</t>
        </is>
      </c>
      <c r="L286" s="260" t="n"/>
      <c r="M286" s="261" t="n"/>
      <c r="N286" t="inlineStr">
        <is>
          <t>COE</t>
        </is>
      </c>
      <c r="O286" t="inlineStr">
        <is>
          <t>COE - Strategy Architecture</t>
        </is>
      </c>
      <c r="P286" t="inlineStr">
        <is>
          <t>COE - Strategy Architecture</t>
        </is>
      </c>
      <c r="Q286" t="inlineStr">
        <is>
          <t>COE</t>
        </is>
      </c>
      <c r="R286" t="inlineStr">
        <is>
          <t>Filled</t>
        </is>
      </c>
    </row>
    <row r="287" ht="18" customHeight="1" s="506">
      <c r="A287" s="259" t="n"/>
      <c r="B287" s="224" t="inlineStr">
        <is>
          <t>ring fenced</t>
        </is>
      </c>
      <c r="C287" s="224" t="inlineStr">
        <is>
          <t>Domain Architect - Customer &amp; Digital Tech</t>
        </is>
      </c>
      <c r="D287" s="224" t="inlineStr">
        <is>
          <t>Ed Tacey</t>
        </is>
      </c>
      <c r="E287" s="224" t="inlineStr">
        <is>
          <t>Head of Architecture</t>
        </is>
      </c>
      <c r="F287" s="269" t="inlineStr">
        <is>
          <t>Strategy, Architecture &amp; Data</t>
        </is>
      </c>
      <c r="G287" s="260" t="inlineStr">
        <is>
          <t>Architecture</t>
        </is>
      </c>
      <c r="H287" s="269" t="inlineStr">
        <is>
          <t>Architecture</t>
        </is>
      </c>
      <c r="I287" s="269" t="n"/>
      <c r="J287" s="269" t="n"/>
      <c r="K287" s="260" t="inlineStr">
        <is>
          <t>COE, Architecture</t>
        </is>
      </c>
      <c r="L287" s="260" t="n"/>
      <c r="M287" s="261" t="n"/>
      <c r="N287" t="inlineStr">
        <is>
          <t>COE</t>
        </is>
      </c>
      <c r="O287" t="inlineStr">
        <is>
          <t>COE - Strategy Architecture</t>
        </is>
      </c>
      <c r="P287" t="inlineStr">
        <is>
          <t>COE - Strategy Architecture</t>
        </is>
      </c>
      <c r="Q287" t="inlineStr">
        <is>
          <t>COE</t>
        </is>
      </c>
      <c r="R287" t="inlineStr">
        <is>
          <t>Filled</t>
        </is>
      </c>
    </row>
    <row r="288" ht="18" customHeight="1" s="506">
      <c r="A288" s="259" t="n">
        <v>115483</v>
      </c>
      <c r="B288" s="224" t="inlineStr">
        <is>
          <t>Craig Ambrose</t>
        </is>
      </c>
      <c r="C288" s="224" t="inlineStr">
        <is>
          <t>Domain Architect - Group Functions</t>
        </is>
      </c>
      <c r="D288" s="224" t="inlineStr">
        <is>
          <t>Ed Tacey</t>
        </is>
      </c>
      <c r="E288" s="224" t="inlineStr">
        <is>
          <t>Head of Architecture</t>
        </is>
      </c>
      <c r="F288" s="269" t="inlineStr">
        <is>
          <t>Strategy, Architecture &amp; Data</t>
        </is>
      </c>
      <c r="G288" s="260" t="inlineStr">
        <is>
          <t>Architecture</t>
        </is>
      </c>
      <c r="H288" s="269" t="inlineStr">
        <is>
          <t>Architecture</t>
        </is>
      </c>
      <c r="I288" s="269" t="n"/>
      <c r="J288" s="269" t="n"/>
      <c r="K288" s="260" t="inlineStr">
        <is>
          <t>COE, Architecture</t>
        </is>
      </c>
      <c r="L288" s="260" t="n"/>
      <c r="M288" s="261" t="n"/>
      <c r="N288" t="inlineStr">
        <is>
          <t>COE</t>
        </is>
      </c>
      <c r="O288" t="inlineStr">
        <is>
          <t>COE - Strategy Architecture</t>
        </is>
      </c>
      <c r="P288" t="inlineStr">
        <is>
          <t>COE - Strategy Architecture</t>
        </is>
      </c>
      <c r="Q288" t="inlineStr">
        <is>
          <t>COE</t>
        </is>
      </c>
      <c r="R288" t="inlineStr">
        <is>
          <t>Filled</t>
        </is>
      </c>
    </row>
    <row r="289" ht="18" customHeight="1" s="506">
      <c r="A289" s="259" t="n"/>
      <c r="B289" s="224" t="inlineStr">
        <is>
          <t>ring fenced</t>
        </is>
      </c>
      <c r="C289" s="224" t="inlineStr">
        <is>
          <t>Domain Architect - TDD</t>
        </is>
      </c>
      <c r="D289" s="224" t="inlineStr">
        <is>
          <t>Ed Tacey</t>
        </is>
      </c>
      <c r="E289" s="224" t="inlineStr">
        <is>
          <t>Head of Architecture</t>
        </is>
      </c>
      <c r="F289" s="269" t="inlineStr">
        <is>
          <t>Strategy, Architecture &amp; Data</t>
        </is>
      </c>
      <c r="G289" s="260" t="inlineStr">
        <is>
          <t>Architecture</t>
        </is>
      </c>
      <c r="H289" s="269" t="inlineStr">
        <is>
          <t>Architecture</t>
        </is>
      </c>
      <c r="I289" s="269" t="n"/>
      <c r="J289" s="269" t="n"/>
      <c r="K289" s="260" t="inlineStr">
        <is>
          <t>COE, Architecture</t>
        </is>
      </c>
      <c r="L289" s="260" t="n"/>
      <c r="M289" s="261" t="n"/>
      <c r="N289" t="inlineStr">
        <is>
          <t>COE</t>
        </is>
      </c>
      <c r="O289" t="inlineStr">
        <is>
          <t>COE - Strategy Architecture</t>
        </is>
      </c>
      <c r="P289" t="inlineStr">
        <is>
          <t>COE - Strategy Architecture</t>
        </is>
      </c>
      <c r="Q289" t="inlineStr">
        <is>
          <t>COE</t>
        </is>
      </c>
      <c r="R289" t="inlineStr">
        <is>
          <t>Filled</t>
        </is>
      </c>
    </row>
    <row r="290" ht="18" customHeight="1" s="506">
      <c r="A290" s="259" t="n">
        <v>110144</v>
      </c>
      <c r="B290" s="224" t="inlineStr">
        <is>
          <t>Sanjay Tikoo</t>
        </is>
      </c>
      <c r="C290" s="224" t="inlineStr">
        <is>
          <t>Principal, Data Architecture &amp; Governance</t>
        </is>
      </c>
      <c r="D290" s="224" t="inlineStr">
        <is>
          <t>James Holgate</t>
        </is>
      </c>
      <c r="E290" s="224" t="inlineStr">
        <is>
          <t>Head of Technology,  Group Data</t>
        </is>
      </c>
      <c r="F290" s="269" t="inlineStr">
        <is>
          <t>Strategy, Architecture &amp; Data</t>
        </is>
      </c>
      <c r="G290" s="260" t="inlineStr">
        <is>
          <t>Group Data</t>
        </is>
      </c>
      <c r="H290" s="260" t="inlineStr">
        <is>
          <t>Data Capability</t>
        </is>
      </c>
      <c r="I290" s="260" t="n"/>
      <c r="J290" s="269" t="n"/>
      <c r="K290" s="260" t="inlineStr">
        <is>
          <t>COE, Leadership</t>
        </is>
      </c>
      <c r="L290" s="260" t="n"/>
      <c r="M290" s="261" t="inlineStr">
        <is>
          <t>Australia</t>
        </is>
      </c>
      <c r="N290" t="inlineStr">
        <is>
          <t>COE</t>
        </is>
      </c>
      <c r="O290" t="inlineStr">
        <is>
          <t>COE - Data</t>
        </is>
      </c>
      <c r="P290" t="inlineStr">
        <is>
          <t>COE - Data</t>
        </is>
      </c>
      <c r="Q290" t="inlineStr">
        <is>
          <t>COE</t>
        </is>
      </c>
      <c r="R290" t="inlineStr">
        <is>
          <t>Filled</t>
        </is>
      </c>
    </row>
    <row r="291" ht="18" customHeight="1" s="506">
      <c r="A291" s="259" t="n">
        <v>99999102152</v>
      </c>
      <c r="B291" s="224" t="inlineStr">
        <is>
          <t>Vacant</t>
        </is>
      </c>
      <c r="C291" s="224" t="inlineStr">
        <is>
          <t>Technology Manager, Data Engineering &amp; Platforms</t>
        </is>
      </c>
      <c r="D291" s="224" t="inlineStr">
        <is>
          <t>James Holgate</t>
        </is>
      </c>
      <c r="E291" s="224" t="inlineStr">
        <is>
          <t>Head of Technology,  Group Data</t>
        </is>
      </c>
      <c r="F291" s="269" t="inlineStr">
        <is>
          <t>Strategy, Architecture &amp; Data</t>
        </is>
      </c>
      <c r="G291" s="260" t="inlineStr">
        <is>
          <t>Group Data</t>
        </is>
      </c>
      <c r="H291" s="269" t="inlineStr">
        <is>
          <t>Data Engineering &amp; Platforms</t>
        </is>
      </c>
      <c r="I291" s="269" t="inlineStr">
        <is>
          <t>Enterprise Data</t>
        </is>
      </c>
      <c r="J291" s="269" t="inlineStr">
        <is>
          <t>Group Data</t>
        </is>
      </c>
      <c r="K291" s="260" t="inlineStr">
        <is>
          <t>COE, Leadership</t>
        </is>
      </c>
      <c r="L291" s="260" t="n"/>
      <c r="M291" s="261" t="inlineStr">
        <is>
          <t>NZ</t>
        </is>
      </c>
      <c r="N291" t="inlineStr">
        <is>
          <t>COE</t>
        </is>
      </c>
      <c r="O291" t="inlineStr">
        <is>
          <t>Leadership</t>
        </is>
      </c>
      <c r="P291" t="inlineStr">
        <is>
          <t>Leadership</t>
        </is>
      </c>
      <c r="Q291" t="inlineStr">
        <is>
          <t>Leadership</t>
        </is>
      </c>
      <c r="R291" t="inlineStr">
        <is>
          <t>Vacant</t>
        </is>
      </c>
    </row>
    <row r="292" ht="18" customHeight="1" s="506">
      <c r="A292" s="259" t="n">
        <v>113956</v>
      </c>
      <c r="B292" s="224" t="inlineStr">
        <is>
          <t>Deepali Mahajan</t>
        </is>
      </c>
      <c r="C292" s="224" t="inlineStr">
        <is>
          <t>Data Operations Manager</t>
        </is>
      </c>
      <c r="D292" s="224" t="inlineStr">
        <is>
          <t>James Holgate</t>
        </is>
      </c>
      <c r="E292" s="224" t="inlineStr">
        <is>
          <t>Head of Technology,  Group Data</t>
        </is>
      </c>
      <c r="F292" s="269" t="inlineStr">
        <is>
          <t>Strategy, Architecture &amp; Data</t>
        </is>
      </c>
      <c r="G292" s="260" t="inlineStr">
        <is>
          <t>Group Data</t>
        </is>
      </c>
      <c r="H292" s="260" t="inlineStr">
        <is>
          <t>Data Operations</t>
        </is>
      </c>
      <c r="I292" s="269" t="inlineStr">
        <is>
          <t>Enterprise Data</t>
        </is>
      </c>
      <c r="J292" s="269" t="n"/>
      <c r="K292" s="260" t="inlineStr">
        <is>
          <t>COE, Data Operations</t>
        </is>
      </c>
      <c r="L292" s="260" t="n"/>
      <c r="M292" s="261" t="inlineStr">
        <is>
          <t>Australia</t>
        </is>
      </c>
      <c r="N292" t="inlineStr">
        <is>
          <t>Enterprise Data</t>
        </is>
      </c>
      <c r="O292" t="inlineStr">
        <is>
          <t>Group Data</t>
        </is>
      </c>
      <c r="P292" t="inlineStr">
        <is>
          <t>Operations</t>
        </is>
      </c>
      <c r="Q292" t="inlineStr">
        <is>
          <t>Squad</t>
        </is>
      </c>
      <c r="R292" t="inlineStr">
        <is>
          <t>Filled</t>
        </is>
      </c>
    </row>
    <row r="293" ht="18" customHeight="1" s="506">
      <c r="A293" s="259" t="n"/>
      <c r="B293" s="224" t="inlineStr">
        <is>
          <t>Vacant</t>
        </is>
      </c>
      <c r="C293" s="224" t="inlineStr">
        <is>
          <t>Engineer - DevOps</t>
        </is>
      </c>
      <c r="D293" s="224" t="inlineStr">
        <is>
          <t>Jason Gleason</t>
        </is>
      </c>
      <c r="E293" s="224" t="inlineStr">
        <is>
          <t>Technology Manager, Data Engineering &amp; Platforms</t>
        </is>
      </c>
      <c r="F293" s="269" t="inlineStr">
        <is>
          <t>Strategy, Architecture &amp; Data</t>
        </is>
      </c>
      <c r="G293" s="260" t="inlineStr">
        <is>
          <t>Group Data</t>
        </is>
      </c>
      <c r="H293" s="269" t="inlineStr">
        <is>
          <t>Data Engineering &amp; Platforms</t>
        </is>
      </c>
      <c r="I293" s="260" t="inlineStr">
        <is>
          <t>Enterprise Data</t>
        </is>
      </c>
      <c r="J293" s="269" t="inlineStr">
        <is>
          <t>Group Data</t>
        </is>
      </c>
      <c r="K293" s="260" t="inlineStr">
        <is>
          <t>Data Platform</t>
        </is>
      </c>
      <c r="L293" s="260" t="n"/>
      <c r="M293" s="261" t="n"/>
      <c r="N293" t="inlineStr">
        <is>
          <t>Enterprise Data</t>
        </is>
      </c>
      <c r="O293" t="inlineStr">
        <is>
          <t>Group Data</t>
        </is>
      </c>
      <c r="P293" t="inlineStr">
        <is>
          <t>Data Platforms</t>
        </is>
      </c>
      <c r="Q293" t="inlineStr">
        <is>
          <t>Squad</t>
        </is>
      </c>
      <c r="R293" t="inlineStr">
        <is>
          <t>Vacant</t>
        </is>
      </c>
    </row>
    <row r="294" ht="18" customHeight="1" s="506">
      <c r="A294" s="259" t="n">
        <v>114147</v>
      </c>
      <c r="B294" s="224" t="inlineStr">
        <is>
          <t>Sumathi Manikkampichai</t>
        </is>
      </c>
      <c r="C294" s="224" t="inlineStr">
        <is>
          <t>Data Architect</t>
        </is>
      </c>
      <c r="D294" s="224" t="inlineStr">
        <is>
          <t>Jason Gleason</t>
        </is>
      </c>
      <c r="E294" s="224" t="inlineStr">
        <is>
          <t>Technology Manager, Data Engineering &amp; Platforms</t>
        </is>
      </c>
      <c r="F294" s="269" t="inlineStr">
        <is>
          <t>Strategy, Architecture &amp; Data</t>
        </is>
      </c>
      <c r="G294" s="260" t="inlineStr">
        <is>
          <t>Group Data</t>
        </is>
      </c>
      <c r="H294" s="269" t="inlineStr">
        <is>
          <t>Data Engineering &amp; Platforms</t>
        </is>
      </c>
      <c r="I294" s="269" t="inlineStr">
        <is>
          <t>Enterprise Data</t>
        </is>
      </c>
      <c r="J294" s="269" t="inlineStr">
        <is>
          <t>EGI</t>
        </is>
      </c>
      <c r="K294" s="269" t="inlineStr">
        <is>
          <t>Reporting &amp; Analytics</t>
        </is>
      </c>
      <c r="L294" s="260" t="n"/>
      <c r="M294" s="261" t="inlineStr">
        <is>
          <t>Australia</t>
        </is>
      </c>
      <c r="N294" t="inlineStr">
        <is>
          <t>Enterprise Data</t>
        </is>
      </c>
      <c r="O294" t="inlineStr">
        <is>
          <t>Group Data</t>
        </is>
      </c>
      <c r="P294" t="inlineStr">
        <is>
          <t>Reporting &amp; Analytics</t>
        </is>
      </c>
      <c r="Q294" t="inlineStr">
        <is>
          <t>Squad</t>
        </is>
      </c>
      <c r="R294" t="inlineStr">
        <is>
          <t>Filled</t>
        </is>
      </c>
    </row>
    <row r="295" ht="18" customHeight="1" s="506">
      <c r="A295" s="259" t="n">
        <v>99999101674</v>
      </c>
      <c r="B295" s="224" t="inlineStr">
        <is>
          <t>Roozbeh Shahbazirad</t>
        </is>
      </c>
      <c r="C295" s="224" t="inlineStr">
        <is>
          <t>Lead Engineer</t>
        </is>
      </c>
      <c r="D295" s="224" t="inlineStr">
        <is>
          <t>Jason Gleason</t>
        </is>
      </c>
      <c r="E295" s="224" t="inlineStr">
        <is>
          <t>Technology Manager, Data Engineering &amp; Platforms</t>
        </is>
      </c>
      <c r="F295" s="269" t="inlineStr">
        <is>
          <t>Strategy, Architecture &amp; Data</t>
        </is>
      </c>
      <c r="G295" s="260" t="inlineStr">
        <is>
          <t>Group Data</t>
        </is>
      </c>
      <c r="H295" s="269" t="inlineStr">
        <is>
          <t>Data Engineering &amp; Platforms</t>
        </is>
      </c>
      <c r="I295" s="260" t="inlineStr">
        <is>
          <t>Enterprise Data</t>
        </is>
      </c>
      <c r="J295" s="269" t="inlineStr">
        <is>
          <t>An</t>
        </is>
      </c>
      <c r="K295" s="260" t="inlineStr">
        <is>
          <t>Data Platform</t>
        </is>
      </c>
      <c r="L295" s="260" t="n"/>
      <c r="M295" s="261" t="inlineStr">
        <is>
          <t>NZ</t>
        </is>
      </c>
      <c r="N295" t="inlineStr">
        <is>
          <t>Enterprise Data</t>
        </is>
      </c>
      <c r="O295" t="inlineStr">
        <is>
          <t>Group Data</t>
        </is>
      </c>
      <c r="P295" t="inlineStr">
        <is>
          <t>Data Platforms</t>
        </is>
      </c>
      <c r="Q295" t="inlineStr">
        <is>
          <t>Squad</t>
        </is>
      </c>
      <c r="R295" t="inlineStr">
        <is>
          <t>Filled</t>
        </is>
      </c>
    </row>
    <row r="296" ht="18" customHeight="1" s="506">
      <c r="A296" s="259" t="n"/>
      <c r="B296" s="224" t="inlineStr">
        <is>
          <t>Vacant</t>
        </is>
      </c>
      <c r="C296" s="224" t="inlineStr">
        <is>
          <t>Business Analyst</t>
        </is>
      </c>
      <c r="D296" s="224" t="inlineStr">
        <is>
          <t>Joel Vijayakumar</t>
        </is>
      </c>
      <c r="E296" s="224" t="inlineStr">
        <is>
          <t>Delivery Manager, Strategy, Architecture &amp; Data</t>
        </is>
      </c>
      <c r="F296" s="269" t="inlineStr">
        <is>
          <t>Strategy, Architecture &amp; Data</t>
        </is>
      </c>
      <c r="G296" s="260" t="inlineStr">
        <is>
          <t>Delivery, SADA</t>
        </is>
      </c>
      <c r="H296" s="260" t="n"/>
      <c r="I296" s="269" t="inlineStr">
        <is>
          <t>Enterprise Data</t>
        </is>
      </c>
      <c r="J296" s="269" t="inlineStr">
        <is>
          <t>EGI</t>
        </is>
      </c>
      <c r="K296" s="269" t="inlineStr">
        <is>
          <t>Reporting &amp; Analytics</t>
        </is>
      </c>
      <c r="L296" s="260" t="n"/>
      <c r="M296" s="261" t="n"/>
      <c r="N296" t="inlineStr">
        <is>
          <t>COE</t>
        </is>
      </c>
      <c r="O296" t="inlineStr">
        <is>
          <t>COE - Strategy Architecture</t>
        </is>
      </c>
      <c r="P296" t="inlineStr">
        <is>
          <t>COE - Strategy Architecture</t>
        </is>
      </c>
      <c r="Q296" t="inlineStr">
        <is>
          <t>COE</t>
        </is>
      </c>
      <c r="R296" t="inlineStr">
        <is>
          <t>Vacant</t>
        </is>
      </c>
    </row>
    <row r="297" ht="18" customHeight="1" s="506">
      <c r="A297" s="259" t="n">
        <v>80477</v>
      </c>
      <c r="B297" s="224" t="inlineStr">
        <is>
          <t>Vacant</t>
        </is>
      </c>
      <c r="C297" s="224" t="inlineStr">
        <is>
          <t>Delivery Lead</t>
        </is>
      </c>
      <c r="D297" s="224" t="inlineStr">
        <is>
          <t>Joel Vijayakumar</t>
        </is>
      </c>
      <c r="E297" s="224" t="inlineStr">
        <is>
          <t>Delivery Manager, Strategy, Architecture &amp; Data</t>
        </is>
      </c>
      <c r="F297" s="269" t="inlineStr">
        <is>
          <t>Strategy, Architecture &amp; Data</t>
        </is>
      </c>
      <c r="G297" s="260" t="inlineStr">
        <is>
          <t>Delivery, SADA</t>
        </is>
      </c>
      <c r="H297" s="260" t="n"/>
      <c r="I297" s="269" t="inlineStr">
        <is>
          <t>Enterprise Data</t>
        </is>
      </c>
      <c r="J297" s="269" t="inlineStr">
        <is>
          <t>Group Data</t>
        </is>
      </c>
      <c r="K297" s="269" t="inlineStr">
        <is>
          <t>Reporting &amp; Analytics</t>
        </is>
      </c>
      <c r="L297" s="260" t="n"/>
      <c r="M297" s="261" t="inlineStr">
        <is>
          <t>Australia</t>
        </is>
      </c>
      <c r="N297" t="inlineStr">
        <is>
          <t>Enterprise Data</t>
        </is>
      </c>
      <c r="O297" t="inlineStr">
        <is>
          <t>Group Data</t>
        </is>
      </c>
      <c r="P297" t="inlineStr">
        <is>
          <t>Reporting &amp; Analytics</t>
        </is>
      </c>
      <c r="Q297" t="inlineStr">
        <is>
          <t>Squad</t>
        </is>
      </c>
      <c r="R297" t="inlineStr">
        <is>
          <t>Vacant</t>
        </is>
      </c>
    </row>
    <row r="298" ht="18" customHeight="1" s="506">
      <c r="A298" s="259" t="n">
        <v>94631</v>
      </c>
      <c r="B298" s="224" t="inlineStr">
        <is>
          <t>Rihan Schalkwyk</t>
        </is>
      </c>
      <c r="C298" s="224" t="inlineStr">
        <is>
          <t>Senior Business Analyst</t>
        </is>
      </c>
      <c r="D298" s="224" t="inlineStr">
        <is>
          <t>Joel Vijayakumar</t>
        </is>
      </c>
      <c r="E298" s="224" t="inlineStr">
        <is>
          <t>Delivery Manager, Strategy, Architecture &amp; Data</t>
        </is>
      </c>
      <c r="F298" s="269" t="inlineStr">
        <is>
          <t>Strategy, Architecture &amp; Data</t>
        </is>
      </c>
      <c r="G298" s="260" t="inlineStr">
        <is>
          <t>Delivery, SADA</t>
        </is>
      </c>
      <c r="H298" s="260" t="n"/>
      <c r="I298" s="260" t="n"/>
      <c r="J298" s="269" t="n"/>
      <c r="K298" s="260" t="inlineStr">
        <is>
          <t>COE</t>
        </is>
      </c>
      <c r="L298" s="260" t="n"/>
      <c r="M298" s="261" t="inlineStr">
        <is>
          <t>Australia</t>
        </is>
      </c>
      <c r="N298" t="inlineStr">
        <is>
          <t>COE</t>
        </is>
      </c>
      <c r="O298" t="inlineStr">
        <is>
          <t>COE - Strategy Architecture</t>
        </is>
      </c>
      <c r="P298" t="inlineStr">
        <is>
          <t>COE - Strategy Architecture</t>
        </is>
      </c>
      <c r="Q298" t="inlineStr">
        <is>
          <t>COE</t>
        </is>
      </c>
      <c r="R298" t="inlineStr">
        <is>
          <t>Filled</t>
        </is>
      </c>
    </row>
    <row r="299" ht="18" customHeight="1" s="506">
      <c r="A299" s="259" t="n"/>
      <c r="B299" s="224" t="inlineStr">
        <is>
          <t>Vacant</t>
        </is>
      </c>
      <c r="C299" s="224" t="inlineStr">
        <is>
          <t>Business Analyst</t>
        </is>
      </c>
      <c r="D299" s="224" t="inlineStr">
        <is>
          <t>Joel Vijayakumar</t>
        </is>
      </c>
      <c r="E299" s="224" t="inlineStr">
        <is>
          <t>Delivery Manager, Strategy, Architecture &amp; Data</t>
        </is>
      </c>
      <c r="F299" s="269" t="inlineStr">
        <is>
          <t>Strategy, Architecture &amp; Data</t>
        </is>
      </c>
      <c r="G299" s="260" t="inlineStr">
        <is>
          <t>Delivery, SADA</t>
        </is>
      </c>
      <c r="H299" s="260" t="n"/>
      <c r="I299" s="260" t="inlineStr">
        <is>
          <t>Enterprise Data</t>
        </is>
      </c>
      <c r="J299" s="269" t="inlineStr">
        <is>
          <t>Group Data</t>
        </is>
      </c>
      <c r="K299" s="260" t="inlineStr">
        <is>
          <t>Data Platform</t>
        </is>
      </c>
      <c r="L299" s="260" t="n"/>
      <c r="M299" s="261" t="n"/>
      <c r="N299" t="inlineStr">
        <is>
          <t>Enterprise Data</t>
        </is>
      </c>
      <c r="O299" t="inlineStr">
        <is>
          <t>Group Data</t>
        </is>
      </c>
      <c r="P299" t="inlineStr">
        <is>
          <t>Data Platforms</t>
        </is>
      </c>
      <c r="Q299" t="inlineStr">
        <is>
          <t>Squad</t>
        </is>
      </c>
      <c r="R299" t="inlineStr">
        <is>
          <t>Vacant</t>
        </is>
      </c>
    </row>
    <row r="300" ht="18" customHeight="1" s="506">
      <c r="A300" s="259" t="n">
        <v>99999101251</v>
      </c>
      <c r="B300" s="224" t="inlineStr">
        <is>
          <t>Tim Snedden</t>
        </is>
      </c>
      <c r="C300" s="224" t="inlineStr">
        <is>
          <t>Delivery Lead</t>
        </is>
      </c>
      <c r="D300" s="224" t="inlineStr">
        <is>
          <t>Joel Vijayakumar</t>
        </is>
      </c>
      <c r="E300" s="224" t="inlineStr">
        <is>
          <t>Delivery Manager, Strategy, Architecture &amp; Data</t>
        </is>
      </c>
      <c r="F300" s="269" t="inlineStr">
        <is>
          <t>Strategy, Architecture &amp; Data</t>
        </is>
      </c>
      <c r="G300" s="260" t="inlineStr">
        <is>
          <t>Delivery, SADA</t>
        </is>
      </c>
      <c r="H300" s="260" t="n"/>
      <c r="I300" s="260" t="inlineStr">
        <is>
          <t>Enterprise Data</t>
        </is>
      </c>
      <c r="J300" s="269" t="inlineStr">
        <is>
          <t>Group Data</t>
        </is>
      </c>
      <c r="K300" s="260" t="inlineStr">
        <is>
          <t>Data Platform</t>
        </is>
      </c>
      <c r="L300" s="260" t="n"/>
      <c r="M300" s="261" t="inlineStr">
        <is>
          <t>NZ</t>
        </is>
      </c>
      <c r="N300" t="inlineStr">
        <is>
          <t>COE</t>
        </is>
      </c>
      <c r="O300" t="inlineStr">
        <is>
          <t>COE - Strategy Architecture</t>
        </is>
      </c>
      <c r="P300" t="inlineStr">
        <is>
          <t>COE - Strategy Architecture</t>
        </is>
      </c>
      <c r="Q300" t="inlineStr">
        <is>
          <t>COE</t>
        </is>
      </c>
      <c r="R300" t="inlineStr">
        <is>
          <t>Filled</t>
        </is>
      </c>
    </row>
    <row r="301" ht="18" customHeight="1" s="506">
      <c r="A301" s="259" t="n">
        <v>101166</v>
      </c>
      <c r="B301" s="260" t="inlineStr">
        <is>
          <t>Yu Chen</t>
        </is>
      </c>
      <c r="C301" s="260" t="inlineStr">
        <is>
          <t>Senior Data Scientist</t>
        </is>
      </c>
      <c r="D301" s="224" t="inlineStr">
        <is>
          <t>Jonathan Robinson</t>
        </is>
      </c>
      <c r="E301" s="224" t="inlineStr">
        <is>
          <t>Technology Manager, Data Science</t>
        </is>
      </c>
      <c r="F301" s="269" t="inlineStr">
        <is>
          <t>Strategy, Architecture &amp; Data</t>
        </is>
      </c>
      <c r="G301" s="260" t="inlineStr">
        <is>
          <t>Group Data</t>
        </is>
      </c>
      <c r="H301" s="269" t="inlineStr">
        <is>
          <t>Data Science</t>
        </is>
      </c>
      <c r="I301" s="269" t="inlineStr">
        <is>
          <t>Enterprise Data</t>
        </is>
      </c>
      <c r="J301" s="269" t="inlineStr">
        <is>
          <t>Group Data</t>
        </is>
      </c>
      <c r="K301" s="260" t="inlineStr">
        <is>
          <t>COE, Data Science</t>
        </is>
      </c>
      <c r="L301" s="260" t="n"/>
      <c r="M301" s="261" t="inlineStr">
        <is>
          <t>Australia</t>
        </is>
      </c>
      <c r="N301" t="inlineStr">
        <is>
          <t>Enterprise Data</t>
        </is>
      </c>
      <c r="O301" t="inlineStr">
        <is>
          <t>Group Data</t>
        </is>
      </c>
      <c r="P301" t="inlineStr">
        <is>
          <t>Data Science</t>
        </is>
      </c>
      <c r="Q301" t="inlineStr">
        <is>
          <t>Squad</t>
        </is>
      </c>
      <c r="R301" t="inlineStr">
        <is>
          <t>Filled</t>
        </is>
      </c>
    </row>
    <row r="302" ht="18" customHeight="1" s="506">
      <c r="A302" s="259" t="n"/>
      <c r="B302" s="224" t="inlineStr">
        <is>
          <t>vacant</t>
        </is>
      </c>
      <c r="C302" s="224" t="inlineStr">
        <is>
          <t>Data Analyst</t>
        </is>
      </c>
      <c r="D302" s="224" t="inlineStr">
        <is>
          <t>Jonathan Robinson</t>
        </is>
      </c>
      <c r="E302" s="224" t="inlineStr">
        <is>
          <t>Technology Manager, Data Science</t>
        </is>
      </c>
      <c r="F302" s="269" t="inlineStr">
        <is>
          <t>Strategy, Architecture &amp; Data</t>
        </is>
      </c>
      <c r="G302" s="260" t="inlineStr">
        <is>
          <t>Group Data</t>
        </is>
      </c>
      <c r="H302" s="269" t="inlineStr">
        <is>
          <t>Ampol Retail, Store Platforms</t>
        </is>
      </c>
      <c r="I302" s="269" t="inlineStr">
        <is>
          <t>Enterprise Data</t>
        </is>
      </c>
      <c r="J302" s="269" t="inlineStr">
        <is>
          <t>Group Data</t>
        </is>
      </c>
      <c r="K302" s="260" t="inlineStr">
        <is>
          <t>COE, Data Science</t>
        </is>
      </c>
      <c r="L302" s="260" t="n"/>
      <c r="M302" s="261" t="n"/>
      <c r="N302" t="inlineStr">
        <is>
          <t>Enterprise Data</t>
        </is>
      </c>
      <c r="O302" t="inlineStr">
        <is>
          <t>Group Data</t>
        </is>
      </c>
      <c r="P302" t="inlineStr">
        <is>
          <t>Data Science</t>
        </is>
      </c>
      <c r="Q302" t="inlineStr">
        <is>
          <t>Squad</t>
        </is>
      </c>
      <c r="R302" t="inlineStr">
        <is>
          <t>Vacant</t>
        </is>
      </c>
    </row>
    <row r="303" ht="18" customHeight="1" s="506">
      <c r="A303" s="259" t="n">
        <v>107048</v>
      </c>
      <c r="B303" s="224" t="inlineStr">
        <is>
          <t>Om Singh</t>
        </is>
      </c>
      <c r="C303" s="224" t="inlineStr">
        <is>
          <t>Data Scientist</t>
        </is>
      </c>
      <c r="D303" s="224" t="inlineStr">
        <is>
          <t>Jonathan Robinson</t>
        </is>
      </c>
      <c r="E303" s="224" t="inlineStr">
        <is>
          <t>Technology Manager, Data Science</t>
        </is>
      </c>
      <c r="F303" s="269" t="inlineStr">
        <is>
          <t>Strategy, Architecture &amp; Data</t>
        </is>
      </c>
      <c r="G303" s="260" t="inlineStr">
        <is>
          <t>Group Data</t>
        </is>
      </c>
      <c r="H303" s="269" t="inlineStr">
        <is>
          <t>Data Science</t>
        </is>
      </c>
      <c r="I303" s="269" t="inlineStr">
        <is>
          <t>Enterprise Data</t>
        </is>
      </c>
      <c r="J303" s="269" t="inlineStr">
        <is>
          <t>Group Data</t>
        </is>
      </c>
      <c r="K303" s="260" t="inlineStr">
        <is>
          <t>COE, Data Science</t>
        </is>
      </c>
      <c r="L303" s="260" t="n"/>
      <c r="M303" s="261" t="inlineStr">
        <is>
          <t>Australia</t>
        </is>
      </c>
      <c r="N303" t="inlineStr">
        <is>
          <t>Enterprise Data</t>
        </is>
      </c>
      <c r="O303" t="inlineStr">
        <is>
          <t>Group Data</t>
        </is>
      </c>
      <c r="P303" t="inlineStr">
        <is>
          <t>Data Science</t>
        </is>
      </c>
      <c r="Q303" t="inlineStr">
        <is>
          <t>Squad</t>
        </is>
      </c>
      <c r="R303" t="inlineStr">
        <is>
          <t>Filled</t>
        </is>
      </c>
    </row>
    <row r="304" ht="18" customHeight="1" s="506">
      <c r="A304" s="259" t="n"/>
      <c r="B304" s="224" t="inlineStr">
        <is>
          <t>vacant</t>
        </is>
      </c>
      <c r="C304" s="224" t="inlineStr">
        <is>
          <t>Data Scientist</t>
        </is>
      </c>
      <c r="D304" s="224" t="inlineStr">
        <is>
          <t>Jonathan Robinson</t>
        </is>
      </c>
      <c r="E304" s="224" t="inlineStr">
        <is>
          <t>Technology Manager, Data Science</t>
        </is>
      </c>
      <c r="F304" s="269" t="inlineStr">
        <is>
          <t>Strategy, Architecture &amp; Data</t>
        </is>
      </c>
      <c r="G304" s="260" t="inlineStr">
        <is>
          <t>Group Data</t>
        </is>
      </c>
      <c r="H304" s="269" t="inlineStr">
        <is>
          <t>Data Science</t>
        </is>
      </c>
      <c r="I304" s="269" t="inlineStr">
        <is>
          <t>Enterprise Data</t>
        </is>
      </c>
      <c r="J304" s="269" t="inlineStr">
        <is>
          <t>Group Data</t>
        </is>
      </c>
      <c r="K304" s="260" t="inlineStr">
        <is>
          <t>COE, Data Science</t>
        </is>
      </c>
      <c r="L304" s="260" t="n"/>
      <c r="M304" s="261" t="n"/>
      <c r="N304" t="inlineStr">
        <is>
          <t>Enterprise Data</t>
        </is>
      </c>
      <c r="O304" t="inlineStr">
        <is>
          <t>Group Data</t>
        </is>
      </c>
      <c r="P304" t="inlineStr">
        <is>
          <t>Data Science</t>
        </is>
      </c>
      <c r="Q304" t="inlineStr">
        <is>
          <t>Squad</t>
        </is>
      </c>
      <c r="R304" t="inlineStr">
        <is>
          <t>Vacant</t>
        </is>
      </c>
    </row>
    <row r="305" ht="18" customHeight="1" s="506">
      <c r="A305" s="259" t="n">
        <v>99999101507</v>
      </c>
      <c r="B305" s="224" t="inlineStr">
        <is>
          <t>Vacant</t>
        </is>
      </c>
      <c r="C305" s="224" t="inlineStr">
        <is>
          <t>Senior Data Scientist</t>
        </is>
      </c>
      <c r="D305" s="224" t="inlineStr">
        <is>
          <t>Jonathan Robinson</t>
        </is>
      </c>
      <c r="E305" s="224" t="inlineStr">
        <is>
          <t>Technology Manager, Data Science</t>
        </is>
      </c>
      <c r="F305" s="269" t="inlineStr">
        <is>
          <t>Strategy, Architecture &amp; Data</t>
        </is>
      </c>
      <c r="G305" s="260" t="inlineStr">
        <is>
          <t>Group Data</t>
        </is>
      </c>
      <c r="H305" s="269" t="inlineStr">
        <is>
          <t>Data Science</t>
        </is>
      </c>
      <c r="I305" s="269" t="inlineStr">
        <is>
          <t>Enterprise Data</t>
        </is>
      </c>
      <c r="J305" s="269" t="inlineStr">
        <is>
          <t>Group Data</t>
        </is>
      </c>
      <c r="K305" s="260" t="inlineStr">
        <is>
          <t>COE, Data Science</t>
        </is>
      </c>
      <c r="L305" s="260" t="n"/>
      <c r="M305" s="261" t="inlineStr">
        <is>
          <t>NZ</t>
        </is>
      </c>
      <c r="N305" t="inlineStr">
        <is>
          <t>Enterprise Data</t>
        </is>
      </c>
      <c r="O305" t="inlineStr">
        <is>
          <t>Group Data</t>
        </is>
      </c>
      <c r="P305" t="inlineStr">
        <is>
          <t>Data Science</t>
        </is>
      </c>
      <c r="Q305" t="inlineStr">
        <is>
          <t>Squad</t>
        </is>
      </c>
      <c r="R305" t="inlineStr">
        <is>
          <t>Vacant</t>
        </is>
      </c>
    </row>
    <row r="306" ht="18" customHeight="1" s="506">
      <c r="A306" s="259" t="n"/>
      <c r="B306" s="224" t="inlineStr">
        <is>
          <t>Vacant</t>
        </is>
      </c>
      <c r="C306" s="224" t="inlineStr">
        <is>
          <t>Senior Communications Advisor</t>
        </is>
      </c>
      <c r="D306" s="224" t="inlineStr">
        <is>
          <t>Matt Ashley</t>
        </is>
      </c>
      <c r="E306" s="224" t="inlineStr">
        <is>
          <t>GM TDD, Strategy, Architecture, Data</t>
        </is>
      </c>
      <c r="F306" s="269" t="inlineStr">
        <is>
          <t>Strategy, Architecture &amp; Data</t>
        </is>
      </c>
      <c r="G306" s="260" t="inlineStr">
        <is>
          <t>na</t>
        </is>
      </c>
      <c r="H306" s="260" t="n"/>
      <c r="I306" s="260" t="n"/>
      <c r="J306" s="269" t="n"/>
      <c r="K306" s="269" t="inlineStr">
        <is>
          <t>Leadership</t>
        </is>
      </c>
      <c r="L306" s="260" t="n"/>
      <c r="M306" s="261" t="n"/>
      <c r="N306" t="inlineStr">
        <is>
          <t>COE</t>
        </is>
      </c>
      <c r="O306" t="inlineStr">
        <is>
          <t>COE - Strategy Architecture</t>
        </is>
      </c>
      <c r="P306" t="inlineStr">
        <is>
          <t>COE - Strategy Architecture</t>
        </is>
      </c>
      <c r="Q306" t="inlineStr">
        <is>
          <t>COE</t>
        </is>
      </c>
      <c r="R306" t="inlineStr">
        <is>
          <t>Vacant</t>
        </is>
      </c>
    </row>
    <row r="307" ht="18" customHeight="1" s="506">
      <c r="A307" s="259" t="n">
        <v>80469</v>
      </c>
      <c r="B307" s="224" t="inlineStr">
        <is>
          <t>James Holgate</t>
        </is>
      </c>
      <c r="C307" s="224" t="inlineStr">
        <is>
          <t>Head of Technology,  Group Data</t>
        </is>
      </c>
      <c r="D307" s="224" t="inlineStr">
        <is>
          <t>Matt Ashley</t>
        </is>
      </c>
      <c r="E307" s="224" t="inlineStr">
        <is>
          <t>GM TDD, Strategy, Architecture, Data</t>
        </is>
      </c>
      <c r="F307" s="269" t="inlineStr">
        <is>
          <t>Strategy, Architecture &amp; Data</t>
        </is>
      </c>
      <c r="G307" s="260" t="inlineStr">
        <is>
          <t>Group Data</t>
        </is>
      </c>
      <c r="H307" s="269" t="n"/>
      <c r="I307" s="260" t="n"/>
      <c r="J307" s="269" t="n"/>
      <c r="K307" s="269" t="inlineStr">
        <is>
          <t>Leadership</t>
        </is>
      </c>
      <c r="L307" s="260" t="n"/>
      <c r="M307" s="261" t="inlineStr">
        <is>
          <t>Australia</t>
        </is>
      </c>
      <c r="N307" t="inlineStr">
        <is>
          <t>COE</t>
        </is>
      </c>
      <c r="O307" t="inlineStr">
        <is>
          <t>COE - Data</t>
        </is>
      </c>
      <c r="P307" t="inlineStr">
        <is>
          <t>COE - Data</t>
        </is>
      </c>
      <c r="Q307" t="inlineStr">
        <is>
          <t>COE</t>
        </is>
      </c>
      <c r="R307" t="inlineStr">
        <is>
          <t>Filled</t>
        </is>
      </c>
    </row>
    <row r="308" ht="18" customHeight="1" s="506">
      <c r="A308" s="259" t="n">
        <v>113381</v>
      </c>
      <c r="B308" s="224" t="inlineStr">
        <is>
          <t>Joel Vijayakumar</t>
        </is>
      </c>
      <c r="C308" s="224" t="inlineStr">
        <is>
          <t>Delivery Manager, Strategy, Architecture &amp; Data</t>
        </is>
      </c>
      <c r="D308" s="224" t="inlineStr">
        <is>
          <t>Matt Ashley</t>
        </is>
      </c>
      <c r="E308" s="224" t="inlineStr">
        <is>
          <t>GM TDD, Strategy, Architecture, Data</t>
        </is>
      </c>
      <c r="F308" s="269" t="inlineStr">
        <is>
          <t>Strategy, Architecture &amp; Data</t>
        </is>
      </c>
      <c r="G308" s="260" t="inlineStr">
        <is>
          <t>Delivery, SADA</t>
        </is>
      </c>
      <c r="H308" s="260" t="n"/>
      <c r="I308" s="260" t="n"/>
      <c r="J308" s="269" t="n"/>
      <c r="K308" s="269" t="inlineStr">
        <is>
          <t>Leadership</t>
        </is>
      </c>
      <c r="L308" s="260" t="n"/>
      <c r="M308" s="261" t="inlineStr">
        <is>
          <t>Australia</t>
        </is>
      </c>
      <c r="N308" t="inlineStr">
        <is>
          <t>COE</t>
        </is>
      </c>
      <c r="O308" t="inlineStr">
        <is>
          <t>COE - Strategy Architecture</t>
        </is>
      </c>
      <c r="P308" t="inlineStr">
        <is>
          <t>COE - Strategy Architecture</t>
        </is>
      </c>
      <c r="Q308" t="inlineStr">
        <is>
          <t>COE</t>
        </is>
      </c>
      <c r="R308" t="inlineStr">
        <is>
          <t>Filled</t>
        </is>
      </c>
    </row>
    <row r="309" ht="18" customHeight="1" s="506">
      <c r="A309" s="259" t="n"/>
      <c r="B309" s="224" t="inlineStr">
        <is>
          <t>Vacant</t>
        </is>
      </c>
      <c r="C309" s="224" t="inlineStr">
        <is>
          <t>Head of Technology Strategy &amp; AI Capability</t>
        </is>
      </c>
      <c r="D309" s="224" t="inlineStr">
        <is>
          <t>Matt Ashley</t>
        </is>
      </c>
      <c r="E309" s="224" t="inlineStr">
        <is>
          <t>GM TDD, Strategy, Architecture, Data</t>
        </is>
      </c>
      <c r="F309" s="269" t="inlineStr">
        <is>
          <t>Strategy, Architecture &amp; Data</t>
        </is>
      </c>
      <c r="G309" s="260" t="inlineStr">
        <is>
          <t>Technology Strategy &amp; AI Capability</t>
        </is>
      </c>
      <c r="H309" s="260" t="n"/>
      <c r="I309" s="260" t="n"/>
      <c r="J309" s="269" t="n"/>
      <c r="K309" s="269" t="inlineStr">
        <is>
          <t>Leadership</t>
        </is>
      </c>
      <c r="L309" s="260" t="n"/>
      <c r="M309" s="261" t="n"/>
      <c r="N309" t="inlineStr">
        <is>
          <t>COE</t>
        </is>
      </c>
      <c r="O309" t="inlineStr">
        <is>
          <t>COE - Strategy Architecture</t>
        </is>
      </c>
      <c r="P309" t="inlineStr">
        <is>
          <t>COE - Strategy Architecture</t>
        </is>
      </c>
      <c r="Q309" t="inlineStr">
        <is>
          <t>COE</t>
        </is>
      </c>
      <c r="R309" t="inlineStr">
        <is>
          <t>Vacant</t>
        </is>
      </c>
    </row>
    <row r="310" ht="18" customHeight="1" s="506">
      <c r="A310" s="259" t="n"/>
      <c r="B310" s="224" t="inlineStr">
        <is>
          <t>Vacant (contract)</t>
        </is>
      </c>
      <c r="C310" s="224" t="inlineStr">
        <is>
          <t>Reporting analysts - Strategic Programs</t>
        </is>
      </c>
      <c r="D310" s="224" t="inlineStr">
        <is>
          <t>Prashanth Krishnankutty</t>
        </is>
      </c>
      <c r="E310" s="224" t="inlineStr">
        <is>
          <t>Lead, Reporting &amp; Insights</t>
        </is>
      </c>
      <c r="F310" s="269" t="inlineStr">
        <is>
          <t>Strategy, Architecture &amp; Data</t>
        </is>
      </c>
      <c r="G310" s="260" t="inlineStr">
        <is>
          <t>Group Data</t>
        </is>
      </c>
      <c r="H310" s="269" t="inlineStr">
        <is>
          <t>Data Engineering &amp; Platforms</t>
        </is>
      </c>
      <c r="I310" s="260" t="inlineStr">
        <is>
          <t>Enterprise Data</t>
        </is>
      </c>
      <c r="J310" s="269" t="inlineStr">
        <is>
          <t>Group Data</t>
        </is>
      </c>
      <c r="K310" s="269" t="inlineStr">
        <is>
          <t>Reporting &amp; Analytics</t>
        </is>
      </c>
      <c r="L310" s="260" t="n"/>
      <c r="M310" s="261" t="n"/>
      <c r="N310" t="inlineStr">
        <is>
          <t>Enterprise Data</t>
        </is>
      </c>
      <c r="O310" t="inlineStr">
        <is>
          <t>Group Data</t>
        </is>
      </c>
      <c r="P310" t="inlineStr">
        <is>
          <t>Reporting &amp; Analytics</t>
        </is>
      </c>
      <c r="Q310" t="inlineStr">
        <is>
          <t>Squad</t>
        </is>
      </c>
      <c r="R310" t="inlineStr">
        <is>
          <t>Filled</t>
        </is>
      </c>
    </row>
    <row r="311" ht="18" customHeight="1" s="506">
      <c r="A311" s="259" t="n">
        <v>106026</v>
      </c>
      <c r="B311" s="224" t="inlineStr">
        <is>
          <t>Vincent Lu</t>
        </is>
      </c>
      <c r="C311" s="224" t="inlineStr">
        <is>
          <t>Reporting Analyst</t>
        </is>
      </c>
      <c r="D311" s="224" t="inlineStr">
        <is>
          <t>Prashanth Krishnankutty</t>
        </is>
      </c>
      <c r="E311" s="224" t="inlineStr">
        <is>
          <t>Lead, Reporting &amp; Insights</t>
        </is>
      </c>
      <c r="F311" s="269" t="inlineStr">
        <is>
          <t>Strategy, Architecture &amp; Data</t>
        </is>
      </c>
      <c r="G311" s="260" t="inlineStr">
        <is>
          <t>Group Data</t>
        </is>
      </c>
      <c r="H311" s="269" t="inlineStr">
        <is>
          <t>Data Engineering &amp; Platforms</t>
        </is>
      </c>
      <c r="I311" s="269" t="inlineStr">
        <is>
          <t>Enterprise Data</t>
        </is>
      </c>
      <c r="J311" s="269" t="inlineStr">
        <is>
          <t>Group Data</t>
        </is>
      </c>
      <c r="K311" s="269" t="inlineStr">
        <is>
          <t>Reporting &amp; Analytics</t>
        </is>
      </c>
      <c r="L311" s="260" t="n"/>
      <c r="M311" s="261" t="inlineStr">
        <is>
          <t>Australia</t>
        </is>
      </c>
      <c r="N311" t="inlineStr">
        <is>
          <t>Enterprise Data</t>
        </is>
      </c>
      <c r="O311" t="inlineStr">
        <is>
          <t>Group Data</t>
        </is>
      </c>
      <c r="P311" t="inlineStr">
        <is>
          <t>Reporting &amp; Analytics</t>
        </is>
      </c>
      <c r="Q311" t="inlineStr">
        <is>
          <t>Squad</t>
        </is>
      </c>
      <c r="R311" t="inlineStr">
        <is>
          <t>Filled</t>
        </is>
      </c>
    </row>
    <row r="312" ht="18" customHeight="1" s="506">
      <c r="A312" s="259" t="n"/>
      <c r="B312" s="224" t="inlineStr">
        <is>
          <t>vacant  (Contract)</t>
        </is>
      </c>
      <c r="C312" s="224" t="inlineStr">
        <is>
          <t>Applications Specialist - Strategic Programs</t>
        </is>
      </c>
      <c r="D312" s="224" t="inlineStr">
        <is>
          <t>Sai Konka</t>
        </is>
      </c>
      <c r="E312" s="224" t="inlineStr">
        <is>
          <t>Applications &amp; Analytics Manager</t>
        </is>
      </c>
      <c r="F312" s="269" t="inlineStr">
        <is>
          <t>Strategy, Architecture &amp; Data</t>
        </is>
      </c>
      <c r="G312" s="260" t="inlineStr">
        <is>
          <t>Group Data</t>
        </is>
      </c>
      <c r="H312" s="269" t="inlineStr">
        <is>
          <t>Data Engineering &amp; Platforms</t>
        </is>
      </c>
      <c r="I312" s="260" t="inlineStr">
        <is>
          <t>Enterprise Data</t>
        </is>
      </c>
      <c r="J312" s="269" t="inlineStr">
        <is>
          <t>EGI</t>
        </is>
      </c>
      <c r="K312" s="269" t="inlineStr">
        <is>
          <t>Reporting &amp; Analytics</t>
        </is>
      </c>
      <c r="L312" s="260" t="n"/>
      <c r="M312" s="261" t="n"/>
      <c r="N312" t="inlineStr">
        <is>
          <t>Enterprise Data</t>
        </is>
      </c>
      <c r="O312" t="inlineStr">
        <is>
          <t>Group Data</t>
        </is>
      </c>
      <c r="P312" t="inlineStr">
        <is>
          <t>Reporting &amp; Analytics</t>
        </is>
      </c>
      <c r="Q312" t="inlineStr">
        <is>
          <t>Squad</t>
        </is>
      </c>
      <c r="R312" t="inlineStr">
        <is>
          <t>Filled</t>
        </is>
      </c>
    </row>
    <row r="313" ht="18" customHeight="1" s="506">
      <c r="A313" s="259" t="n">
        <v>116032</v>
      </c>
      <c r="B313" s="260" t="inlineStr">
        <is>
          <t>Abdul Ghaffar</t>
        </is>
      </c>
      <c r="C313" s="260" t="inlineStr">
        <is>
          <t>Applications Specialist - Demand Planning</t>
        </is>
      </c>
      <c r="D313" s="224" t="inlineStr">
        <is>
          <t>Sai Konka</t>
        </is>
      </c>
      <c r="E313" s="224" t="inlineStr">
        <is>
          <t>Applications &amp; Analytics Manager</t>
        </is>
      </c>
      <c r="F313" s="269" t="inlineStr">
        <is>
          <t>Strategy, Architecture &amp; Data</t>
        </is>
      </c>
      <c r="G313" s="260" t="inlineStr">
        <is>
          <t>Group Data</t>
        </is>
      </c>
      <c r="H313" s="269" t="inlineStr">
        <is>
          <t>Data Engineering &amp; Platforms</t>
        </is>
      </c>
      <c r="I313" s="269" t="inlineStr">
        <is>
          <t>Enterprise Data</t>
        </is>
      </c>
      <c r="J313" s="269" t="inlineStr">
        <is>
          <t>EGI</t>
        </is>
      </c>
      <c r="K313" s="269" t="inlineStr">
        <is>
          <t>Reporting &amp; Analytics</t>
        </is>
      </c>
      <c r="L313" s="260" t="n"/>
      <c r="M313" s="261" t="inlineStr">
        <is>
          <t>Australia</t>
        </is>
      </c>
      <c r="N313" t="inlineStr">
        <is>
          <t>Enterprise Data</t>
        </is>
      </c>
      <c r="O313" t="inlineStr">
        <is>
          <t>Group Data</t>
        </is>
      </c>
      <c r="P313" t="inlineStr">
        <is>
          <t>Reporting &amp; Analytics</t>
        </is>
      </c>
      <c r="Q313" t="inlineStr">
        <is>
          <t>Squad</t>
        </is>
      </c>
      <c r="R313" t="inlineStr">
        <is>
          <t>Filled</t>
        </is>
      </c>
    </row>
    <row r="314" ht="18" customHeight="1" s="506">
      <c r="A314" s="259" t="n">
        <v>80549</v>
      </c>
      <c r="B314" s="224" t="inlineStr">
        <is>
          <t>Steve Murray</t>
        </is>
      </c>
      <c r="C314" s="224" t="inlineStr">
        <is>
          <t>Applications Specialist</t>
        </is>
      </c>
      <c r="D314" s="224" t="inlineStr">
        <is>
          <t>Sai Konka</t>
        </is>
      </c>
      <c r="E314" s="224" t="inlineStr">
        <is>
          <t>Applications &amp; Analytics Manager</t>
        </is>
      </c>
      <c r="F314" s="269" t="inlineStr">
        <is>
          <t>Strategy, Architecture &amp; Data</t>
        </is>
      </c>
      <c r="G314" s="260" t="inlineStr">
        <is>
          <t>Group Data</t>
        </is>
      </c>
      <c r="H314" s="269" t="inlineStr">
        <is>
          <t>Data Engineering &amp; Platforms</t>
        </is>
      </c>
      <c r="I314" s="269" t="inlineStr">
        <is>
          <t>Enterprise Data</t>
        </is>
      </c>
      <c r="J314" s="269" t="inlineStr">
        <is>
          <t>EGI</t>
        </is>
      </c>
      <c r="K314" s="269" t="inlineStr">
        <is>
          <t>Reporting &amp; Analytics</t>
        </is>
      </c>
      <c r="L314" s="260" t="n"/>
      <c r="M314" s="261" t="inlineStr">
        <is>
          <t>Australia</t>
        </is>
      </c>
      <c r="N314" t="inlineStr">
        <is>
          <t>Enterprise Data</t>
        </is>
      </c>
      <c r="O314" t="inlineStr">
        <is>
          <t>Group Data</t>
        </is>
      </c>
      <c r="P314" t="inlineStr">
        <is>
          <t>Reporting &amp; Analytics</t>
        </is>
      </c>
      <c r="Q314" t="inlineStr">
        <is>
          <t>Squad</t>
        </is>
      </c>
      <c r="R314" t="inlineStr">
        <is>
          <t>Filled</t>
        </is>
      </c>
    </row>
    <row r="315" ht="18" customHeight="1" s="506">
      <c r="A315" s="259" t="n">
        <v>83092</v>
      </c>
      <c r="B315" s="224" t="inlineStr">
        <is>
          <t>Rakshit Kaul</t>
        </is>
      </c>
      <c r="C315" s="224" t="inlineStr">
        <is>
          <t>Applications Specialist</t>
        </is>
      </c>
      <c r="D315" s="224" t="inlineStr">
        <is>
          <t>Sai Konka</t>
        </is>
      </c>
      <c r="E315" s="224" t="inlineStr">
        <is>
          <t>Applications &amp; Analytics Manager</t>
        </is>
      </c>
      <c r="F315" s="269" t="inlineStr">
        <is>
          <t>Strategy, Architecture &amp; Data</t>
        </is>
      </c>
      <c r="G315" s="260" t="inlineStr">
        <is>
          <t>Group Data</t>
        </is>
      </c>
      <c r="H315" s="269" t="inlineStr">
        <is>
          <t>Data Engineering &amp; Platforms</t>
        </is>
      </c>
      <c r="I315" s="269" t="inlineStr">
        <is>
          <t>Enterprise Data</t>
        </is>
      </c>
      <c r="J315" s="269" t="inlineStr">
        <is>
          <t>EGI</t>
        </is>
      </c>
      <c r="K315" s="269" t="inlineStr">
        <is>
          <t>Reporting &amp; Analytics</t>
        </is>
      </c>
      <c r="L315" s="260" t="n"/>
      <c r="M315" s="261" t="inlineStr">
        <is>
          <t>Australia</t>
        </is>
      </c>
      <c r="N315" t="inlineStr">
        <is>
          <t>Enterprise Data</t>
        </is>
      </c>
      <c r="O315" t="inlineStr">
        <is>
          <t>Group Data</t>
        </is>
      </c>
      <c r="P315" t="inlineStr">
        <is>
          <t>Reporting &amp; Analytics</t>
        </is>
      </c>
      <c r="Q315" t="inlineStr">
        <is>
          <t>Squad</t>
        </is>
      </c>
      <c r="R315" t="inlineStr">
        <is>
          <t>Filled</t>
        </is>
      </c>
    </row>
    <row r="316" ht="18" customHeight="1" s="506">
      <c r="A316" s="259" t="n">
        <v>98599</v>
      </c>
      <c r="B316" s="224" t="inlineStr">
        <is>
          <t>Raymond Bai</t>
        </is>
      </c>
      <c r="C316" s="224" t="inlineStr">
        <is>
          <t>Data Adoption Specialist</t>
        </is>
      </c>
      <c r="D316" s="260" t="inlineStr">
        <is>
          <t>Sanjay Tikoo</t>
        </is>
      </c>
      <c r="E316" s="224" t="inlineStr">
        <is>
          <t>Lead Engineer (Databricks)</t>
        </is>
      </c>
      <c r="F316" s="269" t="inlineStr">
        <is>
          <t>Strategy, Architecture &amp; Data</t>
        </is>
      </c>
      <c r="G316" s="260" t="inlineStr">
        <is>
          <t>Group Data</t>
        </is>
      </c>
      <c r="H316" s="269" t="inlineStr">
        <is>
          <t>Data Capability</t>
        </is>
      </c>
      <c r="I316" s="260" t="inlineStr">
        <is>
          <t>Enterprise Data</t>
        </is>
      </c>
      <c r="J316" s="269" t="inlineStr">
        <is>
          <t>Group Data</t>
        </is>
      </c>
      <c r="K316" s="260" t="inlineStr">
        <is>
          <t>COE, Data Capability</t>
        </is>
      </c>
      <c r="L316" s="260" t="n"/>
      <c r="M316" s="261" t="inlineStr">
        <is>
          <t>Australia</t>
        </is>
      </c>
      <c r="N316" t="inlineStr">
        <is>
          <t>COE</t>
        </is>
      </c>
      <c r="O316" t="inlineStr">
        <is>
          <t>COE - Data</t>
        </is>
      </c>
      <c r="P316" t="inlineStr">
        <is>
          <t>COE - Data</t>
        </is>
      </c>
      <c r="Q316" t="inlineStr">
        <is>
          <t>COE</t>
        </is>
      </c>
      <c r="R316" t="inlineStr">
        <is>
          <t>Filled</t>
        </is>
      </c>
    </row>
    <row r="317" ht="18" customHeight="1" s="506">
      <c r="A317" s="259" t="n">
        <v>99522</v>
      </c>
      <c r="B317" s="224" t="inlineStr">
        <is>
          <t>Mitchell Clarke</t>
        </is>
      </c>
      <c r="C317" s="224" t="inlineStr">
        <is>
          <t>Snr Data Governance Specialist</t>
        </is>
      </c>
      <c r="D317" s="260" t="inlineStr">
        <is>
          <t>Sanjay Tikoo</t>
        </is>
      </c>
      <c r="E317" s="224" t="inlineStr">
        <is>
          <t>Data Capability Manager</t>
        </is>
      </c>
      <c r="F317" s="269" t="inlineStr">
        <is>
          <t>Strategy, Architecture &amp; Data</t>
        </is>
      </c>
      <c r="G317" s="260" t="inlineStr">
        <is>
          <t>Group Data</t>
        </is>
      </c>
      <c r="H317" s="260" t="inlineStr">
        <is>
          <t>Delivery, Commercial Fuels</t>
        </is>
      </c>
      <c r="I317" s="269" t="inlineStr">
        <is>
          <t>Enterprise Data</t>
        </is>
      </c>
      <c r="J317" s="269" t="inlineStr">
        <is>
          <t>Leadership</t>
        </is>
      </c>
      <c r="K317" s="260" t="inlineStr">
        <is>
          <t>Leadership</t>
        </is>
      </c>
      <c r="L317" s="260" t="n"/>
      <c r="M317" s="261" t="inlineStr">
        <is>
          <t>Australia</t>
        </is>
      </c>
      <c r="N317" t="inlineStr">
        <is>
          <t>COE</t>
        </is>
      </c>
      <c r="O317" t="inlineStr">
        <is>
          <t>COE - Data</t>
        </is>
      </c>
      <c r="P317" t="inlineStr">
        <is>
          <t>COE - Data</t>
        </is>
      </c>
      <c r="Q317" t="inlineStr">
        <is>
          <t>COE</t>
        </is>
      </c>
      <c r="R317" t="inlineStr">
        <is>
          <t>Filled</t>
        </is>
      </c>
    </row>
    <row r="318" ht="18" customHeight="1" s="506">
      <c r="A318" s="259" t="n"/>
      <c r="B318" s="224" t="inlineStr">
        <is>
          <t>Vacant</t>
        </is>
      </c>
      <c r="C318" s="224" t="inlineStr">
        <is>
          <t>Data Governance Lead</t>
        </is>
      </c>
      <c r="D318" s="260" t="inlineStr">
        <is>
          <t>Sanjay Tikoo</t>
        </is>
      </c>
      <c r="E318" s="224" t="inlineStr">
        <is>
          <t>Data Capability Manager</t>
        </is>
      </c>
      <c r="F318" s="269" t="inlineStr">
        <is>
          <t>Strategy, Architecture &amp; Data</t>
        </is>
      </c>
      <c r="G318" s="284" t="inlineStr">
        <is>
          <t>Group Data</t>
        </is>
      </c>
      <c r="H318" s="285" t="inlineStr">
        <is>
          <t>Data Capability</t>
        </is>
      </c>
      <c r="I318" s="269" t="inlineStr">
        <is>
          <t>Enterprise Data</t>
        </is>
      </c>
      <c r="J318" s="269" t="n"/>
      <c r="K318" s="260" t="inlineStr">
        <is>
          <t>COE, Data Capability</t>
        </is>
      </c>
      <c r="L318" s="260" t="n"/>
      <c r="M318" s="261" t="n"/>
      <c r="N318" t="inlineStr">
        <is>
          <t>COE</t>
        </is>
      </c>
      <c r="O318" t="inlineStr">
        <is>
          <t>COE - Data</t>
        </is>
      </c>
      <c r="P318" t="inlineStr">
        <is>
          <t>COE - Data</t>
        </is>
      </c>
      <c r="Q318" t="inlineStr">
        <is>
          <t>COE</t>
        </is>
      </c>
      <c r="R318" t="inlineStr">
        <is>
          <t>Vacant</t>
        </is>
      </c>
    </row>
    <row r="319" ht="18" customHeight="1" s="506">
      <c r="A319" s="259" t="n">
        <v>99999101535</v>
      </c>
      <c r="B319" s="224" t="inlineStr">
        <is>
          <t>Lynn Yiew</t>
        </is>
      </c>
      <c r="C319" s="224" t="inlineStr">
        <is>
          <t>Data Governance Specialist</t>
        </is>
      </c>
      <c r="D319" s="260" t="inlineStr">
        <is>
          <t>Sanjay Tikoo</t>
        </is>
      </c>
      <c r="E319" s="224" t="inlineStr">
        <is>
          <t>Data Capability Manager</t>
        </is>
      </c>
      <c r="F319" s="269" t="inlineStr">
        <is>
          <t>Strategy, Architecture &amp; Data</t>
        </is>
      </c>
      <c r="G319" s="260" t="inlineStr">
        <is>
          <t>Group Data</t>
        </is>
      </c>
      <c r="H319" s="260" t="inlineStr">
        <is>
          <t>Data Capability</t>
        </is>
      </c>
      <c r="I319" s="269" t="inlineStr">
        <is>
          <t>Enterprise Data</t>
        </is>
      </c>
      <c r="J319" s="269" t="n"/>
      <c r="K319" s="260" t="inlineStr">
        <is>
          <t>COE, Data Capability</t>
        </is>
      </c>
      <c r="L319" s="260" t="n"/>
      <c r="M319" s="261" t="inlineStr">
        <is>
          <t>NZ</t>
        </is>
      </c>
      <c r="N319" t="inlineStr">
        <is>
          <t>COE</t>
        </is>
      </c>
      <c r="O319" t="inlineStr">
        <is>
          <t>COE - Data</t>
        </is>
      </c>
      <c r="P319" t="inlineStr">
        <is>
          <t>COE - Data</t>
        </is>
      </c>
      <c r="Q319" t="inlineStr">
        <is>
          <t>COE</t>
        </is>
      </c>
      <c r="R319" t="inlineStr">
        <is>
          <t>Filled</t>
        </is>
      </c>
    </row>
    <row r="320" ht="18" customHeight="1" s="506">
      <c r="A320" s="259" t="n">
        <v>110146</v>
      </c>
      <c r="B320" s="224" t="inlineStr">
        <is>
          <t>Renosh Matthew Thomas</t>
        </is>
      </c>
      <c r="C320" s="224" t="inlineStr">
        <is>
          <t>Data Enablement Lead</t>
        </is>
      </c>
      <c r="D320" s="260" t="inlineStr">
        <is>
          <t>Sanjay Tikoo</t>
        </is>
      </c>
      <c r="E320" s="224" t="inlineStr">
        <is>
          <t>Data Capability Manager</t>
        </is>
      </c>
      <c r="F320" s="269" t="inlineStr">
        <is>
          <t>Strategy, Architecture &amp; Data</t>
        </is>
      </c>
      <c r="G320" s="260" t="inlineStr">
        <is>
          <t>Group Data</t>
        </is>
      </c>
      <c r="H320" s="260" t="inlineStr">
        <is>
          <t>Data Capability</t>
        </is>
      </c>
      <c r="I320" s="269" t="inlineStr">
        <is>
          <t>Enterprise Data</t>
        </is>
      </c>
      <c r="J320" s="269" t="inlineStr">
        <is>
          <t>Group Data</t>
        </is>
      </c>
      <c r="K320" s="260" t="inlineStr">
        <is>
          <t>COE, Data Capability</t>
        </is>
      </c>
      <c r="L320" s="260" t="n"/>
      <c r="M320" s="261" t="inlineStr">
        <is>
          <t>Australia</t>
        </is>
      </c>
      <c r="N320" t="inlineStr">
        <is>
          <t>COE</t>
        </is>
      </c>
      <c r="O320" t="inlineStr">
        <is>
          <t>COE - Data</t>
        </is>
      </c>
      <c r="P320" t="inlineStr">
        <is>
          <t>COE - Data</t>
        </is>
      </c>
      <c r="Q320" t="inlineStr">
        <is>
          <t>COE</t>
        </is>
      </c>
      <c r="R320" t="inlineStr">
        <is>
          <t>Filled</t>
        </is>
      </c>
    </row>
    <row r="321" ht="18" customHeight="1" s="506">
      <c r="A321" s="259" t="n">
        <v>100330</v>
      </c>
      <c r="B321" s="224" t="inlineStr">
        <is>
          <t>Milan Patel</t>
        </is>
      </c>
      <c r="C321" s="224" t="inlineStr">
        <is>
          <t>Platform Architect</t>
        </is>
      </c>
      <c r="D321" s="260" t="inlineStr">
        <is>
          <t>Sanjay Tikoo</t>
        </is>
      </c>
      <c r="E321" s="224" t="inlineStr">
        <is>
          <t>Data Capability Manager</t>
        </is>
      </c>
      <c r="F321" s="269" t="inlineStr">
        <is>
          <t>Strategy, Architecture &amp; Data</t>
        </is>
      </c>
      <c r="G321" s="260" t="inlineStr">
        <is>
          <t>Group Data</t>
        </is>
      </c>
      <c r="H321" s="260" t="inlineStr">
        <is>
          <t>Data Capability</t>
        </is>
      </c>
      <c r="I321" s="269" t="n"/>
      <c r="J321" s="269" t="n"/>
      <c r="K321" s="260" t="inlineStr">
        <is>
          <t>Data Platform</t>
        </is>
      </c>
      <c r="L321" s="260" t="n"/>
      <c r="M321" s="261" t="inlineStr">
        <is>
          <t>Australia</t>
        </is>
      </c>
      <c r="N321" t="inlineStr">
        <is>
          <t>COE</t>
        </is>
      </c>
      <c r="O321" t="inlineStr">
        <is>
          <t>COE - Data</t>
        </is>
      </c>
      <c r="P321" t="inlineStr">
        <is>
          <t>COE - Data</t>
        </is>
      </c>
      <c r="Q321" t="inlineStr">
        <is>
          <t>COE</t>
        </is>
      </c>
      <c r="R321" t="inlineStr">
        <is>
          <t>Filled</t>
        </is>
      </c>
    </row>
    <row r="322" ht="18" customHeight="1" s="506">
      <c r="A322" s="286" t="n"/>
      <c r="B322" s="287" t="inlineStr">
        <is>
          <t>Vacant</t>
        </is>
      </c>
      <c r="C322" s="287" t="inlineStr">
        <is>
          <t>Enterprise Data Architect</t>
        </is>
      </c>
      <c r="D322" s="288" t="inlineStr">
        <is>
          <t>Vacant</t>
        </is>
      </c>
      <c r="E322" s="287" t="inlineStr">
        <is>
          <t>Lead – Asset &amp; Configuration (Vacant)</t>
        </is>
      </c>
      <c r="F322" s="289" t="inlineStr">
        <is>
          <t>Strategy, Architecture &amp; Data</t>
        </is>
      </c>
      <c r="G322" s="288" t="inlineStr">
        <is>
          <t>Group Data</t>
        </is>
      </c>
      <c r="H322" s="288" t="inlineStr">
        <is>
          <t>Data Capability</t>
        </is>
      </c>
      <c r="I322" s="289" t="n"/>
      <c r="J322" s="289" t="n"/>
      <c r="K322" s="288" t="inlineStr">
        <is>
          <t>COE</t>
        </is>
      </c>
      <c r="L322" s="288" t="n"/>
      <c r="M322" s="290" t="n"/>
      <c r="N322" t="inlineStr">
        <is>
          <t>COE</t>
        </is>
      </c>
      <c r="O322" t="inlineStr">
        <is>
          <t>COE - Data</t>
        </is>
      </c>
      <c r="P322" t="inlineStr">
        <is>
          <t>COE - Data</t>
        </is>
      </c>
      <c r="Q322" t="inlineStr">
        <is>
          <t>COE</t>
        </is>
      </c>
      <c r="R322" t="inlineStr">
        <is>
          <t>Vacant</t>
        </is>
      </c>
    </row>
    <row r="323" ht="18" customHeight="1" s="506">
      <c r="A323" s="259" t="n">
        <v>114067</v>
      </c>
      <c r="B323" s="224" t="inlineStr">
        <is>
          <t>Jonathan Robinson</t>
        </is>
      </c>
      <c r="C323" s="224" t="inlineStr">
        <is>
          <t>Technology Manager  Data Science</t>
        </is>
      </c>
      <c r="D323" s="224" t="inlineStr">
        <is>
          <t>Vacant</t>
        </is>
      </c>
      <c r="E323" s="224" t="inlineStr">
        <is>
          <t>Head of Technology,  Group Data</t>
        </is>
      </c>
      <c r="F323" s="269" t="inlineStr">
        <is>
          <t>Strategy, Architecture &amp; Data</t>
        </is>
      </c>
      <c r="G323" s="260" t="inlineStr">
        <is>
          <t>Group Data</t>
        </is>
      </c>
      <c r="H323" s="260" t="inlineStr">
        <is>
          <t>Data Science</t>
        </is>
      </c>
      <c r="I323" s="269" t="inlineStr">
        <is>
          <t>Enterprise Data</t>
        </is>
      </c>
      <c r="J323" s="269" t="inlineStr">
        <is>
          <t>Group Data</t>
        </is>
      </c>
      <c r="K323" s="260" t="inlineStr">
        <is>
          <t>COE, Leadership</t>
        </is>
      </c>
      <c r="L323" s="260" t="n"/>
      <c r="M323" s="261" t="inlineStr">
        <is>
          <t>Australia</t>
        </is>
      </c>
      <c r="N323" t="inlineStr">
        <is>
          <t>COE</t>
        </is>
      </c>
      <c r="O323" t="inlineStr">
        <is>
          <t>Leadership</t>
        </is>
      </c>
      <c r="P323" t="inlineStr">
        <is>
          <t>Leadership</t>
        </is>
      </c>
      <c r="Q323" t="inlineStr">
        <is>
          <t>Leadership</t>
        </is>
      </c>
      <c r="R323" t="inlineStr">
        <is>
          <t>Filled</t>
        </is>
      </c>
    </row>
    <row r="324" ht="18" customHeight="1" s="506">
      <c r="A324" s="259" t="n"/>
      <c r="B324" s="224" t="inlineStr">
        <is>
          <t>Vacant</t>
        </is>
      </c>
      <c r="C324" s="224" t="inlineStr">
        <is>
          <t xml:space="preserve">Reporting Lead </t>
        </is>
      </c>
      <c r="D324" s="224" t="inlineStr">
        <is>
          <t>Vacant</t>
        </is>
      </c>
      <c r="E324" s="224" t="inlineStr">
        <is>
          <t>Lead, Reporting &amp; Insights</t>
        </is>
      </c>
      <c r="F324" s="269" t="inlineStr">
        <is>
          <t>Strategy, Architecture &amp; Data</t>
        </is>
      </c>
      <c r="G324" s="260" t="inlineStr">
        <is>
          <t>Loyalty &amp; Martech</t>
        </is>
      </c>
      <c r="H324" s="269" t="inlineStr">
        <is>
          <t>Data Engineering &amp; Platforms</t>
        </is>
      </c>
      <c r="I324" s="269" t="inlineStr">
        <is>
          <t>Enterprise Data</t>
        </is>
      </c>
      <c r="J324" s="269" t="inlineStr">
        <is>
          <t>Group Data</t>
        </is>
      </c>
      <c r="K324" s="269" t="inlineStr">
        <is>
          <t>Reporting &amp; Analytics</t>
        </is>
      </c>
      <c r="L324" s="260" t="n"/>
      <c r="M324" s="261" t="n"/>
      <c r="N324" t="inlineStr">
        <is>
          <t>Enterprise Data</t>
        </is>
      </c>
      <c r="O324" t="inlineStr">
        <is>
          <t>Group Data</t>
        </is>
      </c>
      <c r="P324" t="inlineStr">
        <is>
          <t>Reporting &amp; Analytics</t>
        </is>
      </c>
      <c r="Q324" t="inlineStr">
        <is>
          <t>Squad</t>
        </is>
      </c>
      <c r="R324" t="inlineStr">
        <is>
          <t>Vacant</t>
        </is>
      </c>
    </row>
    <row r="325" ht="20.15" customHeight="1" s="506">
      <c r="A325" s="259" t="n">
        <v>107154</v>
      </c>
      <c r="B325" s="224" t="inlineStr">
        <is>
          <t>Prashant Tataskar</t>
        </is>
      </c>
      <c r="C325" s="224" t="inlineStr">
        <is>
          <t>Data Scientist</t>
        </is>
      </c>
      <c r="D325" s="224" t="inlineStr">
        <is>
          <t>Vacant</t>
        </is>
      </c>
      <c r="E325" s="224" t="inlineStr">
        <is>
          <t>Technology Manager, Data Science</t>
        </is>
      </c>
      <c r="F325" s="269" t="inlineStr">
        <is>
          <t>Strategy, Architecture &amp; Data</t>
        </is>
      </c>
      <c r="G325" s="260" t="inlineStr">
        <is>
          <t>Group Data</t>
        </is>
      </c>
      <c r="H325" s="269" t="inlineStr">
        <is>
          <t>Data Science</t>
        </is>
      </c>
      <c r="I325" s="269" t="inlineStr">
        <is>
          <t>Enterprise Data</t>
        </is>
      </c>
      <c r="J325" s="269" t="inlineStr">
        <is>
          <t>Group Data</t>
        </is>
      </c>
      <c r="K325" s="260" t="inlineStr">
        <is>
          <t>COE, Data Science</t>
        </is>
      </c>
      <c r="L325" s="260" t="n"/>
      <c r="M325" s="261" t="inlineStr">
        <is>
          <t>Australia</t>
        </is>
      </c>
      <c r="N325" t="inlineStr">
        <is>
          <t>Enterprise Data</t>
        </is>
      </c>
      <c r="O325" t="inlineStr">
        <is>
          <t>Group Data</t>
        </is>
      </c>
      <c r="P325" t="inlineStr">
        <is>
          <t>Data Science</t>
        </is>
      </c>
      <c r="Q325" t="inlineStr">
        <is>
          <t>Squad</t>
        </is>
      </c>
      <c r="R325" t="inlineStr">
        <is>
          <t>Filled</t>
        </is>
      </c>
    </row>
    <row r="326" ht="18" customHeight="1" s="506">
      <c r="A326" s="259" t="n">
        <v>113595</v>
      </c>
      <c r="B326" s="224" t="inlineStr">
        <is>
          <t>Mike Gilbert</t>
        </is>
      </c>
      <c r="C326" s="224" t="inlineStr">
        <is>
          <t xml:space="preserve">Domain Architect - CFE &amp; Infrastructure </t>
        </is>
      </c>
      <c r="D326" s="224" t="inlineStr">
        <is>
          <t>Vacant</t>
        </is>
      </c>
      <c r="E326" s="224" t="inlineStr">
        <is>
          <t>Head of Architecture</t>
        </is>
      </c>
      <c r="F326" s="269" t="inlineStr">
        <is>
          <t>Strategy, Architecture &amp; Data</t>
        </is>
      </c>
      <c r="G326" s="260" t="inlineStr">
        <is>
          <t>Architecture</t>
        </is>
      </c>
      <c r="H326" s="285" t="inlineStr">
        <is>
          <t>Architecture</t>
        </is>
      </c>
      <c r="I326" s="269" t="n"/>
      <c r="J326" s="269" t="n"/>
      <c r="K326" s="260" t="inlineStr">
        <is>
          <t>COE, Architecture</t>
        </is>
      </c>
      <c r="L326" s="260" t="n"/>
      <c r="M326" s="261" t="n"/>
      <c r="N326" t="inlineStr">
        <is>
          <t>COE</t>
        </is>
      </c>
      <c r="O326" t="inlineStr">
        <is>
          <t>COE - Strategy Architecture</t>
        </is>
      </c>
      <c r="P326" t="inlineStr">
        <is>
          <t>COE - Strategy Architecture</t>
        </is>
      </c>
      <c r="Q326" t="inlineStr">
        <is>
          <t>COE</t>
        </is>
      </c>
      <c r="R326" t="inlineStr">
        <is>
          <t>Filled</t>
        </is>
      </c>
    </row>
    <row r="327" ht="18" customHeight="1" s="506">
      <c r="A327" s="259" t="n"/>
      <c r="B327" s="224" t="inlineStr">
        <is>
          <t>Vacant</t>
        </is>
      </c>
      <c r="C327" s="224" t="inlineStr">
        <is>
          <t>AI Capability Lead</t>
        </is>
      </c>
      <c r="D327" s="224" t="inlineStr">
        <is>
          <t>Vacant</t>
        </is>
      </c>
      <c r="E327" s="224" t="inlineStr">
        <is>
          <t>Head of Technology  Strategy &amp; AI Capability</t>
        </is>
      </c>
      <c r="F327" s="269" t="inlineStr">
        <is>
          <t>Strategy, Architecture &amp; Data</t>
        </is>
      </c>
      <c r="G327" s="260" t="inlineStr">
        <is>
          <t>Technology Strategy &amp; AI Capability</t>
        </is>
      </c>
      <c r="H327" s="260" t="inlineStr">
        <is>
          <t>Technology Strategy &amp; AI Capability</t>
        </is>
      </c>
      <c r="I327" s="269" t="n"/>
      <c r="J327" s="269" t="n"/>
      <c r="K327" s="260" t="inlineStr">
        <is>
          <t>COE</t>
        </is>
      </c>
      <c r="L327" s="260" t="n"/>
      <c r="M327" s="261" t="n"/>
      <c r="N327" t="inlineStr">
        <is>
          <t>COE</t>
        </is>
      </c>
      <c r="O327" t="inlineStr">
        <is>
          <t>COE - Strategy Architecture</t>
        </is>
      </c>
      <c r="P327" t="inlineStr">
        <is>
          <t>COE - Strategy Architecture</t>
        </is>
      </c>
      <c r="Q327" t="inlineStr">
        <is>
          <t>COE</t>
        </is>
      </c>
      <c r="R327" t="inlineStr">
        <is>
          <t>Vacant</t>
        </is>
      </c>
    </row>
    <row r="328" ht="18" customHeight="1" s="506">
      <c r="A328" s="259" t="n">
        <v>12010</v>
      </c>
      <c r="B328" s="224" t="inlineStr">
        <is>
          <t>Sai Konka</t>
        </is>
      </c>
      <c r="C328" s="224" t="inlineStr">
        <is>
          <t>Application &amp; Analytics Manager</t>
        </is>
      </c>
      <c r="D328" s="224" t="inlineStr">
        <is>
          <t>Vacant</t>
        </is>
      </c>
      <c r="E328" s="224" t="inlineStr">
        <is>
          <t>Technology Manager, Data Engineering &amp; Platforms</t>
        </is>
      </c>
      <c r="F328" s="269" t="inlineStr">
        <is>
          <t>Strategy, Architecture &amp; Data</t>
        </is>
      </c>
      <c r="G328" s="260" t="inlineStr">
        <is>
          <t>Group Data</t>
        </is>
      </c>
      <c r="H328" s="269" t="inlineStr">
        <is>
          <t>Data Engineering &amp; Platforms</t>
        </is>
      </c>
      <c r="I328" s="269" t="inlineStr">
        <is>
          <t>Enterprise Data</t>
        </is>
      </c>
      <c r="J328" s="269" t="inlineStr">
        <is>
          <t>EGI</t>
        </is>
      </c>
      <c r="K328" s="269" t="inlineStr">
        <is>
          <t>Reporting &amp; Analytics</t>
        </is>
      </c>
      <c r="L328" s="260" t="n"/>
      <c r="M328" s="261" t="inlineStr">
        <is>
          <t>Australia</t>
        </is>
      </c>
      <c r="N328" t="inlineStr">
        <is>
          <t>Enterprise Data</t>
        </is>
      </c>
      <c r="O328" t="inlineStr">
        <is>
          <t>Group Data</t>
        </is>
      </c>
      <c r="P328" t="inlineStr">
        <is>
          <t>Reporting &amp; Analytics</t>
        </is>
      </c>
      <c r="Q328" t="inlineStr">
        <is>
          <t>Squad</t>
        </is>
      </c>
      <c r="R328" t="inlineStr">
        <is>
          <t>Filled</t>
        </is>
      </c>
    </row>
    <row r="329" ht="18" customHeight="1" s="506">
      <c r="A329" s="259" t="n"/>
      <c r="B329" s="224" t="inlineStr">
        <is>
          <t>Vacant</t>
        </is>
      </c>
      <c r="C329" s="224" t="inlineStr">
        <is>
          <t>Quality Assurance</t>
        </is>
      </c>
      <c r="D329" s="224" t="inlineStr">
        <is>
          <t>Vacant</t>
        </is>
      </c>
      <c r="E329" s="224" t="inlineStr">
        <is>
          <t>Lead Engineer (Snowflake)</t>
        </is>
      </c>
      <c r="F329" s="269" t="inlineStr">
        <is>
          <t>Strategy, Architecture &amp; Data</t>
        </is>
      </c>
      <c r="G329" s="260" t="inlineStr">
        <is>
          <t>Group Data</t>
        </is>
      </c>
      <c r="H329" s="269" t="inlineStr">
        <is>
          <t>Data Engineering &amp; Platforms</t>
        </is>
      </c>
      <c r="I329" s="260" t="inlineStr">
        <is>
          <t>Enterprise Data</t>
        </is>
      </c>
      <c r="J329" s="269" t="inlineStr">
        <is>
          <t>Group Data</t>
        </is>
      </c>
      <c r="K329" s="260" t="inlineStr">
        <is>
          <t>Data Platform</t>
        </is>
      </c>
      <c r="L329" s="260" t="n"/>
      <c r="M329" s="261" t="n"/>
      <c r="N329" t="inlineStr">
        <is>
          <t>Enterprise Data</t>
        </is>
      </c>
      <c r="O329" t="inlineStr">
        <is>
          <t>Group Data</t>
        </is>
      </c>
      <c r="P329" t="inlineStr">
        <is>
          <t>Data Platforms</t>
        </is>
      </c>
      <c r="Q329" t="inlineStr">
        <is>
          <t>Squad</t>
        </is>
      </c>
      <c r="R329" t="inlineStr">
        <is>
          <t>Vacant</t>
        </is>
      </c>
    </row>
    <row r="330" ht="18" customHeight="1" s="506">
      <c r="A330" s="259" t="n"/>
      <c r="B330" s="224" t="inlineStr">
        <is>
          <t>vacant</t>
        </is>
      </c>
      <c r="C330" s="224" t="inlineStr">
        <is>
          <t>Quality Assurance</t>
        </is>
      </c>
      <c r="D330" s="224" t="inlineStr">
        <is>
          <t>Vacant</t>
        </is>
      </c>
      <c r="E330" s="224" t="inlineStr">
        <is>
          <t>Lead Engineer (Databricks)</t>
        </is>
      </c>
      <c r="F330" s="269" t="inlineStr">
        <is>
          <t>Strategy, Architecture &amp; Data</t>
        </is>
      </c>
      <c r="G330" s="260" t="inlineStr">
        <is>
          <t>Group Data</t>
        </is>
      </c>
      <c r="H330" s="269" t="inlineStr">
        <is>
          <t>Data Engineering &amp; Platforms</t>
        </is>
      </c>
      <c r="I330" s="260" t="inlineStr">
        <is>
          <t>Enterprise Data</t>
        </is>
      </c>
      <c r="J330" s="269" t="inlineStr">
        <is>
          <t>EGI</t>
        </is>
      </c>
      <c r="K330" s="260" t="inlineStr">
        <is>
          <t>Data Platform</t>
        </is>
      </c>
      <c r="L330" s="260" t="n"/>
      <c r="M330" s="261" t="n"/>
      <c r="N330" t="inlineStr">
        <is>
          <t>Enterprise Data</t>
        </is>
      </c>
      <c r="O330" t="inlineStr">
        <is>
          <t>Group Data</t>
        </is>
      </c>
      <c r="P330" t="inlineStr">
        <is>
          <t>Data Platforms</t>
        </is>
      </c>
      <c r="Q330" t="inlineStr">
        <is>
          <t>Squad</t>
        </is>
      </c>
      <c r="R330" t="inlineStr">
        <is>
          <t>Vacant</t>
        </is>
      </c>
    </row>
    <row r="331" ht="18" customHeight="1" s="506">
      <c r="A331" s="259" t="n">
        <v>109802</v>
      </c>
      <c r="B331" s="224" t="inlineStr">
        <is>
          <t>Roger Blazey</t>
        </is>
      </c>
      <c r="C331" s="224" t="inlineStr">
        <is>
          <t>Architect (AI Innovation)</t>
        </is>
      </c>
      <c r="D331" s="224" t="inlineStr">
        <is>
          <t>Vacant</t>
        </is>
      </c>
      <c r="E331" s="224" t="inlineStr">
        <is>
          <t>Head of Technology  Strategy &amp; AI Capability</t>
        </is>
      </c>
      <c r="F331" s="269" t="inlineStr">
        <is>
          <t>Strategy, Architecture &amp; Data</t>
        </is>
      </c>
      <c r="G331" s="260" t="inlineStr">
        <is>
          <t>Technology Strategy &amp; AI Capability</t>
        </is>
      </c>
      <c r="H331" s="260" t="inlineStr">
        <is>
          <t>Technology Strategy &amp; AI Capability</t>
        </is>
      </c>
      <c r="I331" s="269" t="n"/>
      <c r="J331" s="269" t="n"/>
      <c r="K331" s="260" t="inlineStr">
        <is>
          <t>COE</t>
        </is>
      </c>
      <c r="L331" s="260" t="n"/>
      <c r="M331" s="261" t="inlineStr">
        <is>
          <t>Australia</t>
        </is>
      </c>
      <c r="N331" t="inlineStr">
        <is>
          <t>COE</t>
        </is>
      </c>
      <c r="O331" t="inlineStr">
        <is>
          <t>COE - Strategy Architecture</t>
        </is>
      </c>
      <c r="P331" t="inlineStr">
        <is>
          <t>COE - Strategy Architecture</t>
        </is>
      </c>
      <c r="Q331" t="inlineStr">
        <is>
          <t>COE</t>
        </is>
      </c>
      <c r="R331" t="inlineStr">
        <is>
          <t>Filled</t>
        </is>
      </c>
    </row>
    <row r="332" ht="18" customHeight="1" s="506">
      <c r="A332" s="259" t="n"/>
      <c r="B332" s="224" t="inlineStr">
        <is>
          <t>vacant</t>
        </is>
      </c>
      <c r="C332" s="224" t="inlineStr">
        <is>
          <t>Engineer - Data</t>
        </is>
      </c>
      <c r="D332" s="224" t="inlineStr">
        <is>
          <t>Vacant</t>
        </is>
      </c>
      <c r="E332" s="224" t="inlineStr">
        <is>
          <t>Lead Engineer (Databricks)</t>
        </is>
      </c>
      <c r="F332" s="269" t="inlineStr">
        <is>
          <t>Strategy, Architecture &amp; Data</t>
        </is>
      </c>
      <c r="G332" s="260" t="inlineStr">
        <is>
          <t>Group Data</t>
        </is>
      </c>
      <c r="H332" s="269" t="inlineStr">
        <is>
          <t>Data Engineering &amp; Platforms</t>
        </is>
      </c>
      <c r="I332" s="260" t="inlineStr">
        <is>
          <t>Enterprise Data</t>
        </is>
      </c>
      <c r="J332" s="269" t="inlineStr">
        <is>
          <t>Group Data</t>
        </is>
      </c>
      <c r="K332" s="260" t="inlineStr">
        <is>
          <t>Data Platform</t>
        </is>
      </c>
      <c r="L332" s="260" t="n"/>
      <c r="M332" s="261" t="n"/>
      <c r="N332" t="inlineStr">
        <is>
          <t>Enterprise Data</t>
        </is>
      </c>
      <c r="O332" t="inlineStr">
        <is>
          <t>Group Data</t>
        </is>
      </c>
      <c r="P332" t="inlineStr">
        <is>
          <t>Data Platforms</t>
        </is>
      </c>
      <c r="Q332" t="inlineStr">
        <is>
          <t>Squad</t>
        </is>
      </c>
      <c r="R332" t="inlineStr">
        <is>
          <t>Vacant</t>
        </is>
      </c>
    </row>
    <row r="333" ht="18" customHeight="1" s="506">
      <c r="A333" s="259" t="n"/>
      <c r="B333" s="224" t="inlineStr">
        <is>
          <t>Vacant</t>
        </is>
      </c>
      <c r="C333" s="224" t="inlineStr">
        <is>
          <t>Enterprise Process Lead</t>
        </is>
      </c>
      <c r="D333" s="224" t="inlineStr">
        <is>
          <t>Vacant</t>
        </is>
      </c>
      <c r="E333" s="224" t="inlineStr">
        <is>
          <t>Head of Technology  Strategy &amp; AI Capability</t>
        </is>
      </c>
      <c r="F333" s="269" t="inlineStr">
        <is>
          <t>Strategy, Architecture &amp; Data</t>
        </is>
      </c>
      <c r="G333" s="260" t="inlineStr">
        <is>
          <t>Technology Strategy &amp; AI Capability</t>
        </is>
      </c>
      <c r="H333" s="260" t="inlineStr">
        <is>
          <t>Technology Strategy &amp; AI Capability</t>
        </is>
      </c>
      <c r="I333" s="269" t="n"/>
      <c r="J333" s="269" t="n"/>
      <c r="K333" s="260" t="inlineStr">
        <is>
          <t>COE</t>
        </is>
      </c>
      <c r="L333" s="260" t="n"/>
      <c r="M333" s="261" t="n"/>
      <c r="N333" t="inlineStr">
        <is>
          <t>COE</t>
        </is>
      </c>
      <c r="O333" t="inlineStr">
        <is>
          <t>COE - Strategy Architecture</t>
        </is>
      </c>
      <c r="P333" t="inlineStr">
        <is>
          <t>COE - Strategy Architecture</t>
        </is>
      </c>
      <c r="Q333" t="inlineStr">
        <is>
          <t>COE</t>
        </is>
      </c>
      <c r="R333" t="inlineStr">
        <is>
          <t>Vacant</t>
        </is>
      </c>
    </row>
    <row r="334" ht="18" customHeight="1" s="506">
      <c r="A334" s="259" t="n"/>
      <c r="B334" s="224" t="inlineStr">
        <is>
          <t>Vacant</t>
        </is>
      </c>
      <c r="C334" s="224" t="inlineStr">
        <is>
          <t>EnterpriseProcess Analyst</t>
        </is>
      </c>
      <c r="D334" s="260" t="inlineStr">
        <is>
          <t>vacant</t>
        </is>
      </c>
      <c r="E334" s="224" t="inlineStr">
        <is>
          <t>Enterprise Process Lead</t>
        </is>
      </c>
      <c r="F334" s="269" t="inlineStr">
        <is>
          <t>Strategy, Architecture &amp; Data</t>
        </is>
      </c>
      <c r="G334" s="260" t="inlineStr">
        <is>
          <t>Technology Strategy &amp; AI Capability</t>
        </is>
      </c>
      <c r="H334" s="260" t="inlineStr">
        <is>
          <t>Technology Strategy &amp; AI Capability</t>
        </is>
      </c>
      <c r="I334" s="269" t="n"/>
      <c r="J334" s="269" t="n"/>
      <c r="K334" s="260" t="inlineStr">
        <is>
          <t>COE</t>
        </is>
      </c>
      <c r="L334" s="260" t="n"/>
      <c r="M334" s="261" t="n"/>
      <c r="N334" t="inlineStr">
        <is>
          <t>COE</t>
        </is>
      </c>
      <c r="O334" t="inlineStr">
        <is>
          <t>COE - Strategy Architecture</t>
        </is>
      </c>
      <c r="P334" t="inlineStr">
        <is>
          <t>COE - Strategy Architecture</t>
        </is>
      </c>
      <c r="Q334" t="inlineStr">
        <is>
          <t>COE</t>
        </is>
      </c>
      <c r="R334" t="inlineStr">
        <is>
          <t>Vacant</t>
        </is>
      </c>
    </row>
    <row r="335" ht="18" customHeight="1" s="506">
      <c r="A335" s="259" t="n">
        <v>102098</v>
      </c>
      <c r="B335" s="224" t="inlineStr">
        <is>
          <t>Bobby Mason</t>
        </is>
      </c>
      <c r="C335" s="224" t="inlineStr">
        <is>
          <t>Reporting Analyst</t>
        </is>
      </c>
      <c r="D335" t="inlineStr">
        <is>
          <t>Vacant</t>
        </is>
      </c>
      <c r="E335" s="224" t="inlineStr">
        <is>
          <t>Lead, Reporting &amp; Insights</t>
        </is>
      </c>
      <c r="F335" s="269" t="inlineStr">
        <is>
          <t>Strategy, Architecture &amp; Data</t>
        </is>
      </c>
      <c r="G335" s="260" t="inlineStr">
        <is>
          <t>Group Data</t>
        </is>
      </c>
      <c r="H335" s="260" t="inlineStr">
        <is>
          <t>Technology, CF Engineering</t>
        </is>
      </c>
      <c r="I335" s="269" t="inlineStr">
        <is>
          <t>Enterprise Data</t>
        </is>
      </c>
      <c r="J335" s="269" t="inlineStr">
        <is>
          <t>Group Data</t>
        </is>
      </c>
      <c r="K335" s="269" t="inlineStr">
        <is>
          <t>Reporting &amp; Analytics</t>
        </is>
      </c>
      <c r="L335" s="260" t="n"/>
      <c r="M335" s="261" t="inlineStr">
        <is>
          <t>Australia</t>
        </is>
      </c>
      <c r="N335" t="inlineStr">
        <is>
          <t>Enterprise Data</t>
        </is>
      </c>
      <c r="O335" t="inlineStr">
        <is>
          <t>Group Data</t>
        </is>
      </c>
      <c r="P335" t="inlineStr">
        <is>
          <t>Reporting &amp; Analytics</t>
        </is>
      </c>
      <c r="Q335" t="inlineStr">
        <is>
          <t>Squad</t>
        </is>
      </c>
      <c r="R335" t="inlineStr">
        <is>
          <t>Filled</t>
        </is>
      </c>
    </row>
    <row r="336" ht="18" customHeight="1" s="506">
      <c r="A336" s="259" t="n"/>
      <c r="B336" s="224" t="inlineStr">
        <is>
          <t>Vacant</t>
        </is>
      </c>
      <c r="C336" s="224" t="inlineStr">
        <is>
          <t>Data Analyst</t>
        </is>
      </c>
      <c r="D336" t="inlineStr">
        <is>
          <t>Vacant</t>
        </is>
      </c>
      <c r="E336" s="224" t="inlineStr">
        <is>
          <t>Technology Manager, Data Science</t>
        </is>
      </c>
      <c r="F336" s="269" t="inlineStr">
        <is>
          <t>Strategy, Architecture &amp; Data</t>
        </is>
      </c>
      <c r="G336" s="260" t="inlineStr">
        <is>
          <t>Group Data</t>
        </is>
      </c>
      <c r="H336" s="269" t="inlineStr">
        <is>
          <t>Data Science</t>
        </is>
      </c>
      <c r="I336" s="269" t="inlineStr">
        <is>
          <t>Enterprise Data</t>
        </is>
      </c>
      <c r="J336" s="269" t="inlineStr">
        <is>
          <t>Group Data</t>
        </is>
      </c>
      <c r="K336" s="260" t="inlineStr">
        <is>
          <t>COE, Data Science</t>
        </is>
      </c>
      <c r="L336" s="260" t="n"/>
      <c r="M336" s="261" t="n"/>
      <c r="N336" t="inlineStr">
        <is>
          <t>Enterprise Data</t>
        </is>
      </c>
      <c r="O336" t="inlineStr">
        <is>
          <t>Group Data</t>
        </is>
      </c>
      <c r="P336" t="inlineStr">
        <is>
          <t>Data Science</t>
        </is>
      </c>
      <c r="Q336" t="inlineStr">
        <is>
          <t>Squad</t>
        </is>
      </c>
      <c r="R336" t="inlineStr">
        <is>
          <t>Vacant</t>
        </is>
      </c>
    </row>
    <row r="337" ht="18" customHeight="1" s="506">
      <c r="A337" s="259" t="n">
        <v>0</v>
      </c>
      <c r="B337" s="224" t="inlineStr">
        <is>
          <t>Dinesh Chandrasekaran</t>
        </is>
      </c>
      <c r="C337" s="224" t="inlineStr">
        <is>
          <t>Lead Engineer (Snowflake)</t>
        </is>
      </c>
      <c r="D337" t="inlineStr">
        <is>
          <t>Vacant</t>
        </is>
      </c>
      <c r="E337" s="224" t="inlineStr">
        <is>
          <t>Technology Manager, Data Engineering &amp; Platforms</t>
        </is>
      </c>
      <c r="F337" s="224" t="inlineStr">
        <is>
          <t>Strategy, Architecture &amp; Data</t>
        </is>
      </c>
      <c r="G337" s="224" t="inlineStr">
        <is>
          <t>Group Data</t>
        </is>
      </c>
      <c r="H337" s="269" t="inlineStr">
        <is>
          <t>Data Engineering &amp; Platforms</t>
        </is>
      </c>
      <c r="I337" s="260" t="inlineStr">
        <is>
          <t>Enterprise Data</t>
        </is>
      </c>
      <c r="J337" s="269" t="inlineStr">
        <is>
          <t>Group Data</t>
        </is>
      </c>
      <c r="K337" s="260" t="inlineStr">
        <is>
          <t>Data Platform</t>
        </is>
      </c>
      <c r="L337" s="260" t="n"/>
      <c r="M337" s="261" t="n">
        <v>0</v>
      </c>
      <c r="N337" t="inlineStr">
        <is>
          <t>Enterprise Data</t>
        </is>
      </c>
      <c r="O337" t="inlineStr">
        <is>
          <t>Group Data</t>
        </is>
      </c>
      <c r="P337" t="inlineStr">
        <is>
          <t>Data Platforms</t>
        </is>
      </c>
      <c r="Q337" t="inlineStr">
        <is>
          <t>Squad</t>
        </is>
      </c>
      <c r="R337" t="inlineStr">
        <is>
          <t>Filled</t>
        </is>
      </c>
    </row>
    <row r="338" ht="18" customHeight="1" s="506">
      <c r="A338" s="259" t="n">
        <v>113451</v>
      </c>
      <c r="B338" s="224" t="inlineStr">
        <is>
          <t>Prashanth Krishnankutty</t>
        </is>
      </c>
      <c r="C338" s="224" t="inlineStr">
        <is>
          <t>Lead Reporting &amp; Insights</t>
        </is>
      </c>
      <c r="D338" t="inlineStr">
        <is>
          <t>Vacant</t>
        </is>
      </c>
      <c r="E338" s="224" t="inlineStr">
        <is>
          <t>Technology Manager, Data Engineering &amp; Platforms</t>
        </is>
      </c>
      <c r="F338" s="269" t="inlineStr">
        <is>
          <t>Strategy, Architecture &amp; Data</t>
        </is>
      </c>
      <c r="G338" s="260" t="inlineStr">
        <is>
          <t>Group Data</t>
        </is>
      </c>
      <c r="H338" s="269" t="inlineStr">
        <is>
          <t>Data Engineering &amp; Platforms</t>
        </is>
      </c>
      <c r="I338" s="269" t="inlineStr">
        <is>
          <t>Enterprise Data</t>
        </is>
      </c>
      <c r="J338" s="269" t="inlineStr">
        <is>
          <t>Group Data</t>
        </is>
      </c>
      <c r="K338" s="269" t="inlineStr">
        <is>
          <t>Reporting &amp; Analytics</t>
        </is>
      </c>
      <c r="L338" s="260" t="n"/>
      <c r="M338" s="261" t="inlineStr">
        <is>
          <t>Australia</t>
        </is>
      </c>
      <c r="N338" t="inlineStr">
        <is>
          <t>Enterprise Data</t>
        </is>
      </c>
      <c r="O338" t="inlineStr">
        <is>
          <t>Group Data</t>
        </is>
      </c>
      <c r="P338" t="inlineStr">
        <is>
          <t>Reporting &amp; Analytics</t>
        </is>
      </c>
      <c r="Q338" t="inlineStr">
        <is>
          <t>Squad</t>
        </is>
      </c>
      <c r="R338" t="inlineStr">
        <is>
          <t>Filled</t>
        </is>
      </c>
    </row>
    <row r="339" ht="18" customHeight="1" s="506">
      <c r="A339" s="259" t="n"/>
      <c r="B339" s="224" t="inlineStr">
        <is>
          <t>ring fenced</t>
        </is>
      </c>
      <c r="C339" s="224" t="inlineStr">
        <is>
          <t>Domain Architect - Retail &amp; Z</t>
        </is>
      </c>
      <c r="D339" t="inlineStr">
        <is>
          <t>Vacant</t>
        </is>
      </c>
      <c r="E339" s="224" t="inlineStr">
        <is>
          <t>Head of Architecture</t>
        </is>
      </c>
      <c r="F339" s="269" t="inlineStr">
        <is>
          <t>Strategy, Architecture &amp; Data</t>
        </is>
      </c>
      <c r="G339" s="260" t="inlineStr">
        <is>
          <t>Architecture</t>
        </is>
      </c>
      <c r="H339" s="291" t="inlineStr">
        <is>
          <t>Architecture</t>
        </is>
      </c>
      <c r="I339" s="269" t="n"/>
      <c r="J339" s="269" t="n"/>
      <c r="K339" s="260" t="inlineStr">
        <is>
          <t>COE, Architecture</t>
        </is>
      </c>
      <c r="L339" s="260" t="n"/>
      <c r="M339" s="261" t="n"/>
      <c r="N339" t="inlineStr">
        <is>
          <t>COE</t>
        </is>
      </c>
      <c r="O339" t="inlineStr">
        <is>
          <t>COE - Strategy Architecture</t>
        </is>
      </c>
      <c r="P339" t="inlineStr">
        <is>
          <t>COE - Strategy Architecture</t>
        </is>
      </c>
      <c r="Q339" t="inlineStr">
        <is>
          <t>COE</t>
        </is>
      </c>
      <c r="R339" t="inlineStr">
        <is>
          <t>Filled</t>
        </is>
      </c>
    </row>
    <row r="340" ht="18" customHeight="1" s="506">
      <c r="A340" s="259" t="n">
        <v>96283</v>
      </c>
      <c r="B340" s="224" t="inlineStr">
        <is>
          <t>Ed Tacey</t>
        </is>
      </c>
      <c r="C340" s="224" t="inlineStr">
        <is>
          <t>Head of Architecture</t>
        </is>
      </c>
      <c r="D340" t="inlineStr">
        <is>
          <t>Vacant</t>
        </is>
      </c>
      <c r="E340" t="inlineStr">
        <is>
          <t>GM TDD, Strategy, Architecture, Data</t>
        </is>
      </c>
      <c r="F340" s="269" t="inlineStr">
        <is>
          <t>Strategy, Architecture &amp; Data</t>
        </is>
      </c>
      <c r="G340" s="260" t="inlineStr">
        <is>
          <t>Architecture</t>
        </is>
      </c>
      <c r="H340" s="260" t="n"/>
      <c r="I340" s="260" t="n"/>
      <c r="J340" s="269" t="n"/>
      <c r="K340" s="269" t="inlineStr">
        <is>
          <t>Leadership</t>
        </is>
      </c>
      <c r="L340" s="260" t="n"/>
      <c r="M340" s="261" t="inlineStr">
        <is>
          <t>Australia</t>
        </is>
      </c>
      <c r="N340" t="inlineStr">
        <is>
          <t>Unmapped</t>
        </is>
      </c>
      <c r="O340" t="inlineStr">
        <is>
          <t>Leadership</t>
        </is>
      </c>
      <c r="P340" t="inlineStr">
        <is>
          <t>Leadership</t>
        </is>
      </c>
      <c r="Q340" t="inlineStr">
        <is>
          <t>Leadership</t>
        </is>
      </c>
      <c r="R340" t="inlineStr">
        <is>
          <t>Filled</t>
        </is>
      </c>
    </row>
    <row r="341" ht="18" customHeight="1" s="506">
      <c r="A341" s="259" t="n"/>
      <c r="B341" s="224" t="inlineStr">
        <is>
          <t>ring fenced</t>
        </is>
      </c>
      <c r="C341" s="224" t="inlineStr">
        <is>
          <t>Enterprise Architect</t>
        </is>
      </c>
      <c r="D341" t="inlineStr">
        <is>
          <t>Vacant</t>
        </is>
      </c>
      <c r="E341" s="224" t="inlineStr">
        <is>
          <t>Head of Architecture</t>
        </is>
      </c>
      <c r="F341" s="269" t="inlineStr">
        <is>
          <t>Strategy, Architecture &amp; Data</t>
        </is>
      </c>
      <c r="G341" s="260" t="inlineStr">
        <is>
          <t>Architecture</t>
        </is>
      </c>
      <c r="H341" s="269" t="inlineStr">
        <is>
          <t>Architecture</t>
        </is>
      </c>
      <c r="I341" s="269" t="n"/>
      <c r="J341" s="269" t="n"/>
      <c r="K341" s="260" t="inlineStr">
        <is>
          <t>COE, Architecture</t>
        </is>
      </c>
      <c r="L341" s="260" t="n"/>
      <c r="M341" s="261" t="n"/>
      <c r="N341" t="inlineStr">
        <is>
          <t>COE</t>
        </is>
      </c>
      <c r="O341" t="inlineStr">
        <is>
          <t>COE - Strategy Architecture</t>
        </is>
      </c>
      <c r="P341" t="inlineStr">
        <is>
          <t>COE - Strategy Architecture</t>
        </is>
      </c>
      <c r="Q341" t="inlineStr">
        <is>
          <t>COE</t>
        </is>
      </c>
      <c r="R341" t="inlineStr">
        <is>
          <t>Filled</t>
        </is>
      </c>
    </row>
    <row r="342" ht="18" customHeight="1" s="506">
      <c r="A342" s="259" t="n"/>
      <c r="B342" s="224" t="inlineStr">
        <is>
          <t>Vacant</t>
        </is>
      </c>
      <c r="C342" s="224" t="inlineStr">
        <is>
          <t>Strategy Analyst</t>
        </is>
      </c>
      <c r="D342" t="inlineStr">
        <is>
          <t>Vacant</t>
        </is>
      </c>
      <c r="E342" s="224" t="inlineStr">
        <is>
          <t>Head of Technology  Strategy &amp; AI Capability</t>
        </is>
      </c>
      <c r="F342" s="269" t="inlineStr">
        <is>
          <t>Strategy, Architecture &amp; Data</t>
        </is>
      </c>
      <c r="G342" s="260" t="inlineStr">
        <is>
          <t>Technology Strategy &amp; AI Capability</t>
        </is>
      </c>
      <c r="H342" s="260" t="inlineStr">
        <is>
          <t>Technology Strategy &amp; AI Capability</t>
        </is>
      </c>
      <c r="I342" s="269" t="n"/>
      <c r="J342" s="269" t="n"/>
      <c r="K342" s="260" t="inlineStr">
        <is>
          <t>COE</t>
        </is>
      </c>
      <c r="L342" s="260" t="n"/>
      <c r="M342" s="261" t="n"/>
      <c r="N342" t="inlineStr">
        <is>
          <t>COE</t>
        </is>
      </c>
      <c r="O342" t="inlineStr">
        <is>
          <t>COE - Strategy Architecture</t>
        </is>
      </c>
      <c r="P342" t="inlineStr">
        <is>
          <t>COE - Strategy Architecture</t>
        </is>
      </c>
      <c r="Q342" t="inlineStr">
        <is>
          <t>COE</t>
        </is>
      </c>
      <c r="R342" t="inlineStr">
        <is>
          <t>Vacant</t>
        </is>
      </c>
    </row>
    <row r="343" ht="18" customFormat="1" customHeight="1" s="281">
      <c r="A343" s="279" t="n"/>
      <c r="B343" s="274" t="inlineStr">
        <is>
          <t>Vacant</t>
        </is>
      </c>
      <c r="C343" s="274" t="inlineStr">
        <is>
          <t>Tech Support Technician</t>
        </is>
      </c>
      <c r="D343" s="292" t="inlineStr">
        <is>
          <t>Allan Francia</t>
        </is>
      </c>
      <c r="E343" s="274" t="inlineStr">
        <is>
          <t>Technology Manager, T&amp;S</t>
        </is>
      </c>
      <c r="F343" s="274" t="inlineStr">
        <is>
          <t>TDD CFE&amp;I</t>
        </is>
      </c>
      <c r="G343" s="276" t="inlineStr">
        <is>
          <t>Commercial Fuels</t>
        </is>
      </c>
      <c r="H343" s="276" t="inlineStr">
        <is>
          <t>Technology, Trading &amp; Shipping</t>
        </is>
      </c>
      <c r="I343" s="276" t="inlineStr">
        <is>
          <t>Commercial Fuels</t>
        </is>
      </c>
      <c r="J343" s="276" t="inlineStr">
        <is>
          <t>Trading &amp; Shipping</t>
        </is>
      </c>
      <c r="K343" s="274" t="inlineStr">
        <is>
          <t>Trading &amp; Shipping</t>
        </is>
      </c>
      <c r="L343" s="276" t="n"/>
      <c r="M343" s="280" t="n"/>
      <c r="N343" t="inlineStr">
        <is>
          <t>Commercial Fuels</t>
        </is>
      </c>
      <c r="O343" t="inlineStr">
        <is>
          <t>Trading &amp; Shipping</t>
        </is>
      </c>
      <c r="P343" t="inlineStr">
        <is>
          <t>Trading &amp; Shipping</t>
        </is>
      </c>
      <c r="Q343" t="inlineStr">
        <is>
          <t>Squad</t>
        </is>
      </c>
      <c r="R343" t="inlineStr">
        <is>
          <t>Vacant</t>
        </is>
      </c>
    </row>
    <row r="344" ht="18" customHeight="1" s="506">
      <c r="A344" s="259" t="n">
        <v>116312</v>
      </c>
      <c r="B344" s="224" t="inlineStr">
        <is>
          <t>Trung Truong</t>
        </is>
      </c>
      <c r="C344" s="224" t="inlineStr">
        <is>
          <t>Engineer Applications</t>
        </is>
      </c>
      <c r="D344" t="inlineStr">
        <is>
          <t>Allan Francia</t>
        </is>
      </c>
      <c r="E344" t="inlineStr">
        <is>
          <t>Technology Manager, T&amp;S</t>
        </is>
      </c>
      <c r="F344" s="224" t="inlineStr">
        <is>
          <t>TDD CFE&amp;I</t>
        </is>
      </c>
      <c r="G344" s="260" t="inlineStr">
        <is>
          <t>Commercial Fuels</t>
        </is>
      </c>
      <c r="H344" s="260" t="inlineStr">
        <is>
          <t>Trading &amp; Shipping</t>
        </is>
      </c>
      <c r="I344" s="260" t="inlineStr">
        <is>
          <t>Commercial Fuels</t>
        </is>
      </c>
      <c r="J344" s="224" t="inlineStr">
        <is>
          <t>CTRM</t>
        </is>
      </c>
      <c r="K344" s="224" t="inlineStr">
        <is>
          <t>CTRM</t>
        </is>
      </c>
      <c r="L344" s="260" t="n"/>
      <c r="M344" s="261" t="inlineStr">
        <is>
          <t>Singapore</t>
        </is>
      </c>
      <c r="N344" t="inlineStr">
        <is>
          <t>Commercial Fuels</t>
        </is>
      </c>
      <c r="O344" t="inlineStr">
        <is>
          <t>CTRM</t>
        </is>
      </c>
      <c r="P344" t="inlineStr">
        <is>
          <t>CTRM</t>
        </is>
      </c>
      <c r="Q344" t="inlineStr">
        <is>
          <t>Strategic Program</t>
        </is>
      </c>
      <c r="R344" t="inlineStr">
        <is>
          <t>Filled</t>
        </is>
      </c>
    </row>
    <row r="345" ht="13.5" customHeight="1" s="506">
      <c r="A345" s="259" t="n">
        <v>6511</v>
      </c>
      <c r="B345" s="224" t="inlineStr">
        <is>
          <t>Leo Machin</t>
        </is>
      </c>
      <c r="C345" s="224" t="inlineStr">
        <is>
          <t>Lead Engineer Applications</t>
        </is>
      </c>
      <c r="D345" t="inlineStr">
        <is>
          <t>Allan Francia</t>
        </is>
      </c>
      <c r="E345" t="inlineStr">
        <is>
          <t>Technology Manager, T&amp;S</t>
        </is>
      </c>
      <c r="F345" s="224" t="inlineStr">
        <is>
          <t>TDD CFE&amp;I</t>
        </is>
      </c>
      <c r="G345" s="260" t="inlineStr">
        <is>
          <t>Commercial Fuels</t>
        </is>
      </c>
      <c r="H345" s="260" t="inlineStr">
        <is>
          <t>Technology, Trading &amp; Shipping</t>
        </is>
      </c>
      <c r="I345" s="260" t="inlineStr">
        <is>
          <t>Commercial Fuels</t>
        </is>
      </c>
      <c r="J345" s="260" t="inlineStr">
        <is>
          <t>Ampol Digital</t>
        </is>
      </c>
      <c r="K345" s="224" t="inlineStr">
        <is>
          <t>Trading &amp; Shipping</t>
        </is>
      </c>
      <c r="L345" s="260" t="n"/>
      <c r="M345" s="261" t="inlineStr">
        <is>
          <t>Australia</t>
        </is>
      </c>
      <c r="N345" t="inlineStr">
        <is>
          <t>Commercial Fuels</t>
        </is>
      </c>
      <c r="O345" t="inlineStr">
        <is>
          <t>Trading &amp; Shipping</t>
        </is>
      </c>
      <c r="P345" t="inlineStr">
        <is>
          <t>Trading &amp; Shipping</t>
        </is>
      </c>
      <c r="Q345" t="inlineStr">
        <is>
          <t>Squad</t>
        </is>
      </c>
      <c r="R345" t="inlineStr">
        <is>
          <t>Filled</t>
        </is>
      </c>
    </row>
    <row r="346" ht="18" customHeight="1" s="506">
      <c r="A346" s="259" t="n">
        <v>11661</v>
      </c>
      <c r="B346" s="269" t="inlineStr">
        <is>
          <t>Kevin Li</t>
        </is>
      </c>
      <c r="C346" s="269" t="inlineStr">
        <is>
          <t>System Specialist</t>
        </is>
      </c>
      <c r="D346" s="262" t="inlineStr">
        <is>
          <t>Allan Francia</t>
        </is>
      </c>
      <c r="E346" t="inlineStr">
        <is>
          <t>Technology Manager, T&amp;S</t>
        </is>
      </c>
      <c r="F346" s="224" t="inlineStr">
        <is>
          <t>TDD CFE&amp;I</t>
        </is>
      </c>
      <c r="G346" s="260" t="inlineStr">
        <is>
          <t>Commercial Fuels</t>
        </is>
      </c>
      <c r="H346" s="260" t="inlineStr">
        <is>
          <t>Technology, Trading &amp; Shipping</t>
        </is>
      </c>
      <c r="I346" s="260" t="inlineStr">
        <is>
          <t>Commercial Fuels</t>
        </is>
      </c>
      <c r="J346" s="260" t="inlineStr">
        <is>
          <t>Trading &amp; Shipping</t>
        </is>
      </c>
      <c r="K346" s="260" t="inlineStr">
        <is>
          <t>Trading &amp; Shipping</t>
        </is>
      </c>
      <c r="L346" s="260" t="n"/>
      <c r="M346" s="261" t="inlineStr">
        <is>
          <t>Australia</t>
        </is>
      </c>
      <c r="N346" t="inlineStr">
        <is>
          <t>Commercial Fuels</t>
        </is>
      </c>
      <c r="O346" t="inlineStr">
        <is>
          <t>Trading &amp; Shipping</t>
        </is>
      </c>
      <c r="P346" t="inlineStr">
        <is>
          <t>Trading &amp; Shipping</t>
        </is>
      </c>
      <c r="Q346" t="inlineStr">
        <is>
          <t>Squad</t>
        </is>
      </c>
      <c r="R346" t="inlineStr">
        <is>
          <t>Filled</t>
        </is>
      </c>
    </row>
    <row r="347" ht="18" customHeight="1" s="506">
      <c r="A347" s="259" t="n">
        <v>115836</v>
      </c>
      <c r="B347" s="224" t="inlineStr">
        <is>
          <t>JR Panganiban</t>
        </is>
      </c>
      <c r="C347" s="224" t="inlineStr">
        <is>
          <t>Technology Support Engineer</t>
        </is>
      </c>
      <c r="D347" t="inlineStr">
        <is>
          <t>Allan Francia</t>
        </is>
      </c>
      <c r="E347" t="inlineStr">
        <is>
          <t>Technology Manager, T&amp;S</t>
        </is>
      </c>
      <c r="F347" s="224" t="inlineStr">
        <is>
          <t>TDD CFE&amp;I</t>
        </is>
      </c>
      <c r="G347" s="260" t="inlineStr">
        <is>
          <t>Commercial Fuels</t>
        </is>
      </c>
      <c r="H347" s="260" t="inlineStr">
        <is>
          <t>Technology, Trading &amp; Shipping</t>
        </is>
      </c>
      <c r="I347" s="260" t="inlineStr">
        <is>
          <t>Commercial Fuels</t>
        </is>
      </c>
      <c r="J347" s="260" t="inlineStr">
        <is>
          <t>Trading &amp; Shipping</t>
        </is>
      </c>
      <c r="K347" s="224" t="inlineStr">
        <is>
          <t>Trading &amp; Shipping</t>
        </is>
      </c>
      <c r="L347" s="260" t="n"/>
      <c r="M347" s="261" t="inlineStr">
        <is>
          <t>USA</t>
        </is>
      </c>
      <c r="N347" t="inlineStr">
        <is>
          <t>Commercial Fuels</t>
        </is>
      </c>
      <c r="O347" t="inlineStr">
        <is>
          <t>Trading &amp; Shipping</t>
        </is>
      </c>
      <c r="P347" t="inlineStr">
        <is>
          <t>Trading &amp; Shipping</t>
        </is>
      </c>
      <c r="Q347" t="inlineStr">
        <is>
          <t>Squad</t>
        </is>
      </c>
      <c r="R347" t="inlineStr">
        <is>
          <t>Filled</t>
        </is>
      </c>
    </row>
    <row r="348" ht="18" customHeight="1" s="506">
      <c r="A348" s="259" t="n">
        <v>14920</v>
      </c>
      <c r="B348" s="224" t="inlineStr">
        <is>
          <t>Poch Fernandez</t>
        </is>
      </c>
      <c r="C348" s="224" t="inlineStr">
        <is>
          <t xml:space="preserve">Lead Technology Support  </t>
        </is>
      </c>
      <c r="D348" t="inlineStr">
        <is>
          <t>Allan Francia</t>
        </is>
      </c>
      <c r="E348" t="inlineStr">
        <is>
          <t>Technology Manager, T&amp;S</t>
        </is>
      </c>
      <c r="F348" s="224" t="inlineStr">
        <is>
          <t>TDD CFE&amp;I</t>
        </is>
      </c>
      <c r="G348" s="260" t="inlineStr">
        <is>
          <t>Commercial Fuels</t>
        </is>
      </c>
      <c r="H348" s="260" t="inlineStr">
        <is>
          <t>Technology, Trading &amp; Shipping</t>
        </is>
      </c>
      <c r="I348" s="260" t="inlineStr">
        <is>
          <t>Commercial Fuels</t>
        </is>
      </c>
      <c r="J348" s="260" t="inlineStr">
        <is>
          <t>Trading &amp; Shipping</t>
        </is>
      </c>
      <c r="K348" s="224" t="inlineStr">
        <is>
          <t>Trading &amp; Shipping</t>
        </is>
      </c>
      <c r="L348" s="260" t="n"/>
      <c r="M348" s="261" t="inlineStr">
        <is>
          <t>Singapore</t>
        </is>
      </c>
      <c r="N348" t="inlineStr">
        <is>
          <t>Commercial Fuels</t>
        </is>
      </c>
      <c r="O348" t="inlineStr">
        <is>
          <t>Trading &amp; Shipping</t>
        </is>
      </c>
      <c r="P348" t="inlineStr">
        <is>
          <t>Trading &amp; Shipping</t>
        </is>
      </c>
      <c r="Q348" t="inlineStr">
        <is>
          <t>Squad</t>
        </is>
      </c>
      <c r="R348" t="inlineStr">
        <is>
          <t>Filled</t>
        </is>
      </c>
    </row>
    <row r="349" ht="18" customHeight="1" s="506">
      <c r="A349" s="259" t="n">
        <v>14013</v>
      </c>
      <c r="B349" s="224" t="inlineStr">
        <is>
          <t>Jem Cruz</t>
        </is>
      </c>
      <c r="C349" s="224" t="inlineStr">
        <is>
          <t>System Specialist</t>
        </is>
      </c>
      <c r="D349" t="inlineStr">
        <is>
          <t>Allan Francia</t>
        </is>
      </c>
      <c r="E349" t="inlineStr">
        <is>
          <t>Technology Manager, T&amp;S</t>
        </is>
      </c>
      <c r="F349" s="224" t="inlineStr">
        <is>
          <t>TDD CFE&amp;I</t>
        </is>
      </c>
      <c r="G349" s="260" t="inlineStr">
        <is>
          <t>Commercial Fuels</t>
        </is>
      </c>
      <c r="H349" s="260" t="inlineStr">
        <is>
          <t>Technology, Trading &amp; Shipping</t>
        </is>
      </c>
      <c r="I349" s="260" t="inlineStr">
        <is>
          <t>Commercial Fuels</t>
        </is>
      </c>
      <c r="J349" s="260" t="inlineStr">
        <is>
          <t>Trading &amp; Shipping</t>
        </is>
      </c>
      <c r="K349" s="224" t="inlineStr">
        <is>
          <t>Trading &amp; Shipping</t>
        </is>
      </c>
      <c r="L349" s="260" t="n"/>
      <c r="M349" s="261" t="inlineStr">
        <is>
          <t>Australia</t>
        </is>
      </c>
      <c r="N349" t="inlineStr">
        <is>
          <t>Commercial Fuels</t>
        </is>
      </c>
      <c r="O349" t="inlineStr">
        <is>
          <t>Trading &amp; Shipping</t>
        </is>
      </c>
      <c r="P349" t="inlineStr">
        <is>
          <t>Trading &amp; Shipping</t>
        </is>
      </c>
      <c r="Q349" t="inlineStr">
        <is>
          <t>Squad</t>
        </is>
      </c>
      <c r="R349" t="inlineStr">
        <is>
          <t>Filled</t>
        </is>
      </c>
    </row>
    <row r="350" ht="18" customHeight="1" s="506">
      <c r="A350" s="259" t="n">
        <v>106547</v>
      </c>
      <c r="B350" s="224" t="inlineStr">
        <is>
          <t>Chin Fang Kwek</t>
        </is>
      </c>
      <c r="C350" s="224" t="inlineStr">
        <is>
          <t>System Analyst</t>
        </is>
      </c>
      <c r="D350" t="inlineStr">
        <is>
          <t>Allan Francia</t>
        </is>
      </c>
      <c r="E350" t="inlineStr">
        <is>
          <t>Technology Manager, T&amp;S</t>
        </is>
      </c>
      <c r="F350" s="224" t="inlineStr">
        <is>
          <t>TDD CFE&amp;I</t>
        </is>
      </c>
      <c r="G350" s="260" t="inlineStr">
        <is>
          <t>Commercial Fuels</t>
        </is>
      </c>
      <c r="H350" s="260" t="inlineStr">
        <is>
          <t>Technology, Trading &amp; Shipping</t>
        </is>
      </c>
      <c r="I350" s="260" t="inlineStr">
        <is>
          <t>Commercial Fuels</t>
        </is>
      </c>
      <c r="J350" s="260" t="inlineStr">
        <is>
          <t>Trading &amp; Shipping</t>
        </is>
      </c>
      <c r="K350" s="224" t="inlineStr">
        <is>
          <t>Trading &amp; Shipping</t>
        </is>
      </c>
      <c r="L350" s="260" t="n"/>
      <c r="M350" s="261" t="inlineStr">
        <is>
          <t>Singapore</t>
        </is>
      </c>
      <c r="N350" t="inlineStr">
        <is>
          <t>Commercial Fuels</t>
        </is>
      </c>
      <c r="O350" t="inlineStr">
        <is>
          <t>Trading &amp; Shipping</t>
        </is>
      </c>
      <c r="P350" t="inlineStr">
        <is>
          <t>Trading &amp; Shipping</t>
        </is>
      </c>
      <c r="Q350" t="inlineStr">
        <is>
          <t>Squad</t>
        </is>
      </c>
      <c r="R350" t="inlineStr">
        <is>
          <t>Filled</t>
        </is>
      </c>
    </row>
    <row r="351" ht="18" customHeight="1" s="506">
      <c r="A351" s="259" t="n"/>
      <c r="B351" s="224" t="inlineStr">
        <is>
          <t>vacant</t>
        </is>
      </c>
      <c r="C351" s="224" t="inlineStr">
        <is>
          <t>Technology Manager Data</t>
        </is>
      </c>
      <c r="D351" t="inlineStr">
        <is>
          <t>Amish Pandit</t>
        </is>
      </c>
      <c r="E351" t="inlineStr">
        <is>
          <t>Head of Technology, Fuel Infrastructure</t>
        </is>
      </c>
      <c r="F351" s="224" t="inlineStr">
        <is>
          <t>TDD CFE&amp;I</t>
        </is>
      </c>
      <c r="G351" s="260" t="inlineStr">
        <is>
          <t>Fuel Infrastructure</t>
        </is>
      </c>
      <c r="H351" s="260" t="inlineStr">
        <is>
          <t>Fuel Infrastructure, Data</t>
        </is>
      </c>
      <c r="I351" s="260" t="inlineStr">
        <is>
          <t>Infrastructure</t>
        </is>
      </c>
      <c r="J351" s="224" t="inlineStr">
        <is>
          <t>Leadership</t>
        </is>
      </c>
      <c r="K351" s="224" t="inlineStr">
        <is>
          <t>Leadership</t>
        </is>
      </c>
      <c r="L351" s="260" t="n"/>
      <c r="M351" s="261" t="n"/>
      <c r="N351" t="inlineStr">
        <is>
          <t>Infrastructure</t>
        </is>
      </c>
      <c r="O351" t="inlineStr">
        <is>
          <t>Leadership</t>
        </is>
      </c>
      <c r="P351" t="inlineStr">
        <is>
          <t>Leadership</t>
        </is>
      </c>
      <c r="Q351" t="inlineStr">
        <is>
          <t>Leadership</t>
        </is>
      </c>
      <c r="R351" t="inlineStr">
        <is>
          <t>Vacant</t>
        </is>
      </c>
    </row>
    <row r="352" ht="18" customHeight="1" s="506">
      <c r="A352" s="259" t="n">
        <v>109475</v>
      </c>
      <c r="B352" s="224" t="inlineStr">
        <is>
          <t>Jaya Ganasan</t>
        </is>
      </c>
      <c r="C352" s="293" t="inlineStr">
        <is>
          <t>B2B &amp; Energy+B452:I452</t>
        </is>
      </c>
      <c r="D352" t="inlineStr">
        <is>
          <t>Amish Pandit</t>
        </is>
      </c>
      <c r="E352" t="inlineStr">
        <is>
          <t>Head of Technology, Fuel Infrastructure</t>
        </is>
      </c>
      <c r="F352" s="224" t="inlineStr">
        <is>
          <t>TDD CFE&amp;I</t>
        </is>
      </c>
      <c r="G352" s="260" t="inlineStr">
        <is>
          <t>Fuel Infrastructure</t>
        </is>
      </c>
      <c r="H352" s="260" t="inlineStr">
        <is>
          <t>Refinery Applications</t>
        </is>
      </c>
      <c r="I352" s="260" t="inlineStr">
        <is>
          <t>Infrastructure</t>
        </is>
      </c>
      <c r="J352" s="260" t="inlineStr">
        <is>
          <t>Manufacturing</t>
        </is>
      </c>
      <c r="K352" s="224" t="inlineStr">
        <is>
          <t>Manufacturing Group Projects</t>
        </is>
      </c>
      <c r="L352" s="260" t="n"/>
      <c r="M352" s="261" t="inlineStr">
        <is>
          <t>Australia</t>
        </is>
      </c>
      <c r="N352" t="inlineStr">
        <is>
          <t>Infrastructure</t>
        </is>
      </c>
      <c r="O352" t="inlineStr">
        <is>
          <t>Manufacturing</t>
        </is>
      </c>
      <c r="P352" t="inlineStr">
        <is>
          <t>Manufacturing &amp; Group Projects</t>
        </is>
      </c>
      <c r="Q352" t="inlineStr">
        <is>
          <t>Squad</t>
        </is>
      </c>
      <c r="R352" t="inlineStr">
        <is>
          <t>Filled</t>
        </is>
      </c>
    </row>
    <row r="353" ht="18" customHeight="1" s="506">
      <c r="A353" s="259" t="n">
        <v>101861</v>
      </c>
      <c r="B353" s="224" t="inlineStr">
        <is>
          <t>Prem Shetty</t>
        </is>
      </c>
      <c r="C353" s="224" t="inlineStr">
        <is>
          <t>Delivery manager</t>
        </is>
      </c>
      <c r="D353" t="inlineStr">
        <is>
          <t>Amish Pandit</t>
        </is>
      </c>
      <c r="E353" t="inlineStr">
        <is>
          <t>Head of Technology, Fuel Infrastructure</t>
        </is>
      </c>
      <c r="F353" s="224" t="inlineStr">
        <is>
          <t>TDD CFE&amp;I</t>
        </is>
      </c>
      <c r="G353" s="260" t="inlineStr">
        <is>
          <t>Fuel Infrastructure</t>
        </is>
      </c>
      <c r="H353" s="260" t="inlineStr">
        <is>
          <t>Fuel Infrastructure, Delivery</t>
        </is>
      </c>
      <c r="I353" s="260" t="inlineStr">
        <is>
          <t>Infrastructure</t>
        </is>
      </c>
      <c r="J353" s="260" t="inlineStr">
        <is>
          <t xml:space="preserve">Leadership </t>
        </is>
      </c>
      <c r="K353" s="224" t="inlineStr">
        <is>
          <t>Leadership</t>
        </is>
      </c>
      <c r="L353" s="260" t="n"/>
      <c r="M353" s="261" t="n"/>
      <c r="N353" t="inlineStr">
        <is>
          <t>Infrastructure</t>
        </is>
      </c>
      <c r="O353" t="inlineStr">
        <is>
          <t>Leadership</t>
        </is>
      </c>
      <c r="P353" t="inlineStr">
        <is>
          <t>Leadership</t>
        </is>
      </c>
      <c r="Q353" t="inlineStr">
        <is>
          <t>Leadership</t>
        </is>
      </c>
      <c r="R353" t="inlineStr">
        <is>
          <t>Filled</t>
        </is>
      </c>
    </row>
    <row r="354" ht="18" customHeight="1" s="506">
      <c r="A354" s="259" t="n">
        <v>106201</v>
      </c>
      <c r="B354" s="269" t="inlineStr">
        <is>
          <t>George Moun</t>
        </is>
      </c>
      <c r="C354" s="269" t="inlineStr">
        <is>
          <t>Solution Architect</t>
        </is>
      </c>
      <c r="D354" s="262" t="inlineStr">
        <is>
          <t>Amish Pandit</t>
        </is>
      </c>
      <c r="E354" s="262" t="inlineStr">
        <is>
          <t>Head of Technology, Infrastructure</t>
        </is>
      </c>
      <c r="F354" s="224" t="inlineStr">
        <is>
          <t>TDD CFE&amp;I</t>
        </is>
      </c>
      <c r="G354" s="260" t="inlineStr">
        <is>
          <t>Fuel Infrastructure</t>
        </is>
      </c>
      <c r="H354" s="260" t="inlineStr">
        <is>
          <t>Fuel Infrastructure</t>
        </is>
      </c>
      <c r="I354" s="260" t="inlineStr">
        <is>
          <t>Infrastructure</t>
        </is>
      </c>
      <c r="J354" s="260" t="inlineStr">
        <is>
          <t xml:space="preserve">Leadership </t>
        </is>
      </c>
      <c r="K354" s="260" t="inlineStr">
        <is>
          <t>Leadership</t>
        </is>
      </c>
      <c r="L354" s="260" t="n"/>
      <c r="M354" s="261" t="inlineStr">
        <is>
          <t>Australia</t>
        </is>
      </c>
      <c r="N354" t="inlineStr">
        <is>
          <t>Infrastructure</t>
        </is>
      </c>
      <c r="O354" t="inlineStr">
        <is>
          <t>Leadership</t>
        </is>
      </c>
      <c r="P354" t="inlineStr">
        <is>
          <t>Leadership</t>
        </is>
      </c>
      <c r="Q354" t="inlineStr">
        <is>
          <t>Leadership</t>
        </is>
      </c>
      <c r="R354" t="inlineStr">
        <is>
          <t>Filled</t>
        </is>
      </c>
    </row>
    <row r="355" ht="18" customHeight="1" s="506">
      <c r="A355" s="259" t="n">
        <v>99999101636</v>
      </c>
      <c r="B355" s="224" t="inlineStr">
        <is>
          <t>Rod Santillan</t>
        </is>
      </c>
      <c r="C355" s="224" t="inlineStr">
        <is>
          <t>Snr Engineer Software</t>
        </is>
      </c>
      <c r="D355" t="inlineStr">
        <is>
          <t>Elle Spencer</t>
        </is>
      </c>
      <c r="E355" t="inlineStr">
        <is>
          <t>Technology Manager, Energy Solutions</t>
        </is>
      </c>
      <c r="F355" s="224" t="inlineStr">
        <is>
          <t>TDD CFE&amp;I</t>
        </is>
      </c>
      <c r="G355" s="260" t="inlineStr">
        <is>
          <t>B2B &amp; Energy Solutions</t>
        </is>
      </c>
      <c r="H355" s="260" t="inlineStr">
        <is>
          <t>Technology B2B</t>
        </is>
      </c>
      <c r="I355" s="260" t="inlineStr">
        <is>
          <t>B2B &amp; Energy Solutions</t>
        </is>
      </c>
      <c r="J355" s="224" t="inlineStr">
        <is>
          <t>B2B</t>
        </is>
      </c>
      <c r="K355" s="224" t="inlineStr">
        <is>
          <t>B2B</t>
        </is>
      </c>
      <c r="L355" s="260" t="n"/>
      <c r="M355" s="261" t="inlineStr">
        <is>
          <t>NZ</t>
        </is>
      </c>
      <c r="N355" t="inlineStr">
        <is>
          <t>Energy Solutions &amp; B2B</t>
        </is>
      </c>
      <c r="O355" t="inlineStr">
        <is>
          <t>B2B</t>
        </is>
      </c>
      <c r="P355" t="inlineStr">
        <is>
          <t>B2B</t>
        </is>
      </c>
      <c r="Q355" t="inlineStr">
        <is>
          <t>Squad</t>
        </is>
      </c>
      <c r="R355" t="inlineStr">
        <is>
          <t>Filled</t>
        </is>
      </c>
    </row>
    <row r="356" ht="18" customFormat="1" customHeight="1" s="298">
      <c r="A356" s="294" t="n">
        <v>90813</v>
      </c>
      <c r="B356" s="270" t="inlineStr">
        <is>
          <t>Vacant  (Contract)</t>
        </is>
      </c>
      <c r="C356" s="270" t="inlineStr">
        <is>
          <t>Senior Systems Analyst - Card</t>
        </is>
      </c>
      <c r="D356" s="295" t="inlineStr">
        <is>
          <t>Elle Spencer</t>
        </is>
      </c>
      <c r="E356" s="295" t="inlineStr">
        <is>
          <t>Technology Manager, Energy Solutions</t>
        </is>
      </c>
      <c r="F356" s="270" t="inlineStr">
        <is>
          <t>TDD CFE&amp;I</t>
        </is>
      </c>
      <c r="G356" s="296" t="inlineStr">
        <is>
          <t>B2B &amp; Energy Solutions</t>
        </is>
      </c>
      <c r="H356" s="296" t="inlineStr">
        <is>
          <t>Technology B2B</t>
        </is>
      </c>
      <c r="I356" s="296" t="inlineStr">
        <is>
          <t>B2B &amp; Energy Solutions</t>
        </is>
      </c>
      <c r="J356" s="270" t="inlineStr">
        <is>
          <t>B2B</t>
        </is>
      </c>
      <c r="K356" s="270" t="inlineStr">
        <is>
          <t>B2B</t>
        </is>
      </c>
      <c r="L356" s="296" t="n"/>
      <c r="M356" s="297" t="inlineStr">
        <is>
          <t>Australia</t>
        </is>
      </c>
      <c r="N356" t="inlineStr">
        <is>
          <t>Energy Solutions &amp; B2B</t>
        </is>
      </c>
      <c r="O356" t="inlineStr">
        <is>
          <t>B2B</t>
        </is>
      </c>
      <c r="P356" t="inlineStr">
        <is>
          <t>B2B</t>
        </is>
      </c>
      <c r="Q356" t="inlineStr">
        <is>
          <t>Squad</t>
        </is>
      </c>
      <c r="R356" t="inlineStr">
        <is>
          <t>Filled</t>
        </is>
      </c>
    </row>
    <row r="357" ht="18" customHeight="1" s="506">
      <c r="A357" s="259" t="n">
        <v>99691</v>
      </c>
      <c r="B357" s="224" t="inlineStr">
        <is>
          <t>Frank Liang</t>
        </is>
      </c>
      <c r="C357" s="224" t="inlineStr">
        <is>
          <t>Senior Systems Analyst</t>
        </is>
      </c>
      <c r="D357" t="inlineStr">
        <is>
          <t>Elle Spencer</t>
        </is>
      </c>
      <c r="E357" t="inlineStr">
        <is>
          <t>Technology Manager, Energy Solutions</t>
        </is>
      </c>
      <c r="F357" s="224" t="inlineStr">
        <is>
          <t>TDD CFE&amp;I</t>
        </is>
      </c>
      <c r="G357" s="260" t="inlineStr">
        <is>
          <t>B2B &amp; Energy Solutions</t>
        </is>
      </c>
      <c r="H357" s="260" t="inlineStr">
        <is>
          <t>Technology B2B</t>
        </is>
      </c>
      <c r="I357" s="260" t="inlineStr">
        <is>
          <t>B2B &amp; Energy Solutions</t>
        </is>
      </c>
      <c r="J357" s="224" t="inlineStr">
        <is>
          <t>B2B</t>
        </is>
      </c>
      <c r="K357" s="224" t="inlineStr">
        <is>
          <t>B2B</t>
        </is>
      </c>
      <c r="L357" s="260" t="n"/>
      <c r="M357" s="261" t="inlineStr">
        <is>
          <t>Australia</t>
        </is>
      </c>
      <c r="N357" t="inlineStr">
        <is>
          <t>Energy Solutions &amp; B2B</t>
        </is>
      </c>
      <c r="O357" t="inlineStr">
        <is>
          <t>B2B</t>
        </is>
      </c>
      <c r="P357" t="inlineStr">
        <is>
          <t>B2B</t>
        </is>
      </c>
      <c r="Q357" t="inlineStr">
        <is>
          <t>Squad</t>
        </is>
      </c>
      <c r="R357" t="inlineStr">
        <is>
          <t>Filled</t>
        </is>
      </c>
    </row>
    <row r="358" ht="18" customHeight="1" s="506">
      <c r="A358" s="259" t="n">
        <v>105799</v>
      </c>
      <c r="B358" s="224" t="inlineStr">
        <is>
          <t>Lindsay Baipas</t>
        </is>
      </c>
      <c r="C358" s="224" t="inlineStr">
        <is>
          <t>System Analyst Card</t>
        </is>
      </c>
      <c r="D358" t="inlineStr">
        <is>
          <t>Elle Spencer</t>
        </is>
      </c>
      <c r="E358" t="inlineStr">
        <is>
          <t>Technology Manager, Energy Solutions</t>
        </is>
      </c>
      <c r="F358" s="224" t="inlineStr">
        <is>
          <t>TDD CFE&amp;I</t>
        </is>
      </c>
      <c r="G358" s="260" t="inlineStr">
        <is>
          <t>B2B &amp; Energy Solutions</t>
        </is>
      </c>
      <c r="H358" s="260" t="inlineStr">
        <is>
          <t>Technology B2B</t>
        </is>
      </c>
      <c r="I358" s="260" t="inlineStr">
        <is>
          <t>B2B &amp; Energy Solutions</t>
        </is>
      </c>
      <c r="J358" s="224" t="inlineStr">
        <is>
          <t>B2B</t>
        </is>
      </c>
      <c r="K358" s="224" t="inlineStr">
        <is>
          <t>B2B</t>
        </is>
      </c>
      <c r="L358" s="260" t="n"/>
      <c r="M358" s="261" t="inlineStr">
        <is>
          <t>Australia</t>
        </is>
      </c>
      <c r="N358" t="inlineStr">
        <is>
          <t>Energy Solutions &amp; B2B</t>
        </is>
      </c>
      <c r="O358" t="inlineStr">
        <is>
          <t>B2B</t>
        </is>
      </c>
      <c r="P358" t="inlineStr">
        <is>
          <t>B2B</t>
        </is>
      </c>
      <c r="Q358" t="inlineStr">
        <is>
          <t>Squad</t>
        </is>
      </c>
      <c r="R358" t="inlineStr">
        <is>
          <t>Filled</t>
        </is>
      </c>
    </row>
    <row r="359" ht="18" customHeight="1" s="506">
      <c r="A359" s="259" t="n">
        <v>99999101912</v>
      </c>
      <c r="B359" s="224" t="inlineStr">
        <is>
          <t>Alex Abelita</t>
        </is>
      </c>
      <c r="C359" s="224" t="inlineStr">
        <is>
          <t>Associate Engineer - Automation Testing</t>
        </is>
      </c>
      <c r="D359" t="inlineStr">
        <is>
          <t>Elle Spencer</t>
        </is>
      </c>
      <c r="E359" t="inlineStr">
        <is>
          <t>Technology Manager, Energy Solutions</t>
        </is>
      </c>
      <c r="F359" s="224" t="inlineStr">
        <is>
          <t>TDD CFE&amp;I</t>
        </is>
      </c>
      <c r="G359" s="260" t="inlineStr">
        <is>
          <t>B2B &amp; Energy Solutions</t>
        </is>
      </c>
      <c r="H359" s="260" t="inlineStr">
        <is>
          <t>Technology B2B</t>
        </is>
      </c>
      <c r="I359" s="260" t="inlineStr">
        <is>
          <t>B2B &amp; Energy Solutions</t>
        </is>
      </c>
      <c r="J359" s="224" t="inlineStr">
        <is>
          <t>B2B</t>
        </is>
      </c>
      <c r="K359" s="224" t="inlineStr">
        <is>
          <t>B2B</t>
        </is>
      </c>
      <c r="L359" s="260" t="n"/>
      <c r="M359" s="261" t="inlineStr">
        <is>
          <t>NZ</t>
        </is>
      </c>
      <c r="N359" t="inlineStr">
        <is>
          <t>Energy Solutions &amp; B2B</t>
        </is>
      </c>
      <c r="O359" t="inlineStr">
        <is>
          <t>B2B</t>
        </is>
      </c>
      <c r="P359" t="inlineStr">
        <is>
          <t>B2B</t>
        </is>
      </c>
      <c r="Q359" t="inlineStr">
        <is>
          <t>Squad</t>
        </is>
      </c>
      <c r="R359" t="inlineStr">
        <is>
          <t>Filled</t>
        </is>
      </c>
    </row>
    <row r="360" ht="18" customHeight="1" s="506">
      <c r="A360" s="259" t="n">
        <v>114366</v>
      </c>
      <c r="B360" s="224" t="inlineStr">
        <is>
          <t>Allyn Puente</t>
        </is>
      </c>
      <c r="C360" s="224" t="inlineStr">
        <is>
          <t>Graduate</t>
        </is>
      </c>
      <c r="D360" t="inlineStr">
        <is>
          <t>Elle Spencer</t>
        </is>
      </c>
      <c r="E360" t="inlineStr">
        <is>
          <t>Technology Manager, Energy Solutions</t>
        </is>
      </c>
      <c r="F360" s="224" t="inlineStr">
        <is>
          <t>TDD CFE&amp;I</t>
        </is>
      </c>
      <c r="G360" s="260" t="inlineStr">
        <is>
          <t>B2B &amp; Energy Solutions</t>
        </is>
      </c>
      <c r="H360" s="260" t="inlineStr">
        <is>
          <t>Technology B2B</t>
        </is>
      </c>
      <c r="I360" s="260" t="inlineStr">
        <is>
          <t>B2B &amp; Energy Solutions</t>
        </is>
      </c>
      <c r="J360" s="224" t="inlineStr">
        <is>
          <t>B2B</t>
        </is>
      </c>
      <c r="K360" s="224" t="inlineStr">
        <is>
          <t>B2B</t>
        </is>
      </c>
      <c r="L360" s="260" t="n"/>
      <c r="M360" s="261" t="inlineStr">
        <is>
          <t>Australia</t>
        </is>
      </c>
      <c r="N360" t="inlineStr">
        <is>
          <t>Energy Solutions &amp; B2B</t>
        </is>
      </c>
      <c r="O360" t="inlineStr">
        <is>
          <t>B2B</t>
        </is>
      </c>
      <c r="P360" t="inlineStr">
        <is>
          <t>B2B</t>
        </is>
      </c>
      <c r="Q360" t="inlineStr">
        <is>
          <t>Squad</t>
        </is>
      </c>
      <c r="R360" t="inlineStr">
        <is>
          <t>Filled</t>
        </is>
      </c>
    </row>
    <row r="361" ht="18" customHeight="1" s="506">
      <c r="A361" s="259" t="n">
        <v>109362</v>
      </c>
      <c r="B361" s="224" t="inlineStr">
        <is>
          <t>Scott Hasson</t>
        </is>
      </c>
      <c r="C361" s="224" t="inlineStr">
        <is>
          <t>Technology Support Engineer - Infrastructure</t>
        </is>
      </c>
      <c r="D361" t="inlineStr">
        <is>
          <t>Glenn Earl</t>
        </is>
      </c>
      <c r="E361" t="inlineStr">
        <is>
          <t>Lead Support, Infrastructure</t>
        </is>
      </c>
      <c r="F361" s="224" t="inlineStr">
        <is>
          <t>TDD CFE&amp;I</t>
        </is>
      </c>
      <c r="G361" s="260" t="inlineStr">
        <is>
          <t>Fuel Infrastructure</t>
        </is>
      </c>
      <c r="H361" s="260" t="inlineStr">
        <is>
          <t>Refinery Applications</t>
        </is>
      </c>
      <c r="I361" s="262" t="inlineStr">
        <is>
          <t>Infrastructure</t>
        </is>
      </c>
      <c r="J361" s="260" t="inlineStr">
        <is>
          <t>Fuel Infrastructure</t>
        </is>
      </c>
      <c r="K361" t="inlineStr">
        <is>
          <t>Technology Suport</t>
        </is>
      </c>
      <c r="L361" s="260" t="n"/>
      <c r="M361" s="261" t="inlineStr">
        <is>
          <t>Australia</t>
        </is>
      </c>
      <c r="N361" t="inlineStr">
        <is>
          <t>Infrastructure</t>
        </is>
      </c>
      <c r="O361" t="inlineStr">
        <is>
          <t>Manufacturing</t>
        </is>
      </c>
      <c r="P361" t="inlineStr">
        <is>
          <t>Technology Support</t>
        </is>
      </c>
      <c r="Q361" t="inlineStr">
        <is>
          <t>Squad</t>
        </is>
      </c>
      <c r="R361" t="inlineStr">
        <is>
          <t>Filled</t>
        </is>
      </c>
    </row>
    <row r="362" ht="18" customFormat="1" customHeight="1" s="298">
      <c r="A362" s="294" t="n">
        <v>92699</v>
      </c>
      <c r="B362" s="270" t="inlineStr">
        <is>
          <t>Vacant</t>
        </is>
      </c>
      <c r="C362" s="270" t="inlineStr">
        <is>
          <t>Technology Support Engineer - Infrastructure</t>
        </is>
      </c>
      <c r="D362" s="295" t="inlineStr">
        <is>
          <t>Glenn Earl</t>
        </is>
      </c>
      <c r="E362" s="270" t="inlineStr">
        <is>
          <t>Lead Support, Infrastructure</t>
        </is>
      </c>
      <c r="F362" s="270" t="inlineStr">
        <is>
          <t>TDD CFE&amp;I</t>
        </is>
      </c>
      <c r="G362" s="296" t="inlineStr">
        <is>
          <t>Fuel Infrastructure</t>
        </is>
      </c>
      <c r="H362" s="296" t="inlineStr">
        <is>
          <t>Refinery Applications</t>
        </is>
      </c>
      <c r="I362" s="296" t="inlineStr">
        <is>
          <t>Infrastructure</t>
        </is>
      </c>
      <c r="J362" s="296" t="inlineStr">
        <is>
          <t>Fuel Infrastructure</t>
        </is>
      </c>
      <c r="K362" s="270" t="inlineStr">
        <is>
          <t>Technology Suport</t>
        </is>
      </c>
      <c r="L362" s="296" t="n"/>
      <c r="M362" s="297" t="inlineStr">
        <is>
          <t>Australia</t>
        </is>
      </c>
      <c r="N362" t="inlineStr">
        <is>
          <t>Infrastructure</t>
        </is>
      </c>
      <c r="O362" t="inlineStr">
        <is>
          <t>Manufacturing</t>
        </is>
      </c>
      <c r="P362" t="inlineStr">
        <is>
          <t>Technology Support</t>
        </is>
      </c>
      <c r="Q362" t="inlineStr">
        <is>
          <t>Squad</t>
        </is>
      </c>
      <c r="R362" t="inlineStr">
        <is>
          <t>Vacant</t>
        </is>
      </c>
    </row>
    <row r="363" ht="18" customHeight="1" s="506">
      <c r="A363" s="259" t="n">
        <v>110040</v>
      </c>
      <c r="B363" s="224" t="inlineStr">
        <is>
          <t>Tyler Meggs</t>
        </is>
      </c>
      <c r="C363" s="224" t="inlineStr">
        <is>
          <t>System Analyst</t>
        </is>
      </c>
      <c r="D363" t="inlineStr">
        <is>
          <t>Jaya Ganasan</t>
        </is>
      </c>
      <c r="E363" s="224" t="inlineStr">
        <is>
          <t>Technology Manager, TDD Refinery</t>
        </is>
      </c>
      <c r="F363" s="224" t="inlineStr">
        <is>
          <t>TDD CFE&amp;I</t>
        </is>
      </c>
      <c r="G363" s="260" t="inlineStr">
        <is>
          <t>Fuel Infrastructure</t>
        </is>
      </c>
      <c r="H363" s="260" t="inlineStr">
        <is>
          <t>Refinery Applications</t>
        </is>
      </c>
      <c r="I363" s="260" t="inlineStr">
        <is>
          <t>Infrastructure</t>
        </is>
      </c>
      <c r="J363" s="260" t="inlineStr">
        <is>
          <t>Manufacturing</t>
        </is>
      </c>
      <c r="K363" s="224" t="inlineStr">
        <is>
          <t>Manufacturing Group Projects</t>
        </is>
      </c>
      <c r="L363" s="260" t="n"/>
      <c r="M363" s="261" t="inlineStr">
        <is>
          <t>Australia</t>
        </is>
      </c>
      <c r="N363" t="inlineStr">
        <is>
          <t>Infrastructure</t>
        </is>
      </c>
      <c r="O363" t="inlineStr">
        <is>
          <t>Manufacturing</t>
        </is>
      </c>
      <c r="P363" t="inlineStr">
        <is>
          <t>Manufacturing &amp; Group Projects</t>
        </is>
      </c>
      <c r="Q363" t="inlineStr">
        <is>
          <t>Squad</t>
        </is>
      </c>
      <c r="R363" t="inlineStr">
        <is>
          <t>Filled</t>
        </is>
      </c>
    </row>
    <row r="364" ht="18" customHeight="1" s="506">
      <c r="A364" s="259" t="n">
        <v>98087</v>
      </c>
      <c r="B364" s="224" t="inlineStr">
        <is>
          <t>Victor Olasanoye</t>
        </is>
      </c>
      <c r="C364" s="224" t="inlineStr">
        <is>
          <t>Senior Systems Analyst</t>
        </is>
      </c>
      <c r="D364" t="inlineStr">
        <is>
          <t>Jaya Ganasan</t>
        </is>
      </c>
      <c r="E364" s="224" t="inlineStr">
        <is>
          <t>Technology Manager, TDD Refinery</t>
        </is>
      </c>
      <c r="F364" s="224" t="inlineStr">
        <is>
          <t>TDD CFE&amp;I</t>
        </is>
      </c>
      <c r="G364" s="260" t="inlineStr">
        <is>
          <t>Fuel Infrastructure</t>
        </is>
      </c>
      <c r="H364" s="260" t="inlineStr">
        <is>
          <t>Refinery Applications</t>
        </is>
      </c>
      <c r="I364" s="260" t="inlineStr">
        <is>
          <t>Infrastructure</t>
        </is>
      </c>
      <c r="J364" s="260" t="inlineStr">
        <is>
          <t>Manufacturing</t>
        </is>
      </c>
      <c r="K364" s="224" t="inlineStr">
        <is>
          <t>Manuacturing Group Projects</t>
        </is>
      </c>
      <c r="L364" s="260" t="n"/>
      <c r="M364" s="261" t="inlineStr">
        <is>
          <t>Australia</t>
        </is>
      </c>
      <c r="N364" t="inlineStr">
        <is>
          <t>Infrastructure</t>
        </is>
      </c>
      <c r="O364" t="inlineStr">
        <is>
          <t>Manufacturing</t>
        </is>
      </c>
      <c r="P364" t="inlineStr">
        <is>
          <t>Manufacturing &amp; Group Projects</t>
        </is>
      </c>
      <c r="Q364" t="inlineStr">
        <is>
          <t>Squad</t>
        </is>
      </c>
      <c r="R364" t="inlineStr">
        <is>
          <t>Filled</t>
        </is>
      </c>
    </row>
    <row r="365" ht="18" customHeight="1" s="506">
      <c r="A365" s="259" t="n"/>
      <c r="B365" s="224" t="inlineStr">
        <is>
          <t xml:space="preserve">Vacant </t>
        </is>
      </c>
      <c r="C365" s="224" t="inlineStr">
        <is>
          <t>Solution Architect</t>
        </is>
      </c>
      <c r="D365" s="224" t="inlineStr">
        <is>
          <t>Jaya Ganasan</t>
        </is>
      </c>
      <c r="E365" s="224" t="inlineStr">
        <is>
          <t>Technology Manager, TDD Refinery</t>
        </is>
      </c>
      <c r="F365" s="224" t="inlineStr">
        <is>
          <t>TDD CFE&amp;I</t>
        </is>
      </c>
      <c r="G365" s="260" t="inlineStr">
        <is>
          <t>Fuel Infrastructure</t>
        </is>
      </c>
      <c r="H365" s="260" t="inlineStr">
        <is>
          <t>Refinery Applications</t>
        </is>
      </c>
      <c r="I365" s="260" t="inlineStr">
        <is>
          <t>Infrastructure</t>
        </is>
      </c>
      <c r="J365" s="260" t="inlineStr">
        <is>
          <t>Manufacturing</t>
        </is>
      </c>
      <c r="K365" s="224" t="inlineStr">
        <is>
          <t>Manufacturing Group Projects</t>
        </is>
      </c>
      <c r="L365" s="260" t="n"/>
      <c r="M365" s="261" t="n"/>
      <c r="N365" t="inlineStr">
        <is>
          <t>Infrastructure</t>
        </is>
      </c>
      <c r="O365" t="inlineStr">
        <is>
          <t>Manufacturing</t>
        </is>
      </c>
      <c r="P365" t="inlineStr">
        <is>
          <t>Manufacturing &amp; Group Projects</t>
        </is>
      </c>
      <c r="Q365" t="inlineStr">
        <is>
          <t>Squad</t>
        </is>
      </c>
      <c r="R365" t="inlineStr">
        <is>
          <t>Vacant</t>
        </is>
      </c>
    </row>
    <row r="366" ht="18" customHeight="1" s="506">
      <c r="A366" s="259" t="n">
        <v>0</v>
      </c>
      <c r="B366" s="224" t="inlineStr">
        <is>
          <t>Chris Camacho</t>
        </is>
      </c>
      <c r="C366" s="224" t="inlineStr">
        <is>
          <t>Senior Systems Analyst</t>
        </is>
      </c>
      <c r="D366" s="224" t="inlineStr">
        <is>
          <t>Jaya Ganasan</t>
        </is>
      </c>
      <c r="E366" s="224" t="inlineStr">
        <is>
          <t>Technology Manager, TDD Refinery</t>
        </is>
      </c>
      <c r="F366" s="224" t="inlineStr">
        <is>
          <t>TDD CFE&amp;I</t>
        </is>
      </c>
      <c r="G366" s="260" t="inlineStr">
        <is>
          <t>Fuel Infrastructure</t>
        </is>
      </c>
      <c r="H366" s="260" t="inlineStr">
        <is>
          <t>Refinery Applications</t>
        </is>
      </c>
      <c r="I366" s="260" t="inlineStr">
        <is>
          <t>Infrastructure</t>
        </is>
      </c>
      <c r="J366" s="260" t="inlineStr">
        <is>
          <t>Manufacturing</t>
        </is>
      </c>
      <c r="K366" s="224" t="inlineStr">
        <is>
          <t>Manuacturing Group Projects</t>
        </is>
      </c>
      <c r="L366" s="260" t="n"/>
      <c r="M366" s="261" t="n">
        <v>0</v>
      </c>
      <c r="N366" t="inlineStr">
        <is>
          <t>Infrastructure</t>
        </is>
      </c>
      <c r="O366" t="inlineStr">
        <is>
          <t>Manufacturing</t>
        </is>
      </c>
      <c r="P366" t="inlineStr">
        <is>
          <t>Manufacturing &amp; Group Projects</t>
        </is>
      </c>
      <c r="Q366" t="inlineStr">
        <is>
          <t>Squad</t>
        </is>
      </c>
      <c r="R366" t="inlineStr">
        <is>
          <t>Filled</t>
        </is>
      </c>
    </row>
    <row r="367" ht="18" customHeight="1" s="506">
      <c r="A367" s="259" t="n">
        <v>116090</v>
      </c>
      <c r="B367" s="224" t="inlineStr">
        <is>
          <t>Fabian Moreno Cortes</t>
        </is>
      </c>
      <c r="C367" s="224" t="inlineStr">
        <is>
          <t>Engineer - Software</t>
        </is>
      </c>
      <c r="D367" s="224" t="inlineStr">
        <is>
          <t>Jaya Ganasan</t>
        </is>
      </c>
      <c r="E367" s="224" t="inlineStr">
        <is>
          <t>Technology Manager, TDD Refinery</t>
        </is>
      </c>
      <c r="F367" s="224" t="inlineStr">
        <is>
          <t>TDD CFE&amp;I</t>
        </is>
      </c>
      <c r="G367" s="260" t="inlineStr">
        <is>
          <t>Fuel Infrastructure</t>
        </is>
      </c>
      <c r="H367" s="260" t="inlineStr">
        <is>
          <t>Refinery Applications</t>
        </is>
      </c>
      <c r="I367" s="260" t="inlineStr">
        <is>
          <t>Infrastructure</t>
        </is>
      </c>
      <c r="J367" s="260" t="inlineStr">
        <is>
          <t>Manufacturing</t>
        </is>
      </c>
      <c r="K367" s="224" t="inlineStr">
        <is>
          <t>Manuacturing Group Projects</t>
        </is>
      </c>
      <c r="L367" s="260" t="n"/>
      <c r="M367" s="261" t="inlineStr">
        <is>
          <t>Australia</t>
        </is>
      </c>
      <c r="N367" t="inlineStr">
        <is>
          <t>Infrastructure</t>
        </is>
      </c>
      <c r="O367" t="inlineStr">
        <is>
          <t>Manufacturing</t>
        </is>
      </c>
      <c r="P367" t="inlineStr">
        <is>
          <t>Manufacturing &amp; Group Projects</t>
        </is>
      </c>
      <c r="Q367" t="inlineStr">
        <is>
          <t>Squad</t>
        </is>
      </c>
      <c r="R367" t="inlineStr">
        <is>
          <t>Filled</t>
        </is>
      </c>
    </row>
    <row r="368" ht="18" customHeight="1" s="506">
      <c r="A368" s="259" t="n">
        <v>97776</v>
      </c>
      <c r="B368" s="224" t="inlineStr">
        <is>
          <t>Anvitha Kurra</t>
        </is>
      </c>
      <c r="C368" s="224" t="inlineStr">
        <is>
          <t>Senior Systems Analyst</t>
        </is>
      </c>
      <c r="D368" s="224" t="inlineStr">
        <is>
          <t>Karla Orozco Loza</t>
        </is>
      </c>
      <c r="E368" s="224" t="inlineStr">
        <is>
          <t>Technology Manager, Future Infrastructure</t>
        </is>
      </c>
      <c r="F368" s="224" t="inlineStr">
        <is>
          <t>TDD CFE&amp;I</t>
        </is>
      </c>
      <c r="G368" s="260" t="inlineStr">
        <is>
          <t>Fuel Infrastructure</t>
        </is>
      </c>
      <c r="H368" s="260" t="inlineStr">
        <is>
          <t>Technology - Distribution</t>
        </is>
      </c>
      <c r="I368" s="260" t="inlineStr">
        <is>
          <t>Infrastructure</t>
        </is>
      </c>
      <c r="J368" s="224" t="inlineStr">
        <is>
          <t>Distribution</t>
        </is>
      </c>
      <c r="K368" s="224" t="inlineStr">
        <is>
          <t>Distribution, Sales &amp; Services</t>
        </is>
      </c>
      <c r="L368" s="260" t="n"/>
      <c r="M368" s="261" t="inlineStr">
        <is>
          <t>Australia</t>
        </is>
      </c>
      <c r="N368" t="inlineStr">
        <is>
          <t>Infrastructure</t>
        </is>
      </c>
      <c r="O368" t="inlineStr">
        <is>
          <t>Distribution</t>
        </is>
      </c>
      <c r="P368" t="inlineStr">
        <is>
          <t>Distribution, Sales &amp; Services</t>
        </is>
      </c>
      <c r="Q368" t="inlineStr">
        <is>
          <t>Squad</t>
        </is>
      </c>
      <c r="R368" t="inlineStr">
        <is>
          <t>Filled</t>
        </is>
      </c>
    </row>
    <row r="369" ht="18" customHeight="1" s="506">
      <c r="A369" s="259" t="n">
        <v>81395</v>
      </c>
      <c r="B369" s="224" t="inlineStr">
        <is>
          <t>Angus Gibson</t>
        </is>
      </c>
      <c r="C369" s="224" t="inlineStr">
        <is>
          <t>Senior Systems Analyst</t>
        </is>
      </c>
      <c r="D369" s="224" t="inlineStr">
        <is>
          <t>Karla Orozco Loza</t>
        </is>
      </c>
      <c r="E369" s="224" t="inlineStr">
        <is>
          <t>Technology Manager, Future Infrastructure</t>
        </is>
      </c>
      <c r="F369" s="224" t="inlineStr">
        <is>
          <t>TDD CFE&amp;I</t>
        </is>
      </c>
      <c r="G369" s="260" t="inlineStr">
        <is>
          <t>Fuel Infrastructure</t>
        </is>
      </c>
      <c r="H369" s="260" t="inlineStr">
        <is>
          <t>Technology - Distribution</t>
        </is>
      </c>
      <c r="I369" s="260" t="inlineStr">
        <is>
          <t>Infrastructure</t>
        </is>
      </c>
      <c r="J369" s="224" t="inlineStr">
        <is>
          <t>Distribution</t>
        </is>
      </c>
      <c r="K369" s="224" t="inlineStr">
        <is>
          <t>Distribution, Sales &amp; Services</t>
        </is>
      </c>
      <c r="L369" s="260" t="n"/>
      <c r="M369" s="261" t="inlineStr">
        <is>
          <t>Australia</t>
        </is>
      </c>
      <c r="N369" t="inlineStr">
        <is>
          <t>Infrastructure</t>
        </is>
      </c>
      <c r="O369" t="inlineStr">
        <is>
          <t>Distribution</t>
        </is>
      </c>
      <c r="P369" t="inlineStr">
        <is>
          <t>Distribution, Sales &amp; Services</t>
        </is>
      </c>
      <c r="Q369" t="inlineStr">
        <is>
          <t>Squad</t>
        </is>
      </c>
      <c r="R369" t="inlineStr">
        <is>
          <t>Filled</t>
        </is>
      </c>
    </row>
    <row r="370" ht="18" customHeight="1" s="506">
      <c r="A370" s="259" t="n">
        <v>113202</v>
      </c>
      <c r="B370" s="224" t="inlineStr">
        <is>
          <t>Rohan Patel</t>
        </is>
      </c>
      <c r="C370" s="224" t="inlineStr">
        <is>
          <t>Senior Systems Analyst</t>
        </is>
      </c>
      <c r="D370" t="inlineStr">
        <is>
          <t>Karla Orozco Loza</t>
        </is>
      </c>
      <c r="E370" t="inlineStr">
        <is>
          <t>Technology Manager, Future Infrastructure</t>
        </is>
      </c>
      <c r="F370" s="224" t="inlineStr">
        <is>
          <t>TDD CFE&amp;I</t>
        </is>
      </c>
      <c r="G370" s="260" t="inlineStr">
        <is>
          <t>Fuel Infrastructure</t>
        </is>
      </c>
      <c r="H370" s="260" t="inlineStr">
        <is>
          <t>Technology - Distribution</t>
        </is>
      </c>
      <c r="I370" s="260" t="inlineStr">
        <is>
          <t>Infrastructure</t>
        </is>
      </c>
      <c r="J370" s="262" t="inlineStr">
        <is>
          <t>Distribution</t>
        </is>
      </c>
      <c r="K370" s="224" t="inlineStr">
        <is>
          <t>Distribution, Sales &amp; Services</t>
        </is>
      </c>
      <c r="L370" s="260" t="n"/>
      <c r="M370" s="261" t="inlineStr">
        <is>
          <t>Australia</t>
        </is>
      </c>
      <c r="N370" t="inlineStr">
        <is>
          <t>Infrastructure</t>
        </is>
      </c>
      <c r="O370" t="inlineStr">
        <is>
          <t>Distribution</t>
        </is>
      </c>
      <c r="P370" t="inlineStr">
        <is>
          <t>Distribution, Sales &amp; Services</t>
        </is>
      </c>
      <c r="Q370" t="inlineStr">
        <is>
          <t>Squad</t>
        </is>
      </c>
      <c r="R370" t="inlineStr">
        <is>
          <t>Filled</t>
        </is>
      </c>
    </row>
    <row r="371" ht="18" customHeight="1" s="506">
      <c r="A371" s="259" t="n">
        <v>101059</v>
      </c>
      <c r="B371" s="224" t="inlineStr">
        <is>
          <t>Sriramani Deyyala</t>
        </is>
      </c>
      <c r="C371" s="224" t="inlineStr">
        <is>
          <t>Systems Analyst</t>
        </is>
      </c>
      <c r="D371" t="inlineStr">
        <is>
          <t>Karla Orozco Loza</t>
        </is>
      </c>
      <c r="E371" t="inlineStr">
        <is>
          <t>Technology Manager, Future Infrastructure</t>
        </is>
      </c>
      <c r="F371" s="224" t="inlineStr">
        <is>
          <t>TDD CFE&amp;I</t>
        </is>
      </c>
      <c r="G371" s="260" t="inlineStr">
        <is>
          <t>Fuel Infrastructure</t>
        </is>
      </c>
      <c r="H371" s="260" t="inlineStr">
        <is>
          <t>Technology - Distribution</t>
        </is>
      </c>
      <c r="I371" s="260" t="inlineStr">
        <is>
          <t>Infrastructure</t>
        </is>
      </c>
      <c r="J371" s="260" t="inlineStr">
        <is>
          <t>Distribution</t>
        </is>
      </c>
      <c r="K371" s="224" t="inlineStr">
        <is>
          <t>Distribution, Sales &amp; Services</t>
        </is>
      </c>
      <c r="L371" s="260" t="n"/>
      <c r="M371" s="261" t="inlineStr">
        <is>
          <t>Australia</t>
        </is>
      </c>
      <c r="N371" t="inlineStr">
        <is>
          <t>Infrastructure</t>
        </is>
      </c>
      <c r="O371" t="inlineStr">
        <is>
          <t>Distribution</t>
        </is>
      </c>
      <c r="P371" t="inlineStr">
        <is>
          <t>Distribution, Sales &amp; Services</t>
        </is>
      </c>
      <c r="Q371" t="inlineStr">
        <is>
          <t>Squad</t>
        </is>
      </c>
      <c r="R371" t="inlineStr">
        <is>
          <t>Filled</t>
        </is>
      </c>
    </row>
    <row r="372" ht="18" customHeight="1" s="506">
      <c r="A372" s="259" t="n">
        <v>101539</v>
      </c>
      <c r="B372" s="224" t="inlineStr">
        <is>
          <t>Vacant</t>
        </is>
      </c>
      <c r="C372" s="224" t="inlineStr">
        <is>
          <t>Systems Analyst</t>
        </is>
      </c>
      <c r="D372" t="inlineStr">
        <is>
          <t>Karla Orozco Loza</t>
        </is>
      </c>
      <c r="E372" s="224" t="inlineStr">
        <is>
          <t>Technology Manager, Future Infrastructure</t>
        </is>
      </c>
      <c r="F372" s="224" t="inlineStr">
        <is>
          <t>TDD CFE&amp;I</t>
        </is>
      </c>
      <c r="G372" s="260" t="inlineStr">
        <is>
          <t>Fuel Infrastructure</t>
        </is>
      </c>
      <c r="H372" s="260" t="inlineStr">
        <is>
          <t>Fuel Infrastructure</t>
        </is>
      </c>
      <c r="I372" s="260" t="inlineStr">
        <is>
          <t>Infrastructure</t>
        </is>
      </c>
      <c r="J372" s="260" t="inlineStr">
        <is>
          <t>Distribution</t>
        </is>
      </c>
      <c r="K372" s="224" t="inlineStr">
        <is>
          <t>Distribution, Sales &amp; Services</t>
        </is>
      </c>
      <c r="L372" s="260" t="n"/>
      <c r="M372" s="261" t="inlineStr">
        <is>
          <t>Australia</t>
        </is>
      </c>
      <c r="N372" t="inlineStr">
        <is>
          <t>Infrastructure</t>
        </is>
      </c>
      <c r="O372" t="inlineStr">
        <is>
          <t>Distribution</t>
        </is>
      </c>
      <c r="P372" t="inlineStr">
        <is>
          <t>Distribution, Sales &amp; Services</t>
        </is>
      </c>
      <c r="Q372" t="inlineStr">
        <is>
          <t>Squad</t>
        </is>
      </c>
      <c r="R372" t="inlineStr">
        <is>
          <t>Vacant</t>
        </is>
      </c>
    </row>
    <row r="373" ht="18" customHeight="1" s="506">
      <c r="A373" s="259" t="n">
        <v>6748</v>
      </c>
      <c r="B373" s="224" t="inlineStr">
        <is>
          <t>Elle Spencer</t>
        </is>
      </c>
      <c r="C373" s="224" t="inlineStr">
        <is>
          <t>Technology Manager - B2B</t>
        </is>
      </c>
      <c r="D373" s="262" t="inlineStr">
        <is>
          <t>Liesl Tye</t>
        </is>
      </c>
      <c r="E373" s="224" t="inlineStr">
        <is>
          <t>Head of Technology, B2B &amp; Energy Solutions</t>
        </is>
      </c>
      <c r="F373" s="224" t="inlineStr">
        <is>
          <t>TDD CFE&amp;I</t>
        </is>
      </c>
      <c r="G373" s="260" t="inlineStr">
        <is>
          <t>B2B &amp; Energy Solutions</t>
        </is>
      </c>
      <c r="H373" s="260" t="inlineStr">
        <is>
          <t>Technology, B2B</t>
        </is>
      </c>
      <c r="I373" s="260" t="inlineStr">
        <is>
          <t>B2B &amp; Energy Solutions</t>
        </is>
      </c>
      <c r="J373" s="260" t="inlineStr">
        <is>
          <t>Leadership</t>
        </is>
      </c>
      <c r="K373" s="224" t="inlineStr">
        <is>
          <t>Leadership</t>
        </is>
      </c>
      <c r="L373" s="260" t="n"/>
      <c r="M373" s="261" t="inlineStr">
        <is>
          <t>Australia</t>
        </is>
      </c>
      <c r="N373" t="inlineStr">
        <is>
          <t>Energy Solutions &amp; B2B</t>
        </is>
      </c>
      <c r="O373" t="inlineStr">
        <is>
          <t>Leadership</t>
        </is>
      </c>
      <c r="P373" t="inlineStr">
        <is>
          <t>Leadership</t>
        </is>
      </c>
      <c r="Q373" t="inlineStr">
        <is>
          <t>Leadership</t>
        </is>
      </c>
      <c r="R373" t="inlineStr">
        <is>
          <t>Filled</t>
        </is>
      </c>
    </row>
    <row r="374" ht="18" customHeight="1" s="506">
      <c r="A374" s="259" t="n">
        <v>115518</v>
      </c>
      <c r="B374" s="224" t="inlineStr">
        <is>
          <t>Hitesh Patel</t>
        </is>
      </c>
      <c r="C374" s="224" t="inlineStr">
        <is>
          <t>Technology Manager, Energy Solutions</t>
        </is>
      </c>
      <c r="D374" s="260" t="inlineStr">
        <is>
          <t>Liesl Tye</t>
        </is>
      </c>
      <c r="E374" s="224" t="inlineStr">
        <is>
          <t>Head of Technology, B2B &amp; Energy Solutions</t>
        </is>
      </c>
      <c r="F374" s="224" t="inlineStr">
        <is>
          <t>TDD CFE&amp;I</t>
        </is>
      </c>
      <c r="G374" s="260" t="inlineStr">
        <is>
          <t>Loyalty &amp; Martech</t>
        </is>
      </c>
      <c r="H374" s="260" t="inlineStr">
        <is>
          <t>Technology Energy Solutions</t>
        </is>
      </c>
      <c r="I374" s="260" t="n"/>
      <c r="J374" s="299" t="n"/>
      <c r="K374" s="224" t="n"/>
      <c r="L374" s="260" t="n"/>
      <c r="M374" s="261" t="n"/>
      <c r="N374" t="inlineStr">
        <is>
          <t>Customer</t>
        </is>
      </c>
      <c r="O374" t="inlineStr">
        <is>
          <t>Group Customer Platforms</t>
        </is>
      </c>
      <c r="P374" t="inlineStr">
        <is>
          <t>AU CRM &amp; Martech</t>
        </is>
      </c>
      <c r="Q374" t="inlineStr">
        <is>
          <t>Squad</t>
        </is>
      </c>
      <c r="R374" t="inlineStr">
        <is>
          <t>Filled</t>
        </is>
      </c>
    </row>
    <row r="375" ht="18" customHeight="1" s="506">
      <c r="A375" s="259" t="n"/>
      <c r="B375" s="224" t="inlineStr">
        <is>
          <t>Vacant</t>
        </is>
      </c>
      <c r="C375" s="224" t="inlineStr">
        <is>
          <t>Delivery manager</t>
        </is>
      </c>
      <c r="D375" s="260" t="inlineStr">
        <is>
          <t>Liesl Tye</t>
        </is>
      </c>
      <c r="E375" s="224" t="inlineStr">
        <is>
          <t>Head of Technology, B2B &amp; Energy Solutions</t>
        </is>
      </c>
      <c r="F375" s="224" t="inlineStr">
        <is>
          <t>TDD CFE&amp;I</t>
        </is>
      </c>
      <c r="G375" s="260" t="inlineStr">
        <is>
          <t>B2B &amp; Energy Solutions</t>
        </is>
      </c>
      <c r="H375" s="260" t="inlineStr">
        <is>
          <t>Leadership</t>
        </is>
      </c>
      <c r="I375" s="260" t="inlineStr">
        <is>
          <t>B2B &amp; Energy Solutions</t>
        </is>
      </c>
      <c r="J375" s="260" t="inlineStr">
        <is>
          <t>Leadership</t>
        </is>
      </c>
      <c r="K375" s="224" t="inlineStr">
        <is>
          <t>Leadership</t>
        </is>
      </c>
      <c r="L375" s="260" t="n"/>
      <c r="M375" s="261" t="n"/>
      <c r="N375" t="inlineStr">
        <is>
          <t>Energy Solutions &amp; B2B</t>
        </is>
      </c>
      <c r="O375" t="inlineStr">
        <is>
          <t>Leadership</t>
        </is>
      </c>
      <c r="P375" t="inlineStr">
        <is>
          <t>Leadership</t>
        </is>
      </c>
      <c r="Q375" t="inlineStr">
        <is>
          <t>Leadership</t>
        </is>
      </c>
      <c r="R375" t="inlineStr">
        <is>
          <t>Vacant</t>
        </is>
      </c>
    </row>
    <row r="376" ht="18" customHeight="1" s="506">
      <c r="A376" s="259" t="n"/>
      <c r="B376" s="224" t="inlineStr">
        <is>
          <t>Vacant</t>
        </is>
      </c>
      <c r="C376" s="224" t="inlineStr">
        <is>
          <t>Technology Manager, Engineering</t>
        </is>
      </c>
      <c r="D376" s="260" t="inlineStr">
        <is>
          <t>Nakul Bharade</t>
        </is>
      </c>
      <c r="E376" s="224" t="inlineStr">
        <is>
          <t>Head of Technology, Commercial Fuels</t>
        </is>
      </c>
      <c r="F376" s="224" t="inlineStr">
        <is>
          <t>TDD CFE&amp;I</t>
        </is>
      </c>
      <c r="G376" s="260" t="inlineStr">
        <is>
          <t>Loyalty &amp; Martech</t>
        </is>
      </c>
      <c r="H376" s="300" t="inlineStr">
        <is>
          <t>Trading &amp; Shipping</t>
        </is>
      </c>
      <c r="I376" s="260" t="inlineStr">
        <is>
          <t>Commercial Fuels</t>
        </is>
      </c>
      <c r="J376" s="260" t="n"/>
      <c r="K376" s="224" t="n"/>
      <c r="L376" s="260" t="n"/>
      <c r="M376" s="261" t="n"/>
      <c r="N376" t="inlineStr">
        <is>
          <t>Customer</t>
        </is>
      </c>
      <c r="O376" t="inlineStr">
        <is>
          <t>Group Customer Platforms</t>
        </is>
      </c>
      <c r="P376" t="inlineStr">
        <is>
          <t>AU CRM &amp; Martech</t>
        </is>
      </c>
      <c r="Q376" t="inlineStr">
        <is>
          <t>Squad</t>
        </is>
      </c>
      <c r="R376" t="inlineStr">
        <is>
          <t>Vacant</t>
        </is>
      </c>
    </row>
    <row r="377" ht="18" customHeight="1" s="506">
      <c r="A377" s="259" t="n"/>
      <c r="B377" s="224" t="inlineStr">
        <is>
          <t>Vacant</t>
        </is>
      </c>
      <c r="C377" s="224" t="inlineStr">
        <is>
          <t>Delivery Manager</t>
        </is>
      </c>
      <c r="D377" s="260" t="inlineStr">
        <is>
          <t>Nakul Bharade</t>
        </is>
      </c>
      <c r="E377" s="224" t="inlineStr">
        <is>
          <t>Head of Technology, Commercial Fuels</t>
        </is>
      </c>
      <c r="F377" s="224" t="inlineStr">
        <is>
          <t>TDD CFE&amp;I</t>
        </is>
      </c>
      <c r="G377" s="260" t="inlineStr">
        <is>
          <t>Commercial Fuels</t>
        </is>
      </c>
      <c r="H377" s="300" t="inlineStr">
        <is>
          <t>Trading &amp; Shipping</t>
        </is>
      </c>
      <c r="I377" s="260" t="inlineStr">
        <is>
          <t>Commercial Fuels</t>
        </is>
      </c>
      <c r="J377" s="260" t="n"/>
      <c r="K377" s="224" t="n"/>
      <c r="L377" s="260" t="n"/>
      <c r="M377" s="261" t="n"/>
      <c r="N377" t="inlineStr">
        <is>
          <t>Commercial Fuels</t>
        </is>
      </c>
      <c r="O377" t="inlineStr">
        <is>
          <t>-</t>
        </is>
      </c>
      <c r="P377" t="inlineStr">
        <is>
          <t>Commercial Fuels</t>
        </is>
      </c>
      <c r="Q377" t="inlineStr">
        <is>
          <t>Unmapped</t>
        </is>
      </c>
      <c r="R377" t="inlineStr">
        <is>
          <t>Vacant</t>
        </is>
      </c>
    </row>
    <row r="378" ht="18" customHeight="1" s="506">
      <c r="A378" s="259" t="n"/>
      <c r="B378" s="224" t="inlineStr">
        <is>
          <t>Vacant</t>
        </is>
      </c>
      <c r="C378" s="224" t="inlineStr">
        <is>
          <t>Technology Manager, Data</t>
        </is>
      </c>
      <c r="D378" s="260" t="inlineStr">
        <is>
          <t>Nakul Bharade</t>
        </is>
      </c>
      <c r="E378" s="224" t="inlineStr">
        <is>
          <t>Head of Technology, Commercial Fuels</t>
        </is>
      </c>
      <c r="F378" s="224" t="inlineStr">
        <is>
          <t>TDD CFE&amp;I</t>
        </is>
      </c>
      <c r="G378" s="260" t="inlineStr">
        <is>
          <t>Commercial Fuels</t>
        </is>
      </c>
      <c r="H378" s="300" t="inlineStr">
        <is>
          <t>Trading &amp; Shipping</t>
        </is>
      </c>
      <c r="I378" s="260" t="inlineStr">
        <is>
          <t>Commercial Fuels</t>
        </is>
      </c>
      <c r="J378" s="260" t="n"/>
      <c r="K378" s="260" t="n"/>
      <c r="L378" s="260" t="n"/>
      <c r="M378" s="261" t="n"/>
      <c r="N378" t="inlineStr">
        <is>
          <t>Commercial Fuels</t>
        </is>
      </c>
      <c r="O378" t="inlineStr">
        <is>
          <t>-</t>
        </is>
      </c>
      <c r="P378" t="inlineStr">
        <is>
          <t>Commercial Fuels</t>
        </is>
      </c>
      <c r="Q378" t="inlineStr">
        <is>
          <t>Unmapped</t>
        </is>
      </c>
      <c r="R378" t="inlineStr">
        <is>
          <t>Vacant</t>
        </is>
      </c>
    </row>
    <row r="379" ht="18" customHeight="1" s="506">
      <c r="A379" s="259" t="n">
        <v>106404</v>
      </c>
      <c r="B379" s="224" t="inlineStr">
        <is>
          <t>Carl Russo</t>
        </is>
      </c>
      <c r="C379" s="224" t="inlineStr">
        <is>
          <t>Program Manager - CTRM</t>
        </is>
      </c>
      <c r="D379" s="224" t="inlineStr">
        <is>
          <t>Roanne Steele</t>
        </is>
      </c>
      <c r="E379" s="224" t="inlineStr">
        <is>
          <t>GM TDD, CFE&amp;I</t>
        </is>
      </c>
      <c r="F379" s="224" t="inlineStr">
        <is>
          <t>TDD CFE&amp;I</t>
        </is>
      </c>
      <c r="G379" s="260" t="inlineStr">
        <is>
          <t>Leadership</t>
        </is>
      </c>
      <c r="H379" s="260" t="inlineStr">
        <is>
          <t>Leadership</t>
        </is>
      </c>
      <c r="I379" s="260" t="n"/>
      <c r="J379" s="260" t="n"/>
      <c r="K379" s="224" t="n"/>
      <c r="L379" s="260" t="n"/>
      <c r="M379" s="261" t="inlineStr">
        <is>
          <t>Australia</t>
        </is>
      </c>
      <c r="N379" t="inlineStr">
        <is>
          <t>Unmapped</t>
        </is>
      </c>
      <c r="O379" t="inlineStr">
        <is>
          <t>-</t>
        </is>
      </c>
      <c r="P379" t="inlineStr">
        <is>
          <t>Leadership</t>
        </is>
      </c>
      <c r="Q379" t="inlineStr">
        <is>
          <t>Unmapped</t>
        </is>
      </c>
      <c r="R379" t="inlineStr">
        <is>
          <t>Filled</t>
        </is>
      </c>
    </row>
    <row r="380" ht="18" customHeight="1" s="506">
      <c r="A380" s="259" t="n">
        <v>97098</v>
      </c>
      <c r="B380" s="224" t="inlineStr">
        <is>
          <t>Amish Pandit</t>
        </is>
      </c>
      <c r="C380" s="224" t="inlineStr">
        <is>
          <t>Head of Technology, Fuel Infrastructure</t>
        </is>
      </c>
      <c r="D380" t="inlineStr">
        <is>
          <t>Roanne Steele</t>
        </is>
      </c>
      <c r="E380" s="224" t="inlineStr">
        <is>
          <t>GM TDD, CFE&amp;I</t>
        </is>
      </c>
      <c r="F380" s="224" t="inlineStr">
        <is>
          <t>TDD CFE&amp;I</t>
        </is>
      </c>
      <c r="G380" s="260" t="inlineStr">
        <is>
          <t>Fuel Infrastructure</t>
        </is>
      </c>
      <c r="H380" s="260" t="inlineStr">
        <is>
          <t>Leadership</t>
        </is>
      </c>
      <c r="I380" s="260" t="inlineStr">
        <is>
          <t>Infrastructure</t>
        </is>
      </c>
      <c r="J380" s="224" t="inlineStr">
        <is>
          <t xml:space="preserve">Leadership </t>
        </is>
      </c>
      <c r="K380" s="260" t="inlineStr">
        <is>
          <t>Leadership</t>
        </is>
      </c>
      <c r="L380" s="260" t="n"/>
      <c r="M380" s="261" t="inlineStr">
        <is>
          <t>Australia</t>
        </is>
      </c>
      <c r="N380" t="inlineStr">
        <is>
          <t>Infrastructure</t>
        </is>
      </c>
      <c r="O380" t="inlineStr">
        <is>
          <t>Leadership</t>
        </is>
      </c>
      <c r="P380" t="inlineStr">
        <is>
          <t>Leadership</t>
        </is>
      </c>
      <c r="Q380" t="inlineStr">
        <is>
          <t>Leadership</t>
        </is>
      </c>
      <c r="R380" t="inlineStr">
        <is>
          <t>Filled</t>
        </is>
      </c>
    </row>
    <row r="381" ht="18" customHeight="1" s="506">
      <c r="A381" s="259" t="n">
        <v>99999101304</v>
      </c>
      <c r="B381" s="224" t="inlineStr">
        <is>
          <t>Liesl Tye</t>
        </is>
      </c>
      <c r="C381" s="224" t="inlineStr">
        <is>
          <t>Head of Technology, B2B &amp; Energy Solutions</t>
        </is>
      </c>
      <c r="D381" s="224" t="inlineStr">
        <is>
          <t xml:space="preserve">Roanne Steele </t>
        </is>
      </c>
      <c r="E381" s="224" t="inlineStr">
        <is>
          <t>GM TDD, CFE&amp;I</t>
        </is>
      </c>
      <c r="F381" s="224" t="inlineStr">
        <is>
          <t>TDD CFE&amp;I</t>
        </is>
      </c>
      <c r="G381" s="260" t="inlineStr">
        <is>
          <t>B2B &amp; Energy Solutions</t>
        </is>
      </c>
      <c r="H381" s="260" t="inlineStr">
        <is>
          <t>Leadership</t>
        </is>
      </c>
      <c r="I381" s="260" t="inlineStr">
        <is>
          <t>B2B &amp; Energy Solutions</t>
        </is>
      </c>
      <c r="J381" s="260" t="inlineStr">
        <is>
          <t>Leadership</t>
        </is>
      </c>
      <c r="K381" s="224" t="inlineStr">
        <is>
          <t>Leadership</t>
        </is>
      </c>
      <c r="L381" s="260" t="n"/>
      <c r="M381" s="261" t="inlineStr">
        <is>
          <t>NZ</t>
        </is>
      </c>
      <c r="N381" t="inlineStr">
        <is>
          <t>Energy Solutions &amp; B2B</t>
        </is>
      </c>
      <c r="O381" t="inlineStr">
        <is>
          <t>Leadership</t>
        </is>
      </c>
      <c r="P381" t="inlineStr">
        <is>
          <t>Leadership</t>
        </is>
      </c>
      <c r="Q381" t="inlineStr">
        <is>
          <t>Leadership</t>
        </is>
      </c>
      <c r="R381" t="inlineStr">
        <is>
          <t>Filled</t>
        </is>
      </c>
    </row>
    <row r="382" ht="18" customHeight="1" s="506">
      <c r="A382" s="259" t="n">
        <v>99999101224</v>
      </c>
      <c r="B382" s="224" t="inlineStr">
        <is>
          <t>Nakul Bharade</t>
        </is>
      </c>
      <c r="C382" s="224" t="inlineStr">
        <is>
          <t>Head of Technology, Commercial Fuels</t>
        </is>
      </c>
      <c r="D382" t="inlineStr">
        <is>
          <t xml:space="preserve">Roanne Steele </t>
        </is>
      </c>
      <c r="E382" t="inlineStr">
        <is>
          <t>GM TDD, CFE&amp;I</t>
        </is>
      </c>
      <c r="F382" s="224" t="inlineStr">
        <is>
          <t>TDD CFE&amp;I</t>
        </is>
      </c>
      <c r="G382" s="260" t="inlineStr">
        <is>
          <t>Commercial Fuels</t>
        </is>
      </c>
      <c r="H382" s="300" t="n"/>
      <c r="I382" s="260" t="inlineStr">
        <is>
          <t>Commercial Fuels</t>
        </is>
      </c>
      <c r="J382" s="260" t="inlineStr">
        <is>
          <t>Ampol Digital</t>
        </is>
      </c>
      <c r="K382" s="260" t="inlineStr">
        <is>
          <t>Trading &amp; Shipping</t>
        </is>
      </c>
      <c r="L382" s="260" t="n"/>
      <c r="M382" s="261" t="inlineStr">
        <is>
          <t>NZ</t>
        </is>
      </c>
      <c r="N382" t="inlineStr">
        <is>
          <t>Commercial Fuels</t>
        </is>
      </c>
      <c r="O382" t="inlineStr">
        <is>
          <t>Trading &amp; Shipping</t>
        </is>
      </c>
      <c r="P382" t="inlineStr">
        <is>
          <t>Trading &amp; Shipping</t>
        </is>
      </c>
      <c r="Q382" t="inlineStr">
        <is>
          <t>Squad</t>
        </is>
      </c>
      <c r="R382" t="inlineStr">
        <is>
          <t>Filled</t>
        </is>
      </c>
    </row>
    <row r="383" ht="18" customHeight="1" s="506">
      <c r="A383" s="259" t="n">
        <v>14100</v>
      </c>
      <c r="B383" s="224" t="inlineStr">
        <is>
          <t>Belinda Ford</t>
        </is>
      </c>
      <c r="C383" s="224" t="inlineStr">
        <is>
          <t>Quality Assurance</t>
        </is>
      </c>
      <c r="D383" t="inlineStr">
        <is>
          <t>Vacant</t>
        </is>
      </c>
      <c r="E383" t="inlineStr">
        <is>
          <t>Technology Manager, Energy Solutions</t>
        </is>
      </c>
      <c r="F383" s="224" t="inlineStr">
        <is>
          <t>TDD CFE&amp;I</t>
        </is>
      </c>
      <c r="G383" s="260" t="inlineStr">
        <is>
          <t>B2B &amp; Energy Solutions</t>
        </is>
      </c>
      <c r="H383" s="260" t="inlineStr">
        <is>
          <t>Technology, CF Engineering</t>
        </is>
      </c>
      <c r="I383" s="260" t="inlineStr">
        <is>
          <t>B2B &amp; Energy Solutions</t>
        </is>
      </c>
      <c r="J383" s="224" t="inlineStr">
        <is>
          <t>B2B</t>
        </is>
      </c>
      <c r="K383" s="224" t="inlineStr">
        <is>
          <t>B2B</t>
        </is>
      </c>
      <c r="L383" s="260" t="n"/>
      <c r="M383" s="261" t="inlineStr">
        <is>
          <t>Australia</t>
        </is>
      </c>
      <c r="N383" t="inlineStr">
        <is>
          <t>Energy Solutions &amp; B2B</t>
        </is>
      </c>
      <c r="O383" t="inlineStr">
        <is>
          <t>B2B</t>
        </is>
      </c>
      <c r="P383" t="inlineStr">
        <is>
          <t>B2B</t>
        </is>
      </c>
      <c r="Q383" t="inlineStr">
        <is>
          <t>Squad</t>
        </is>
      </c>
      <c r="R383" t="inlineStr">
        <is>
          <t>Filled</t>
        </is>
      </c>
    </row>
    <row r="384" ht="18" customHeight="1" s="506">
      <c r="A384" s="259" t="n"/>
      <c r="B384" s="224" t="inlineStr">
        <is>
          <t>Vacant</t>
        </is>
      </c>
      <c r="C384" s="224" t="inlineStr">
        <is>
          <t>Quality Assurance</t>
        </is>
      </c>
      <c r="D384" s="262" t="inlineStr">
        <is>
          <t>Vacant</t>
        </is>
      </c>
      <c r="E384" t="inlineStr">
        <is>
          <t>Technology Manager, Engineering</t>
        </is>
      </c>
      <c r="F384" s="224" t="inlineStr">
        <is>
          <t>TDD CFE&amp;I</t>
        </is>
      </c>
      <c r="G384" s="260" t="inlineStr">
        <is>
          <t>Commercial Fuels</t>
        </is>
      </c>
      <c r="H384" s="260" t="inlineStr">
        <is>
          <t>Technology, Engineering</t>
        </is>
      </c>
      <c r="I384" s="260" t="inlineStr">
        <is>
          <t>Commercial Fuels</t>
        </is>
      </c>
      <c r="J384" s="260" t="inlineStr">
        <is>
          <t>Trading &amp; Shipping</t>
        </is>
      </c>
      <c r="K384" s="224" t="inlineStr">
        <is>
          <t>Trading &amp; Shipping</t>
        </is>
      </c>
      <c r="L384" s="260" t="n"/>
      <c r="M384" s="261" t="n"/>
      <c r="N384" t="inlineStr">
        <is>
          <t>Commercial Fuels</t>
        </is>
      </c>
      <c r="O384" t="inlineStr">
        <is>
          <t>Trading &amp; Shipping</t>
        </is>
      </c>
      <c r="P384" t="inlineStr">
        <is>
          <t>Trading &amp; Shipping</t>
        </is>
      </c>
      <c r="Q384" t="inlineStr">
        <is>
          <t>Squad</t>
        </is>
      </c>
      <c r="R384" t="inlineStr">
        <is>
          <t>Vacant</t>
        </is>
      </c>
    </row>
    <row r="385" ht="18" customHeight="1" s="506">
      <c r="A385" s="259" t="n">
        <v>116253</v>
      </c>
      <c r="B385" s="224" t="inlineStr">
        <is>
          <t>Siva Chimmani</t>
        </is>
      </c>
      <c r="C385" s="224" t="inlineStr">
        <is>
          <t>Senior Engineer</t>
        </is>
      </c>
      <c r="D385" t="inlineStr">
        <is>
          <t>Vacant</t>
        </is>
      </c>
      <c r="E385" t="inlineStr">
        <is>
          <t>Technology Manager, Future Infrastructure</t>
        </is>
      </c>
      <c r="F385" s="224" t="inlineStr">
        <is>
          <t>TDD CFE&amp;I</t>
        </is>
      </c>
      <c r="G385" s="260" t="inlineStr">
        <is>
          <t>Fuel Infrastructure</t>
        </is>
      </c>
      <c r="H385" s="260" t="inlineStr">
        <is>
          <t>Technology - Distribution</t>
        </is>
      </c>
      <c r="I385" s="260" t="inlineStr">
        <is>
          <t>Infrastructure</t>
        </is>
      </c>
      <c r="J385" s="260" t="inlineStr">
        <is>
          <t>Distribution</t>
        </is>
      </c>
      <c r="K385" s="224" t="inlineStr">
        <is>
          <t>Distribution, Sales &amp; Services</t>
        </is>
      </c>
      <c r="L385" s="260" t="n"/>
      <c r="M385" s="261" t="inlineStr">
        <is>
          <t>Australia</t>
        </is>
      </c>
      <c r="N385" t="inlineStr">
        <is>
          <t>Infrastructure</t>
        </is>
      </c>
      <c r="O385" t="inlineStr">
        <is>
          <t>Distribution</t>
        </is>
      </c>
      <c r="P385" t="inlineStr">
        <is>
          <t>Distribution, Sales &amp; Services</t>
        </is>
      </c>
      <c r="Q385" t="inlineStr">
        <is>
          <t>Squad</t>
        </is>
      </c>
      <c r="R385" t="inlineStr">
        <is>
          <t>Filled</t>
        </is>
      </c>
    </row>
    <row r="386" ht="18" customHeight="1" s="506">
      <c r="A386" s="259" t="n"/>
      <c r="B386" s="224" t="inlineStr">
        <is>
          <t>Vacant</t>
        </is>
      </c>
      <c r="C386" s="224" t="inlineStr">
        <is>
          <t>System Specialist</t>
        </is>
      </c>
      <c r="D386" t="inlineStr">
        <is>
          <t>Vacant</t>
        </is>
      </c>
      <c r="E386" t="inlineStr">
        <is>
          <t>Technology Manager, T&amp;S</t>
        </is>
      </c>
      <c r="F386" s="224" t="inlineStr">
        <is>
          <t>TDD CFE&amp;I</t>
        </is>
      </c>
      <c r="G386" s="260" t="inlineStr">
        <is>
          <t>Commercial Fuels</t>
        </is>
      </c>
      <c r="H386" s="260" t="inlineStr">
        <is>
          <t>Technology, Trading &amp; Shipping</t>
        </is>
      </c>
      <c r="I386" s="260" t="inlineStr">
        <is>
          <t>Commercial Fuels</t>
        </is>
      </c>
      <c r="J386" s="260" t="inlineStr">
        <is>
          <t>Supply</t>
        </is>
      </c>
      <c r="K386" s="224" t="inlineStr">
        <is>
          <t>Supply</t>
        </is>
      </c>
      <c r="L386" s="260" t="n"/>
      <c r="M386" s="261" t="n"/>
      <c r="N386" t="inlineStr">
        <is>
          <t>Commercial Fuels</t>
        </is>
      </c>
      <c r="O386" t="inlineStr">
        <is>
          <t>Supply</t>
        </is>
      </c>
      <c r="P386" t="inlineStr">
        <is>
          <t>Supply</t>
        </is>
      </c>
      <c r="Q386" t="inlineStr">
        <is>
          <t>Squad</t>
        </is>
      </c>
      <c r="R386" t="inlineStr">
        <is>
          <t>Vacant</t>
        </is>
      </c>
    </row>
    <row r="387" ht="18" customHeight="1" s="506">
      <c r="A387" s="259" t="n">
        <v>106791</v>
      </c>
      <c r="B387" s="224" t="inlineStr">
        <is>
          <t>Victor Beuk</t>
        </is>
      </c>
      <c r="C387" s="224" t="inlineStr">
        <is>
          <t>Delivery Lead</t>
        </is>
      </c>
      <c r="D387" s="260" t="inlineStr">
        <is>
          <t>vacant</t>
        </is>
      </c>
      <c r="E387" s="224" t="inlineStr">
        <is>
          <t>Delivery Manager</t>
        </is>
      </c>
      <c r="F387" s="224" t="inlineStr">
        <is>
          <t>TDD CFE&amp;I</t>
        </is>
      </c>
      <c r="G387" s="260" t="inlineStr">
        <is>
          <t>B2B &amp; Energy Solutions</t>
        </is>
      </c>
      <c r="H387" s="260" t="inlineStr">
        <is>
          <t>Delivery</t>
        </is>
      </c>
      <c r="I387" s="260" t="inlineStr">
        <is>
          <t>RETAIL</t>
        </is>
      </c>
      <c r="J387" s="260" t="inlineStr">
        <is>
          <t>AMPOS</t>
        </is>
      </c>
      <c r="K387" s="224" t="inlineStr">
        <is>
          <t>AmPos</t>
        </is>
      </c>
      <c r="L387" s="260" t="n"/>
      <c r="M387" s="261" t="inlineStr">
        <is>
          <t>Australia</t>
        </is>
      </c>
      <c r="N387" t="inlineStr">
        <is>
          <t>Ampol Retail</t>
        </is>
      </c>
      <c r="O387" t="inlineStr">
        <is>
          <t>AmPOS</t>
        </is>
      </c>
      <c r="P387" t="inlineStr">
        <is>
          <t>AmPOS</t>
        </is>
      </c>
      <c r="Q387" t="inlineStr">
        <is>
          <t>Strategic Program</t>
        </is>
      </c>
      <c r="R387" t="inlineStr">
        <is>
          <t>Filled</t>
        </is>
      </c>
    </row>
    <row r="388" ht="18" customHeight="1" s="506">
      <c r="A388" s="259" t="n">
        <v>105532</v>
      </c>
      <c r="B388" s="224" t="inlineStr">
        <is>
          <t>Debbie Gor</t>
        </is>
      </c>
      <c r="C388" s="224" t="inlineStr">
        <is>
          <t>Delivery Lead</t>
        </is>
      </c>
      <c r="D388" s="260" t="inlineStr">
        <is>
          <t>Vacant</t>
        </is>
      </c>
      <c r="E388" s="224" t="inlineStr">
        <is>
          <t>Delivery Manager</t>
        </is>
      </c>
      <c r="F388" s="224" t="inlineStr">
        <is>
          <t>TDD CFE&amp;I</t>
        </is>
      </c>
      <c r="G388" s="260" t="inlineStr">
        <is>
          <t>B2B &amp; Energy Solutions</t>
        </is>
      </c>
      <c r="H388" s="260" t="inlineStr">
        <is>
          <t>Delivery</t>
        </is>
      </c>
      <c r="I388" s="260" t="inlineStr">
        <is>
          <t>B2B &amp; Energy Solutions</t>
        </is>
      </c>
      <c r="J388" s="224" t="inlineStr">
        <is>
          <t>B2B</t>
        </is>
      </c>
      <c r="K388" s="224" t="inlineStr">
        <is>
          <t>B2B</t>
        </is>
      </c>
      <c r="L388" s="260" t="n"/>
      <c r="M388" s="261" t="inlineStr">
        <is>
          <t>Australia</t>
        </is>
      </c>
      <c r="N388" t="inlineStr">
        <is>
          <t>Energy Solutions &amp; B2B</t>
        </is>
      </c>
      <c r="O388" t="inlineStr">
        <is>
          <t>B2B</t>
        </is>
      </c>
      <c r="P388" t="inlineStr">
        <is>
          <t>B2B</t>
        </is>
      </c>
      <c r="Q388" t="inlineStr">
        <is>
          <t>Squad</t>
        </is>
      </c>
      <c r="R388" t="inlineStr">
        <is>
          <t>Filled</t>
        </is>
      </c>
    </row>
    <row r="389" ht="18" customHeight="1" s="506">
      <c r="A389" s="259" t="n"/>
      <c r="B389" s="224" t="inlineStr">
        <is>
          <t>Vacant</t>
        </is>
      </c>
      <c r="C389" s="224" t="inlineStr">
        <is>
          <t>Delivery Lead</t>
        </is>
      </c>
      <c r="D389" s="260" t="inlineStr">
        <is>
          <t>vacant</t>
        </is>
      </c>
      <c r="E389" s="224" t="inlineStr">
        <is>
          <t>Delivery Manager</t>
        </is>
      </c>
      <c r="F389" s="224" t="inlineStr">
        <is>
          <t>TDD CFE&amp;I</t>
        </is>
      </c>
      <c r="G389" s="260" t="inlineStr">
        <is>
          <t>Commercial Fuels</t>
        </is>
      </c>
      <c r="H389" s="260" t="inlineStr">
        <is>
          <t>Trading &amp; Shipping</t>
        </is>
      </c>
      <c r="I389" s="260" t="inlineStr">
        <is>
          <t>Commercial Fuels</t>
        </is>
      </c>
      <c r="J389" s="260" t="inlineStr">
        <is>
          <t>Supply</t>
        </is>
      </c>
      <c r="K389" s="260" t="inlineStr">
        <is>
          <t>Supply</t>
        </is>
      </c>
      <c r="L389" s="224" t="n"/>
      <c r="M389" s="261" t="n"/>
      <c r="N389" t="inlineStr">
        <is>
          <t>Commercial Fuels</t>
        </is>
      </c>
      <c r="O389" t="inlineStr">
        <is>
          <t>Supply</t>
        </is>
      </c>
      <c r="P389" t="inlineStr">
        <is>
          <t>Supply</t>
        </is>
      </c>
      <c r="Q389" t="inlineStr">
        <is>
          <t>Squad</t>
        </is>
      </c>
      <c r="R389" t="inlineStr">
        <is>
          <t>Vacant</t>
        </is>
      </c>
    </row>
    <row r="390" ht="18" customHeight="1" s="506">
      <c r="A390" s="259" t="n">
        <v>107550</v>
      </c>
      <c r="B390" s="224" t="inlineStr">
        <is>
          <t>Gunjan Vasudeva</t>
        </is>
      </c>
      <c r="C390" s="224" t="inlineStr">
        <is>
          <t>Lead Quality Assurance</t>
        </is>
      </c>
      <c r="D390" s="260" t="inlineStr">
        <is>
          <t>vacant</t>
        </is>
      </c>
      <c r="E390" s="224" t="inlineStr">
        <is>
          <t>Technology Manager, Energy Solutions</t>
        </is>
      </c>
      <c r="F390" s="224" t="inlineStr">
        <is>
          <t>TDD CFE&amp;I</t>
        </is>
      </c>
      <c r="G390" s="260" t="inlineStr">
        <is>
          <t>B2B &amp; Energy Solutions</t>
        </is>
      </c>
      <c r="H390" s="260" t="inlineStr">
        <is>
          <t>Technology Energy Solutions</t>
        </is>
      </c>
      <c r="I390" s="260" t="inlineStr">
        <is>
          <t>B2B &amp; Energy Solutions</t>
        </is>
      </c>
      <c r="J390" s="260" t="inlineStr">
        <is>
          <t>Energy Solutions</t>
        </is>
      </c>
      <c r="K390" s="224" t="inlineStr">
        <is>
          <t>Energy</t>
        </is>
      </c>
      <c r="L390" s="260" t="n"/>
      <c r="M390" s="261" t="inlineStr">
        <is>
          <t>Australia</t>
        </is>
      </c>
      <c r="N390" t="inlineStr">
        <is>
          <t>Energy Solutions &amp; B2B</t>
        </is>
      </c>
      <c r="O390" t="inlineStr">
        <is>
          <t>Energy Solutions</t>
        </is>
      </c>
      <c r="P390" t="inlineStr">
        <is>
          <t>Energy</t>
        </is>
      </c>
      <c r="Q390" t="inlineStr">
        <is>
          <t>Squad</t>
        </is>
      </c>
      <c r="R390" t="inlineStr">
        <is>
          <t>Filled</t>
        </is>
      </c>
    </row>
    <row r="391" ht="18" customHeight="1" s="506">
      <c r="A391" s="259" t="n"/>
      <c r="B391" s="224" t="inlineStr">
        <is>
          <t>Vacant</t>
        </is>
      </c>
      <c r="C391" s="224" t="inlineStr">
        <is>
          <t>Engineer Software</t>
        </is>
      </c>
      <c r="D391" s="224" t="inlineStr">
        <is>
          <t>Vacant</t>
        </is>
      </c>
      <c r="E391" s="224" t="inlineStr">
        <is>
          <t>Technology Manager, Energy Solutions</t>
        </is>
      </c>
      <c r="F391" s="224" t="inlineStr">
        <is>
          <t>TDD CFE&amp;I</t>
        </is>
      </c>
      <c r="G391" s="260" t="inlineStr">
        <is>
          <t>Loyalty &amp; Martech</t>
        </is>
      </c>
      <c r="H391" s="260" t="inlineStr">
        <is>
          <t>Technology B2B</t>
        </is>
      </c>
      <c r="I391" s="260" t="inlineStr">
        <is>
          <t>B2B &amp; Energy Solutions</t>
        </is>
      </c>
      <c r="J391" s="224" t="inlineStr">
        <is>
          <t>B2B</t>
        </is>
      </c>
      <c r="K391" s="224" t="inlineStr">
        <is>
          <t>B2B</t>
        </is>
      </c>
      <c r="L391" s="260" t="n"/>
      <c r="M391" s="261" t="n"/>
      <c r="N391" t="inlineStr">
        <is>
          <t>Energy Solutions &amp; B2B</t>
        </is>
      </c>
      <c r="O391" t="inlineStr">
        <is>
          <t>B2B</t>
        </is>
      </c>
      <c r="P391" t="inlineStr">
        <is>
          <t>B2B</t>
        </is>
      </c>
      <c r="Q391" t="inlineStr">
        <is>
          <t>Squad</t>
        </is>
      </c>
      <c r="R391" t="inlineStr">
        <is>
          <t>Vacant</t>
        </is>
      </c>
    </row>
    <row r="392" ht="18" customHeight="1" s="506">
      <c r="A392" s="259" t="n"/>
      <c r="B392" s="224" t="inlineStr">
        <is>
          <t>Vacant</t>
        </is>
      </c>
      <c r="C392" s="224" t="inlineStr">
        <is>
          <t>Engineer Automation - Testing</t>
        </is>
      </c>
      <c r="D392" s="260" t="inlineStr">
        <is>
          <t>Vacant</t>
        </is>
      </c>
      <c r="E392" s="224" t="inlineStr">
        <is>
          <t>Technology Manager, Energy Solutions</t>
        </is>
      </c>
      <c r="F392" s="224" t="inlineStr">
        <is>
          <t>TDD CFE&amp;I</t>
        </is>
      </c>
      <c r="G392" s="260" t="inlineStr">
        <is>
          <t>B2B &amp; Energy Solutions</t>
        </is>
      </c>
      <c r="H392" s="260" t="inlineStr">
        <is>
          <t>Technology Energy Solutions</t>
        </is>
      </c>
      <c r="I392" s="260" t="inlineStr">
        <is>
          <t>B2B &amp; Energy Solutions</t>
        </is>
      </c>
      <c r="J392" s="260" t="inlineStr">
        <is>
          <t>Ampol Digital</t>
        </is>
      </c>
      <c r="K392" s="224" t="inlineStr">
        <is>
          <t>Energy</t>
        </is>
      </c>
      <c r="L392" s="260" t="n"/>
      <c r="M392" s="261" t="n"/>
      <c r="N392" t="inlineStr">
        <is>
          <t>Energy Solutions &amp; B2B</t>
        </is>
      </c>
      <c r="O392" t="inlineStr">
        <is>
          <t>Energy Solutions</t>
        </is>
      </c>
      <c r="P392" t="inlineStr">
        <is>
          <t>Energy</t>
        </is>
      </c>
      <c r="Q392" t="inlineStr">
        <is>
          <t>Squad</t>
        </is>
      </c>
      <c r="R392" t="inlineStr">
        <is>
          <t>Vacant</t>
        </is>
      </c>
    </row>
    <row r="393" ht="18" customHeight="1" s="506">
      <c r="A393" s="259" t="n">
        <v>99999101545</v>
      </c>
      <c r="B393" s="224" t="inlineStr">
        <is>
          <t>Josh Campbell</t>
        </is>
      </c>
      <c r="C393" s="224" t="inlineStr">
        <is>
          <t>Engineer Software</t>
        </is>
      </c>
      <c r="D393" s="260" t="inlineStr">
        <is>
          <t>vacant</t>
        </is>
      </c>
      <c r="E393" s="224" t="inlineStr">
        <is>
          <t>Technology Manager, Energy Solutions</t>
        </is>
      </c>
      <c r="F393" s="224" t="inlineStr">
        <is>
          <t>TDD CFE&amp;I</t>
        </is>
      </c>
      <c r="G393" s="260" t="inlineStr">
        <is>
          <t>B2B &amp; Energy Solutions</t>
        </is>
      </c>
      <c r="H393" s="260" t="inlineStr">
        <is>
          <t>Technology Energy Solutions</t>
        </is>
      </c>
      <c r="I393" s="260" t="inlineStr">
        <is>
          <t>B2B &amp; Energy Solutions</t>
        </is>
      </c>
      <c r="J393" s="260" t="inlineStr">
        <is>
          <t>Energy Solutions</t>
        </is>
      </c>
      <c r="K393" s="224" t="inlineStr">
        <is>
          <t>EVCI</t>
        </is>
      </c>
      <c r="L393" s="260" t="n"/>
      <c r="M393" s="261" t="inlineStr">
        <is>
          <t>NZ</t>
        </is>
      </c>
      <c r="N393" t="inlineStr">
        <is>
          <t>Energy Solutions &amp; B2B</t>
        </is>
      </c>
      <c r="O393" t="inlineStr">
        <is>
          <t>Energy Solutions</t>
        </is>
      </c>
      <c r="P393" t="inlineStr">
        <is>
          <t>EVCI</t>
        </is>
      </c>
      <c r="Q393" t="inlineStr">
        <is>
          <t>Squad</t>
        </is>
      </c>
      <c r="R393" t="inlineStr">
        <is>
          <t>Filled</t>
        </is>
      </c>
    </row>
    <row r="394" ht="18" customHeight="1" s="506">
      <c r="A394" s="259" t="n"/>
      <c r="B394" s="224" t="inlineStr">
        <is>
          <t>Vacant</t>
        </is>
      </c>
      <c r="C394" s="224" t="inlineStr">
        <is>
          <t>Snr Engineer Software</t>
        </is>
      </c>
      <c r="D394" s="260" t="inlineStr">
        <is>
          <t>vacant</t>
        </is>
      </c>
      <c r="E394" s="224" t="inlineStr">
        <is>
          <t>Technology Manager, Energy Solutions</t>
        </is>
      </c>
      <c r="F394" s="224" t="inlineStr">
        <is>
          <t>TDD CFE&amp;I</t>
        </is>
      </c>
      <c r="G394" s="260" t="inlineStr">
        <is>
          <t>B2B &amp; Energy Solutions</t>
        </is>
      </c>
      <c r="H394" s="260" t="inlineStr">
        <is>
          <t>Technology Energy Solutions</t>
        </is>
      </c>
      <c r="I394" s="260" t="inlineStr">
        <is>
          <t>B2B &amp; Energy Solutions</t>
        </is>
      </c>
      <c r="J394" s="260" t="inlineStr">
        <is>
          <t>Energy Solutions</t>
        </is>
      </c>
      <c r="K394" s="224" t="inlineStr">
        <is>
          <t>Energy</t>
        </is>
      </c>
      <c r="L394" s="260" t="n"/>
      <c r="M394" s="261" t="n"/>
      <c r="N394" t="inlineStr">
        <is>
          <t>Energy Solutions &amp; B2B</t>
        </is>
      </c>
      <c r="O394" t="inlineStr">
        <is>
          <t>Energy Solutions</t>
        </is>
      </c>
      <c r="P394" t="inlineStr">
        <is>
          <t>Energy</t>
        </is>
      </c>
      <c r="Q394" t="inlineStr">
        <is>
          <t>Squad</t>
        </is>
      </c>
      <c r="R394" t="inlineStr">
        <is>
          <t>Vacant</t>
        </is>
      </c>
    </row>
    <row r="395" ht="18" customHeight="1" s="506">
      <c r="A395" s="259" t="n"/>
      <c r="B395" s="224" t="inlineStr">
        <is>
          <t>vacant</t>
        </is>
      </c>
      <c r="C395" s="224" t="inlineStr">
        <is>
          <t>Solution Architect</t>
        </is>
      </c>
      <c r="D395" s="224" t="inlineStr">
        <is>
          <t>Vacant</t>
        </is>
      </c>
      <c r="E395" s="224" t="inlineStr">
        <is>
          <t>Technology Manager, Energy Solutions</t>
        </is>
      </c>
      <c r="F395" s="224" t="inlineStr">
        <is>
          <t>TDD CFE&amp;I</t>
        </is>
      </c>
      <c r="G395" s="260" t="inlineStr">
        <is>
          <t>B2B &amp; Energy Solutions</t>
        </is>
      </c>
      <c r="H395" s="260" t="inlineStr">
        <is>
          <t>Technology B2B</t>
        </is>
      </c>
      <c r="I395" s="260" t="inlineStr">
        <is>
          <t>B2B &amp; Energy Solutions</t>
        </is>
      </c>
      <c r="J395" s="224" t="inlineStr">
        <is>
          <t>B2B</t>
        </is>
      </c>
      <c r="K395" s="224" t="inlineStr">
        <is>
          <t>B2B</t>
        </is>
      </c>
      <c r="L395" s="260" t="n"/>
      <c r="M395" s="261" t="n"/>
      <c r="N395" t="inlineStr">
        <is>
          <t>Energy Solutions &amp; B2B</t>
        </is>
      </c>
      <c r="O395" t="inlineStr">
        <is>
          <t>B2B</t>
        </is>
      </c>
      <c r="P395" t="inlineStr">
        <is>
          <t>B2B</t>
        </is>
      </c>
      <c r="Q395" t="inlineStr">
        <is>
          <t>Squad</t>
        </is>
      </c>
      <c r="R395" t="inlineStr">
        <is>
          <t>Vacant</t>
        </is>
      </c>
    </row>
    <row r="396" ht="18" customHeight="1" s="506">
      <c r="A396" s="259" t="n">
        <v>96270</v>
      </c>
      <c r="B396" s="224" t="inlineStr">
        <is>
          <t>Zhan Liu</t>
        </is>
      </c>
      <c r="C396" s="224" t="inlineStr">
        <is>
          <t>Engineer Applications</t>
        </is>
      </c>
      <c r="D396" s="224" t="inlineStr">
        <is>
          <t>Vacant</t>
        </is>
      </c>
      <c r="E396" s="224" t="inlineStr">
        <is>
          <t>Technology Manager, T&amp;S</t>
        </is>
      </c>
      <c r="F396" s="224" t="inlineStr">
        <is>
          <t>TDD CFE&amp;I</t>
        </is>
      </c>
      <c r="G396" s="260" t="inlineStr">
        <is>
          <t>Commercial Fuels</t>
        </is>
      </c>
      <c r="H396" s="260" t="inlineStr">
        <is>
          <t>Trading &amp; Shipping</t>
        </is>
      </c>
      <c r="I396" s="260" t="inlineStr">
        <is>
          <t>Commercial Fuels</t>
        </is>
      </c>
      <c r="J396" s="224" t="inlineStr">
        <is>
          <t>CTRM</t>
        </is>
      </c>
      <c r="K396" s="224" t="inlineStr">
        <is>
          <t>CTRM</t>
        </is>
      </c>
      <c r="L396" s="260" t="n"/>
      <c r="M396" s="261" t="inlineStr">
        <is>
          <t>Australia</t>
        </is>
      </c>
      <c r="N396" t="inlineStr">
        <is>
          <t>Commercial Fuels</t>
        </is>
      </c>
      <c r="O396" t="inlineStr">
        <is>
          <t>CTRM</t>
        </is>
      </c>
      <c r="P396" t="inlineStr">
        <is>
          <t>CTRM</t>
        </is>
      </c>
      <c r="Q396" t="inlineStr">
        <is>
          <t>Strategic Program</t>
        </is>
      </c>
      <c r="R396" t="inlineStr">
        <is>
          <t>Filled</t>
        </is>
      </c>
    </row>
    <row r="397" ht="18" customHeight="1" s="506">
      <c r="A397" s="259" t="n">
        <v>107463</v>
      </c>
      <c r="B397" s="224" t="inlineStr">
        <is>
          <t>Deepa Kaur</t>
        </is>
      </c>
      <c r="C397" s="224" t="inlineStr">
        <is>
          <t>Senior Engineer Automation Testing</t>
        </is>
      </c>
      <c r="D397" s="260" t="inlineStr">
        <is>
          <t>Vacant</t>
        </is>
      </c>
      <c r="E397" s="224" t="inlineStr">
        <is>
          <t>Technology Manager, Engineering</t>
        </is>
      </c>
      <c r="F397" s="224" t="inlineStr">
        <is>
          <t>TDD CFE&amp;I</t>
        </is>
      </c>
      <c r="G397" s="260" t="inlineStr">
        <is>
          <t>Commercial Fuels</t>
        </is>
      </c>
      <c r="H397" s="260" t="inlineStr">
        <is>
          <t>Trading &amp; Shipping</t>
        </is>
      </c>
      <c r="I397" s="260" t="inlineStr">
        <is>
          <t>Commercial Fuels</t>
        </is>
      </c>
      <c r="J397" s="224" t="inlineStr">
        <is>
          <t>CTRM</t>
        </is>
      </c>
      <c r="K397" s="224" t="inlineStr">
        <is>
          <t>CTRM</t>
        </is>
      </c>
      <c r="L397" s="260" t="n"/>
      <c r="M397" s="261" t="inlineStr">
        <is>
          <t>Australia</t>
        </is>
      </c>
      <c r="N397" t="inlineStr">
        <is>
          <t>Commercial Fuels</t>
        </is>
      </c>
      <c r="O397" t="inlineStr">
        <is>
          <t>CTRM</t>
        </is>
      </c>
      <c r="P397" t="inlineStr">
        <is>
          <t>CTRM</t>
        </is>
      </c>
      <c r="Q397" t="inlineStr">
        <is>
          <t>Strategic Program</t>
        </is>
      </c>
      <c r="R397" t="inlineStr">
        <is>
          <t>Filled</t>
        </is>
      </c>
    </row>
    <row r="398" ht="18" customHeight="1" s="506">
      <c r="A398" s="259" t="n">
        <v>99999101325</v>
      </c>
      <c r="B398" s="224" t="inlineStr">
        <is>
          <t>Laura Roberts</t>
        </is>
      </c>
      <c r="C398" s="224" t="inlineStr">
        <is>
          <t>Senior Engineer Software</t>
        </is>
      </c>
      <c r="D398" s="260" t="inlineStr">
        <is>
          <t>Vacant</t>
        </is>
      </c>
      <c r="E398" s="224" t="inlineStr">
        <is>
          <t>Technology Manager, Engineering</t>
        </is>
      </c>
      <c r="F398" s="224" t="inlineStr">
        <is>
          <t>TDD CFE&amp;I</t>
        </is>
      </c>
      <c r="G398" s="260" t="inlineStr">
        <is>
          <t>Commercial Fuels</t>
        </is>
      </c>
      <c r="H398" s="260" t="inlineStr">
        <is>
          <t>Delivery, Commercial Fuels</t>
        </is>
      </c>
      <c r="I398" s="260" t="inlineStr">
        <is>
          <t>Commercial Fuels</t>
        </is>
      </c>
      <c r="J398" s="224" t="inlineStr">
        <is>
          <t>CTRM</t>
        </is>
      </c>
      <c r="K398" s="224" t="inlineStr">
        <is>
          <t>CTRM</t>
        </is>
      </c>
      <c r="L398" s="260" t="n"/>
      <c r="M398" s="261" t="inlineStr">
        <is>
          <t>NZ</t>
        </is>
      </c>
      <c r="N398" t="inlineStr">
        <is>
          <t>Commercial Fuels</t>
        </is>
      </c>
      <c r="O398" t="inlineStr">
        <is>
          <t>CTRM</t>
        </is>
      </c>
      <c r="P398" t="inlineStr">
        <is>
          <t>CTRM</t>
        </is>
      </c>
      <c r="Q398" t="inlineStr">
        <is>
          <t>Strategic Program</t>
        </is>
      </c>
      <c r="R398" t="inlineStr">
        <is>
          <t>Filled</t>
        </is>
      </c>
    </row>
    <row r="399" ht="18" customHeight="1" s="506">
      <c r="A399" s="259" t="n"/>
      <c r="B399" s="224" t="inlineStr">
        <is>
          <t>Vacant (anaplan)</t>
        </is>
      </c>
      <c r="C399" s="224" t="inlineStr">
        <is>
          <t>System Specialist</t>
        </is>
      </c>
      <c r="D399" s="224" t="inlineStr">
        <is>
          <t>Vacant</t>
        </is>
      </c>
      <c r="E399" s="224" t="inlineStr">
        <is>
          <t>Technology Manager, T&amp;S</t>
        </is>
      </c>
      <c r="F399" s="224" t="inlineStr">
        <is>
          <t>TDD CFE&amp;I</t>
        </is>
      </c>
      <c r="G399" s="260" t="inlineStr">
        <is>
          <t>Commercial Fuels</t>
        </is>
      </c>
      <c r="H399" s="260" t="inlineStr">
        <is>
          <t>Technology, Trading &amp; Shipping</t>
        </is>
      </c>
      <c r="I399" s="260" t="inlineStr">
        <is>
          <t>Commercial Fuels</t>
        </is>
      </c>
      <c r="J399" s="260" t="inlineStr">
        <is>
          <t>Supply</t>
        </is>
      </c>
      <c r="K399" s="224" t="inlineStr">
        <is>
          <t>Supply</t>
        </is>
      </c>
      <c r="L399" s="260" t="n"/>
      <c r="M399" s="261" t="n"/>
      <c r="N399" t="inlineStr">
        <is>
          <t>Commercial Fuels</t>
        </is>
      </c>
      <c r="O399" t="inlineStr">
        <is>
          <t>Supply</t>
        </is>
      </c>
      <c r="P399" t="inlineStr">
        <is>
          <t>Supply</t>
        </is>
      </c>
      <c r="Q399" t="inlineStr">
        <is>
          <t>Squad</t>
        </is>
      </c>
      <c r="R399" t="inlineStr">
        <is>
          <t>Filled</t>
        </is>
      </c>
    </row>
    <row r="400" ht="18" customHeight="1" s="506">
      <c r="A400" s="259" t="n">
        <v>99999101752</v>
      </c>
      <c r="B400" s="224" t="inlineStr">
        <is>
          <t>Amanda Turnbull</t>
        </is>
      </c>
      <c r="C400" s="224" t="inlineStr">
        <is>
          <t>Engineer Software</t>
        </is>
      </c>
      <c r="D400" s="260" t="inlineStr">
        <is>
          <t>Vacant</t>
        </is>
      </c>
      <c r="E400" s="224" t="inlineStr">
        <is>
          <t>Technology Manager, Engineering</t>
        </is>
      </c>
      <c r="F400" s="224" t="inlineStr">
        <is>
          <t>TDD CFE&amp;I</t>
        </is>
      </c>
      <c r="G400" s="260" t="inlineStr">
        <is>
          <t>Commercial Fuels</t>
        </is>
      </c>
      <c r="H400" s="260" t="inlineStr">
        <is>
          <t>Trading &amp; Shipping</t>
        </is>
      </c>
      <c r="I400" s="260" t="inlineStr">
        <is>
          <t>Commercial Fuels</t>
        </is>
      </c>
      <c r="J400" s="224" t="inlineStr">
        <is>
          <t>CTRM</t>
        </is>
      </c>
      <c r="K400" s="224" t="inlineStr">
        <is>
          <t>CTRM</t>
        </is>
      </c>
      <c r="L400" s="260" t="n"/>
      <c r="M400" s="261" t="inlineStr">
        <is>
          <t>NZ</t>
        </is>
      </c>
      <c r="N400" t="inlineStr">
        <is>
          <t>Commercial Fuels</t>
        </is>
      </c>
      <c r="O400" t="inlineStr">
        <is>
          <t>CTRM</t>
        </is>
      </c>
      <c r="P400" t="inlineStr">
        <is>
          <t>CTRM</t>
        </is>
      </c>
      <c r="Q400" t="inlineStr">
        <is>
          <t>Strategic Program</t>
        </is>
      </c>
      <c r="R400" t="inlineStr">
        <is>
          <t>Filled</t>
        </is>
      </c>
    </row>
    <row r="401" ht="18" customHeight="1" s="506">
      <c r="A401" s="259" t="n">
        <v>97284</v>
      </c>
      <c r="B401" s="224" t="inlineStr">
        <is>
          <t>Byron Leung</t>
        </is>
      </c>
      <c r="C401" s="224" t="inlineStr">
        <is>
          <t>Solution Architect</t>
        </is>
      </c>
      <c r="D401" s="260" t="inlineStr">
        <is>
          <t>Vacant</t>
        </is>
      </c>
      <c r="E401" s="224" t="inlineStr">
        <is>
          <t>Technology Manager, Engineering</t>
        </is>
      </c>
      <c r="F401" s="224" t="inlineStr">
        <is>
          <t>TDD CFE&amp;I</t>
        </is>
      </c>
      <c r="G401" s="260" t="inlineStr">
        <is>
          <t>Commercial Fuels</t>
        </is>
      </c>
      <c r="H401" s="260" t="inlineStr">
        <is>
          <t>Trading &amp; Shipping</t>
        </is>
      </c>
      <c r="I401" s="260" t="inlineStr">
        <is>
          <t>Commercial Fuels</t>
        </is>
      </c>
      <c r="J401" s="224" t="inlineStr">
        <is>
          <t>CTRM</t>
        </is>
      </c>
      <c r="K401" s="224" t="inlineStr">
        <is>
          <t>CTRM</t>
        </is>
      </c>
      <c r="L401" s="260" t="n"/>
      <c r="M401" s="261" t="inlineStr">
        <is>
          <t>Australia</t>
        </is>
      </c>
      <c r="N401" t="inlineStr">
        <is>
          <t>Commercial Fuels</t>
        </is>
      </c>
      <c r="O401" t="inlineStr">
        <is>
          <t>CTRM</t>
        </is>
      </c>
      <c r="P401" t="inlineStr">
        <is>
          <t>CTRM</t>
        </is>
      </c>
      <c r="Q401" t="inlineStr">
        <is>
          <t>Strategic Program</t>
        </is>
      </c>
      <c r="R401" t="inlineStr">
        <is>
          <t>Filled</t>
        </is>
      </c>
    </row>
    <row r="402" ht="18" customHeight="1" s="506">
      <c r="A402" s="259" t="n">
        <v>99999101568</v>
      </c>
      <c r="B402" s="224" t="inlineStr">
        <is>
          <t>Anie Camerino</t>
        </is>
      </c>
      <c r="C402" s="224" t="inlineStr">
        <is>
          <t>Snr Quality Assurance</t>
        </is>
      </c>
      <c r="D402" s="260" t="inlineStr">
        <is>
          <t>Vacant</t>
        </is>
      </c>
      <c r="E402" s="224" t="inlineStr">
        <is>
          <t>Technology Manager, Energy Solutions</t>
        </is>
      </c>
      <c r="F402" s="224" t="inlineStr">
        <is>
          <t>TDD CFE&amp;I</t>
        </is>
      </c>
      <c r="G402" s="260" t="inlineStr">
        <is>
          <t>B2B &amp; Energy Solutions</t>
        </is>
      </c>
      <c r="H402" s="260" t="inlineStr">
        <is>
          <t>Technology Energy Solutions</t>
        </is>
      </c>
      <c r="I402" s="260" t="inlineStr">
        <is>
          <t>B2B &amp; Energy Solutions</t>
        </is>
      </c>
      <c r="J402" s="260" t="inlineStr">
        <is>
          <t>Energy Solutions</t>
        </is>
      </c>
      <c r="K402" s="224" t="inlineStr">
        <is>
          <t>EVCI</t>
        </is>
      </c>
      <c r="L402" s="260" t="n"/>
      <c r="M402" s="261" t="inlineStr">
        <is>
          <t>NZ</t>
        </is>
      </c>
      <c r="N402" t="inlineStr">
        <is>
          <t>Energy Solutions &amp; B2B</t>
        </is>
      </c>
      <c r="O402" t="inlineStr">
        <is>
          <t>Energy Solutions</t>
        </is>
      </c>
      <c r="P402" t="inlineStr">
        <is>
          <t>EVCI</t>
        </is>
      </c>
      <c r="Q402" t="inlineStr">
        <is>
          <t>Squad</t>
        </is>
      </c>
      <c r="R402" t="inlineStr">
        <is>
          <t>Filled</t>
        </is>
      </c>
    </row>
    <row r="403" ht="18" customHeight="1" s="506">
      <c r="A403" s="259" t="n">
        <v>113333</v>
      </c>
      <c r="B403" s="224" t="inlineStr">
        <is>
          <t>Tom Moore</t>
        </is>
      </c>
      <c r="C403" s="224" t="inlineStr">
        <is>
          <t>Technology Support Engineer - Infrastructure</t>
        </is>
      </c>
      <c r="D403" s="224" t="inlineStr">
        <is>
          <t>Vacant</t>
        </is>
      </c>
      <c r="E403" s="224" t="inlineStr">
        <is>
          <t>Lead Support, Infrastructure</t>
        </is>
      </c>
      <c r="F403" s="224" t="inlineStr">
        <is>
          <t>TDD CFE&amp;I</t>
        </is>
      </c>
      <c r="G403" s="260" t="inlineStr">
        <is>
          <t>Fuel Infrastructure</t>
        </is>
      </c>
      <c r="H403" s="260" t="inlineStr">
        <is>
          <t>Refinery Applications</t>
        </is>
      </c>
      <c r="I403" s="260" t="inlineStr">
        <is>
          <t>Infrastructure</t>
        </is>
      </c>
      <c r="J403" s="260" t="inlineStr">
        <is>
          <t>Fuel Infrastructure</t>
        </is>
      </c>
      <c r="K403" s="224" t="inlineStr">
        <is>
          <t>Technology Suport</t>
        </is>
      </c>
      <c r="L403" s="260" t="n"/>
      <c r="M403" s="261" t="inlineStr">
        <is>
          <t>Australia</t>
        </is>
      </c>
      <c r="N403" t="inlineStr">
        <is>
          <t>Infrastructure</t>
        </is>
      </c>
      <c r="O403" t="inlineStr">
        <is>
          <t>Manufacturing</t>
        </is>
      </c>
      <c r="P403" t="inlineStr">
        <is>
          <t>Technology Support</t>
        </is>
      </c>
      <c r="Q403" t="inlineStr">
        <is>
          <t>Squad</t>
        </is>
      </c>
      <c r="R403" t="inlineStr">
        <is>
          <t>Filled</t>
        </is>
      </c>
    </row>
    <row r="404" ht="18" customHeight="1" s="506">
      <c r="A404" s="259" t="n">
        <v>85491</v>
      </c>
      <c r="B404" s="224" t="inlineStr">
        <is>
          <t>Mick DaSilva</t>
        </is>
      </c>
      <c r="C404" s="224" t="inlineStr">
        <is>
          <t>Senior Business Analyst</t>
        </is>
      </c>
      <c r="D404" s="260" t="inlineStr">
        <is>
          <t>Vacant</t>
        </is>
      </c>
      <c r="E404" s="224" t="inlineStr">
        <is>
          <t>Delivery Manager</t>
        </is>
      </c>
      <c r="F404" s="224" t="inlineStr">
        <is>
          <t>TDD CFE&amp;I</t>
        </is>
      </c>
      <c r="G404" s="260" t="inlineStr">
        <is>
          <t>B2B &amp; Energy Solutions</t>
        </is>
      </c>
      <c r="H404" s="260" t="inlineStr">
        <is>
          <t>Delivery</t>
        </is>
      </c>
      <c r="I404" s="260" t="inlineStr">
        <is>
          <t>B2B &amp; Energy Solutions</t>
        </is>
      </c>
      <c r="J404" s="224" t="inlineStr">
        <is>
          <t>B2B</t>
        </is>
      </c>
      <c r="K404" s="224" t="inlineStr">
        <is>
          <t>B2B</t>
        </is>
      </c>
      <c r="L404" s="260" t="n"/>
      <c r="M404" s="261" t="inlineStr">
        <is>
          <t>Australia</t>
        </is>
      </c>
      <c r="N404" t="inlineStr">
        <is>
          <t>Energy Solutions &amp; B2B</t>
        </is>
      </c>
      <c r="O404" t="inlineStr">
        <is>
          <t>B2B</t>
        </is>
      </c>
      <c r="P404" t="inlineStr">
        <is>
          <t>B2B</t>
        </is>
      </c>
      <c r="Q404" t="inlineStr">
        <is>
          <t>Squad</t>
        </is>
      </c>
      <c r="R404" t="inlineStr">
        <is>
          <t>Filled</t>
        </is>
      </c>
    </row>
    <row r="405" ht="18" customHeight="1" s="506">
      <c r="A405" s="259" t="n">
        <v>106555</v>
      </c>
      <c r="B405" s="224" t="inlineStr">
        <is>
          <t>Karla Orozco Loza</t>
        </is>
      </c>
      <c r="C405" s="224" t="inlineStr">
        <is>
          <t xml:space="preserve">Technology Manager, Future Infrastructure </t>
        </is>
      </c>
      <c r="D405" s="224" t="inlineStr">
        <is>
          <t>Vacant</t>
        </is>
      </c>
      <c r="E405" s="224" t="inlineStr">
        <is>
          <t>Head of Technology, Fuel Infrastructure</t>
        </is>
      </c>
      <c r="F405" s="224" t="inlineStr">
        <is>
          <t>TDD CFE&amp;I</t>
        </is>
      </c>
      <c r="G405" s="260" t="inlineStr">
        <is>
          <t>Fuel Infrastructure</t>
        </is>
      </c>
      <c r="H405" s="260" t="inlineStr">
        <is>
          <t>Technology - Distribution</t>
        </is>
      </c>
      <c r="I405" s="260" t="inlineStr">
        <is>
          <t>Infrastructure</t>
        </is>
      </c>
      <c r="J405" s="260" t="inlineStr">
        <is>
          <t>Distribution</t>
        </is>
      </c>
      <c r="K405" s="224" t="inlineStr">
        <is>
          <t>Leadership</t>
        </is>
      </c>
      <c r="L405" s="260" t="n"/>
      <c r="M405" s="261" t="inlineStr">
        <is>
          <t>Australia</t>
        </is>
      </c>
      <c r="N405" t="inlineStr">
        <is>
          <t>Infrastructure</t>
        </is>
      </c>
      <c r="O405" t="inlineStr">
        <is>
          <t>Leadership</t>
        </is>
      </c>
      <c r="P405" t="inlineStr">
        <is>
          <t>Leadership</t>
        </is>
      </c>
      <c r="Q405" t="inlineStr">
        <is>
          <t>Leadership</t>
        </is>
      </c>
      <c r="R405" t="inlineStr">
        <is>
          <t>Filled</t>
        </is>
      </c>
    </row>
    <row r="406" ht="18" customHeight="1" s="506">
      <c r="A406" s="259" t="n">
        <v>103651</v>
      </c>
      <c r="B406" s="224" t="inlineStr">
        <is>
          <t>Hari Maneti</t>
        </is>
      </c>
      <c r="C406" s="224" t="inlineStr">
        <is>
          <t>Systems Analyst</t>
        </is>
      </c>
      <c r="D406" s="224" t="inlineStr">
        <is>
          <t>Vacant</t>
        </is>
      </c>
      <c r="E406" s="224" t="inlineStr">
        <is>
          <t>Technology Manager, T&amp;S</t>
        </is>
      </c>
      <c r="F406" s="224" t="inlineStr">
        <is>
          <t>TDD CFE&amp;I</t>
        </is>
      </c>
      <c r="G406" s="260" t="inlineStr">
        <is>
          <t>Commercial Fuels</t>
        </is>
      </c>
      <c r="H406" s="300" t="inlineStr">
        <is>
          <t>Technology, Trading &amp; Shipping</t>
        </is>
      </c>
      <c r="I406" s="260" t="inlineStr">
        <is>
          <t>Commercial Fuels</t>
        </is>
      </c>
      <c r="J406" s="260" t="inlineStr">
        <is>
          <t>Trading &amp; Shipping</t>
        </is>
      </c>
      <c r="K406" s="224" t="inlineStr">
        <is>
          <t>Trading &amp; Shipping</t>
        </is>
      </c>
      <c r="L406" s="260" t="n"/>
      <c r="M406" s="261" t="inlineStr">
        <is>
          <t>Singapore</t>
        </is>
      </c>
      <c r="N406" t="inlineStr">
        <is>
          <t>Commercial Fuels</t>
        </is>
      </c>
      <c r="O406" t="inlineStr">
        <is>
          <t>Trading &amp; Shipping</t>
        </is>
      </c>
      <c r="P406" t="inlineStr">
        <is>
          <t>Trading &amp; Shipping</t>
        </is>
      </c>
      <c r="Q406" t="inlineStr">
        <is>
          <t>Squad</t>
        </is>
      </c>
      <c r="R406" t="inlineStr">
        <is>
          <t>Filled</t>
        </is>
      </c>
    </row>
    <row r="407" ht="18" customHeight="1" s="506">
      <c r="A407" s="259" t="n">
        <v>13925</v>
      </c>
      <c r="B407" s="224" t="inlineStr">
        <is>
          <t>Allan Francia</t>
        </is>
      </c>
      <c r="C407" s="224" t="inlineStr">
        <is>
          <t>Technology Manager - T&amp;S</t>
        </is>
      </c>
      <c r="D407" s="260" t="inlineStr">
        <is>
          <t>Vacant</t>
        </is>
      </c>
      <c r="E407" s="224" t="inlineStr">
        <is>
          <t>Head of Technology, Commercial Fuels</t>
        </is>
      </c>
      <c r="F407" s="224" t="inlineStr">
        <is>
          <t>TDD CFE&amp;I</t>
        </is>
      </c>
      <c r="G407" s="260" t="inlineStr">
        <is>
          <t>Commercial Fuels</t>
        </is>
      </c>
      <c r="H407" s="300" t="inlineStr">
        <is>
          <t>Trading &amp; Shipping</t>
        </is>
      </c>
      <c r="I407" s="260" t="inlineStr">
        <is>
          <t>Commercial Fuels</t>
        </is>
      </c>
      <c r="J407" s="260" t="inlineStr">
        <is>
          <t>Trading &amp; Shipping</t>
        </is>
      </c>
      <c r="K407" s="260" t="inlineStr">
        <is>
          <t>Trading &amp; Shipping</t>
        </is>
      </c>
      <c r="L407" s="260" t="n"/>
      <c r="M407" s="261" t="inlineStr">
        <is>
          <t>Australia</t>
        </is>
      </c>
      <c r="N407" t="inlineStr">
        <is>
          <t>Commercial Fuels</t>
        </is>
      </c>
      <c r="O407" t="inlineStr">
        <is>
          <t>Trading &amp; Shipping</t>
        </is>
      </c>
      <c r="P407" t="inlineStr">
        <is>
          <t>Trading &amp; Shipping</t>
        </is>
      </c>
      <c r="Q407" t="inlineStr">
        <is>
          <t>Squad</t>
        </is>
      </c>
      <c r="R407" t="inlineStr">
        <is>
          <t>Filled</t>
        </is>
      </c>
    </row>
    <row r="408" ht="18" customHeight="1" s="506">
      <c r="A408" s="259" t="n">
        <v>99999101908</v>
      </c>
      <c r="B408" s="224" t="inlineStr">
        <is>
          <t>Oliver Shanks</t>
        </is>
      </c>
      <c r="C408" s="224" t="inlineStr">
        <is>
          <t>Associate Engineer Software</t>
        </is>
      </c>
      <c r="D408" s="260" t="inlineStr">
        <is>
          <t>Vacant</t>
        </is>
      </c>
      <c r="E408" s="224" t="inlineStr">
        <is>
          <t>Technology Manager, Engineering</t>
        </is>
      </c>
      <c r="F408" s="224" t="inlineStr">
        <is>
          <t>TDD CFE&amp;I</t>
        </is>
      </c>
      <c r="G408" s="260" t="inlineStr">
        <is>
          <t>Commercial Fuels</t>
        </is>
      </c>
      <c r="H408" s="260" t="inlineStr">
        <is>
          <t>Trading &amp; Shipping</t>
        </is>
      </c>
      <c r="I408" s="260" t="inlineStr">
        <is>
          <t>Commercial Fuels</t>
        </is>
      </c>
      <c r="J408" s="224" t="inlineStr">
        <is>
          <t>CTRM</t>
        </is>
      </c>
      <c r="K408" s="224" t="inlineStr">
        <is>
          <t>CTRM</t>
        </is>
      </c>
      <c r="L408" s="260" t="n"/>
      <c r="M408" s="261" t="inlineStr">
        <is>
          <t>NZ</t>
        </is>
      </c>
      <c r="N408" t="inlineStr">
        <is>
          <t>Commercial Fuels</t>
        </is>
      </c>
      <c r="O408" t="inlineStr">
        <is>
          <t>CTRM</t>
        </is>
      </c>
      <c r="P408" t="inlineStr">
        <is>
          <t>CTRM</t>
        </is>
      </c>
      <c r="Q408" t="inlineStr">
        <is>
          <t>Strategic Program</t>
        </is>
      </c>
      <c r="R408" t="inlineStr">
        <is>
          <t>Filled</t>
        </is>
      </c>
    </row>
    <row r="409" ht="18" customHeight="1" s="506">
      <c r="A409" s="259" t="n">
        <v>99999100769</v>
      </c>
      <c r="B409" s="224" t="inlineStr">
        <is>
          <t>Gokila Mylsamy</t>
        </is>
      </c>
      <c r="C409" s="224" t="inlineStr">
        <is>
          <t>Lead Engineer Software</t>
        </is>
      </c>
      <c r="D409" s="260" t="inlineStr">
        <is>
          <t>Vacant</t>
        </is>
      </c>
      <c r="E409" s="224" t="inlineStr">
        <is>
          <t>Technology Manager, Energy Solutions</t>
        </is>
      </c>
      <c r="F409" s="224" t="inlineStr">
        <is>
          <t>TDD CFE&amp;I</t>
        </is>
      </c>
      <c r="G409" s="260" t="inlineStr">
        <is>
          <t>B2B &amp; Energy Solutions</t>
        </is>
      </c>
      <c r="H409" s="260" t="inlineStr">
        <is>
          <t>Technology Energy Solutions</t>
        </is>
      </c>
      <c r="I409" s="260" t="inlineStr">
        <is>
          <t>B2B &amp; Energy Solutions</t>
        </is>
      </c>
      <c r="J409" s="260" t="inlineStr">
        <is>
          <t>Energy Solutions</t>
        </is>
      </c>
      <c r="K409" s="224" t="inlineStr">
        <is>
          <t>EVCI</t>
        </is>
      </c>
      <c r="L409" s="260" t="n"/>
      <c r="M409" s="261" t="inlineStr">
        <is>
          <t>NZ</t>
        </is>
      </c>
      <c r="N409" t="inlineStr">
        <is>
          <t>Energy Solutions &amp; B2B</t>
        </is>
      </c>
      <c r="O409" t="inlineStr">
        <is>
          <t>Energy Solutions</t>
        </is>
      </c>
      <c r="P409" t="inlineStr">
        <is>
          <t>EVCI</t>
        </is>
      </c>
      <c r="Q409" t="inlineStr">
        <is>
          <t>Squad</t>
        </is>
      </c>
      <c r="R409" t="inlineStr">
        <is>
          <t>Filled</t>
        </is>
      </c>
    </row>
    <row r="410" ht="18" customHeight="1" s="506">
      <c r="A410" s="259" t="n">
        <v>114717</v>
      </c>
      <c r="B410" s="224" t="inlineStr">
        <is>
          <t>Fransiscus Setiawan</t>
        </is>
      </c>
      <c r="C410" s="224" t="inlineStr">
        <is>
          <t xml:space="preserve">Integration Architect   </t>
        </is>
      </c>
      <c r="D410" s="260" t="inlineStr">
        <is>
          <t>Vacant</t>
        </is>
      </c>
      <c r="E410" s="224" t="inlineStr">
        <is>
          <t>Technology Manager, Engineering</t>
        </is>
      </c>
      <c r="F410" s="224" t="inlineStr">
        <is>
          <t>TDD CFE&amp;I</t>
        </is>
      </c>
      <c r="G410" s="260" t="inlineStr">
        <is>
          <t>Commercial Fuels</t>
        </is>
      </c>
      <c r="H410" s="260" t="inlineStr">
        <is>
          <t>Trading &amp; Shipping</t>
        </is>
      </c>
      <c r="I410" s="260" t="inlineStr">
        <is>
          <t>Commercial Fuels</t>
        </is>
      </c>
      <c r="J410" s="224" t="inlineStr">
        <is>
          <t>CTRM</t>
        </is>
      </c>
      <c r="K410" s="224" t="inlineStr">
        <is>
          <t>CTRM</t>
        </is>
      </c>
      <c r="L410" s="260" t="n"/>
      <c r="M410" s="261" t="inlineStr">
        <is>
          <t>Australia</t>
        </is>
      </c>
      <c r="N410" t="inlineStr">
        <is>
          <t>Commercial Fuels</t>
        </is>
      </c>
      <c r="O410" t="inlineStr">
        <is>
          <t>CTRM</t>
        </is>
      </c>
      <c r="P410" t="inlineStr">
        <is>
          <t>CTRM</t>
        </is>
      </c>
      <c r="Q410" t="inlineStr">
        <is>
          <t>Strategic Program</t>
        </is>
      </c>
      <c r="R410" t="inlineStr">
        <is>
          <t>Filled</t>
        </is>
      </c>
    </row>
    <row r="411" ht="18" customHeight="1" s="506">
      <c r="A411" s="259" t="n">
        <v>10572</v>
      </c>
      <c r="B411" s="224" t="inlineStr">
        <is>
          <t>Stevani Kho</t>
        </is>
      </c>
      <c r="C411" s="224" t="inlineStr">
        <is>
          <t>Delivery Lead</t>
        </is>
      </c>
      <c r="D411" s="224" t="inlineStr">
        <is>
          <t>vacant</t>
        </is>
      </c>
      <c r="E411" s="224" t="inlineStr">
        <is>
          <t>Technology Manger, Data</t>
        </is>
      </c>
      <c r="F411" s="224" t="inlineStr">
        <is>
          <t>TDD CFE&amp;I</t>
        </is>
      </c>
      <c r="G411" s="260" t="inlineStr">
        <is>
          <t>Fuel Infrastructure</t>
        </is>
      </c>
      <c r="H411" s="260" t="inlineStr">
        <is>
          <t>Technology, Trading &amp; Shipping</t>
        </is>
      </c>
      <c r="I411" s="260" t="inlineStr">
        <is>
          <t>Infrastructure</t>
        </is>
      </c>
      <c r="J411" s="224" t="inlineStr">
        <is>
          <t xml:space="preserve">Data &amp; Insights </t>
        </is>
      </c>
      <c r="K411" s="224" t="inlineStr">
        <is>
          <t xml:space="preserve">Data &amp; Insights </t>
        </is>
      </c>
      <c r="L411" s="260" t="n"/>
      <c r="M411" s="261" t="inlineStr">
        <is>
          <t>Australia</t>
        </is>
      </c>
      <c r="N411" t="inlineStr">
        <is>
          <t>Infrastructure</t>
        </is>
      </c>
      <c r="O411" t="inlineStr">
        <is>
          <t>Data &amp; Insights</t>
        </is>
      </c>
      <c r="P411" t="inlineStr">
        <is>
          <t>Data &amp; Insights</t>
        </is>
      </c>
      <c r="Q411" t="inlineStr">
        <is>
          <t>Squad</t>
        </is>
      </c>
      <c r="R411" t="inlineStr">
        <is>
          <t>Filled</t>
        </is>
      </c>
    </row>
    <row r="412" ht="18" customHeight="1" s="506">
      <c r="A412" s="259" t="n"/>
      <c r="B412" s="224" t="inlineStr">
        <is>
          <t>vacant</t>
        </is>
      </c>
      <c r="C412" s="224" t="inlineStr">
        <is>
          <t>Senior Engineer Data</t>
        </is>
      </c>
      <c r="D412" s="224" t="inlineStr">
        <is>
          <t>Vacant</t>
        </is>
      </c>
      <c r="E412" s="224" t="inlineStr">
        <is>
          <t>Technology Manger, Data</t>
        </is>
      </c>
      <c r="F412" s="224" t="inlineStr">
        <is>
          <t>TDD CFE&amp;I</t>
        </is>
      </c>
      <c r="G412" s="260" t="inlineStr">
        <is>
          <t>Fuel Infrastructure</t>
        </is>
      </c>
      <c r="H412" s="260" t="inlineStr">
        <is>
          <t>Technology, CF Engineering</t>
        </is>
      </c>
      <c r="I412" s="260" t="inlineStr">
        <is>
          <t>Infrastructure</t>
        </is>
      </c>
      <c r="J412" s="224" t="inlineStr">
        <is>
          <t xml:space="preserve">Data &amp; Insights </t>
        </is>
      </c>
      <c r="K412" s="224" t="inlineStr">
        <is>
          <t xml:space="preserve">Data &amp; Insights </t>
        </is>
      </c>
      <c r="L412" s="260" t="n"/>
      <c r="M412" s="261" t="n"/>
      <c r="N412" t="inlineStr">
        <is>
          <t>Infrastructure</t>
        </is>
      </c>
      <c r="O412" t="inlineStr">
        <is>
          <t>Data &amp; Insights</t>
        </is>
      </c>
      <c r="P412" t="inlineStr">
        <is>
          <t>Data &amp; Insights</t>
        </is>
      </c>
      <c r="Q412" t="inlineStr">
        <is>
          <t>Squad</t>
        </is>
      </c>
      <c r="R412" t="inlineStr">
        <is>
          <t>Vacant</t>
        </is>
      </c>
    </row>
    <row r="413" ht="18" customHeight="1" s="506">
      <c r="A413" s="259" t="n">
        <v>6851</v>
      </c>
      <c r="B413" s="224" t="inlineStr">
        <is>
          <t>Ann Aquino</t>
        </is>
      </c>
      <c r="C413" s="224" t="inlineStr">
        <is>
          <t>Senior Business Analyst</t>
        </is>
      </c>
      <c r="D413" s="260" t="inlineStr">
        <is>
          <t>vacant</t>
        </is>
      </c>
      <c r="E413" s="224" t="inlineStr">
        <is>
          <t>Delivery Manager</t>
        </is>
      </c>
      <c r="F413" s="224" t="inlineStr">
        <is>
          <t>TDD CFE&amp;I</t>
        </is>
      </c>
      <c r="G413" s="260" t="inlineStr">
        <is>
          <t>Commercial Fuels</t>
        </is>
      </c>
      <c r="H413" s="300" t="inlineStr">
        <is>
          <t>Trading &amp; Shipping</t>
        </is>
      </c>
      <c r="I413" s="260" t="inlineStr">
        <is>
          <t>Commercial Fuels</t>
        </is>
      </c>
      <c r="J413" s="260" t="inlineStr">
        <is>
          <t>Supply</t>
        </is>
      </c>
      <c r="K413" s="260" t="inlineStr">
        <is>
          <t>Supply</t>
        </is>
      </c>
      <c r="L413" s="224" t="n"/>
      <c r="M413" s="261" t="inlineStr">
        <is>
          <t>Australia</t>
        </is>
      </c>
      <c r="N413" t="inlineStr">
        <is>
          <t>Commercial Fuels</t>
        </is>
      </c>
      <c r="O413" t="inlineStr">
        <is>
          <t>Supply</t>
        </is>
      </c>
      <c r="P413" t="inlineStr">
        <is>
          <t>Supply</t>
        </is>
      </c>
      <c r="Q413" t="inlineStr">
        <is>
          <t>Squad</t>
        </is>
      </c>
      <c r="R413" t="inlineStr">
        <is>
          <t>Filled</t>
        </is>
      </c>
    </row>
    <row r="414" ht="18" customHeight="1" s="506">
      <c r="A414" s="259" t="n">
        <v>0</v>
      </c>
      <c r="B414" s="224" t="inlineStr">
        <is>
          <t>Simrat Singh</t>
        </is>
      </c>
      <c r="C414" s="224" t="inlineStr">
        <is>
          <t>Reporting Analyst (Contractor)</t>
        </is>
      </c>
      <c r="D414" s="224" t="inlineStr">
        <is>
          <t>Vacant</t>
        </is>
      </c>
      <c r="E414" s="224" t="inlineStr">
        <is>
          <t>Technology Manager, TDD Refinery</t>
        </is>
      </c>
      <c r="F414" s="224" t="inlineStr">
        <is>
          <t>TDD CFE&amp;I</t>
        </is>
      </c>
      <c r="G414" s="260" t="inlineStr">
        <is>
          <t>Fuel Infrastructure</t>
        </is>
      </c>
      <c r="H414" s="260" t="inlineStr">
        <is>
          <t>Refinery Applications</t>
        </is>
      </c>
      <c r="I414" s="260" t="inlineStr">
        <is>
          <t>Infrastructure</t>
        </is>
      </c>
      <c r="J414" s="224" t="inlineStr">
        <is>
          <t xml:space="preserve">Data &amp; Insights </t>
        </is>
      </c>
      <c r="K414" t="inlineStr">
        <is>
          <t xml:space="preserve">Data &amp; Insights </t>
        </is>
      </c>
      <c r="L414" s="260" t="n"/>
      <c r="M414" s="261" t="n">
        <v>0</v>
      </c>
      <c r="N414" t="inlineStr">
        <is>
          <t>Infrastructure</t>
        </is>
      </c>
      <c r="O414" t="inlineStr">
        <is>
          <t>Data &amp; Insights</t>
        </is>
      </c>
      <c r="P414" t="inlineStr">
        <is>
          <t>Data &amp; Insights</t>
        </is>
      </c>
      <c r="Q414" t="inlineStr">
        <is>
          <t>Squad</t>
        </is>
      </c>
      <c r="R414" t="inlineStr">
        <is>
          <t>Filled</t>
        </is>
      </c>
    </row>
    <row r="415" ht="18" customHeight="1" s="506">
      <c r="A415" s="259" t="n">
        <v>102576</v>
      </c>
      <c r="B415" s="224" t="inlineStr">
        <is>
          <t>Glenn Earl</t>
        </is>
      </c>
      <c r="C415" s="224" t="inlineStr">
        <is>
          <t>Lead Technology Support - Infrastructure</t>
        </is>
      </c>
      <c r="D415" s="224" t="inlineStr">
        <is>
          <t>Vacant</t>
        </is>
      </c>
      <c r="E415" s="224" t="inlineStr">
        <is>
          <t>Technology Manager, TDD Refinery</t>
        </is>
      </c>
      <c r="F415" s="224" t="inlineStr">
        <is>
          <t>TDD CFE&amp;I</t>
        </is>
      </c>
      <c r="G415" s="260" t="inlineStr">
        <is>
          <t>Fuel Infrastructure</t>
        </is>
      </c>
      <c r="H415" s="260" t="inlineStr">
        <is>
          <t>Refinery Applications</t>
        </is>
      </c>
      <c r="I415" s="260" t="inlineStr">
        <is>
          <t>Infrastructure</t>
        </is>
      </c>
      <c r="J415" s="260" t="inlineStr">
        <is>
          <t>Fuel Infrastructure</t>
        </is>
      </c>
      <c r="K415" t="inlineStr">
        <is>
          <t>Technology Suport</t>
        </is>
      </c>
      <c r="L415" s="260" t="n"/>
      <c r="M415" s="261" t="inlineStr">
        <is>
          <t>Australia</t>
        </is>
      </c>
      <c r="N415" t="inlineStr">
        <is>
          <t>Infrastructure</t>
        </is>
      </c>
      <c r="O415" t="inlineStr">
        <is>
          <t>Manufacturing</t>
        </is>
      </c>
      <c r="P415" t="inlineStr">
        <is>
          <t>Technology Support</t>
        </is>
      </c>
      <c r="Q415" t="inlineStr">
        <is>
          <t>Squad</t>
        </is>
      </c>
      <c r="R415" t="inlineStr">
        <is>
          <t>Filled</t>
        </is>
      </c>
    </row>
    <row r="416" ht="18" customHeight="1" s="506">
      <c r="A416" s="259" t="n"/>
      <c r="B416" s="224" t="inlineStr">
        <is>
          <t>Vacant</t>
        </is>
      </c>
      <c r="C416" s="224" t="inlineStr">
        <is>
          <t>Lead Data Analyst</t>
        </is>
      </c>
      <c r="D416" s="224" t="inlineStr">
        <is>
          <t>Vacant</t>
        </is>
      </c>
      <c r="E416" s="224" t="inlineStr">
        <is>
          <t>Technology Manger, Data</t>
        </is>
      </c>
      <c r="F416" s="224" t="inlineStr">
        <is>
          <t>TDD CFE&amp;I</t>
        </is>
      </c>
      <c r="G416" s="260" t="inlineStr">
        <is>
          <t>Fuel Infrastructure</t>
        </is>
      </c>
      <c r="H416" s="260" t="inlineStr">
        <is>
          <t>Fuel Infrastructure, Data</t>
        </is>
      </c>
      <c r="I416" s="260" t="inlineStr">
        <is>
          <t>Infrastructure</t>
        </is>
      </c>
      <c r="J416" s="224" t="inlineStr">
        <is>
          <t xml:space="preserve">Data &amp; Insights </t>
        </is>
      </c>
      <c r="K416" s="224" t="inlineStr">
        <is>
          <t xml:space="preserve">Data &amp; Insights </t>
        </is>
      </c>
      <c r="L416" s="260" t="n"/>
      <c r="M416" s="261" t="n"/>
      <c r="N416" t="inlineStr">
        <is>
          <t>Infrastructure</t>
        </is>
      </c>
      <c r="O416" t="inlineStr">
        <is>
          <t>Data &amp; Insights</t>
        </is>
      </c>
      <c r="P416" t="inlineStr">
        <is>
          <t>Data &amp; Insights</t>
        </is>
      </c>
      <c r="Q416" t="inlineStr">
        <is>
          <t>Squad</t>
        </is>
      </c>
      <c r="R416" t="inlineStr">
        <is>
          <t>Vacant</t>
        </is>
      </c>
    </row>
    <row r="417" ht="18" customHeight="1" s="506">
      <c r="A417" s="259" t="n">
        <v>115935</v>
      </c>
      <c r="B417" s="224" t="inlineStr">
        <is>
          <t>Rick Abainza</t>
        </is>
      </c>
      <c r="C417" s="224" t="inlineStr">
        <is>
          <t>Lead Business Analyst</t>
        </is>
      </c>
      <c r="D417" s="260" t="inlineStr">
        <is>
          <t>vacant</t>
        </is>
      </c>
      <c r="E417" s="224" t="inlineStr">
        <is>
          <t>Delivery Manager</t>
        </is>
      </c>
      <c r="F417" s="224" t="inlineStr">
        <is>
          <t>TDD CFE&amp;I</t>
        </is>
      </c>
      <c r="G417" s="260" t="inlineStr">
        <is>
          <t>Commercial Fuels</t>
        </is>
      </c>
      <c r="H417" s="260" t="inlineStr">
        <is>
          <t>Delivery</t>
        </is>
      </c>
      <c r="I417" s="260" t="inlineStr">
        <is>
          <t>Commercial Fuels</t>
        </is>
      </c>
      <c r="J417" s="260" t="inlineStr">
        <is>
          <t>CTRM</t>
        </is>
      </c>
      <c r="K417" s="260" t="inlineStr">
        <is>
          <t>CTRM</t>
        </is>
      </c>
      <c r="L417" s="224" t="n"/>
      <c r="M417" s="261" t="inlineStr">
        <is>
          <t>Singapore</t>
        </is>
      </c>
      <c r="N417" t="inlineStr">
        <is>
          <t>Commercial Fuels</t>
        </is>
      </c>
      <c r="O417" t="inlineStr">
        <is>
          <t>CTRM</t>
        </is>
      </c>
      <c r="P417" t="inlineStr">
        <is>
          <t>CTRM</t>
        </is>
      </c>
      <c r="Q417" t="inlineStr">
        <is>
          <t>Strategic Program</t>
        </is>
      </c>
      <c r="R417" t="inlineStr">
        <is>
          <t>Filled</t>
        </is>
      </c>
    </row>
    <row r="418" ht="18" customHeight="1" s="506">
      <c r="A418" s="259" t="n"/>
      <c r="B418" s="224" t="inlineStr">
        <is>
          <t>vacant</t>
        </is>
      </c>
      <c r="C418" s="224" t="inlineStr">
        <is>
          <t>Delivery manager</t>
        </is>
      </c>
      <c r="D418" s="260" t="inlineStr">
        <is>
          <t>Vacant</t>
        </is>
      </c>
      <c r="E418" s="224" t="inlineStr">
        <is>
          <t>Head of Technology, B2B &amp; Energy Solutions</t>
        </is>
      </c>
      <c r="F418" s="224" t="inlineStr">
        <is>
          <t>TDD CFE&amp;I</t>
        </is>
      </c>
      <c r="G418" s="260" t="inlineStr">
        <is>
          <t>B2B &amp; Energy Solutions</t>
        </is>
      </c>
      <c r="H418" s="260" t="inlineStr">
        <is>
          <t>Leadership</t>
        </is>
      </c>
      <c r="I418" s="260" t="n"/>
      <c r="J418" s="260" t="n"/>
      <c r="K418" s="224" t="n"/>
      <c r="L418" s="260" t="n"/>
      <c r="M418" s="261" t="n"/>
      <c r="N418" t="inlineStr">
        <is>
          <t>Unmapped</t>
        </is>
      </c>
      <c r="O418" t="inlineStr">
        <is>
          <t>-</t>
        </is>
      </c>
      <c r="P418" t="inlineStr">
        <is>
          <t>B2B &amp; Energy Solutions</t>
        </is>
      </c>
      <c r="Q418" t="inlineStr">
        <is>
          <t>Unmapped</t>
        </is>
      </c>
      <c r="R418" t="inlineStr">
        <is>
          <t>Vacant</t>
        </is>
      </c>
    </row>
    <row r="419" ht="18" customHeight="1" s="506">
      <c r="A419" s="259" t="n">
        <v>110185</v>
      </c>
      <c r="B419" s="224" t="inlineStr">
        <is>
          <t>Soumya Choudhury</t>
        </is>
      </c>
      <c r="C419" s="224" t="inlineStr">
        <is>
          <t xml:space="preserve">Data Application Specialist </t>
        </is>
      </c>
      <c r="D419" s="260" t="inlineStr">
        <is>
          <t>Vacant</t>
        </is>
      </c>
      <c r="E419" s="224" t="inlineStr">
        <is>
          <t>Technology Manager, Data</t>
        </is>
      </c>
      <c r="F419" s="224" t="inlineStr">
        <is>
          <t>TDD CFE&amp;I</t>
        </is>
      </c>
      <c r="G419" s="260" t="inlineStr">
        <is>
          <t>Commercial Fuels</t>
        </is>
      </c>
      <c r="H419" s="260" t="inlineStr">
        <is>
          <t>Technology, T&amp;S Data</t>
        </is>
      </c>
      <c r="I419" s="260" t="inlineStr">
        <is>
          <t>Commercial Fuels</t>
        </is>
      </c>
      <c r="J419" s="260" t="inlineStr">
        <is>
          <t>Trading &amp; Shipping</t>
        </is>
      </c>
      <c r="K419" s="260" t="inlineStr">
        <is>
          <t>Trading &amp; Shipping Data</t>
        </is>
      </c>
      <c r="L419" s="260" t="n"/>
      <c r="M419" s="261" t="inlineStr">
        <is>
          <t>Singapore</t>
        </is>
      </c>
      <c r="N419" t="inlineStr">
        <is>
          <t>Commercial Fuels</t>
        </is>
      </c>
      <c r="O419" t="inlineStr">
        <is>
          <t>Trading &amp; Shipping</t>
        </is>
      </c>
      <c r="P419" t="inlineStr">
        <is>
          <t>Trading &amp; Shipping Data</t>
        </is>
      </c>
      <c r="Q419" t="inlineStr">
        <is>
          <t>Squad</t>
        </is>
      </c>
      <c r="R419" t="inlineStr">
        <is>
          <t>Filled</t>
        </is>
      </c>
    </row>
    <row r="420" ht="18" customHeight="1" s="506">
      <c r="A420" s="259" t="n">
        <v>113039</v>
      </c>
      <c r="B420" s="224" t="inlineStr">
        <is>
          <t>Anusha Viswanatha</t>
        </is>
      </c>
      <c r="C420" s="224" t="inlineStr">
        <is>
          <t>Delivery Lead</t>
        </is>
      </c>
      <c r="D420" s="260" t="inlineStr">
        <is>
          <t>Vacant</t>
        </is>
      </c>
      <c r="E420" s="224" t="inlineStr">
        <is>
          <t>Technology Manager, Data</t>
        </is>
      </c>
      <c r="F420" s="224" t="inlineStr">
        <is>
          <t>TDD CFE&amp;I</t>
        </is>
      </c>
      <c r="G420" s="260" t="inlineStr">
        <is>
          <t>Commercial Fuels</t>
        </is>
      </c>
      <c r="H420" s="260" t="inlineStr">
        <is>
          <t>Technology, T&amp;S Data</t>
        </is>
      </c>
      <c r="I420" s="260" t="inlineStr">
        <is>
          <t>Commercial Fuels</t>
        </is>
      </c>
      <c r="J420" s="260" t="inlineStr">
        <is>
          <t>Trading &amp; Shipping</t>
        </is>
      </c>
      <c r="K420" s="260" t="inlineStr">
        <is>
          <t>Trading &amp; Shipping Data</t>
        </is>
      </c>
      <c r="L420" s="260" t="n"/>
      <c r="M420" s="261" t="inlineStr">
        <is>
          <t>Singapore</t>
        </is>
      </c>
      <c r="N420" t="inlineStr">
        <is>
          <t>Commercial Fuels</t>
        </is>
      </c>
      <c r="O420" t="inlineStr">
        <is>
          <t>Trading &amp; Shipping</t>
        </is>
      </c>
      <c r="P420" t="inlineStr">
        <is>
          <t>Trading &amp; Shipping Data</t>
        </is>
      </c>
      <c r="Q420" t="inlineStr">
        <is>
          <t>Squad</t>
        </is>
      </c>
      <c r="R420" t="inlineStr">
        <is>
          <t>Filled</t>
        </is>
      </c>
    </row>
    <row r="421" ht="18" customHeight="1" s="506">
      <c r="A421" s="259" t="n">
        <v>106907</v>
      </c>
      <c r="B421" s="224" t="inlineStr">
        <is>
          <t>Oz Shaaban</t>
        </is>
      </c>
      <c r="C421" s="224" t="inlineStr">
        <is>
          <t>Delivery Lead</t>
        </is>
      </c>
      <c r="D421" s="260" t="inlineStr">
        <is>
          <t>Vacant</t>
        </is>
      </c>
      <c r="E421" s="224" t="inlineStr">
        <is>
          <t>Delivery Manager</t>
        </is>
      </c>
      <c r="F421" s="224" t="inlineStr">
        <is>
          <t>TDD CFE&amp;I</t>
        </is>
      </c>
      <c r="G421" s="260" t="inlineStr">
        <is>
          <t>Commercial Fuels</t>
        </is>
      </c>
      <c r="H421" s="260" t="inlineStr">
        <is>
          <t>Delivery</t>
        </is>
      </c>
      <c r="I421" s="260" t="inlineStr">
        <is>
          <t>Commercial Fuels</t>
        </is>
      </c>
      <c r="J421" s="260" t="inlineStr">
        <is>
          <t>CTRM</t>
        </is>
      </c>
      <c r="K421" s="260" t="inlineStr">
        <is>
          <t>CTRM</t>
        </is>
      </c>
      <c r="L421" s="224" t="n"/>
      <c r="M421" s="261" t="inlineStr">
        <is>
          <t>Australia</t>
        </is>
      </c>
      <c r="N421" t="inlineStr">
        <is>
          <t>Commercial Fuels</t>
        </is>
      </c>
      <c r="O421" t="inlineStr">
        <is>
          <t>CTRM</t>
        </is>
      </c>
      <c r="P421" t="inlineStr">
        <is>
          <t>CTRM</t>
        </is>
      </c>
      <c r="Q421" t="inlineStr">
        <is>
          <t>Strategic Program</t>
        </is>
      </c>
      <c r="R421" t="inlineStr">
        <is>
          <t>Filled</t>
        </is>
      </c>
    </row>
    <row r="422" ht="18" customHeight="1" s="506">
      <c r="A422" s="259" t="n">
        <v>113599</v>
      </c>
      <c r="B422" s="224" t="inlineStr">
        <is>
          <t>Nico Lender</t>
        </is>
      </c>
      <c r="C422" s="224" t="inlineStr">
        <is>
          <t>Solution Architect</t>
        </is>
      </c>
      <c r="D422" s="262" t="inlineStr">
        <is>
          <t>vacant</t>
        </is>
      </c>
      <c r="E422" s="224" t="inlineStr">
        <is>
          <t>Technology Manager, Energy Solutions</t>
        </is>
      </c>
      <c r="F422" s="224" t="inlineStr">
        <is>
          <t>TDD CFE&amp;I</t>
        </is>
      </c>
      <c r="G422" s="260" t="inlineStr">
        <is>
          <t>B2B &amp; Energy Solutions</t>
        </is>
      </c>
      <c r="H422" s="260" t="inlineStr">
        <is>
          <t>Technology Energy Solutions</t>
        </is>
      </c>
      <c r="I422" s="260" t="inlineStr">
        <is>
          <t>B2B &amp; Energy Solutions</t>
        </is>
      </c>
      <c r="J422" s="260" t="inlineStr">
        <is>
          <t>Energy Solutions</t>
        </is>
      </c>
      <c r="K422" s="224" t="inlineStr">
        <is>
          <t>Energy</t>
        </is>
      </c>
      <c r="L422" s="260" t="n"/>
      <c r="M422" s="261" t="n"/>
      <c r="N422" t="inlineStr">
        <is>
          <t>Energy Solutions &amp; B2B</t>
        </is>
      </c>
      <c r="O422" t="inlineStr">
        <is>
          <t>Energy Solutions</t>
        </is>
      </c>
      <c r="P422" t="inlineStr">
        <is>
          <t>Energy</t>
        </is>
      </c>
      <c r="Q422" t="inlineStr">
        <is>
          <t>Squad</t>
        </is>
      </c>
      <c r="R422" t="inlineStr">
        <is>
          <t>Filled</t>
        </is>
      </c>
    </row>
    <row r="423" ht="18" customHeight="1" s="506">
      <c r="A423" s="259" t="n">
        <v>115847</v>
      </c>
      <c r="B423" s="224" t="inlineStr">
        <is>
          <t>Jonathan Wong</t>
        </is>
      </c>
      <c r="C423" s="224" t="inlineStr">
        <is>
          <t>Senior Business Analyst</t>
        </is>
      </c>
      <c r="D423" s="262" t="inlineStr">
        <is>
          <t>Vacant</t>
        </is>
      </c>
      <c r="E423" s="224" t="inlineStr">
        <is>
          <t>Technology Manager, Data</t>
        </is>
      </c>
      <c r="F423" s="224" t="inlineStr">
        <is>
          <t>TDD CFE&amp;I</t>
        </is>
      </c>
      <c r="G423" s="260" t="inlineStr">
        <is>
          <t>Commercial Fuels</t>
        </is>
      </c>
      <c r="H423" s="260" t="inlineStr">
        <is>
          <t>Technology, T&amp;S Data</t>
        </is>
      </c>
      <c r="I423" s="260" t="inlineStr">
        <is>
          <t>Commercial Fuels</t>
        </is>
      </c>
      <c r="J423" s="260" t="inlineStr">
        <is>
          <t>Trading &amp; Shipping</t>
        </is>
      </c>
      <c r="K423" s="260" t="inlineStr">
        <is>
          <t>Trading &amp; Shipping Data</t>
        </is>
      </c>
      <c r="L423" s="260" t="n"/>
      <c r="M423" s="261" t="inlineStr">
        <is>
          <t>Singapore</t>
        </is>
      </c>
      <c r="N423" t="inlineStr">
        <is>
          <t>Commercial Fuels</t>
        </is>
      </c>
      <c r="O423" t="inlineStr">
        <is>
          <t>Trading &amp; Shipping</t>
        </is>
      </c>
      <c r="P423" t="inlineStr">
        <is>
          <t>Trading &amp; Shipping Data</t>
        </is>
      </c>
      <c r="Q423" t="inlineStr">
        <is>
          <t>Squad</t>
        </is>
      </c>
      <c r="R423" t="inlineStr">
        <is>
          <t>Filled</t>
        </is>
      </c>
    </row>
    <row r="424" ht="18" customHeight="1" s="506">
      <c r="A424" s="259" t="n"/>
      <c r="B424" s="224" t="inlineStr">
        <is>
          <t xml:space="preserve">Vacant </t>
        </is>
      </c>
      <c r="C424" s="224" t="inlineStr">
        <is>
          <t>Engineer Software</t>
        </is>
      </c>
      <c r="D424" s="262" t="inlineStr">
        <is>
          <t>Vacant</t>
        </is>
      </c>
      <c r="E424" s="224" t="inlineStr">
        <is>
          <t>Technology Manager, Engineering</t>
        </is>
      </c>
      <c r="F424" s="224" t="inlineStr">
        <is>
          <t>TDD CFE&amp;I</t>
        </is>
      </c>
      <c r="G424" s="260" t="inlineStr">
        <is>
          <t>Commercial Fuels</t>
        </is>
      </c>
      <c r="H424" s="260" t="inlineStr">
        <is>
          <t>Technology, Engineering</t>
        </is>
      </c>
      <c r="I424" s="260" t="inlineStr">
        <is>
          <t>Commercial Fuels</t>
        </is>
      </c>
      <c r="J424" s="260" t="inlineStr">
        <is>
          <t>Supply</t>
        </is>
      </c>
      <c r="K424" s="224" t="inlineStr">
        <is>
          <t>Supply</t>
        </is>
      </c>
      <c r="L424" s="260" t="n"/>
      <c r="M424" s="261" t="n"/>
      <c r="N424" t="inlineStr">
        <is>
          <t>Commercial Fuels</t>
        </is>
      </c>
      <c r="O424" t="inlineStr">
        <is>
          <t>Supply</t>
        </is>
      </c>
      <c r="P424" t="inlineStr">
        <is>
          <t>Supply</t>
        </is>
      </c>
      <c r="Q424" t="inlineStr">
        <is>
          <t>Squad</t>
        </is>
      </c>
      <c r="R424" t="inlineStr">
        <is>
          <t>Vacant</t>
        </is>
      </c>
    </row>
    <row r="425" ht="18" customHeight="1" s="506">
      <c r="A425" s="259" t="n">
        <v>102187</v>
      </c>
      <c r="B425" s="224" t="inlineStr">
        <is>
          <t>Sijin Zhu</t>
        </is>
      </c>
      <c r="C425" s="224" t="inlineStr">
        <is>
          <t>Business Analyst</t>
        </is>
      </c>
      <c r="D425" s="262" t="inlineStr">
        <is>
          <t>vacant</t>
        </is>
      </c>
      <c r="E425" s="224" t="inlineStr">
        <is>
          <t>Delivery Manager</t>
        </is>
      </c>
      <c r="F425" s="224" t="inlineStr">
        <is>
          <t>TDD CFE&amp;I</t>
        </is>
      </c>
      <c r="G425" s="260" t="inlineStr">
        <is>
          <t>Commercial Fuels</t>
        </is>
      </c>
      <c r="H425" s="260" t="inlineStr">
        <is>
          <t>Delivery</t>
        </is>
      </c>
      <c r="I425" s="260" t="inlineStr">
        <is>
          <t>Commercial Fuels</t>
        </is>
      </c>
      <c r="J425" s="260" t="inlineStr">
        <is>
          <t>CTRM</t>
        </is>
      </c>
      <c r="K425" s="260" t="inlineStr">
        <is>
          <t>CTRM</t>
        </is>
      </c>
      <c r="L425" s="224" t="n"/>
      <c r="M425" s="261" t="inlineStr">
        <is>
          <t>Singapore</t>
        </is>
      </c>
      <c r="N425" t="inlineStr">
        <is>
          <t>Commercial Fuels</t>
        </is>
      </c>
      <c r="O425" t="inlineStr">
        <is>
          <t>CTRM</t>
        </is>
      </c>
      <c r="P425" t="inlineStr">
        <is>
          <t>CTRM</t>
        </is>
      </c>
      <c r="Q425" t="inlineStr">
        <is>
          <t>Strategic Program</t>
        </is>
      </c>
      <c r="R425" t="inlineStr">
        <is>
          <t>Filled</t>
        </is>
      </c>
    </row>
    <row r="426" ht="18" customHeight="1" s="506">
      <c r="A426" s="259" t="n">
        <v>8367</v>
      </c>
      <c r="B426" s="224" t="inlineStr">
        <is>
          <t>Marcela Gonzalez</t>
        </is>
      </c>
      <c r="C426" s="224" t="inlineStr">
        <is>
          <t>Energy Platforms Lead</t>
        </is>
      </c>
      <c r="D426" s="262" t="inlineStr">
        <is>
          <t>vacant</t>
        </is>
      </c>
      <c r="E426" s="224" t="inlineStr">
        <is>
          <t>Technology Manager, Energy Solutions</t>
        </is>
      </c>
      <c r="F426" s="224" t="inlineStr">
        <is>
          <t>TDD CFE&amp;I</t>
        </is>
      </c>
      <c r="G426" s="260" t="inlineStr">
        <is>
          <t>B2B &amp; Energy Solutions</t>
        </is>
      </c>
      <c r="H426" s="260" t="inlineStr">
        <is>
          <t>Technology Energy Solutions</t>
        </is>
      </c>
      <c r="I426" s="260" t="inlineStr">
        <is>
          <t>B2B &amp; Energy Solutions</t>
        </is>
      </c>
      <c r="J426" s="260" t="inlineStr">
        <is>
          <t>Ampol Digital</t>
        </is>
      </c>
      <c r="K426" s="224" t="inlineStr">
        <is>
          <t>Ampol App</t>
        </is>
      </c>
      <c r="L426" s="260" t="n"/>
      <c r="M426" s="261" t="inlineStr">
        <is>
          <t>Australia</t>
        </is>
      </c>
      <c r="N426" t="inlineStr">
        <is>
          <t>Customer</t>
        </is>
      </c>
      <c r="O426" t="inlineStr">
        <is>
          <t>Ampol Digital</t>
        </is>
      </c>
      <c r="P426" t="inlineStr">
        <is>
          <t>Ampol App</t>
        </is>
      </c>
      <c r="Q426" t="inlineStr">
        <is>
          <t>Squad</t>
        </is>
      </c>
      <c r="R426" t="inlineStr">
        <is>
          <t>Filled</t>
        </is>
      </c>
    </row>
    <row r="427" ht="18" customHeight="1" s="506">
      <c r="A427" s="259" t="n"/>
      <c r="B427" s="224" t="inlineStr">
        <is>
          <t>Vacant</t>
        </is>
      </c>
      <c r="C427" s="224" t="inlineStr">
        <is>
          <t>Reporting Analyst</t>
        </is>
      </c>
      <c r="D427" t="inlineStr">
        <is>
          <t>vacant</t>
        </is>
      </c>
      <c r="E427" s="224" t="inlineStr">
        <is>
          <t>Technology Manger, Data</t>
        </is>
      </c>
      <c r="F427" s="224" t="inlineStr">
        <is>
          <t>TDD CFE&amp;I</t>
        </is>
      </c>
      <c r="G427" s="260" t="inlineStr">
        <is>
          <t>Fuel Infrastructure</t>
        </is>
      </c>
      <c r="H427" s="260" t="inlineStr">
        <is>
          <t>Fuel Infrastructure, Data</t>
        </is>
      </c>
      <c r="I427" s="260" t="inlineStr">
        <is>
          <t>Infrastructure</t>
        </is>
      </c>
      <c r="J427" s="224" t="inlineStr">
        <is>
          <t xml:space="preserve">Data &amp; Insights </t>
        </is>
      </c>
      <c r="K427" s="224" t="inlineStr">
        <is>
          <t xml:space="preserve">Data &amp; Insights </t>
        </is>
      </c>
      <c r="L427" s="260" t="n"/>
      <c r="M427" s="261" t="n"/>
      <c r="N427" t="inlineStr">
        <is>
          <t>Infrastructure</t>
        </is>
      </c>
      <c r="O427" t="inlineStr">
        <is>
          <t>Data &amp; Insights</t>
        </is>
      </c>
      <c r="P427" t="inlineStr">
        <is>
          <t>Data &amp; Insights</t>
        </is>
      </c>
      <c r="Q427" t="inlineStr">
        <is>
          <t>Squad</t>
        </is>
      </c>
      <c r="R427" t="inlineStr">
        <is>
          <t>Vacant</t>
        </is>
      </c>
    </row>
    <row r="428" ht="18" customHeight="1" s="506">
      <c r="A428" s="259" t="n">
        <v>99999101013</v>
      </c>
      <c r="B428" s="224" t="inlineStr">
        <is>
          <t>Chantal Lynch</t>
        </is>
      </c>
      <c r="C428" s="224" t="inlineStr">
        <is>
          <t>Lead Quality Assurance</t>
        </is>
      </c>
      <c r="D428" s="262" t="inlineStr">
        <is>
          <t>Vacant</t>
        </is>
      </c>
      <c r="E428" s="224" t="inlineStr">
        <is>
          <t>Technology Manager, Engineering</t>
        </is>
      </c>
      <c r="F428" s="224" t="inlineStr">
        <is>
          <t>TDD CFE&amp;I</t>
        </is>
      </c>
      <c r="G428" s="260" t="inlineStr">
        <is>
          <t>Commercial Fuels</t>
        </is>
      </c>
      <c r="H428" s="260" t="inlineStr">
        <is>
          <t>Trading &amp; Shipping</t>
        </is>
      </c>
      <c r="I428" s="260" t="inlineStr">
        <is>
          <t>Commercial Fuels</t>
        </is>
      </c>
      <c r="J428" s="224" t="inlineStr">
        <is>
          <t>CTRM</t>
        </is>
      </c>
      <c r="K428" s="224" t="inlineStr">
        <is>
          <t>CTRM</t>
        </is>
      </c>
      <c r="L428" s="260" t="n"/>
      <c r="M428" s="261" t="inlineStr">
        <is>
          <t>NZ</t>
        </is>
      </c>
      <c r="N428" t="inlineStr">
        <is>
          <t>Commercial Fuels</t>
        </is>
      </c>
      <c r="O428" t="inlineStr">
        <is>
          <t>CTRM</t>
        </is>
      </c>
      <c r="P428" t="inlineStr">
        <is>
          <t>CTRM</t>
        </is>
      </c>
      <c r="Q428" t="inlineStr">
        <is>
          <t>Strategic Program</t>
        </is>
      </c>
      <c r="R428" t="inlineStr">
        <is>
          <t>Filled</t>
        </is>
      </c>
    </row>
    <row r="429" ht="18" customHeight="1" s="506">
      <c r="A429" s="259" t="n"/>
      <c r="B429" s="224" t="inlineStr">
        <is>
          <t xml:space="preserve">Vacant </t>
        </is>
      </c>
      <c r="C429" s="224" t="inlineStr">
        <is>
          <t>Business Analyst</t>
        </is>
      </c>
      <c r="D429" s="262" t="inlineStr">
        <is>
          <t>Vacant</t>
        </is>
      </c>
      <c r="E429" s="224" t="inlineStr">
        <is>
          <t>Delivery Manager</t>
        </is>
      </c>
      <c r="F429" s="224" t="inlineStr">
        <is>
          <t>TDD CFE&amp;I</t>
        </is>
      </c>
      <c r="G429" s="260" t="inlineStr">
        <is>
          <t>B2B &amp; Energy Solutions</t>
        </is>
      </c>
      <c r="H429" s="260" t="inlineStr">
        <is>
          <t>Delivery</t>
        </is>
      </c>
      <c r="I429" s="260" t="inlineStr">
        <is>
          <t>B2B &amp; Energy Solutions</t>
        </is>
      </c>
      <c r="J429" s="260" t="inlineStr">
        <is>
          <t>Energy Solutions</t>
        </is>
      </c>
      <c r="K429" s="224" t="inlineStr">
        <is>
          <t>Energy</t>
        </is>
      </c>
      <c r="L429" s="260" t="n"/>
      <c r="M429" s="261" t="n"/>
      <c r="N429" t="inlineStr">
        <is>
          <t>Energy Solutions &amp; B2B</t>
        </is>
      </c>
      <c r="O429" t="inlineStr">
        <is>
          <t>Energy Solutions</t>
        </is>
      </c>
      <c r="P429" t="inlineStr">
        <is>
          <t>Energy</t>
        </is>
      </c>
      <c r="Q429" t="inlineStr">
        <is>
          <t>Squad</t>
        </is>
      </c>
      <c r="R429" t="inlineStr">
        <is>
          <t>Vacant</t>
        </is>
      </c>
    </row>
    <row r="430" ht="18" customHeight="1" s="506">
      <c r="A430" s="259" t="n">
        <v>101157</v>
      </c>
      <c r="B430" s="224" t="inlineStr">
        <is>
          <t>Jessica Calla</t>
        </is>
      </c>
      <c r="C430" s="224" t="inlineStr">
        <is>
          <t>System Analyst Card</t>
        </is>
      </c>
      <c r="D430" t="inlineStr">
        <is>
          <t>Vacant</t>
        </is>
      </c>
      <c r="E430" s="224" t="inlineStr">
        <is>
          <t>Technology Manager, Energy Solutions</t>
        </is>
      </c>
      <c r="F430" s="224" t="inlineStr">
        <is>
          <t>TDD CFE&amp;I</t>
        </is>
      </c>
      <c r="G430" s="260" t="inlineStr">
        <is>
          <t>B2B &amp; Energy Solutions</t>
        </is>
      </c>
      <c r="H430" s="260" t="inlineStr">
        <is>
          <t>Technology B2B</t>
        </is>
      </c>
      <c r="I430" s="260" t="inlineStr">
        <is>
          <t>B2B &amp; Energy Solutions</t>
        </is>
      </c>
      <c r="J430" s="224" t="inlineStr">
        <is>
          <t>B2B</t>
        </is>
      </c>
      <c r="K430" s="224" t="inlineStr">
        <is>
          <t>B2B</t>
        </is>
      </c>
      <c r="L430" s="260" t="n"/>
      <c r="M430" s="261" t="inlineStr">
        <is>
          <t>Australia</t>
        </is>
      </c>
      <c r="N430" t="inlineStr">
        <is>
          <t>Energy Solutions &amp; B2B</t>
        </is>
      </c>
      <c r="O430" t="inlineStr">
        <is>
          <t>B2B</t>
        </is>
      </c>
      <c r="P430" t="inlineStr">
        <is>
          <t>B2B</t>
        </is>
      </c>
      <c r="Q430" t="inlineStr">
        <is>
          <t>Squad</t>
        </is>
      </c>
      <c r="R430" t="inlineStr">
        <is>
          <t>Filled</t>
        </is>
      </c>
    </row>
    <row r="431" ht="18" customHeight="1" s="506">
      <c r="A431" s="259" t="n"/>
      <c r="B431" s="224" t="inlineStr">
        <is>
          <t>Vacant</t>
        </is>
      </c>
      <c r="C431" s="224" t="inlineStr">
        <is>
          <t>Quality Assurance</t>
        </is>
      </c>
      <c r="D431" s="224" t="inlineStr">
        <is>
          <t>Vacant</t>
        </is>
      </c>
      <c r="E431" s="224" t="inlineStr">
        <is>
          <t>Technology Manager, Future Infrastructure</t>
        </is>
      </c>
      <c r="F431" s="224" t="inlineStr">
        <is>
          <t>TDD CFE&amp;I</t>
        </is>
      </c>
      <c r="G431" s="260" t="inlineStr">
        <is>
          <t>Fuel Infrastructure</t>
        </is>
      </c>
      <c r="H431" s="260" t="inlineStr">
        <is>
          <t>Technology - Distribution</t>
        </is>
      </c>
      <c r="I431" s="260" t="inlineStr">
        <is>
          <t>Infrastructure</t>
        </is>
      </c>
      <c r="J431" s="260" t="inlineStr">
        <is>
          <t>Distribution</t>
        </is>
      </c>
      <c r="K431" s="224" t="inlineStr">
        <is>
          <t>Distribution, Sales &amp; Services</t>
        </is>
      </c>
      <c r="L431" s="260" t="n"/>
      <c r="M431" s="261" t="n"/>
      <c r="N431" t="inlineStr">
        <is>
          <t>Infrastructure</t>
        </is>
      </c>
      <c r="O431" t="inlineStr">
        <is>
          <t>Distribution</t>
        </is>
      </c>
      <c r="P431" t="inlineStr">
        <is>
          <t>Distribution, Sales &amp; Services</t>
        </is>
      </c>
      <c r="Q431" t="inlineStr">
        <is>
          <t>Squad</t>
        </is>
      </c>
      <c r="R431" t="inlineStr">
        <is>
          <t>Vacant</t>
        </is>
      </c>
    </row>
    <row r="432" ht="18" customHeight="1" s="506">
      <c r="A432" s="259" t="n"/>
      <c r="B432" s="224" t="inlineStr">
        <is>
          <t>Zijie Zhang</t>
        </is>
      </c>
      <c r="C432" s="224" t="inlineStr">
        <is>
          <t>Senior Data Analyst</t>
        </is>
      </c>
      <c r="D432" s="260" t="inlineStr">
        <is>
          <t>Vacant</t>
        </is>
      </c>
      <c r="E432" s="224" t="inlineStr">
        <is>
          <t>Technology Manager, Data</t>
        </is>
      </c>
      <c r="F432" s="224" t="inlineStr">
        <is>
          <t>TDD CFE&amp;I</t>
        </is>
      </c>
      <c r="G432" s="260" t="inlineStr">
        <is>
          <t>Commercial Fuels</t>
        </is>
      </c>
      <c r="H432" s="300" t="inlineStr">
        <is>
          <t>Trading &amp; Shipping</t>
        </is>
      </c>
      <c r="I432" s="260" t="inlineStr">
        <is>
          <t>Commercial Fuels</t>
        </is>
      </c>
      <c r="J432" s="260" t="inlineStr">
        <is>
          <t>Trading &amp; Shipping</t>
        </is>
      </c>
      <c r="K432" s="260" t="inlineStr">
        <is>
          <t>Trading &amp; Shipping Data</t>
        </is>
      </c>
      <c r="L432" s="260" t="n"/>
      <c r="M432" s="261" t="n"/>
      <c r="N432" t="inlineStr">
        <is>
          <t>Commercial Fuels</t>
        </is>
      </c>
      <c r="O432" t="inlineStr">
        <is>
          <t>Trading &amp; Shipping</t>
        </is>
      </c>
      <c r="P432" t="inlineStr">
        <is>
          <t>Trading &amp; Shipping Data</t>
        </is>
      </c>
      <c r="Q432" t="inlineStr">
        <is>
          <t>Squad</t>
        </is>
      </c>
      <c r="R432" t="inlineStr">
        <is>
          <t>Filled</t>
        </is>
      </c>
    </row>
    <row r="433" ht="18" customHeight="1" s="506">
      <c r="A433" s="259" t="n">
        <v>115723</v>
      </c>
      <c r="B433" s="224" t="inlineStr">
        <is>
          <t>Kumar Siva</t>
        </is>
      </c>
      <c r="C433" s="224" t="inlineStr">
        <is>
          <t>Lead engineer Data</t>
        </is>
      </c>
      <c r="D433" s="260" t="inlineStr">
        <is>
          <t>Vacant</t>
        </is>
      </c>
      <c r="E433" t="inlineStr">
        <is>
          <t>Technology Manager, Data</t>
        </is>
      </c>
      <c r="F433" s="224" t="inlineStr">
        <is>
          <t>TDD CFE&amp;I</t>
        </is>
      </c>
      <c r="G433" s="260" t="inlineStr">
        <is>
          <t>Commercial Fuels</t>
        </is>
      </c>
      <c r="H433" s="260" t="inlineStr">
        <is>
          <t>Technology, T&amp;S Data</t>
        </is>
      </c>
      <c r="I433" s="260" t="inlineStr">
        <is>
          <t>Commercial Fuels</t>
        </is>
      </c>
      <c r="J433" s="260" t="inlineStr">
        <is>
          <t>Trading &amp; Shipping</t>
        </is>
      </c>
      <c r="K433" s="260" t="inlineStr">
        <is>
          <t>Trading &amp; Shipping Data</t>
        </is>
      </c>
      <c r="L433" s="260" t="n"/>
      <c r="M433" s="261" t="inlineStr">
        <is>
          <t>Singapore</t>
        </is>
      </c>
      <c r="N433" t="inlineStr">
        <is>
          <t>Commercial Fuels</t>
        </is>
      </c>
      <c r="O433" t="inlineStr">
        <is>
          <t>Trading &amp; Shipping</t>
        </is>
      </c>
      <c r="P433" t="inlineStr">
        <is>
          <t>Trading &amp; Shipping Data</t>
        </is>
      </c>
      <c r="Q433" t="inlineStr">
        <is>
          <t>Squad</t>
        </is>
      </c>
      <c r="R433" t="inlineStr">
        <is>
          <t>Filled</t>
        </is>
      </c>
    </row>
    <row r="434" ht="18" customHeight="1" s="506">
      <c r="A434" s="259" t="n"/>
      <c r="B434" s="224" t="inlineStr">
        <is>
          <t xml:space="preserve">Vacant </t>
        </is>
      </c>
      <c r="C434" s="224" t="inlineStr">
        <is>
          <t>Business Analyst</t>
        </is>
      </c>
      <c r="D434" s="260" t="inlineStr">
        <is>
          <t>Vacant</t>
        </is>
      </c>
      <c r="E434" s="224" t="inlineStr">
        <is>
          <t>Delivery Manager</t>
        </is>
      </c>
      <c r="F434" s="224" t="inlineStr">
        <is>
          <t>TDD CFE&amp;I</t>
        </is>
      </c>
      <c r="G434" s="260" t="inlineStr">
        <is>
          <t>B2B &amp; Energy Solutions</t>
        </is>
      </c>
      <c r="H434" s="260" t="inlineStr">
        <is>
          <t>Delivery</t>
        </is>
      </c>
      <c r="I434" s="260" t="inlineStr">
        <is>
          <t>B2B &amp; Energy Solutions</t>
        </is>
      </c>
      <c r="J434" s="224" t="inlineStr">
        <is>
          <t>B2B</t>
        </is>
      </c>
      <c r="K434" s="224" t="inlineStr">
        <is>
          <t>B2B</t>
        </is>
      </c>
      <c r="L434" s="260" t="n"/>
      <c r="M434" s="261" t="n"/>
      <c r="N434" t="inlineStr">
        <is>
          <t>Energy Solutions &amp; B2B</t>
        </is>
      </c>
      <c r="O434" t="inlineStr">
        <is>
          <t>B2B</t>
        </is>
      </c>
      <c r="P434" t="inlineStr">
        <is>
          <t>B2B</t>
        </is>
      </c>
      <c r="Q434" t="inlineStr">
        <is>
          <t>Squad</t>
        </is>
      </c>
      <c r="R434" t="inlineStr">
        <is>
          <t>Vacant</t>
        </is>
      </c>
    </row>
    <row r="435" ht="18" customHeight="1" s="506">
      <c r="A435" s="259" t="n">
        <v>110044</v>
      </c>
      <c r="B435" s="224" t="inlineStr">
        <is>
          <t>Kevin Nelson</t>
        </is>
      </c>
      <c r="C435" s="224" t="inlineStr">
        <is>
          <t>Delivery Lead</t>
        </is>
      </c>
      <c r="D435" s="260" t="inlineStr">
        <is>
          <t>Vacant</t>
        </is>
      </c>
      <c r="E435" s="224" t="inlineStr">
        <is>
          <t>Delivery Manager</t>
        </is>
      </c>
      <c r="F435" s="224" t="inlineStr">
        <is>
          <t>TDD CFE&amp;I</t>
        </is>
      </c>
      <c r="G435" s="260" t="inlineStr">
        <is>
          <t>Fuel Infrastructure</t>
        </is>
      </c>
      <c r="H435" s="260" t="inlineStr">
        <is>
          <t>Fuel Infrastructure, Delivery</t>
        </is>
      </c>
      <c r="I435" s="260" t="inlineStr">
        <is>
          <t>RETAIL</t>
        </is>
      </c>
      <c r="J435" s="260" t="inlineStr">
        <is>
          <t>AMPOS</t>
        </is>
      </c>
      <c r="K435" s="224" t="inlineStr">
        <is>
          <t>AmPos</t>
        </is>
      </c>
      <c r="L435" s="260" t="n"/>
      <c r="M435" s="261" t="inlineStr">
        <is>
          <t>Australia</t>
        </is>
      </c>
      <c r="N435" t="inlineStr">
        <is>
          <t>Ampol Retail</t>
        </is>
      </c>
      <c r="O435" t="inlineStr">
        <is>
          <t>AmPOS</t>
        </is>
      </c>
      <c r="P435" t="inlineStr">
        <is>
          <t>AmPOS</t>
        </is>
      </c>
      <c r="Q435" t="inlineStr">
        <is>
          <t>Strategic Program</t>
        </is>
      </c>
      <c r="R435" t="inlineStr">
        <is>
          <t>Filled</t>
        </is>
      </c>
    </row>
    <row r="436" ht="18" customHeight="1" s="506">
      <c r="A436" s="259" t="n"/>
      <c r="B436" s="224" t="inlineStr">
        <is>
          <t>Vacant</t>
        </is>
      </c>
      <c r="C436" s="224" t="inlineStr">
        <is>
          <t>Quality Assurance</t>
        </is>
      </c>
      <c r="D436" s="224" t="inlineStr">
        <is>
          <t>Vacant</t>
        </is>
      </c>
      <c r="E436" s="224" t="inlineStr">
        <is>
          <t>Technology Manager, TDD Refinery</t>
        </is>
      </c>
      <c r="F436" s="224" t="inlineStr">
        <is>
          <t>TDD CFE&amp;I</t>
        </is>
      </c>
      <c r="G436" s="260" t="inlineStr">
        <is>
          <t>Fuel Infrastructure</t>
        </is>
      </c>
      <c r="H436" s="260" t="inlineStr">
        <is>
          <t>Refinery Applications</t>
        </is>
      </c>
      <c r="I436" s="260" t="inlineStr">
        <is>
          <t>Infrastructure</t>
        </is>
      </c>
      <c r="J436" s="260" t="inlineStr">
        <is>
          <t>Manufacturing</t>
        </is>
      </c>
      <c r="K436" s="224" t="inlineStr">
        <is>
          <t>Manufacturing Group Projects</t>
        </is>
      </c>
      <c r="L436" s="260" t="n"/>
      <c r="M436" s="261" t="n"/>
      <c r="N436" t="inlineStr">
        <is>
          <t>Infrastructure</t>
        </is>
      </c>
      <c r="O436" t="inlineStr">
        <is>
          <t>Manufacturing</t>
        </is>
      </c>
      <c r="P436" t="inlineStr">
        <is>
          <t>Manufacturing &amp; Group Projects</t>
        </is>
      </c>
      <c r="Q436" t="inlineStr">
        <is>
          <t>Squad</t>
        </is>
      </c>
      <c r="R436" t="inlineStr">
        <is>
          <t>Vacant</t>
        </is>
      </c>
    </row>
    <row r="437" ht="18" customHeight="1" s="506">
      <c r="A437" s="259" t="n">
        <v>105531</v>
      </c>
      <c r="B437" s="224" t="inlineStr">
        <is>
          <t>Jodi Higgins</t>
        </is>
      </c>
      <c r="C437" s="224" t="inlineStr">
        <is>
          <t>Delivery Lead</t>
        </is>
      </c>
      <c r="D437" s="260" t="inlineStr">
        <is>
          <t>Vacant</t>
        </is>
      </c>
      <c r="E437" s="224" t="inlineStr">
        <is>
          <t>Delivery Manager</t>
        </is>
      </c>
      <c r="F437" s="224" t="inlineStr">
        <is>
          <t>TDD CFE&amp;I</t>
        </is>
      </c>
      <c r="G437" s="260" t="inlineStr">
        <is>
          <t>Fuel Infrastructure</t>
        </is>
      </c>
      <c r="H437" s="260" t="inlineStr">
        <is>
          <t>Fuel Infrastructure, Delivery</t>
        </is>
      </c>
      <c r="I437" s="260" t="inlineStr">
        <is>
          <t>Infrastructure</t>
        </is>
      </c>
      <c r="J437" s="260" t="inlineStr">
        <is>
          <t>Distribution</t>
        </is>
      </c>
      <c r="K437" s="224" t="inlineStr">
        <is>
          <t>Distribution, Sales &amp; Services</t>
        </is>
      </c>
      <c r="L437" s="260" t="n"/>
      <c r="M437" s="261" t="inlineStr">
        <is>
          <t>Australia</t>
        </is>
      </c>
      <c r="N437" t="inlineStr">
        <is>
          <t>Infrastructure</t>
        </is>
      </c>
      <c r="O437" t="inlineStr">
        <is>
          <t>Distribution</t>
        </is>
      </c>
      <c r="P437" t="inlineStr">
        <is>
          <t>Distribution, Sales &amp; Services</t>
        </is>
      </c>
      <c r="Q437" t="inlineStr">
        <is>
          <t>Squad</t>
        </is>
      </c>
      <c r="R437" t="inlineStr">
        <is>
          <t>Filled</t>
        </is>
      </c>
    </row>
    <row r="438" ht="18" customHeight="1" s="506">
      <c r="A438" s="259" t="n">
        <v>99999100072</v>
      </c>
      <c r="B438" s="224" t="inlineStr">
        <is>
          <t>Angela Ross</t>
        </is>
      </c>
      <c r="C438" s="224" t="inlineStr">
        <is>
          <t>Delivery Lead</t>
        </is>
      </c>
      <c r="D438" s="260" t="inlineStr">
        <is>
          <t>Vacant</t>
        </is>
      </c>
      <c r="E438" s="224" t="inlineStr">
        <is>
          <t>Delivery Manager</t>
        </is>
      </c>
      <c r="F438" s="224" t="inlineStr">
        <is>
          <t>TDD CFE&amp;I</t>
        </is>
      </c>
      <c r="G438" s="260" t="inlineStr">
        <is>
          <t>B2B &amp; Energy Solutions</t>
        </is>
      </c>
      <c r="H438" s="260" t="inlineStr">
        <is>
          <t>Delivery</t>
        </is>
      </c>
      <c r="I438" s="260" t="inlineStr">
        <is>
          <t>B2B &amp; Energy Solutions</t>
        </is>
      </c>
      <c r="J438" s="260" t="inlineStr">
        <is>
          <t>Energy Solutions</t>
        </is>
      </c>
      <c r="K438" s="224" t="inlineStr">
        <is>
          <t>EVCI</t>
        </is>
      </c>
      <c r="L438" s="260" t="n"/>
      <c r="M438" s="261" t="inlineStr">
        <is>
          <t>NZ</t>
        </is>
      </c>
      <c r="N438" t="inlineStr">
        <is>
          <t>Energy Solutions &amp; B2B</t>
        </is>
      </c>
      <c r="O438" t="inlineStr">
        <is>
          <t>Energy Solutions</t>
        </is>
      </c>
      <c r="P438" t="inlineStr">
        <is>
          <t>EVCI</t>
        </is>
      </c>
      <c r="Q438" t="inlineStr">
        <is>
          <t>Squad</t>
        </is>
      </c>
      <c r="R438" t="inlineStr">
        <is>
          <t>Filled</t>
        </is>
      </c>
    </row>
    <row r="439" ht="18" customHeight="1" s="506">
      <c r="A439" s="259" t="n">
        <v>114723</v>
      </c>
      <c r="B439" s="224" t="inlineStr">
        <is>
          <t>Ming Shao</t>
        </is>
      </c>
      <c r="C439" s="224" t="inlineStr">
        <is>
          <t>Senior Systems Analyst Card</t>
        </is>
      </c>
      <c r="D439" s="224" t="inlineStr">
        <is>
          <t>Vacant</t>
        </is>
      </c>
      <c r="E439" s="224" t="inlineStr">
        <is>
          <t>Technology Manager, Energy Solutions</t>
        </is>
      </c>
      <c r="F439" s="224" t="inlineStr">
        <is>
          <t>TDD CFE&amp;I</t>
        </is>
      </c>
      <c r="G439" s="260" t="inlineStr">
        <is>
          <t>B2B &amp; Energy Solutions</t>
        </is>
      </c>
      <c r="H439" s="260" t="inlineStr">
        <is>
          <t>Technology B2B</t>
        </is>
      </c>
      <c r="I439" s="260" t="inlineStr">
        <is>
          <t>B2B &amp; Energy Solutions</t>
        </is>
      </c>
      <c r="J439" s="224" t="inlineStr">
        <is>
          <t>B2B</t>
        </is>
      </c>
      <c r="K439" s="224" t="inlineStr">
        <is>
          <t>B2B</t>
        </is>
      </c>
      <c r="L439" s="260" t="n"/>
      <c r="M439" s="261" t="inlineStr">
        <is>
          <t>Australia</t>
        </is>
      </c>
      <c r="N439" t="inlineStr">
        <is>
          <t>Energy Solutions &amp; B2B</t>
        </is>
      </c>
      <c r="O439" t="inlineStr">
        <is>
          <t>B2B</t>
        </is>
      </c>
      <c r="P439" t="inlineStr">
        <is>
          <t>B2B</t>
        </is>
      </c>
      <c r="Q439" t="inlineStr">
        <is>
          <t>Squad</t>
        </is>
      </c>
      <c r="R439" t="inlineStr">
        <is>
          <t>Filled</t>
        </is>
      </c>
    </row>
    <row r="440" ht="18" customHeight="1" s="506">
      <c r="A440" s="259" t="n">
        <v>99999101505</v>
      </c>
      <c r="B440" s="224" t="inlineStr">
        <is>
          <t>Vacant</t>
        </is>
      </c>
      <c r="C440" s="224" t="inlineStr">
        <is>
          <t>Snr Engineer Software</t>
        </is>
      </c>
      <c r="D440" s="260" t="inlineStr">
        <is>
          <t>Vacant</t>
        </is>
      </c>
      <c r="E440" s="224" t="inlineStr">
        <is>
          <t>Technology Manager, Energy Solutions</t>
        </is>
      </c>
      <c r="F440" s="224" t="inlineStr">
        <is>
          <t>TDD CFE&amp;I</t>
        </is>
      </c>
      <c r="G440" s="260" t="inlineStr">
        <is>
          <t>B2B &amp; Energy Solutions</t>
        </is>
      </c>
      <c r="H440" s="260" t="inlineStr">
        <is>
          <t>Technology Energy Solutions</t>
        </is>
      </c>
      <c r="I440" s="260" t="inlineStr">
        <is>
          <t>B2B &amp; Energy Solutions</t>
        </is>
      </c>
      <c r="J440" s="260" t="inlineStr">
        <is>
          <t>Energy Solutions</t>
        </is>
      </c>
      <c r="K440" s="224" t="inlineStr">
        <is>
          <t>EVCI</t>
        </is>
      </c>
      <c r="L440" s="260" t="n"/>
      <c r="M440" s="261" t="inlineStr">
        <is>
          <t>NZ</t>
        </is>
      </c>
      <c r="N440" t="inlineStr">
        <is>
          <t>Energy Solutions &amp; B2B</t>
        </is>
      </c>
      <c r="O440" t="inlineStr">
        <is>
          <t>Energy Solutions</t>
        </is>
      </c>
      <c r="P440" t="inlineStr">
        <is>
          <t>EVCI</t>
        </is>
      </c>
      <c r="Q440" t="inlineStr">
        <is>
          <t>Squad</t>
        </is>
      </c>
      <c r="R440" t="inlineStr">
        <is>
          <t>Vacant</t>
        </is>
      </c>
    </row>
    <row r="441" ht="18" customHeight="1" s="506">
      <c r="A441" s="259" t="n">
        <v>97973</v>
      </c>
      <c r="B441" s="224" t="inlineStr">
        <is>
          <t>Vacant</t>
        </is>
      </c>
      <c r="C441" s="224" t="inlineStr">
        <is>
          <t>System Specialist</t>
        </is>
      </c>
      <c r="D441" s="260" t="inlineStr">
        <is>
          <t>Vacant</t>
        </is>
      </c>
      <c r="E441" s="224" t="inlineStr">
        <is>
          <t>Technology Manager, Energy Solutions</t>
        </is>
      </c>
      <c r="F441" s="224" t="inlineStr">
        <is>
          <t>TDD CFE&amp;I</t>
        </is>
      </c>
      <c r="G441" s="260" t="inlineStr">
        <is>
          <t>Loyalty &amp; Martech</t>
        </is>
      </c>
      <c r="H441" s="260" t="inlineStr">
        <is>
          <t>Technology Energy Solutions</t>
        </is>
      </c>
      <c r="I441" s="260" t="inlineStr">
        <is>
          <t>B2B &amp; Energy Solutions</t>
        </is>
      </c>
      <c r="J441" s="260" t="inlineStr">
        <is>
          <t>Energy Solutions</t>
        </is>
      </c>
      <c r="K441" s="224" t="inlineStr">
        <is>
          <t>Energy</t>
        </is>
      </c>
      <c r="L441" s="260" t="n"/>
      <c r="M441" s="261" t="inlineStr">
        <is>
          <t>Australia</t>
        </is>
      </c>
      <c r="N441" t="inlineStr">
        <is>
          <t>Energy Solutions &amp; B2B</t>
        </is>
      </c>
      <c r="O441" t="inlineStr">
        <is>
          <t>Energy Solutions</t>
        </is>
      </c>
      <c r="P441" t="inlineStr">
        <is>
          <t>Energy</t>
        </is>
      </c>
      <c r="Q441" t="inlineStr">
        <is>
          <t>Squad</t>
        </is>
      </c>
      <c r="R441" t="inlineStr">
        <is>
          <t>Vacant</t>
        </is>
      </c>
    </row>
    <row r="442" ht="18" customHeight="1" s="506">
      <c r="A442" s="259" t="n">
        <v>111319</v>
      </c>
      <c r="B442" s="224" t="inlineStr">
        <is>
          <t>Arun Prakash Jayaprakasam</t>
        </is>
      </c>
      <c r="C442" s="224" t="inlineStr">
        <is>
          <t>Data Engineer Analyst</t>
        </is>
      </c>
      <c r="D442" s="260" t="inlineStr">
        <is>
          <t>Vacant</t>
        </is>
      </c>
      <c r="E442" s="224" t="inlineStr">
        <is>
          <t>Technology Manager, Data</t>
        </is>
      </c>
      <c r="F442" s="224" t="inlineStr">
        <is>
          <t>TDD CFE&amp;I</t>
        </is>
      </c>
      <c r="G442" s="260" t="inlineStr">
        <is>
          <t>Commercial Fuels</t>
        </is>
      </c>
      <c r="H442" s="260" t="inlineStr">
        <is>
          <t>Technology, T&amp;S Data</t>
        </is>
      </c>
      <c r="I442" s="260" t="inlineStr">
        <is>
          <t>Commercial Fuels</t>
        </is>
      </c>
      <c r="J442" s="260" t="inlineStr">
        <is>
          <t>Trading &amp; Shipping</t>
        </is>
      </c>
      <c r="K442" s="260" t="inlineStr">
        <is>
          <t>Trading &amp; Shipping Data</t>
        </is>
      </c>
      <c r="L442" s="260" t="n"/>
      <c r="M442" s="261" t="inlineStr">
        <is>
          <t>Singapore</t>
        </is>
      </c>
      <c r="N442" t="inlineStr">
        <is>
          <t>Commercial Fuels</t>
        </is>
      </c>
      <c r="O442" t="inlineStr">
        <is>
          <t>Trading &amp; Shipping</t>
        </is>
      </c>
      <c r="P442" t="inlineStr">
        <is>
          <t>Trading &amp; Shipping Data</t>
        </is>
      </c>
      <c r="Q442" t="inlineStr">
        <is>
          <t>Squad</t>
        </is>
      </c>
      <c r="R442" t="inlineStr">
        <is>
          <t>Filled</t>
        </is>
      </c>
    </row>
    <row r="443" ht="18" customHeight="1" s="506">
      <c r="A443" s="259" t="n">
        <v>105488</v>
      </c>
      <c r="B443" s="224" t="inlineStr">
        <is>
          <t>Louis Ballington</t>
        </is>
      </c>
      <c r="C443" s="224" t="inlineStr">
        <is>
          <t>Delivery Lead</t>
        </is>
      </c>
      <c r="D443" s="260" t="inlineStr">
        <is>
          <t>Vacant</t>
        </is>
      </c>
      <c r="E443" s="224" t="inlineStr">
        <is>
          <t>Delivery Manager</t>
        </is>
      </c>
      <c r="F443" s="224" t="inlineStr">
        <is>
          <t>TDD CFE&amp;I</t>
        </is>
      </c>
      <c r="G443" s="260" t="inlineStr">
        <is>
          <t>Fuel Infrastructure</t>
        </is>
      </c>
      <c r="H443" s="260" t="inlineStr">
        <is>
          <t>Technology, CF Engineering</t>
        </is>
      </c>
      <c r="I443" s="260" t="inlineStr">
        <is>
          <t>Infrastructure</t>
        </is>
      </c>
      <c r="J443" s="260" t="inlineStr">
        <is>
          <t>Manufacturing</t>
        </is>
      </c>
      <c r="K443" s="224" t="inlineStr">
        <is>
          <t>Manuacturing Group Projects</t>
        </is>
      </c>
      <c r="L443" s="260" t="n"/>
      <c r="M443" s="261" t="inlineStr">
        <is>
          <t>Australia</t>
        </is>
      </c>
      <c r="N443" t="inlineStr">
        <is>
          <t>Infrastructure</t>
        </is>
      </c>
      <c r="O443" t="inlineStr">
        <is>
          <t>Manufacturing</t>
        </is>
      </c>
      <c r="P443" t="inlineStr">
        <is>
          <t>Manufacturing &amp; Group Projects</t>
        </is>
      </c>
      <c r="Q443" t="inlineStr">
        <is>
          <t>Squad</t>
        </is>
      </c>
      <c r="R443" t="inlineStr">
        <is>
          <t>Filled</t>
        </is>
      </c>
    </row>
    <row r="444" ht="18" customHeight="1" s="506">
      <c r="A444" s="259" t="n">
        <v>99999101143</v>
      </c>
      <c r="B444" s="224" t="inlineStr">
        <is>
          <t>Hayden Corney</t>
        </is>
      </c>
      <c r="C444" s="224" t="inlineStr">
        <is>
          <t>Lead Engineer Software</t>
        </is>
      </c>
      <c r="D444" s="260" t="inlineStr">
        <is>
          <t>Vacant</t>
        </is>
      </c>
      <c r="E444" s="224" t="inlineStr">
        <is>
          <t>Technology Manager, Engineering</t>
        </is>
      </c>
      <c r="F444" s="224" t="inlineStr">
        <is>
          <t>TDD CFE&amp;I</t>
        </is>
      </c>
      <c r="G444" s="260" t="inlineStr">
        <is>
          <t>Commercial Fuels</t>
        </is>
      </c>
      <c r="H444" s="260" t="inlineStr">
        <is>
          <t>Trading &amp; Shipping</t>
        </is>
      </c>
      <c r="I444" s="260" t="inlineStr">
        <is>
          <t>Commercial Fuels</t>
        </is>
      </c>
      <c r="J444" s="224" t="inlineStr">
        <is>
          <t>CTRM</t>
        </is>
      </c>
      <c r="K444" s="224" t="inlineStr">
        <is>
          <t>CTRM</t>
        </is>
      </c>
      <c r="L444" s="260" t="n"/>
      <c r="M444" s="261" t="inlineStr">
        <is>
          <t>NZ</t>
        </is>
      </c>
      <c r="N444" t="inlineStr">
        <is>
          <t>Commercial Fuels</t>
        </is>
      </c>
      <c r="O444" t="inlineStr">
        <is>
          <t>CTRM</t>
        </is>
      </c>
      <c r="P444" t="inlineStr">
        <is>
          <t>CTRM</t>
        </is>
      </c>
      <c r="Q444" t="inlineStr">
        <is>
          <t>Strategic Program</t>
        </is>
      </c>
      <c r="R444" t="inlineStr">
        <is>
          <t>Filled</t>
        </is>
      </c>
    </row>
    <row r="445" ht="18" customHeight="1" s="506">
      <c r="A445" s="259" t="n">
        <v>104159</v>
      </c>
      <c r="B445" s="224" t="inlineStr">
        <is>
          <t>Vacant</t>
        </is>
      </c>
      <c r="C445" s="224" t="inlineStr">
        <is>
          <t>System Specialist</t>
        </is>
      </c>
      <c r="D445" s="260" t="inlineStr">
        <is>
          <t>vacant</t>
        </is>
      </c>
      <c r="E445" s="224" t="inlineStr">
        <is>
          <t>Technology Manager, Energy Solutions</t>
        </is>
      </c>
      <c r="F445" s="224" t="inlineStr">
        <is>
          <t>TDD CFE&amp;I</t>
        </is>
      </c>
      <c r="G445" s="260" t="inlineStr">
        <is>
          <t>Loyalty &amp; Martech</t>
        </is>
      </c>
      <c r="H445" s="260" t="inlineStr">
        <is>
          <t>Technology Energy Solutions</t>
        </is>
      </c>
      <c r="I445" s="260" t="inlineStr">
        <is>
          <t>B2B &amp; Energy Solutions</t>
        </is>
      </c>
      <c r="J445" s="260" t="inlineStr">
        <is>
          <t>Energy Solutions</t>
        </is>
      </c>
      <c r="K445" s="224" t="inlineStr">
        <is>
          <t>Energy</t>
        </is>
      </c>
      <c r="L445" s="260" t="n"/>
      <c r="M445" s="261" t="inlineStr">
        <is>
          <t>Australia</t>
        </is>
      </c>
      <c r="N445" t="inlineStr">
        <is>
          <t>Energy Solutions &amp; B2B</t>
        </is>
      </c>
      <c r="O445" t="inlineStr">
        <is>
          <t>Energy Solutions</t>
        </is>
      </c>
      <c r="P445" t="inlineStr">
        <is>
          <t>Energy</t>
        </is>
      </c>
      <c r="Q445" t="inlineStr">
        <is>
          <t>Squad</t>
        </is>
      </c>
      <c r="R445" t="inlineStr">
        <is>
          <t>Vacant</t>
        </is>
      </c>
    </row>
    <row r="446" ht="18" customHeight="1" s="506">
      <c r="A446" s="259" t="n"/>
      <c r="B446" s="224" t="inlineStr">
        <is>
          <t>Vacant</t>
        </is>
      </c>
      <c r="C446" s="224" t="inlineStr">
        <is>
          <t>Data Analyst</t>
        </is>
      </c>
      <c r="D446" s="224" t="inlineStr">
        <is>
          <t>vacant</t>
        </is>
      </c>
      <c r="E446" s="224" t="inlineStr">
        <is>
          <t>Technology Manger, Data</t>
        </is>
      </c>
      <c r="F446" s="224" t="inlineStr">
        <is>
          <t>TDD CFE&amp;I</t>
        </is>
      </c>
      <c r="G446" s="260" t="inlineStr">
        <is>
          <t>Fuel Infrastructure</t>
        </is>
      </c>
      <c r="H446" s="260" t="inlineStr">
        <is>
          <t>Fuel Infrastructure, Data</t>
        </is>
      </c>
      <c r="I446" s="260" t="inlineStr">
        <is>
          <t>Infrastructure</t>
        </is>
      </c>
      <c r="J446" s="224" t="inlineStr">
        <is>
          <t xml:space="preserve">Data &amp; Insights </t>
        </is>
      </c>
      <c r="K446" s="224" t="inlineStr">
        <is>
          <t xml:space="preserve">Data &amp; Insights </t>
        </is>
      </c>
      <c r="L446" s="260" t="n"/>
      <c r="M446" s="261" t="n"/>
      <c r="N446" t="inlineStr">
        <is>
          <t>Infrastructure</t>
        </is>
      </c>
      <c r="O446" t="inlineStr">
        <is>
          <t>Data &amp; Insights</t>
        </is>
      </c>
      <c r="P446" t="inlineStr">
        <is>
          <t>Data &amp; Insights</t>
        </is>
      </c>
      <c r="Q446" t="inlineStr">
        <is>
          <t>Squad</t>
        </is>
      </c>
      <c r="R446" t="inlineStr">
        <is>
          <t>Vacant</t>
        </is>
      </c>
    </row>
    <row r="447" ht="18" customHeight="1" s="506">
      <c r="A447" s="259" t="n">
        <v>97884</v>
      </c>
      <c r="B447" s="224" t="inlineStr">
        <is>
          <t>Vacant</t>
        </is>
      </c>
      <c r="C447" s="224" t="inlineStr">
        <is>
          <t>Snr Business Analyst</t>
        </is>
      </c>
      <c r="D447" s="260" t="inlineStr">
        <is>
          <t>Vacant</t>
        </is>
      </c>
      <c r="E447" s="224" t="inlineStr">
        <is>
          <t>Delivery Manager</t>
        </is>
      </c>
      <c r="F447" s="224" t="inlineStr">
        <is>
          <t>TDD CFE&amp;I</t>
        </is>
      </c>
      <c r="G447" s="300" t="inlineStr">
        <is>
          <t>Fuel Infrastructure</t>
        </is>
      </c>
      <c r="H447" s="260" t="inlineStr">
        <is>
          <t>Ampol Retail, Store Platforms</t>
        </is>
      </c>
      <c r="I447" s="260" t="inlineStr">
        <is>
          <t>Infrastructure</t>
        </is>
      </c>
      <c r="J447" s="224" t="inlineStr">
        <is>
          <t>Distribution</t>
        </is>
      </c>
      <c r="K447" s="224" t="inlineStr">
        <is>
          <t>Distribution, Sales &amp; Services</t>
        </is>
      </c>
      <c r="L447" s="260" t="n"/>
      <c r="M447" s="261" t="inlineStr">
        <is>
          <t>Australia</t>
        </is>
      </c>
      <c r="N447" t="inlineStr">
        <is>
          <t>Infrastructure</t>
        </is>
      </c>
      <c r="O447" t="inlineStr">
        <is>
          <t>Distribution</t>
        </is>
      </c>
      <c r="P447" t="inlineStr">
        <is>
          <t>Distribution, Sales &amp; Services</t>
        </is>
      </c>
      <c r="Q447" t="inlineStr">
        <is>
          <t>Squad</t>
        </is>
      </c>
      <c r="R447" t="inlineStr">
        <is>
          <t>Vacant</t>
        </is>
      </c>
    </row>
    <row r="448" ht="18" customHeight="1" s="506">
      <c r="A448" s="259" t="n">
        <v>107588</v>
      </c>
      <c r="B448" s="224" t="inlineStr">
        <is>
          <t>Vacant</t>
        </is>
      </c>
      <c r="C448" s="224" t="inlineStr">
        <is>
          <t>Snr Business Analyst</t>
        </is>
      </c>
      <c r="D448" s="260" t="inlineStr">
        <is>
          <t>Vacant</t>
        </is>
      </c>
      <c r="E448" s="224" t="inlineStr">
        <is>
          <t>Delivery Manager</t>
        </is>
      </c>
      <c r="F448" s="224" t="inlineStr">
        <is>
          <t>TDD CFE&amp;I</t>
        </is>
      </c>
      <c r="G448" s="300" t="inlineStr">
        <is>
          <t>Fuel Infrastructure</t>
        </is>
      </c>
      <c r="H448" s="260" t="inlineStr">
        <is>
          <t>Ampol Retail, Store Platforms</t>
        </is>
      </c>
      <c r="I448" s="260" t="inlineStr">
        <is>
          <t>Infrastructure</t>
        </is>
      </c>
      <c r="J448" s="260" t="inlineStr">
        <is>
          <t>Manufacturing</t>
        </is>
      </c>
      <c r="K448" s="224" t="inlineStr">
        <is>
          <t>Manufacturing Group Projects</t>
        </is>
      </c>
      <c r="L448" s="260" t="n"/>
      <c r="M448" s="261" t="inlineStr">
        <is>
          <t>Australia</t>
        </is>
      </c>
      <c r="N448" t="inlineStr">
        <is>
          <t>Infrastructure</t>
        </is>
      </c>
      <c r="O448" t="inlineStr">
        <is>
          <t>Manufacturing</t>
        </is>
      </c>
      <c r="P448" t="inlineStr">
        <is>
          <t>Manufacturing &amp; Group Projects</t>
        </is>
      </c>
      <c r="Q448" t="inlineStr">
        <is>
          <t>Squad</t>
        </is>
      </c>
      <c r="R448" t="inlineStr">
        <is>
          <t>Vacant</t>
        </is>
      </c>
    </row>
    <row r="449" ht="18" customHeight="1" s="506">
      <c r="A449" s="259" t="n">
        <v>99999101895</v>
      </c>
      <c r="B449" s="224" t="inlineStr">
        <is>
          <t>Caitlin Naylor</t>
        </is>
      </c>
      <c r="C449" s="224" t="inlineStr">
        <is>
          <t>Associate Engineer- Software</t>
        </is>
      </c>
      <c r="D449" s="260" t="inlineStr">
        <is>
          <t>vacant</t>
        </is>
      </c>
      <c r="E449" s="224" t="inlineStr">
        <is>
          <t>Technology Manager, Energy Solutions</t>
        </is>
      </c>
      <c r="F449" s="224" t="inlineStr">
        <is>
          <t>TDD CFE&amp;I</t>
        </is>
      </c>
      <c r="G449" s="260" t="inlineStr">
        <is>
          <t>B2B &amp; Energy Solutions</t>
        </is>
      </c>
      <c r="H449" s="260" t="inlineStr">
        <is>
          <t>Technology Energy Solutions</t>
        </is>
      </c>
      <c r="I449" s="260" t="inlineStr">
        <is>
          <t>B2B &amp; Energy Solutions</t>
        </is>
      </c>
      <c r="J449" s="260" t="inlineStr">
        <is>
          <t>Energy Solutions</t>
        </is>
      </c>
      <c r="K449" s="224" t="inlineStr">
        <is>
          <t>Energy</t>
        </is>
      </c>
      <c r="L449" s="260" t="n"/>
      <c r="M449" s="261" t="inlineStr">
        <is>
          <t>NZ</t>
        </is>
      </c>
      <c r="N449" t="inlineStr">
        <is>
          <t>Energy Solutions &amp; B2B</t>
        </is>
      </c>
      <c r="O449" t="inlineStr">
        <is>
          <t>Energy Solutions</t>
        </is>
      </c>
      <c r="P449" t="inlineStr">
        <is>
          <t>Energy</t>
        </is>
      </c>
      <c r="Q449" t="inlineStr">
        <is>
          <t>Squad</t>
        </is>
      </c>
      <c r="R449" t="inlineStr">
        <is>
          <t>Filled</t>
        </is>
      </c>
    </row>
    <row r="450" ht="18" customHeight="1" s="506">
      <c r="A450" s="259" t="n"/>
      <c r="B450" s="224" t="inlineStr">
        <is>
          <t>Vacant</t>
        </is>
      </c>
      <c r="C450" s="224" t="inlineStr">
        <is>
          <t>Engineer Data</t>
        </is>
      </c>
      <c r="D450" s="224" t="inlineStr">
        <is>
          <t>vacant</t>
        </is>
      </c>
      <c r="E450" s="224" t="inlineStr">
        <is>
          <t>Technology Manger, Data</t>
        </is>
      </c>
      <c r="F450" s="224" t="inlineStr">
        <is>
          <t>TDD CFE&amp;I</t>
        </is>
      </c>
      <c r="G450" s="260" t="inlineStr">
        <is>
          <t>Fuel Infrastructure</t>
        </is>
      </c>
      <c r="H450" s="260" t="inlineStr">
        <is>
          <t>Fuel Infrastructure, Data</t>
        </is>
      </c>
      <c r="I450" s="260" t="inlineStr">
        <is>
          <t>Infrastructure</t>
        </is>
      </c>
      <c r="J450" s="224" t="inlineStr">
        <is>
          <t xml:space="preserve">Data &amp; Insights </t>
        </is>
      </c>
      <c r="K450" s="224" t="inlineStr">
        <is>
          <t xml:space="preserve">Data &amp; Insights </t>
        </is>
      </c>
      <c r="L450" s="260" t="n"/>
      <c r="M450" s="261" t="n"/>
      <c r="N450" t="inlineStr">
        <is>
          <t>Infrastructure</t>
        </is>
      </c>
      <c r="O450" t="inlineStr">
        <is>
          <t>Data &amp; Insights</t>
        </is>
      </c>
      <c r="P450" t="inlineStr">
        <is>
          <t>Data &amp; Insights</t>
        </is>
      </c>
      <c r="Q450" t="inlineStr">
        <is>
          <t>Squad</t>
        </is>
      </c>
      <c r="R450" t="inlineStr">
        <is>
          <t>Vacant</t>
        </is>
      </c>
    </row>
    <row r="451" ht="18" customHeight="1" s="506">
      <c r="A451" s="259" t="n">
        <v>108033</v>
      </c>
      <c r="B451" s="224" t="inlineStr">
        <is>
          <t>Ayushi Agarwal</t>
        </is>
      </c>
      <c r="C451" s="224" t="inlineStr">
        <is>
          <t>Engineer Data</t>
        </is>
      </c>
      <c r="D451" s="260" t="inlineStr">
        <is>
          <t>Vacant</t>
        </is>
      </c>
      <c r="E451" s="224" t="inlineStr">
        <is>
          <t>Technology Manager, Data</t>
        </is>
      </c>
      <c r="F451" s="224" t="inlineStr">
        <is>
          <t>TDD CFE&amp;I</t>
        </is>
      </c>
      <c r="G451" s="260" t="inlineStr">
        <is>
          <t>Commercial Fuels</t>
        </is>
      </c>
      <c r="H451" s="260" t="inlineStr">
        <is>
          <t>Technology, T&amp;S Data</t>
        </is>
      </c>
      <c r="I451" s="260" t="inlineStr">
        <is>
          <t>Commercial Fuels</t>
        </is>
      </c>
      <c r="J451" s="260" t="inlineStr">
        <is>
          <t>Trading &amp; Shipping</t>
        </is>
      </c>
      <c r="K451" s="260" t="inlineStr">
        <is>
          <t>Trading &amp; Shipping Data</t>
        </is>
      </c>
      <c r="L451" s="260" t="n"/>
      <c r="M451" s="261" t="inlineStr">
        <is>
          <t>Singapore</t>
        </is>
      </c>
      <c r="N451" t="inlineStr">
        <is>
          <t>Commercial Fuels</t>
        </is>
      </c>
      <c r="O451" t="inlineStr">
        <is>
          <t>Trading &amp; Shipping</t>
        </is>
      </c>
      <c r="P451" t="inlineStr">
        <is>
          <t>Trading &amp; Shipping Data</t>
        </is>
      </c>
      <c r="Q451" t="inlineStr">
        <is>
          <t>Squad</t>
        </is>
      </c>
      <c r="R451" t="inlineStr">
        <is>
          <t>Filled</t>
        </is>
      </c>
    </row>
    <row r="452" ht="18" customHeight="1" s="506">
      <c r="A452" s="259" t="n"/>
      <c r="B452" s="224" t="inlineStr">
        <is>
          <t>Vacant</t>
        </is>
      </c>
      <c r="C452" s="224" t="inlineStr">
        <is>
          <t>Business Analyst</t>
        </is>
      </c>
      <c r="D452" s="260" t="inlineStr">
        <is>
          <t>Vacant</t>
        </is>
      </c>
      <c r="E452" s="224" t="inlineStr">
        <is>
          <t>Delivery Manager</t>
        </is>
      </c>
      <c r="F452" s="224" t="inlineStr">
        <is>
          <t>TDD CFE&amp;I</t>
        </is>
      </c>
      <c r="G452" s="260" t="inlineStr">
        <is>
          <t>Fuel Infrastructure</t>
        </is>
      </c>
      <c r="H452" s="260" t="inlineStr">
        <is>
          <t>Fuel Infrastructure, Delivery</t>
        </is>
      </c>
      <c r="I452" s="260" t="inlineStr">
        <is>
          <t>Infrastructure</t>
        </is>
      </c>
      <c r="J452" s="260" t="inlineStr">
        <is>
          <t>Distribution</t>
        </is>
      </c>
      <c r="K452" s="224" t="inlineStr">
        <is>
          <t>Distribution, Sales &amp; Services</t>
        </is>
      </c>
      <c r="L452" s="260" t="n"/>
      <c r="M452" s="261" t="inlineStr">
        <is>
          <t>Australia</t>
        </is>
      </c>
      <c r="N452" t="inlineStr">
        <is>
          <t>Infrastructure</t>
        </is>
      </c>
      <c r="O452" t="inlineStr">
        <is>
          <t>Distribution</t>
        </is>
      </c>
      <c r="P452" t="inlineStr">
        <is>
          <t>Distribution, Sales &amp; Services</t>
        </is>
      </c>
      <c r="Q452" t="inlineStr">
        <is>
          <t>Squad</t>
        </is>
      </c>
      <c r="R452" t="inlineStr">
        <is>
          <t>Vacant</t>
        </is>
      </c>
    </row>
    <row r="453" ht="18" customHeight="1" s="506">
      <c r="A453" s="259" t="n">
        <v>106221</v>
      </c>
      <c r="B453" s="224" t="inlineStr">
        <is>
          <t>Vacant</t>
        </is>
      </c>
      <c r="C453" s="224" t="inlineStr">
        <is>
          <t>Senior Business Analyst</t>
        </is>
      </c>
      <c r="D453" s="260" t="inlineStr">
        <is>
          <t>Vacant</t>
        </is>
      </c>
      <c r="E453" s="224" t="inlineStr">
        <is>
          <t>Delivery Manager</t>
        </is>
      </c>
      <c r="F453" s="224" t="inlineStr">
        <is>
          <t>TDD CFE&amp;I</t>
        </is>
      </c>
      <c r="G453" s="260" t="inlineStr">
        <is>
          <t>Commercial Fuels</t>
        </is>
      </c>
      <c r="H453" s="300" t="inlineStr">
        <is>
          <t>Delivery</t>
        </is>
      </c>
      <c r="I453" s="260" t="inlineStr">
        <is>
          <t>Commercial Fuels</t>
        </is>
      </c>
      <c r="J453" s="260" t="inlineStr">
        <is>
          <t>Trading &amp; Shipping</t>
        </is>
      </c>
      <c r="K453" s="260" t="inlineStr">
        <is>
          <t>Trading &amp; Shipping</t>
        </is>
      </c>
      <c r="L453" s="224" t="n"/>
      <c r="M453" s="261" t="inlineStr">
        <is>
          <t>Singapore</t>
        </is>
      </c>
      <c r="N453" t="inlineStr">
        <is>
          <t>Commercial Fuels</t>
        </is>
      </c>
      <c r="O453" t="inlineStr">
        <is>
          <t>Trading &amp; Shipping</t>
        </is>
      </c>
      <c r="P453" t="inlineStr">
        <is>
          <t>Trading &amp; Shipping</t>
        </is>
      </c>
      <c r="Q453" t="inlineStr">
        <is>
          <t>Squad</t>
        </is>
      </c>
      <c r="R453" t="inlineStr">
        <is>
          <t>Vacant</t>
        </is>
      </c>
    </row>
    <row r="454" ht="18" customHeight="1" s="506">
      <c r="A454" s="259" t="n">
        <v>99999101421</v>
      </c>
      <c r="B454" s="224" t="inlineStr">
        <is>
          <t>Lana Wagner</t>
        </is>
      </c>
      <c r="C454" s="224" t="inlineStr">
        <is>
          <t>Senior Business Analyst</t>
        </is>
      </c>
      <c r="D454" s="260" t="inlineStr">
        <is>
          <t>Vacant</t>
        </is>
      </c>
      <c r="E454" s="224" t="inlineStr">
        <is>
          <t>Delivery Manager</t>
        </is>
      </c>
      <c r="F454" s="224" t="inlineStr">
        <is>
          <t>TDD CFE&amp;I</t>
        </is>
      </c>
      <c r="G454" s="260" t="inlineStr">
        <is>
          <t>B2B &amp; Energy Solutions</t>
        </is>
      </c>
      <c r="H454" s="260" t="inlineStr">
        <is>
          <t>Delivery</t>
        </is>
      </c>
      <c r="I454" s="260" t="inlineStr">
        <is>
          <t>B2B &amp; Energy Solutions</t>
        </is>
      </c>
      <c r="J454" s="260" t="inlineStr">
        <is>
          <t>Energy Solutions</t>
        </is>
      </c>
      <c r="K454" s="224" t="inlineStr">
        <is>
          <t>EVCI</t>
        </is>
      </c>
      <c r="L454" s="260" t="n"/>
      <c r="M454" s="261" t="inlineStr">
        <is>
          <t>NZ</t>
        </is>
      </c>
      <c r="N454" t="inlineStr">
        <is>
          <t>Energy Solutions &amp; B2B</t>
        </is>
      </c>
      <c r="O454" t="inlineStr">
        <is>
          <t>Energy Solutions</t>
        </is>
      </c>
      <c r="P454" t="inlineStr">
        <is>
          <t>EVCI</t>
        </is>
      </c>
      <c r="Q454" t="inlineStr">
        <is>
          <t>Squad</t>
        </is>
      </c>
      <c r="R454" t="inlineStr">
        <is>
          <t>Filled</t>
        </is>
      </c>
    </row>
    <row r="455" ht="18" customHeight="1" s="506">
      <c r="A455" s="259" t="n">
        <v>108075</v>
      </c>
      <c r="B455" s="224" t="inlineStr">
        <is>
          <t>Vacant</t>
        </is>
      </c>
      <c r="C455" s="224" t="inlineStr">
        <is>
          <t>Senior Business Analyst</t>
        </is>
      </c>
      <c r="D455" s="260" t="inlineStr">
        <is>
          <t>vacant</t>
        </is>
      </c>
      <c r="E455" s="224" t="inlineStr">
        <is>
          <t>Delivery Manager</t>
        </is>
      </c>
      <c r="F455" s="224" t="inlineStr">
        <is>
          <t>TDD CFE&amp;I</t>
        </is>
      </c>
      <c r="G455" s="260" t="inlineStr">
        <is>
          <t>Commercial Fuels</t>
        </is>
      </c>
      <c r="H455" s="260" t="inlineStr">
        <is>
          <t>Trading &amp; Shipping</t>
        </is>
      </c>
      <c r="I455" s="260" t="inlineStr">
        <is>
          <t>Commercial Fuels</t>
        </is>
      </c>
      <c r="J455" s="260" t="inlineStr">
        <is>
          <t>Trading &amp; Shipping</t>
        </is>
      </c>
      <c r="K455" s="260" t="inlineStr">
        <is>
          <t>Trading &amp; Shipping</t>
        </is>
      </c>
      <c r="L455" s="224" t="n"/>
      <c r="M455" s="261" t="inlineStr">
        <is>
          <t>Australia</t>
        </is>
      </c>
      <c r="N455" t="inlineStr">
        <is>
          <t>Commercial Fuels</t>
        </is>
      </c>
      <c r="O455" t="inlineStr">
        <is>
          <t>Trading &amp; Shipping</t>
        </is>
      </c>
      <c r="P455" t="inlineStr">
        <is>
          <t>Trading &amp; Shipping</t>
        </is>
      </c>
      <c r="Q455" t="inlineStr">
        <is>
          <t>Squad</t>
        </is>
      </c>
      <c r="R455" t="inlineStr">
        <is>
          <t>Vacant</t>
        </is>
      </c>
    </row>
    <row r="456" ht="18" customHeight="1" s="506">
      <c r="A456" s="259" t="n"/>
      <c r="B456" s="224" t="inlineStr">
        <is>
          <t>Vacant</t>
        </is>
      </c>
      <c r="C456" s="224" t="inlineStr">
        <is>
          <t>Delivery Lead</t>
        </is>
      </c>
      <c r="D456" s="260" t="inlineStr">
        <is>
          <t>vacant</t>
        </is>
      </c>
      <c r="E456" s="224" t="inlineStr">
        <is>
          <t>Delivery Manager</t>
        </is>
      </c>
      <c r="F456" s="224" t="inlineStr">
        <is>
          <t>TDD CFE&amp;I</t>
        </is>
      </c>
      <c r="G456" s="260" t="inlineStr">
        <is>
          <t>Commercial Fuels</t>
        </is>
      </c>
      <c r="H456" s="300" t="inlineStr">
        <is>
          <t>Trading &amp; Shipping</t>
        </is>
      </c>
      <c r="I456" s="260" t="inlineStr">
        <is>
          <t>Commercial Fuels</t>
        </is>
      </c>
      <c r="J456" s="260" t="inlineStr">
        <is>
          <t>Trading &amp; Shipping</t>
        </is>
      </c>
      <c r="K456" s="260" t="inlineStr">
        <is>
          <t>Trading &amp; Shipping</t>
        </is>
      </c>
      <c r="L456" s="224" t="n"/>
      <c r="M456" s="261" t="n"/>
      <c r="N456" t="inlineStr">
        <is>
          <t>Commercial Fuels</t>
        </is>
      </c>
      <c r="O456" t="inlineStr">
        <is>
          <t>Trading &amp; Shipping</t>
        </is>
      </c>
      <c r="P456" t="inlineStr">
        <is>
          <t>Trading &amp; Shipping</t>
        </is>
      </c>
      <c r="Q456" t="inlineStr">
        <is>
          <t>Squad</t>
        </is>
      </c>
      <c r="R456" t="inlineStr">
        <is>
          <t>Vacant</t>
        </is>
      </c>
    </row>
    <row r="457" ht="18" customHeight="1" s="506">
      <c r="A457" s="259" t="n">
        <v>105823</v>
      </c>
      <c r="B457" s="269" t="inlineStr">
        <is>
          <t>Hardik Trivedi</t>
        </is>
      </c>
      <c r="C457" s="269" t="inlineStr">
        <is>
          <t>Snr Business Analyst</t>
        </is>
      </c>
      <c r="D457" s="260" t="inlineStr">
        <is>
          <t>vacant</t>
        </is>
      </c>
      <c r="E457" s="269" t="inlineStr">
        <is>
          <t xml:space="preserve">Delivery Manager </t>
        </is>
      </c>
      <c r="F457" s="224" t="inlineStr">
        <is>
          <t>TDD Group Functions</t>
        </is>
      </c>
      <c r="G457" s="260" t="inlineStr">
        <is>
          <t>TDD &amp; Engineering</t>
        </is>
      </c>
      <c r="H457" s="224" t="inlineStr">
        <is>
          <t>Delivery, TDD &amp; Engineering</t>
        </is>
      </c>
      <c r="I457" s="224" t="inlineStr">
        <is>
          <t>Retail</t>
        </is>
      </c>
      <c r="J457" s="260" t="inlineStr">
        <is>
          <t>AmPOS</t>
        </is>
      </c>
      <c r="K457" s="260" t="inlineStr">
        <is>
          <t>AmPOS</t>
        </is>
      </c>
      <c r="L457" s="260" t="n"/>
      <c r="M457" s="261" t="inlineStr">
        <is>
          <t>Australia</t>
        </is>
      </c>
      <c r="N457" t="inlineStr">
        <is>
          <t>Ampol Retail</t>
        </is>
      </c>
      <c r="O457" t="inlineStr">
        <is>
          <t>AmPOS</t>
        </is>
      </c>
      <c r="P457" t="inlineStr">
        <is>
          <t>AmPOS</t>
        </is>
      </c>
      <c r="Q457" t="inlineStr">
        <is>
          <t>Strategic Program</t>
        </is>
      </c>
      <c r="R457" t="inlineStr">
        <is>
          <t>Filled</t>
        </is>
      </c>
    </row>
    <row r="458" ht="18" customHeight="1" s="506">
      <c r="A458" s="259" t="n">
        <v>106829</v>
      </c>
      <c r="B458" s="224" t="inlineStr">
        <is>
          <t>C K Lau</t>
        </is>
      </c>
      <c r="C458" s="224" t="inlineStr">
        <is>
          <t>Delivery Lead (Cloud &amp; Network)</t>
        </is>
      </c>
      <c r="D458" s="224" t="inlineStr">
        <is>
          <t>Vacant</t>
        </is>
      </c>
      <c r="E458" s="224" t="inlineStr">
        <is>
          <t>Delivery Manager</t>
        </is>
      </c>
      <c r="F458" s="224" t="inlineStr">
        <is>
          <t>TDD Group Functions</t>
        </is>
      </c>
      <c r="G458" s="260" t="inlineStr">
        <is>
          <t xml:space="preserve">TDD &amp; Engineering </t>
        </is>
      </c>
      <c r="H458" s="224" t="inlineStr">
        <is>
          <t>Delivery, TDD &amp; Engineering</t>
        </is>
      </c>
      <c r="I458" s="224" t="inlineStr">
        <is>
          <t>TDD</t>
        </is>
      </c>
      <c r="J458" s="260" t="inlineStr">
        <is>
          <t>TDD</t>
        </is>
      </c>
      <c r="K458" s="260" t="inlineStr">
        <is>
          <t>Cloud Network &amp; Infra Ops</t>
        </is>
      </c>
      <c r="L458" s="260" t="n"/>
      <c r="M458" s="261" t="inlineStr">
        <is>
          <t>Australia</t>
        </is>
      </c>
      <c r="N458" t="inlineStr">
        <is>
          <t>TDD Group Functions</t>
        </is>
      </c>
      <c r="O458" t="inlineStr">
        <is>
          <t>TDD Group Functions</t>
        </is>
      </c>
      <c r="P458" t="inlineStr">
        <is>
          <t>Network &amp; Infrastructure</t>
        </is>
      </c>
      <c r="Q458" t="inlineStr">
        <is>
          <t>Squad</t>
        </is>
      </c>
      <c r="R458" t="inlineStr">
        <is>
          <t>Filled</t>
        </is>
      </c>
      <c r="BV458" s="263" t="n"/>
      <c r="BW458" s="264" t="n"/>
      <c r="BX458" s="265" t="n"/>
    </row>
    <row r="459" ht="18" customHeight="1" s="506">
      <c r="A459" s="259" t="n">
        <v>99999101516</v>
      </c>
      <c r="B459" s="224" t="inlineStr">
        <is>
          <t>Fan Zhang</t>
        </is>
      </c>
      <c r="C459" s="224" t="inlineStr">
        <is>
          <t>Infrastructure Engineer</t>
        </is>
      </c>
      <c r="D459" s="260" t="inlineStr">
        <is>
          <t>John McCormack</t>
        </is>
      </c>
      <c r="E459" s="269" t="inlineStr">
        <is>
          <t>Manager - Infrastructure Operations</t>
        </is>
      </c>
      <c r="F459" s="224" t="inlineStr">
        <is>
          <t>TDD Group Functions</t>
        </is>
      </c>
      <c r="G459" s="260" t="inlineStr">
        <is>
          <t>TDD &amp; Engineering</t>
        </is>
      </c>
      <c r="H459" s="260" t="inlineStr">
        <is>
          <t>Cloud, Network &amp; Infra</t>
        </is>
      </c>
      <c r="I459" s="224" t="inlineStr">
        <is>
          <t>TDD</t>
        </is>
      </c>
      <c r="J459" s="260" t="inlineStr">
        <is>
          <t>TDD</t>
        </is>
      </c>
      <c r="K459" s="260" t="inlineStr">
        <is>
          <t>Cloud, Network &amp; Infra Ops</t>
        </is>
      </c>
      <c r="L459" s="260" t="n"/>
      <c r="M459" s="261" t="inlineStr">
        <is>
          <t>NZ</t>
        </is>
      </c>
      <c r="N459" t="inlineStr">
        <is>
          <t>TDD Group Functions</t>
        </is>
      </c>
      <c r="O459" t="inlineStr">
        <is>
          <t>TDD Group Functions</t>
        </is>
      </c>
      <c r="P459" t="inlineStr">
        <is>
          <t>Network &amp; Infrastructure</t>
        </is>
      </c>
      <c r="Q459" t="inlineStr">
        <is>
          <t>Squad</t>
        </is>
      </c>
      <c r="R459" t="inlineStr">
        <is>
          <t>Filled</t>
        </is>
      </c>
      <c r="BV459" s="266" t="n"/>
      <c r="BW459" s="267" t="n"/>
      <c r="BX459" s="268" t="n"/>
    </row>
    <row r="460" ht="18" customHeight="1" s="506">
      <c r="A460" s="259" t="n"/>
      <c r="B460" s="282" t="inlineStr">
        <is>
          <t>Vacant</t>
        </is>
      </c>
      <c r="C460" s="269" t="inlineStr">
        <is>
          <t>Infrastructure Operations Lead</t>
        </is>
      </c>
      <c r="D460" s="260" t="inlineStr">
        <is>
          <t>John McCormack</t>
        </is>
      </c>
      <c r="E460" s="269" t="inlineStr">
        <is>
          <t>Manager - Infrastructure Operations</t>
        </is>
      </c>
      <c r="F460" s="224" t="inlineStr">
        <is>
          <t>TDD Group Functions</t>
        </is>
      </c>
      <c r="G460" s="260" t="inlineStr">
        <is>
          <t>TDD &amp; Engineering</t>
        </is>
      </c>
      <c r="H460" s="260" t="inlineStr">
        <is>
          <t>Cloud, Network &amp; Infra</t>
        </is>
      </c>
      <c r="I460" s="224" t="inlineStr">
        <is>
          <t>TDD</t>
        </is>
      </c>
      <c r="J460" s="260" t="inlineStr">
        <is>
          <t>TDD</t>
        </is>
      </c>
      <c r="K460" s="260" t="inlineStr">
        <is>
          <t>Cloud, Network &amp; Infra Ops</t>
        </is>
      </c>
      <c r="L460" s="260" t="n"/>
      <c r="M460" s="261" t="n"/>
      <c r="N460" t="inlineStr">
        <is>
          <t>TDD Group Functions</t>
        </is>
      </c>
      <c r="O460" t="inlineStr">
        <is>
          <t>TDD Group Functions</t>
        </is>
      </c>
      <c r="P460" t="inlineStr">
        <is>
          <t>Network &amp; Infrastructure</t>
        </is>
      </c>
      <c r="Q460" t="inlineStr">
        <is>
          <t>Squad</t>
        </is>
      </c>
      <c r="R460" t="inlineStr">
        <is>
          <t>Vacant</t>
        </is>
      </c>
      <c r="BV460" s="266" t="n"/>
      <c r="BW460" s="267" t="n"/>
      <c r="BX460" s="268" t="n"/>
    </row>
    <row r="461" ht="18" customHeight="1" s="506">
      <c r="A461" s="259" t="n">
        <v>96568</v>
      </c>
      <c r="B461" s="282" t="inlineStr">
        <is>
          <t>Johnny Li</t>
        </is>
      </c>
      <c r="C461" s="269" t="inlineStr">
        <is>
          <t>Cloud Solutions Architect</t>
        </is>
      </c>
      <c r="D461" s="260" t="inlineStr">
        <is>
          <t>Vacant</t>
        </is>
      </c>
      <c r="E461" s="269" t="inlineStr">
        <is>
          <t>Technology Manager - Cloud, Network &amp; Infrastructure Operations</t>
        </is>
      </c>
      <c r="F461" s="224" t="inlineStr">
        <is>
          <t>TDD Group Functions</t>
        </is>
      </c>
      <c r="G461" s="260" t="inlineStr">
        <is>
          <t>TDD &amp; Engineering</t>
        </is>
      </c>
      <c r="H461" s="260" t="inlineStr">
        <is>
          <t>Cloud, Network &amp; Infra</t>
        </is>
      </c>
      <c r="I461" s="224" t="inlineStr">
        <is>
          <t>TDD</t>
        </is>
      </c>
      <c r="J461" s="260" t="inlineStr">
        <is>
          <t>TDD</t>
        </is>
      </c>
      <c r="K461" s="260" t="inlineStr">
        <is>
          <t>Cloud, Network &amp; Infra Ops</t>
        </is>
      </c>
      <c r="L461" s="260" t="n"/>
      <c r="M461" s="261" t="n"/>
      <c r="N461" t="inlineStr">
        <is>
          <t>TDD Group Functions</t>
        </is>
      </c>
      <c r="O461" t="inlineStr">
        <is>
          <t>TDD Group Functions</t>
        </is>
      </c>
      <c r="P461" t="inlineStr">
        <is>
          <t>Network &amp; Infrastructure</t>
        </is>
      </c>
      <c r="Q461" t="inlineStr">
        <is>
          <t>Squad</t>
        </is>
      </c>
      <c r="R461" t="inlineStr">
        <is>
          <t>Filled</t>
        </is>
      </c>
      <c r="BV461" s="266" t="n"/>
      <c r="BW461" s="267" t="n"/>
      <c r="BX461" s="268" t="n"/>
    </row>
    <row r="462" ht="18" customHeight="1" s="506">
      <c r="A462" s="259" t="n">
        <v>6591</v>
      </c>
      <c r="B462" s="224" t="inlineStr">
        <is>
          <t>Steven Yong</t>
        </is>
      </c>
      <c r="C462" s="224" t="inlineStr">
        <is>
          <t>Nework Architect</t>
        </is>
      </c>
      <c r="D462" s="260" t="inlineStr">
        <is>
          <t>Vacant</t>
        </is>
      </c>
      <c r="E462" s="269" t="inlineStr">
        <is>
          <t>Technology Manager - Cloud, Network &amp; Infrastructure Operations</t>
        </is>
      </c>
      <c r="F462" s="224" t="inlineStr">
        <is>
          <t>TDD Group Functions</t>
        </is>
      </c>
      <c r="G462" s="260" t="inlineStr">
        <is>
          <t>TDD &amp; Engineering</t>
        </is>
      </c>
      <c r="H462" s="260" t="inlineStr">
        <is>
          <t>Cloud, Network &amp; Infra</t>
        </is>
      </c>
      <c r="I462" s="224" t="inlineStr">
        <is>
          <t>TDD</t>
        </is>
      </c>
      <c r="J462" s="260" t="inlineStr">
        <is>
          <t>TDD</t>
        </is>
      </c>
      <c r="K462" s="260" t="inlineStr">
        <is>
          <t>Cloud, Network &amp; Infra Ops</t>
        </is>
      </c>
      <c r="L462" s="260" t="n"/>
      <c r="M462" s="261" t="inlineStr">
        <is>
          <t>Australia</t>
        </is>
      </c>
      <c r="N462" t="inlineStr">
        <is>
          <t>TDD Group Functions</t>
        </is>
      </c>
      <c r="O462" t="inlineStr">
        <is>
          <t>TDD Group Functions</t>
        </is>
      </c>
      <c r="P462" t="inlineStr">
        <is>
          <t>Network &amp; Infrastructure</t>
        </is>
      </c>
      <c r="Q462" t="inlineStr">
        <is>
          <t>Squad</t>
        </is>
      </c>
      <c r="R462" t="inlineStr">
        <is>
          <t>Filled</t>
        </is>
      </c>
      <c r="BV462" s="266" t="n"/>
      <c r="BW462" s="267" t="n"/>
      <c r="BX462" s="268" t="n"/>
    </row>
    <row r="463" ht="18" customHeight="1" s="506">
      <c r="A463" s="259" t="n">
        <v>97625</v>
      </c>
      <c r="B463" s="224" t="inlineStr">
        <is>
          <t>Satish Chowdhary</t>
        </is>
      </c>
      <c r="C463" s="224" t="inlineStr">
        <is>
          <t>Nework Architect</t>
        </is>
      </c>
      <c r="D463" s="260" t="inlineStr">
        <is>
          <t>Vacant</t>
        </is>
      </c>
      <c r="E463" s="269" t="inlineStr">
        <is>
          <t>Technology Manager - Cloud, Network &amp; Infrastructure Operations</t>
        </is>
      </c>
      <c r="F463" s="224" t="inlineStr">
        <is>
          <t>TDD Group Functions</t>
        </is>
      </c>
      <c r="G463" s="260" t="inlineStr">
        <is>
          <t>TDD &amp; Engineering</t>
        </is>
      </c>
      <c r="H463" s="260" t="inlineStr">
        <is>
          <t>Cloud, Network &amp; Infra</t>
        </is>
      </c>
      <c r="I463" s="224" t="inlineStr">
        <is>
          <t>TDD</t>
        </is>
      </c>
      <c r="J463" s="260" t="inlineStr">
        <is>
          <t>TDD</t>
        </is>
      </c>
      <c r="K463" s="260" t="inlineStr">
        <is>
          <t>Cloud, Network &amp; Infra Ops</t>
        </is>
      </c>
      <c r="L463" s="260" t="n"/>
      <c r="M463" s="261" t="inlineStr">
        <is>
          <t>Australia</t>
        </is>
      </c>
      <c r="N463" t="inlineStr">
        <is>
          <t>TDD Group Functions</t>
        </is>
      </c>
      <c r="O463" t="inlineStr">
        <is>
          <t>TDD Group Functions</t>
        </is>
      </c>
      <c r="P463" t="inlineStr">
        <is>
          <t>Network &amp; Infrastructure</t>
        </is>
      </c>
      <c r="Q463" t="inlineStr">
        <is>
          <t>Squad</t>
        </is>
      </c>
      <c r="R463" t="inlineStr">
        <is>
          <t>Filled</t>
        </is>
      </c>
      <c r="BV463" s="266" t="n"/>
      <c r="BW463" s="267" t="n"/>
      <c r="BX463" s="268" t="n"/>
    </row>
    <row r="464" ht="18" customHeight="1" s="506">
      <c r="A464" s="259" t="n">
        <v>106117</v>
      </c>
      <c r="B464" s="224" t="inlineStr">
        <is>
          <t>Muhammad Abubaker</t>
        </is>
      </c>
      <c r="C464" s="224" t="inlineStr">
        <is>
          <t>Network Operations Engineer</t>
        </is>
      </c>
      <c r="D464" s="260" t="inlineStr">
        <is>
          <t>Vacant</t>
        </is>
      </c>
      <c r="E464" s="269" t="inlineStr">
        <is>
          <t>Manager - Infrastructure Operations</t>
        </is>
      </c>
      <c r="F464" s="224" t="inlineStr">
        <is>
          <t>TDD Group Functions</t>
        </is>
      </c>
      <c r="G464" s="260" t="inlineStr">
        <is>
          <t>Loyalty &amp; Martech</t>
        </is>
      </c>
      <c r="H464" s="260" t="inlineStr">
        <is>
          <t>Cloud, Network &amp; Infra</t>
        </is>
      </c>
      <c r="I464" s="224" t="inlineStr">
        <is>
          <t>TDD</t>
        </is>
      </c>
      <c r="J464" s="260" t="inlineStr">
        <is>
          <t>TDD</t>
        </is>
      </c>
      <c r="K464" s="260" t="inlineStr">
        <is>
          <t>Cloud, Network &amp; Infra Ops</t>
        </is>
      </c>
      <c r="L464" s="260" t="n"/>
      <c r="M464" s="261" t="inlineStr">
        <is>
          <t>Australia</t>
        </is>
      </c>
      <c r="N464" t="inlineStr">
        <is>
          <t>TDD Group Functions</t>
        </is>
      </c>
      <c r="O464" t="inlineStr">
        <is>
          <t>TDD Group Functions</t>
        </is>
      </c>
      <c r="P464" t="inlineStr">
        <is>
          <t>Network &amp; Infrastructure</t>
        </is>
      </c>
      <c r="Q464" t="inlineStr">
        <is>
          <t>Squad</t>
        </is>
      </c>
      <c r="R464" t="inlineStr">
        <is>
          <t>Filled</t>
        </is>
      </c>
      <c r="BV464" s="266" t="n"/>
      <c r="BW464" s="267" t="n"/>
      <c r="BX464" s="268" t="n"/>
    </row>
    <row r="465" ht="18" customHeight="1" s="506">
      <c r="A465" s="259" t="n">
        <v>113517</v>
      </c>
      <c r="B465" s="282" t="inlineStr">
        <is>
          <t>Axel Soh</t>
        </is>
      </c>
      <c r="C465" s="269" t="inlineStr">
        <is>
          <t>Cloud Solutions Architect</t>
        </is>
      </c>
      <c r="D465" s="260" t="inlineStr">
        <is>
          <t>Vacant</t>
        </is>
      </c>
      <c r="E465" s="269" t="inlineStr">
        <is>
          <t>Technology Manager - Cloud, Network &amp; Infrastructure Operations</t>
        </is>
      </c>
      <c r="F465" s="224" t="inlineStr">
        <is>
          <t>TDD Group Functions</t>
        </is>
      </c>
      <c r="G465" s="260" t="inlineStr">
        <is>
          <t>TDD &amp; Engineering</t>
        </is>
      </c>
      <c r="H465" s="260" t="inlineStr">
        <is>
          <t>Cloud, Network &amp; Infra</t>
        </is>
      </c>
      <c r="I465" s="224" t="inlineStr">
        <is>
          <t>TDD</t>
        </is>
      </c>
      <c r="J465" s="260" t="inlineStr">
        <is>
          <t>TDD</t>
        </is>
      </c>
      <c r="K465" s="260" t="inlineStr">
        <is>
          <t>Cloud, Network &amp; Infra Ops</t>
        </is>
      </c>
      <c r="L465" s="260" t="n"/>
      <c r="M465" s="261" t="n"/>
      <c r="N465" t="inlineStr">
        <is>
          <t>TDD Group Functions</t>
        </is>
      </c>
      <c r="O465" t="inlineStr">
        <is>
          <t>TDD Group Functions</t>
        </is>
      </c>
      <c r="P465" t="inlineStr">
        <is>
          <t>Network &amp; Infrastructure</t>
        </is>
      </c>
      <c r="Q465" t="inlineStr">
        <is>
          <t>Squad</t>
        </is>
      </c>
      <c r="R465" t="inlineStr">
        <is>
          <t>Filled</t>
        </is>
      </c>
      <c r="BV465" s="266" t="n"/>
      <c r="BW465" s="267" t="n"/>
      <c r="BX465" s="268" t="n"/>
    </row>
    <row r="466" ht="18" customHeight="1" s="506">
      <c r="A466" s="259" t="n">
        <v>97800</v>
      </c>
      <c r="B466" s="224" t="inlineStr">
        <is>
          <t>John McCormack</t>
        </is>
      </c>
      <c r="C466" s="224" t="inlineStr">
        <is>
          <t>Manager - Infrastructure Operations</t>
        </is>
      </c>
      <c r="D466" s="260" t="inlineStr">
        <is>
          <t>Vacant</t>
        </is>
      </c>
      <c r="E466" s="269" t="inlineStr">
        <is>
          <t>Technology Manager - Cloud, Network &amp; Infrastructure Operations</t>
        </is>
      </c>
      <c r="F466" s="224" t="inlineStr">
        <is>
          <t>TDD Group Functions</t>
        </is>
      </c>
      <c r="G466" s="260" t="inlineStr">
        <is>
          <t>TDD &amp; Engineering</t>
        </is>
      </c>
      <c r="H466" s="260" t="inlineStr">
        <is>
          <t>Cloud, Network &amp; Infra</t>
        </is>
      </c>
      <c r="I466" s="224" t="inlineStr">
        <is>
          <t>TDD</t>
        </is>
      </c>
      <c r="J466" s="260" t="inlineStr">
        <is>
          <t>TDD</t>
        </is>
      </c>
      <c r="K466" s="260" t="inlineStr">
        <is>
          <t>Cloud, Network &amp; Infra Ops</t>
        </is>
      </c>
      <c r="L466" s="260" t="n"/>
      <c r="M466" s="261" t="inlineStr">
        <is>
          <t>Australia</t>
        </is>
      </c>
      <c r="N466" t="inlineStr">
        <is>
          <t>TDD Group Functions</t>
        </is>
      </c>
      <c r="O466" t="inlineStr">
        <is>
          <t>TDD Group Functions</t>
        </is>
      </c>
      <c r="P466" t="inlineStr">
        <is>
          <t>Network &amp; Infrastructure</t>
        </is>
      </c>
      <c r="Q466" t="inlineStr">
        <is>
          <t>Squad</t>
        </is>
      </c>
      <c r="R466" t="inlineStr">
        <is>
          <t>Filled</t>
        </is>
      </c>
      <c r="BV466" s="266" t="n"/>
      <c r="BW466" s="267" t="n"/>
      <c r="BX466" s="268" t="n"/>
    </row>
    <row r="467" ht="18" customHeight="1" s="506">
      <c r="A467" s="259" t="n">
        <v>92821</v>
      </c>
      <c r="B467" s="282" t="inlineStr">
        <is>
          <t>Pierre Spee</t>
        </is>
      </c>
      <c r="C467" s="269" t="inlineStr">
        <is>
          <t>Cloud Solutions Architect</t>
        </is>
      </c>
      <c r="D467" s="260" t="inlineStr">
        <is>
          <t>Vacant</t>
        </is>
      </c>
      <c r="E467" s="269" t="inlineStr">
        <is>
          <t>Technology Manager - Cloud, Network &amp; Infrastructure Operations</t>
        </is>
      </c>
      <c r="F467" s="224" t="inlineStr">
        <is>
          <t>TDD Group Functions</t>
        </is>
      </c>
      <c r="G467" s="260" t="inlineStr">
        <is>
          <t>TDD &amp; Engineering</t>
        </is>
      </c>
      <c r="H467" s="260" t="inlineStr">
        <is>
          <t>Cloud, Network &amp; Infra</t>
        </is>
      </c>
      <c r="I467" s="224" t="inlineStr">
        <is>
          <t>TDD</t>
        </is>
      </c>
      <c r="J467" s="260" t="inlineStr">
        <is>
          <t>TDD</t>
        </is>
      </c>
      <c r="K467" s="260" t="inlineStr">
        <is>
          <t>Cloud, Network &amp; Infra Ops</t>
        </is>
      </c>
      <c r="L467" s="260" t="n"/>
      <c r="M467" s="261" t="n"/>
      <c r="N467" t="inlineStr">
        <is>
          <t>TDD Group Functions</t>
        </is>
      </c>
      <c r="O467" t="inlineStr">
        <is>
          <t>TDD Group Functions</t>
        </is>
      </c>
      <c r="P467" t="inlineStr">
        <is>
          <t>Network &amp; Infrastructure</t>
        </is>
      </c>
      <c r="Q467" t="inlineStr">
        <is>
          <t>Squad</t>
        </is>
      </c>
      <c r="R467" t="inlineStr">
        <is>
          <t>Filled</t>
        </is>
      </c>
      <c r="BV467" s="266" t="n"/>
      <c r="BW467" s="267" t="n"/>
      <c r="BX467" s="268" t="n"/>
    </row>
    <row r="468" ht="18" customHeight="1" s="506">
      <c r="A468" s="259" t="n">
        <v>8005</v>
      </c>
      <c r="B468" s="282" t="inlineStr">
        <is>
          <t>John Badia</t>
        </is>
      </c>
      <c r="C468" s="269" t="inlineStr">
        <is>
          <t>Cloud Solutions Architect</t>
        </is>
      </c>
      <c r="D468" s="260" t="inlineStr">
        <is>
          <t>Vacant</t>
        </is>
      </c>
      <c r="E468" s="269" t="inlineStr">
        <is>
          <t>Technology Manager - Cloud, Network &amp; Infrastructure Operations</t>
        </is>
      </c>
      <c r="F468" s="224" t="inlineStr">
        <is>
          <t>TDD Group Functions</t>
        </is>
      </c>
      <c r="G468" s="260" t="inlineStr">
        <is>
          <t>TDD &amp; Engineering</t>
        </is>
      </c>
      <c r="H468" s="260" t="inlineStr">
        <is>
          <t>Cloud, Network &amp; Infra</t>
        </is>
      </c>
      <c r="I468" s="224" t="inlineStr">
        <is>
          <t>TDD</t>
        </is>
      </c>
      <c r="J468" s="260" t="inlineStr">
        <is>
          <t>TDD</t>
        </is>
      </c>
      <c r="K468" s="260" t="inlineStr">
        <is>
          <t>Cloud, Network &amp; Infra Ops</t>
        </is>
      </c>
      <c r="L468" s="260" t="n"/>
      <c r="M468" s="261" t="n"/>
      <c r="N468" t="inlineStr">
        <is>
          <t>TDD Group Functions</t>
        </is>
      </c>
      <c r="O468" t="inlineStr">
        <is>
          <t>TDD Group Functions</t>
        </is>
      </c>
      <c r="P468" t="inlineStr">
        <is>
          <t>Network &amp; Infrastructure</t>
        </is>
      </c>
      <c r="Q468" t="inlineStr">
        <is>
          <t>Squad</t>
        </is>
      </c>
      <c r="R468" t="inlineStr">
        <is>
          <t>Filled</t>
        </is>
      </c>
      <c r="BV468" s="266" t="n"/>
      <c r="BW468" s="267" t="n"/>
      <c r="BX468" s="268" t="n"/>
    </row>
    <row r="469" ht="18" customHeight="1" s="506">
      <c r="A469" s="259" t="n"/>
      <c r="B469" s="282" t="inlineStr">
        <is>
          <t>vacant</t>
        </is>
      </c>
      <c r="C469" s="269" t="inlineStr">
        <is>
          <t>Lead Engineer Software</t>
        </is>
      </c>
      <c r="D469" s="282" t="inlineStr">
        <is>
          <t>Vacant</t>
        </is>
      </c>
      <c r="E469" s="269" t="inlineStr">
        <is>
          <t>Technology Manager – DevOps and Quality Engineering</t>
        </is>
      </c>
      <c r="F469" s="260" t="inlineStr">
        <is>
          <t>TDD Group Functions</t>
        </is>
      </c>
      <c r="G469" s="260" t="inlineStr">
        <is>
          <t>TDD &amp; Engineering</t>
        </is>
      </c>
      <c r="H469" s="260" t="inlineStr">
        <is>
          <t>DevOps &amp; QE</t>
        </is>
      </c>
      <c r="I469" s="224" t="inlineStr">
        <is>
          <t>TDD</t>
        </is>
      </c>
      <c r="J469" s="260" t="inlineStr">
        <is>
          <t>TDD</t>
        </is>
      </c>
      <c r="K469" s="260" t="inlineStr">
        <is>
          <t>DevOps &amp; QE</t>
        </is>
      </c>
      <c r="L469" s="260" t="n"/>
      <c r="M469" s="261" t="n"/>
      <c r="N469" t="inlineStr">
        <is>
          <t>TDD Group Functions</t>
        </is>
      </c>
      <c r="O469" t="inlineStr">
        <is>
          <t>TDD Group Functions</t>
        </is>
      </c>
      <c r="P469" t="inlineStr">
        <is>
          <t>DevOps &amp; Engineering</t>
        </is>
      </c>
      <c r="Q469" t="inlineStr">
        <is>
          <t>Squad</t>
        </is>
      </c>
      <c r="R469" t="inlineStr">
        <is>
          <t>Vacant</t>
        </is>
      </c>
      <c r="BV469" s="266" t="n"/>
      <c r="BW469" s="267" t="n"/>
      <c r="BX469" s="268" t="n"/>
    </row>
    <row r="470" ht="18" customHeight="1" s="506">
      <c r="A470" s="259" t="n"/>
      <c r="B470" s="282" t="inlineStr">
        <is>
          <t>Vacant</t>
        </is>
      </c>
      <c r="C470" s="269" t="inlineStr">
        <is>
          <t>Senior Engineer (Automation Test)</t>
        </is>
      </c>
      <c r="D470" s="282" t="inlineStr">
        <is>
          <t>Vacant</t>
        </is>
      </c>
      <c r="E470" s="269" t="inlineStr">
        <is>
          <t>Lead Engineer (Automation Test)</t>
        </is>
      </c>
      <c r="F470" s="260" t="inlineStr">
        <is>
          <t>TDD Group Functions</t>
        </is>
      </c>
      <c r="G470" s="260" t="inlineStr">
        <is>
          <t>TDD &amp; Engineering</t>
        </is>
      </c>
      <c r="H470" s="260" t="inlineStr">
        <is>
          <t>DevOps &amp; QE</t>
        </is>
      </c>
      <c r="I470" s="224" t="inlineStr">
        <is>
          <t>TDD</t>
        </is>
      </c>
      <c r="J470" s="260" t="inlineStr">
        <is>
          <t>TDD</t>
        </is>
      </c>
      <c r="K470" s="260" t="inlineStr">
        <is>
          <t>DevOps &amp; QE</t>
        </is>
      </c>
      <c r="L470" s="260" t="n"/>
      <c r="M470" s="261" t="n"/>
      <c r="N470" t="inlineStr">
        <is>
          <t>TDD Group Functions</t>
        </is>
      </c>
      <c r="O470" t="inlineStr">
        <is>
          <t>TDD Group Functions</t>
        </is>
      </c>
      <c r="P470" t="inlineStr">
        <is>
          <t>DevOps &amp; Engineering</t>
        </is>
      </c>
      <c r="Q470" t="inlineStr">
        <is>
          <t>Squad</t>
        </is>
      </c>
      <c r="R470" t="inlineStr">
        <is>
          <t>Vacant</t>
        </is>
      </c>
      <c r="BV470" s="266" t="n"/>
      <c r="BW470" s="267" t="n"/>
      <c r="BX470" s="268" t="n"/>
    </row>
    <row r="471" ht="18" customHeight="1" s="506">
      <c r="A471" s="259" t="n"/>
      <c r="B471" s="282" t="inlineStr">
        <is>
          <t>Vacant</t>
        </is>
      </c>
      <c r="C471" s="269" t="inlineStr">
        <is>
          <t>Lead Engineer (Automation Test)</t>
        </is>
      </c>
      <c r="D471" s="282" t="inlineStr">
        <is>
          <t>Vacant</t>
        </is>
      </c>
      <c r="E471" s="269" t="inlineStr">
        <is>
          <t>Technology Manager – DevOps and Quality Engineering</t>
        </is>
      </c>
      <c r="F471" s="260" t="inlineStr">
        <is>
          <t>TDD Group Functions</t>
        </is>
      </c>
      <c r="G471" s="260" t="inlineStr">
        <is>
          <t>TDD &amp; Engineering</t>
        </is>
      </c>
      <c r="H471" s="260" t="inlineStr">
        <is>
          <t>Technology, CF Engineering</t>
        </is>
      </c>
      <c r="I471" s="224" t="inlineStr">
        <is>
          <t>TDD</t>
        </is>
      </c>
      <c r="J471" s="260" t="inlineStr">
        <is>
          <t>TDD</t>
        </is>
      </c>
      <c r="K471" s="260" t="inlineStr">
        <is>
          <t>DevOps &amp; QE</t>
        </is>
      </c>
      <c r="L471" s="260" t="n"/>
      <c r="M471" s="261" t="n"/>
      <c r="N471" t="inlineStr">
        <is>
          <t>TDD Group Functions</t>
        </is>
      </c>
      <c r="O471" t="inlineStr">
        <is>
          <t>TDD Group Functions</t>
        </is>
      </c>
      <c r="P471" t="inlineStr">
        <is>
          <t>DevOps &amp; Engineering</t>
        </is>
      </c>
      <c r="Q471" t="inlineStr">
        <is>
          <t>Squad</t>
        </is>
      </c>
      <c r="R471" t="inlineStr">
        <is>
          <t>Vacant</t>
        </is>
      </c>
      <c r="BV471" s="266" t="n"/>
      <c r="BW471" s="267" t="n"/>
      <c r="BX471" s="268" t="n"/>
    </row>
    <row r="472" ht="18" customHeight="1" s="506">
      <c r="A472" s="259" t="n">
        <v>99999101441</v>
      </c>
      <c r="B472" s="224" t="inlineStr">
        <is>
          <t>Luke Hamer</t>
        </is>
      </c>
      <c r="C472" s="224" t="inlineStr">
        <is>
          <t>Lead Engineer - Devops</t>
        </is>
      </c>
      <c r="D472" s="282" t="inlineStr">
        <is>
          <t>Vacant</t>
        </is>
      </c>
      <c r="E472" s="269" t="inlineStr">
        <is>
          <t>Technology Manager – DevOps and Quality Engineering</t>
        </is>
      </c>
      <c r="F472" s="260" t="inlineStr">
        <is>
          <t>TDD Group Functions</t>
        </is>
      </c>
      <c r="G472" s="260" t="inlineStr">
        <is>
          <t>TDD &amp; Engineering</t>
        </is>
      </c>
      <c r="H472" s="260" t="inlineStr">
        <is>
          <t>Technology, CF Engineering</t>
        </is>
      </c>
      <c r="I472" s="224" t="inlineStr">
        <is>
          <t>TDD</t>
        </is>
      </c>
      <c r="J472" s="260" t="inlineStr">
        <is>
          <t>TDD</t>
        </is>
      </c>
      <c r="K472" s="260" t="inlineStr">
        <is>
          <t>DevOps &amp; QE</t>
        </is>
      </c>
      <c r="L472" s="260" t="n"/>
      <c r="M472" s="261" t="inlineStr">
        <is>
          <t>NZ</t>
        </is>
      </c>
      <c r="N472" t="inlineStr">
        <is>
          <t>TDD Group Functions</t>
        </is>
      </c>
      <c r="O472" t="inlineStr">
        <is>
          <t>TDD Group Functions</t>
        </is>
      </c>
      <c r="P472" t="inlineStr">
        <is>
          <t>DevOps &amp; Engineering</t>
        </is>
      </c>
      <c r="Q472" t="inlineStr">
        <is>
          <t>Squad</t>
        </is>
      </c>
      <c r="R472" t="inlineStr">
        <is>
          <t>Filled</t>
        </is>
      </c>
      <c r="BV472" s="266" t="n"/>
      <c r="BW472" s="267" t="n"/>
      <c r="BX472" s="268" t="n"/>
    </row>
    <row r="473" ht="18" customHeight="1" s="506">
      <c r="A473" s="259" t="n">
        <v>116057</v>
      </c>
      <c r="B473" s="269" t="inlineStr">
        <is>
          <t>Lucas Wang</t>
        </is>
      </c>
      <c r="C473" s="269" t="inlineStr">
        <is>
          <t>Senior Engineer (Automation Test)</t>
        </is>
      </c>
      <c r="D473" s="282" t="inlineStr">
        <is>
          <t>Vacant</t>
        </is>
      </c>
      <c r="E473" s="269" t="inlineStr">
        <is>
          <t>Lead Engineer (Automation Test)</t>
        </is>
      </c>
      <c r="F473" s="260" t="inlineStr">
        <is>
          <t>TDD Group Functions</t>
        </is>
      </c>
      <c r="G473" s="260" t="inlineStr">
        <is>
          <t>TDD &amp; Engineering</t>
        </is>
      </c>
      <c r="H473" s="260" t="inlineStr">
        <is>
          <t>DevOps &amp; QE</t>
        </is>
      </c>
      <c r="I473" s="224" t="inlineStr">
        <is>
          <t>TDD</t>
        </is>
      </c>
      <c r="J473" s="260" t="inlineStr">
        <is>
          <t>TDD</t>
        </is>
      </c>
      <c r="K473" s="260" t="inlineStr">
        <is>
          <t>DevOps &amp; QE</t>
        </is>
      </c>
      <c r="L473" s="260" t="n"/>
      <c r="M473" s="261" t="inlineStr">
        <is>
          <t>Australia</t>
        </is>
      </c>
      <c r="N473" t="inlineStr">
        <is>
          <t>TDD Group Functions</t>
        </is>
      </c>
      <c r="O473" t="inlineStr">
        <is>
          <t>TDD Group Functions</t>
        </is>
      </c>
      <c r="P473" t="inlineStr">
        <is>
          <t>DevOps &amp; Engineering</t>
        </is>
      </c>
      <c r="Q473" t="inlineStr">
        <is>
          <t>Squad</t>
        </is>
      </c>
      <c r="R473" t="inlineStr">
        <is>
          <t>Filled</t>
        </is>
      </c>
      <c r="BV473" s="266" t="n"/>
      <c r="BW473" s="267" t="n"/>
      <c r="BX473" s="268" t="n"/>
    </row>
    <row r="474" ht="18" customHeight="1" s="506">
      <c r="A474" s="259" t="n"/>
      <c r="B474" s="282" t="inlineStr">
        <is>
          <t>vacant</t>
        </is>
      </c>
      <c r="C474" s="269" t="inlineStr">
        <is>
          <t>Environments and Test Data Manager</t>
        </is>
      </c>
      <c r="D474" s="282" t="inlineStr">
        <is>
          <t>Vacant</t>
        </is>
      </c>
      <c r="E474" s="269" t="inlineStr">
        <is>
          <t>Technology Manager – DevOps and Quality Engineering</t>
        </is>
      </c>
      <c r="F474" s="260" t="inlineStr">
        <is>
          <t>TDD Group Functions</t>
        </is>
      </c>
      <c r="G474" s="260" t="inlineStr">
        <is>
          <t>TDD &amp; Engineering</t>
        </is>
      </c>
      <c r="H474" s="260" t="inlineStr">
        <is>
          <t>DevOps &amp; QE</t>
        </is>
      </c>
      <c r="I474" s="224" t="inlineStr">
        <is>
          <t>TDD</t>
        </is>
      </c>
      <c r="J474" s="260" t="inlineStr">
        <is>
          <t>TDD</t>
        </is>
      </c>
      <c r="K474" s="260" t="inlineStr">
        <is>
          <t>DevOps &amp; QE</t>
        </is>
      </c>
      <c r="L474" s="260" t="n"/>
      <c r="M474" s="261" t="n"/>
      <c r="N474" t="inlineStr">
        <is>
          <t>TDD Group Functions</t>
        </is>
      </c>
      <c r="O474" t="inlineStr">
        <is>
          <t>TDD Group Functions</t>
        </is>
      </c>
      <c r="P474" t="inlineStr">
        <is>
          <t>DevOps &amp; Engineering</t>
        </is>
      </c>
      <c r="Q474" t="inlineStr">
        <is>
          <t>Squad</t>
        </is>
      </c>
      <c r="R474" t="inlineStr">
        <is>
          <t>Vacant</t>
        </is>
      </c>
      <c r="BV474" s="266" t="n"/>
      <c r="BW474" s="267" t="n"/>
      <c r="BX474" s="268" t="n"/>
    </row>
    <row r="475" ht="18" customHeight="1" s="506">
      <c r="A475" s="259" t="n">
        <v>99999101958</v>
      </c>
      <c r="B475" s="224" t="inlineStr">
        <is>
          <t>Mike Lealamanu</t>
        </is>
      </c>
      <c r="C475" s="224" t="inlineStr">
        <is>
          <t>Quality Assurance</t>
        </is>
      </c>
      <c r="D475" s="282" t="inlineStr">
        <is>
          <t>Vacant</t>
        </is>
      </c>
      <c r="E475" s="269" t="inlineStr">
        <is>
          <t>Technology Manager – DevOps and Quality Engineering</t>
        </is>
      </c>
      <c r="F475" s="260" t="inlineStr">
        <is>
          <t>TDD Group Functions</t>
        </is>
      </c>
      <c r="G475" s="260" t="inlineStr">
        <is>
          <t>TDD &amp; Engineering</t>
        </is>
      </c>
      <c r="H475" s="260" t="inlineStr">
        <is>
          <t>DevOps &amp; QE</t>
        </is>
      </c>
      <c r="I475" s="224" t="inlineStr">
        <is>
          <t>TDD</t>
        </is>
      </c>
      <c r="J475" s="260" t="inlineStr">
        <is>
          <t>TDD</t>
        </is>
      </c>
      <c r="K475" s="260" t="inlineStr">
        <is>
          <t>DevOps &amp; QE</t>
        </is>
      </c>
      <c r="L475" s="260" t="n"/>
      <c r="M475" s="261" t="inlineStr">
        <is>
          <t>NZ</t>
        </is>
      </c>
      <c r="N475" t="inlineStr">
        <is>
          <t>TDD Group Functions</t>
        </is>
      </c>
      <c r="O475" t="inlineStr">
        <is>
          <t>TDD Group Functions</t>
        </is>
      </c>
      <c r="P475" t="inlineStr">
        <is>
          <t>DevOps &amp; Engineering</t>
        </is>
      </c>
      <c r="Q475" t="inlineStr">
        <is>
          <t>Squad</t>
        </is>
      </c>
      <c r="R475" t="inlineStr">
        <is>
          <t>Filled</t>
        </is>
      </c>
      <c r="BV475" s="271" t="n"/>
      <c r="BW475" s="272" t="n"/>
      <c r="BX475" s="273" t="n"/>
    </row>
    <row r="476" ht="18" customHeight="1" s="506">
      <c r="A476" s="259" t="n">
        <v>99999102120</v>
      </c>
      <c r="B476" s="224" t="inlineStr">
        <is>
          <t>Sunny Arya</t>
        </is>
      </c>
      <c r="C476" s="224" t="inlineStr">
        <is>
          <t>Lead Engineer, Devops</t>
        </is>
      </c>
      <c r="D476" s="282" t="inlineStr">
        <is>
          <t>Vacant</t>
        </is>
      </c>
      <c r="E476" s="269" t="inlineStr">
        <is>
          <t>Technology Manager – DevOps and Quality Engineering</t>
        </is>
      </c>
      <c r="F476" s="260" t="inlineStr">
        <is>
          <t>TDD Group Functions</t>
        </is>
      </c>
      <c r="G476" s="260" t="inlineStr">
        <is>
          <t>TDD &amp; Engineering</t>
        </is>
      </c>
      <c r="H476" s="260" t="inlineStr">
        <is>
          <t>DevOps &amp; QE</t>
        </is>
      </c>
      <c r="I476" s="224" t="inlineStr">
        <is>
          <t>TDD</t>
        </is>
      </c>
      <c r="J476" s="260" t="inlineStr">
        <is>
          <t>TDD</t>
        </is>
      </c>
      <c r="K476" s="260" t="inlineStr">
        <is>
          <t>DevOps &amp; QE</t>
        </is>
      </c>
      <c r="L476" s="260" t="n"/>
      <c r="M476" s="261" t="inlineStr">
        <is>
          <t>NZ</t>
        </is>
      </c>
      <c r="N476" t="inlineStr">
        <is>
          <t>TDD Group Functions</t>
        </is>
      </c>
      <c r="O476" t="inlineStr">
        <is>
          <t>TDD Group Functions</t>
        </is>
      </c>
      <c r="P476" t="inlineStr">
        <is>
          <t>DevOps &amp; Engineering</t>
        </is>
      </c>
      <c r="Q476" t="inlineStr">
        <is>
          <t>Squad</t>
        </is>
      </c>
      <c r="R476" t="inlineStr">
        <is>
          <t>Filled</t>
        </is>
      </c>
    </row>
    <row r="477" ht="18" customHeight="1" s="506">
      <c r="A477" s="259" t="n">
        <v>14148</v>
      </c>
      <c r="B477" s="269" t="inlineStr">
        <is>
          <t>Ee Lynn Yap</t>
        </is>
      </c>
      <c r="C477" s="269" t="inlineStr">
        <is>
          <t>SAP ERP Application Lead</t>
        </is>
      </c>
      <c r="D477" s="260" t="inlineStr">
        <is>
          <t>Shane Ker</t>
        </is>
      </c>
      <c r="E477" s="269" t="inlineStr">
        <is>
          <t>Technology Manager Finance Platforms</t>
        </is>
      </c>
      <c r="F477" s="224" t="inlineStr">
        <is>
          <t>TDD Group Functions</t>
        </is>
      </c>
      <c r="G477" s="269" t="inlineStr">
        <is>
          <t>P&amp;C, Finance &amp; Legal</t>
        </is>
      </c>
      <c r="H477" s="260" t="inlineStr">
        <is>
          <t>Tech, Finance Platforms</t>
        </is>
      </c>
      <c r="I477" s="260" t="inlineStr">
        <is>
          <t>EGI</t>
        </is>
      </c>
      <c r="J477" s="260" t="inlineStr">
        <is>
          <t>EGI</t>
        </is>
      </c>
      <c r="K477" s="260" t="inlineStr">
        <is>
          <t>EGI Finance</t>
        </is>
      </c>
      <c r="L477" s="260" t="n"/>
      <c r="M477" s="261" t="inlineStr">
        <is>
          <t>Australia</t>
        </is>
      </c>
      <c r="N477" t="inlineStr">
        <is>
          <t>Finance</t>
        </is>
      </c>
      <c r="O477" t="inlineStr">
        <is>
          <t>EGI Finance</t>
        </is>
      </c>
      <c r="P477" t="inlineStr">
        <is>
          <t>EGI Finance</t>
        </is>
      </c>
      <c r="Q477" t="inlineStr">
        <is>
          <t>Strategic Program</t>
        </is>
      </c>
      <c r="R477" t="inlineStr">
        <is>
          <t>Filled</t>
        </is>
      </c>
    </row>
    <row r="478" ht="18" customHeight="1" s="506">
      <c r="A478" s="259" t="n">
        <v>113067</v>
      </c>
      <c r="B478" s="301" t="inlineStr">
        <is>
          <t>Vikram Chhahira</t>
        </is>
      </c>
      <c r="C478" s="269" t="inlineStr">
        <is>
          <t>Delivery Lead, EGI</t>
        </is>
      </c>
      <c r="D478" s="260" t="inlineStr">
        <is>
          <t>Vacant</t>
        </is>
      </c>
      <c r="E478" s="269" t="inlineStr">
        <is>
          <t>Delivery Manager, P&amp;C, Finance &amp; Legal</t>
        </is>
      </c>
      <c r="F478" s="224" t="inlineStr">
        <is>
          <t>TDD Group Functions</t>
        </is>
      </c>
      <c r="G478" s="260" t="inlineStr">
        <is>
          <t>EGI</t>
        </is>
      </c>
      <c r="H478" s="260" t="n"/>
      <c r="I478" s="260" t="inlineStr">
        <is>
          <t>EGI</t>
        </is>
      </c>
      <c r="J478" s="260" t="inlineStr">
        <is>
          <t>EGI</t>
        </is>
      </c>
      <c r="K478" s="260" t="inlineStr">
        <is>
          <t>EGI P&amp;C</t>
        </is>
      </c>
      <c r="L478" s="260" t="n"/>
      <c r="M478" s="261" t="inlineStr">
        <is>
          <t>Australia</t>
        </is>
      </c>
      <c r="N478" t="inlineStr">
        <is>
          <t>P&amp;C</t>
        </is>
      </c>
      <c r="O478" t="inlineStr">
        <is>
          <t>EGI P&amp;C</t>
        </is>
      </c>
      <c r="P478" t="inlineStr">
        <is>
          <t>EGI P&amp;C</t>
        </is>
      </c>
      <c r="Q478" t="inlineStr">
        <is>
          <t>Strategic Program</t>
        </is>
      </c>
      <c r="R478" t="inlineStr">
        <is>
          <t>Filled</t>
        </is>
      </c>
    </row>
    <row r="479" ht="18" customHeight="1" s="506">
      <c r="A479" s="259" t="n">
        <v>0</v>
      </c>
      <c r="B479" s="282" t="inlineStr">
        <is>
          <t>Arun Tahlan</t>
        </is>
      </c>
      <c r="C479" s="269" t="inlineStr">
        <is>
          <t>Integration Architect (C) - Boomi</t>
        </is>
      </c>
      <c r="D479" s="224" t="inlineStr">
        <is>
          <t>Mike Seales</t>
        </is>
      </c>
      <c r="E479" s="224" t="inlineStr">
        <is>
          <t>Technology Manager Integration &amp; Process Managemetn</t>
        </is>
      </c>
      <c r="F479" s="224" t="inlineStr">
        <is>
          <t>TDD Group Functions</t>
        </is>
      </c>
      <c r="G479" s="260" t="inlineStr">
        <is>
          <t xml:space="preserve">TDD &amp; Engineering </t>
        </is>
      </c>
      <c r="H479" s="224" t="inlineStr">
        <is>
          <t>Technology, Trading &amp; Shipping</t>
        </is>
      </c>
      <c r="I479" s="224" t="inlineStr">
        <is>
          <t>EGI</t>
        </is>
      </c>
      <c r="J479" s="260" t="inlineStr">
        <is>
          <t>EGI</t>
        </is>
      </c>
      <c r="K479" s="260" t="inlineStr">
        <is>
          <t>EGI TDD</t>
        </is>
      </c>
      <c r="L479" s="260" t="n"/>
      <c r="M479" s="261" t="n">
        <v>0</v>
      </c>
      <c r="N479" t="inlineStr">
        <is>
          <t>TDD Group Functions</t>
        </is>
      </c>
      <c r="O479" t="inlineStr">
        <is>
          <t>EGI TDD</t>
        </is>
      </c>
      <c r="P479" t="inlineStr">
        <is>
          <t>EGI TDD</t>
        </is>
      </c>
      <c r="Q479" t="inlineStr">
        <is>
          <t>Strategic Program</t>
        </is>
      </c>
      <c r="R479" t="inlineStr">
        <is>
          <t>Filled</t>
        </is>
      </c>
    </row>
    <row r="480" ht="18" customHeight="1" s="506">
      <c r="A480" s="259" t="n">
        <v>99999102153</v>
      </c>
      <c r="B480" s="282" t="inlineStr">
        <is>
          <t>Kris Thornley</t>
        </is>
      </c>
      <c r="C480" s="269" t="inlineStr">
        <is>
          <t>Integration Architect (C)</t>
        </is>
      </c>
      <c r="D480" s="224" t="inlineStr">
        <is>
          <t>Mike Seales</t>
        </is>
      </c>
      <c r="E480" s="224" t="inlineStr">
        <is>
          <t>Technology Manager Integration &amp; Process Managemetn</t>
        </is>
      </c>
      <c r="F480" s="224" t="inlineStr">
        <is>
          <t>TDD Group Functions</t>
        </is>
      </c>
      <c r="G480" s="260" t="inlineStr">
        <is>
          <t xml:space="preserve">TDD &amp; Engineering </t>
        </is>
      </c>
      <c r="H480" s="224" t="inlineStr">
        <is>
          <t>Integration &amp; Process Management</t>
        </is>
      </c>
      <c r="I480" s="224" t="inlineStr">
        <is>
          <t>EGI</t>
        </is>
      </c>
      <c r="J480" s="260" t="inlineStr">
        <is>
          <t xml:space="preserve">EGI </t>
        </is>
      </c>
      <c r="K480" s="260" t="inlineStr">
        <is>
          <t>EGI TDD</t>
        </is>
      </c>
      <c r="L480" s="260" t="n"/>
      <c r="M480" s="261" t="inlineStr">
        <is>
          <t>NZ</t>
        </is>
      </c>
      <c r="N480" t="inlineStr">
        <is>
          <t>TDD Group Functions</t>
        </is>
      </c>
      <c r="O480" t="inlineStr">
        <is>
          <t>EGI TDD</t>
        </is>
      </c>
      <c r="P480" t="inlineStr">
        <is>
          <t>EGI TDD</t>
        </is>
      </c>
      <c r="Q480" t="inlineStr">
        <is>
          <t>Strategic Program</t>
        </is>
      </c>
      <c r="R480" t="inlineStr">
        <is>
          <t>Filled</t>
        </is>
      </c>
    </row>
    <row r="481" ht="18" customHeight="1" s="506">
      <c r="A481" s="259" t="n">
        <v>99999101466</v>
      </c>
      <c r="B481" s="224" t="inlineStr">
        <is>
          <t>Shobhit Mittal</t>
        </is>
      </c>
      <c r="C481" s="224" t="inlineStr">
        <is>
          <t>Lead Engineer - Automation Test</t>
        </is>
      </c>
      <c r="D481" s="282" t="inlineStr">
        <is>
          <t>Vacant</t>
        </is>
      </c>
      <c r="E481" s="269" t="inlineStr">
        <is>
          <t>Technology Manager – DevOps and Quality Engineering</t>
        </is>
      </c>
      <c r="F481" s="260" t="inlineStr">
        <is>
          <t>TDD Group Functions</t>
        </is>
      </c>
      <c r="G481" s="260" t="inlineStr">
        <is>
          <t>Loyalty &amp; Martech</t>
        </is>
      </c>
      <c r="H481" s="260" t="inlineStr">
        <is>
          <t>Dev Ops  &amp; QE</t>
        </is>
      </c>
      <c r="I481" s="260" t="inlineStr">
        <is>
          <t>EGI</t>
        </is>
      </c>
      <c r="J481" s="260" t="inlineStr">
        <is>
          <t>EGI</t>
        </is>
      </c>
      <c r="K481" s="260" t="inlineStr">
        <is>
          <t>EGI TDD</t>
        </is>
      </c>
      <c r="L481" s="260" t="n"/>
      <c r="M481" s="261" t="inlineStr">
        <is>
          <t>NZ</t>
        </is>
      </c>
      <c r="N481" t="inlineStr">
        <is>
          <t>TDD Group Functions</t>
        </is>
      </c>
      <c r="O481" t="inlineStr">
        <is>
          <t>EGI TDD</t>
        </is>
      </c>
      <c r="P481" t="inlineStr">
        <is>
          <t>EGI TDD</t>
        </is>
      </c>
      <c r="Q481" t="inlineStr">
        <is>
          <t>Strategic Program</t>
        </is>
      </c>
      <c r="R481" t="inlineStr">
        <is>
          <t>Filled</t>
        </is>
      </c>
    </row>
    <row r="482" ht="18" customHeight="1" s="506">
      <c r="A482" s="259" t="n">
        <v>109092</v>
      </c>
      <c r="B482" s="224" t="inlineStr">
        <is>
          <t>Anjali Patra</t>
        </is>
      </c>
      <c r="C482" s="224" t="inlineStr">
        <is>
          <t>Delivery Lead - EGI</t>
        </is>
      </c>
      <c r="D482" s="260" t="inlineStr">
        <is>
          <t>vacant</t>
        </is>
      </c>
      <c r="E482" s="269" t="inlineStr">
        <is>
          <t xml:space="preserve">Delivery Manager </t>
        </is>
      </c>
      <c r="F482" s="224" t="inlineStr">
        <is>
          <t>TDD Group Functions</t>
        </is>
      </c>
      <c r="G482" s="260" t="inlineStr">
        <is>
          <t>TDD &amp; Engineering</t>
        </is>
      </c>
      <c r="H482" s="224" t="inlineStr">
        <is>
          <t>Delivery, TDD &amp; Engineering</t>
        </is>
      </c>
      <c r="I482" s="224" t="inlineStr">
        <is>
          <t>EGI</t>
        </is>
      </c>
      <c r="J482" s="260" t="inlineStr">
        <is>
          <t>EGI</t>
        </is>
      </c>
      <c r="K482" s="260" t="inlineStr">
        <is>
          <t>EGI TDD</t>
        </is>
      </c>
      <c r="L482" s="260" t="n"/>
      <c r="M482" s="261" t="inlineStr">
        <is>
          <t>Australia</t>
        </is>
      </c>
      <c r="N482" t="inlineStr">
        <is>
          <t>TDD Group Functions</t>
        </is>
      </c>
      <c r="O482" t="inlineStr">
        <is>
          <t>EGI TDD</t>
        </is>
      </c>
      <c r="P482" t="inlineStr">
        <is>
          <t>EGI TDD</t>
        </is>
      </c>
      <c r="Q482" t="inlineStr">
        <is>
          <t>Strategic Program</t>
        </is>
      </c>
      <c r="R482" t="inlineStr">
        <is>
          <t>Filled</t>
        </is>
      </c>
    </row>
    <row r="483" ht="18" customHeight="1" s="506">
      <c r="A483" s="259" t="n">
        <v>110830</v>
      </c>
      <c r="B483" s="224" t="inlineStr">
        <is>
          <t>Jason Satoso</t>
        </is>
      </c>
      <c r="C483" s="224" t="inlineStr">
        <is>
          <t>Cloud Operations Engineer</t>
        </is>
      </c>
      <c r="D483" s="260" t="inlineStr">
        <is>
          <t>Vacant</t>
        </is>
      </c>
      <c r="E483" s="269" t="inlineStr">
        <is>
          <t>Manager - Infrastructure Operations</t>
        </is>
      </c>
      <c r="F483" s="224" t="inlineStr">
        <is>
          <t>TDD Group Functions</t>
        </is>
      </c>
      <c r="G483" s="260" t="inlineStr">
        <is>
          <t>TDD &amp; Engineering</t>
        </is>
      </c>
      <c r="H483" s="260" t="inlineStr">
        <is>
          <t>Cloud, Network &amp; Infra</t>
        </is>
      </c>
      <c r="I483" s="224" t="inlineStr">
        <is>
          <t>TDD</t>
        </is>
      </c>
      <c r="J483" s="260" t="inlineStr">
        <is>
          <t>Energy Solutions</t>
        </is>
      </c>
      <c r="K483" s="260" t="inlineStr">
        <is>
          <t>Energy</t>
        </is>
      </c>
      <c r="L483" s="260" t="n"/>
      <c r="M483" s="261" t="inlineStr">
        <is>
          <t>Australia</t>
        </is>
      </c>
      <c r="N483" t="inlineStr">
        <is>
          <t>Energy Solutions &amp; B2B</t>
        </is>
      </c>
      <c r="O483" t="inlineStr">
        <is>
          <t>Energy Solutions</t>
        </is>
      </c>
      <c r="P483" t="inlineStr">
        <is>
          <t>Energy</t>
        </is>
      </c>
      <c r="Q483" t="inlineStr">
        <is>
          <t>Squad</t>
        </is>
      </c>
      <c r="R483" t="inlineStr">
        <is>
          <t>Filled</t>
        </is>
      </c>
    </row>
    <row r="484" ht="18" customHeight="1" s="506">
      <c r="A484" s="259" t="n">
        <v>91635</v>
      </c>
      <c r="B484" s="224" t="inlineStr">
        <is>
          <t>Bala Thiruvadi</t>
        </is>
      </c>
      <c r="C484" s="224" t="inlineStr">
        <is>
          <t>Integration Architect - Boomi</t>
        </is>
      </c>
      <c r="D484" s="224" t="inlineStr">
        <is>
          <t>Mike Seales</t>
        </is>
      </c>
      <c r="E484" s="224" t="inlineStr">
        <is>
          <t>Technology Manager Integration &amp; Process Managemetn</t>
        </is>
      </c>
      <c r="F484" s="224" t="inlineStr">
        <is>
          <t>TDD Group Functions</t>
        </is>
      </c>
      <c r="G484" s="260" t="inlineStr">
        <is>
          <t xml:space="preserve">TDD &amp; Engineering </t>
        </is>
      </c>
      <c r="H484" s="224" t="inlineStr">
        <is>
          <t>Integration &amp; Process Management</t>
        </is>
      </c>
      <c r="I484" s="224" t="inlineStr">
        <is>
          <t>TDD</t>
        </is>
      </c>
      <c r="J484" s="260" t="inlineStr">
        <is>
          <t>TDD</t>
        </is>
      </c>
      <c r="K484" s="260" t="inlineStr">
        <is>
          <t>Integration &amp; Process automation</t>
        </is>
      </c>
      <c r="L484" s="260" t="n"/>
      <c r="M484" s="261" t="inlineStr">
        <is>
          <t>Australia</t>
        </is>
      </c>
      <c r="N484" t="inlineStr">
        <is>
          <t>TDD Group Functions</t>
        </is>
      </c>
      <c r="O484" t="inlineStr">
        <is>
          <t>TDD Group Functions</t>
        </is>
      </c>
      <c r="P484" t="inlineStr">
        <is>
          <t>Integration</t>
        </is>
      </c>
      <c r="Q484" t="inlineStr">
        <is>
          <t>Squad</t>
        </is>
      </c>
      <c r="R484" t="inlineStr">
        <is>
          <t>Filled</t>
        </is>
      </c>
    </row>
    <row r="485" ht="18" customHeight="1" s="506">
      <c r="A485" s="259" t="n"/>
      <c r="B485" s="282" t="inlineStr">
        <is>
          <t>Vacant</t>
        </is>
      </c>
      <c r="C485" s="269" t="inlineStr">
        <is>
          <t>RPA Lead</t>
        </is>
      </c>
      <c r="D485" s="224" t="inlineStr">
        <is>
          <t>Mike Seales</t>
        </is>
      </c>
      <c r="E485" s="224" t="inlineStr">
        <is>
          <t>Technology Manager Integration &amp; Process Managemetn</t>
        </is>
      </c>
      <c r="F485" s="224" t="inlineStr">
        <is>
          <t>TDD Group Functions</t>
        </is>
      </c>
      <c r="G485" s="260" t="inlineStr">
        <is>
          <t xml:space="preserve">TDD &amp; Engineering </t>
        </is>
      </c>
      <c r="H485" s="224" t="inlineStr">
        <is>
          <t>Integration &amp; Process Management</t>
        </is>
      </c>
      <c r="I485" s="224" t="inlineStr">
        <is>
          <t>TDD</t>
        </is>
      </c>
      <c r="J485" s="260" t="inlineStr">
        <is>
          <t>TDD</t>
        </is>
      </c>
      <c r="K485" s="260" t="inlineStr">
        <is>
          <t>Integration &amp; Process automation</t>
        </is>
      </c>
      <c r="L485" s="260" t="n"/>
      <c r="M485" s="261" t="n"/>
      <c r="N485" t="inlineStr">
        <is>
          <t>TDD Group Functions</t>
        </is>
      </c>
      <c r="O485" t="inlineStr">
        <is>
          <t>TDD Group Functions</t>
        </is>
      </c>
      <c r="P485" t="inlineStr">
        <is>
          <t>Integration</t>
        </is>
      </c>
      <c r="Q485" t="inlineStr">
        <is>
          <t>Squad</t>
        </is>
      </c>
      <c r="R485" t="inlineStr">
        <is>
          <t>Vacant</t>
        </is>
      </c>
    </row>
    <row r="486" ht="18" customHeight="1" s="506">
      <c r="A486" s="259" t="n">
        <v>99999101879</v>
      </c>
      <c r="B486" s="269" t="inlineStr">
        <is>
          <t>Lisa Rademakers</t>
        </is>
      </c>
      <c r="C486" s="269" t="inlineStr">
        <is>
          <t>Delivery Lead (Integrations)</t>
        </is>
      </c>
      <c r="D486" s="224" t="inlineStr">
        <is>
          <t>Vacant</t>
        </is>
      </c>
      <c r="E486" s="224" t="inlineStr">
        <is>
          <t>Delivery Manager</t>
        </is>
      </c>
      <c r="F486" s="224" t="inlineStr">
        <is>
          <t>TDD Group Functions</t>
        </is>
      </c>
      <c r="G486" s="260" t="inlineStr">
        <is>
          <t xml:space="preserve">TDD &amp; Engineering </t>
        </is>
      </c>
      <c r="H486" s="224" t="inlineStr">
        <is>
          <t>Delivery, TDD &amp; Engineering</t>
        </is>
      </c>
      <c r="I486" s="224" t="inlineStr">
        <is>
          <t>TDD</t>
        </is>
      </c>
      <c r="J486" s="260" t="inlineStr">
        <is>
          <t>TDD</t>
        </is>
      </c>
      <c r="K486" s="260" t="inlineStr">
        <is>
          <t>Integration &amp; Process Automation</t>
        </is>
      </c>
      <c r="L486" s="260" t="n"/>
      <c r="M486" s="261" t="inlineStr">
        <is>
          <t>NZ</t>
        </is>
      </c>
      <c r="N486" t="inlineStr">
        <is>
          <t>TDD Group Functions</t>
        </is>
      </c>
      <c r="O486" t="inlineStr">
        <is>
          <t>TDD Group Functions</t>
        </is>
      </c>
      <c r="P486" t="inlineStr">
        <is>
          <t>Integration</t>
        </is>
      </c>
      <c r="Q486" t="inlineStr">
        <is>
          <t>Squad</t>
        </is>
      </c>
      <c r="R486" t="inlineStr">
        <is>
          <t>Filled</t>
        </is>
      </c>
    </row>
    <row r="487" ht="18" customHeight="1" s="506">
      <c r="A487" s="259" t="n">
        <v>99999101273</v>
      </c>
      <c r="B487" s="224" t="inlineStr">
        <is>
          <t>Michael Weng</t>
        </is>
      </c>
      <c r="C487" s="224" t="inlineStr">
        <is>
          <t>Solution Architect</t>
        </is>
      </c>
      <c r="D487" s="224" t="inlineStr">
        <is>
          <t>Vacant</t>
        </is>
      </c>
      <c r="E487" s="224" t="inlineStr">
        <is>
          <t>Technology Manager Integration &amp; Process Managemetn</t>
        </is>
      </c>
      <c r="F487" s="224" t="inlineStr">
        <is>
          <t>TDD Group Functions</t>
        </is>
      </c>
      <c r="G487" s="260" t="inlineStr">
        <is>
          <t xml:space="preserve">TDD &amp; Engineering </t>
        </is>
      </c>
      <c r="H487" s="224" t="inlineStr">
        <is>
          <t>Integration &amp; Process Management</t>
        </is>
      </c>
      <c r="I487" s="224" t="inlineStr">
        <is>
          <t>TDD</t>
        </is>
      </c>
      <c r="J487" s="260" t="inlineStr">
        <is>
          <t>TDD</t>
        </is>
      </c>
      <c r="K487" s="260" t="inlineStr">
        <is>
          <t>Integration &amp; Process automation</t>
        </is>
      </c>
      <c r="L487" s="260" t="n"/>
      <c r="M487" s="261" t="inlineStr">
        <is>
          <t>NZ</t>
        </is>
      </c>
      <c r="N487" t="inlineStr">
        <is>
          <t>TDD Group Functions</t>
        </is>
      </c>
      <c r="O487" t="inlineStr">
        <is>
          <t>TDD Group Functions</t>
        </is>
      </c>
      <c r="P487" t="inlineStr">
        <is>
          <t>Integration</t>
        </is>
      </c>
      <c r="Q487" t="inlineStr">
        <is>
          <t>Squad</t>
        </is>
      </c>
      <c r="R487" t="inlineStr">
        <is>
          <t>Filled</t>
        </is>
      </c>
    </row>
    <row r="488" ht="18" customHeight="1" s="506">
      <c r="A488" s="259" t="n">
        <v>114367</v>
      </c>
      <c r="B488" s="269" t="inlineStr">
        <is>
          <t>Thandava Krishna Kakarala</t>
        </is>
      </c>
      <c r="C488" s="269" t="inlineStr">
        <is>
          <t>Snr Engineer - Boomi</t>
        </is>
      </c>
      <c r="D488" s="224" t="inlineStr">
        <is>
          <t>Vacant</t>
        </is>
      </c>
      <c r="E488" t="inlineStr">
        <is>
          <t>Technology Manager Integration &amp; Process Managemetn</t>
        </is>
      </c>
      <c r="F488" s="224" t="inlineStr">
        <is>
          <t>TDD Group Functions</t>
        </is>
      </c>
      <c r="G488" s="260" t="inlineStr">
        <is>
          <t xml:space="preserve">TDD &amp; Engineering </t>
        </is>
      </c>
      <c r="H488" s="224" t="inlineStr">
        <is>
          <t>Integration &amp; Process Management</t>
        </is>
      </c>
      <c r="I488" s="224" t="inlineStr">
        <is>
          <t>TDD</t>
        </is>
      </c>
      <c r="J488" s="260" t="inlineStr">
        <is>
          <t>TDD</t>
        </is>
      </c>
      <c r="K488" s="260" t="inlineStr">
        <is>
          <t>Integration &amp; Process automation</t>
        </is>
      </c>
      <c r="L488" s="260" t="n"/>
      <c r="M488" s="261" t="inlineStr">
        <is>
          <t>Australia</t>
        </is>
      </c>
      <c r="N488" t="inlineStr">
        <is>
          <t>TDD Group Functions</t>
        </is>
      </c>
      <c r="O488" t="inlineStr">
        <is>
          <t>TDD Group Functions</t>
        </is>
      </c>
      <c r="P488" t="inlineStr">
        <is>
          <t>Integration</t>
        </is>
      </c>
      <c r="Q488" t="inlineStr">
        <is>
          <t>Squad</t>
        </is>
      </c>
      <c r="R488" t="inlineStr">
        <is>
          <t>Filled</t>
        </is>
      </c>
    </row>
    <row r="489" ht="18" customHeight="1" s="506">
      <c r="A489" s="259" t="n"/>
      <c r="B489" s="282" t="inlineStr">
        <is>
          <t>Vacant</t>
        </is>
      </c>
      <c r="C489" s="269" t="inlineStr">
        <is>
          <t>Business Analyst (Integrations)</t>
        </is>
      </c>
      <c r="D489" s="224" t="inlineStr">
        <is>
          <t>Vacant</t>
        </is>
      </c>
      <c r="E489" s="224" t="inlineStr">
        <is>
          <t>Delivery Manager</t>
        </is>
      </c>
      <c r="F489" s="224" t="inlineStr">
        <is>
          <t>TDD Group Functions</t>
        </is>
      </c>
      <c r="G489" s="260" t="inlineStr">
        <is>
          <t xml:space="preserve">TDD &amp; Engineering </t>
        </is>
      </c>
      <c r="H489" s="224" t="inlineStr">
        <is>
          <t>Delivery, TDD &amp; Engineering</t>
        </is>
      </c>
      <c r="I489" s="224" t="inlineStr">
        <is>
          <t>TDD</t>
        </is>
      </c>
      <c r="J489" s="260" t="inlineStr">
        <is>
          <t>TDD</t>
        </is>
      </c>
      <c r="K489" s="260" t="inlineStr">
        <is>
          <t>Integration &amp; Process Automation</t>
        </is>
      </c>
      <c r="L489" s="260" t="n"/>
      <c r="M489" s="261" t="n"/>
      <c r="N489" t="inlineStr">
        <is>
          <t>TDD Group Functions</t>
        </is>
      </c>
      <c r="O489" t="inlineStr">
        <is>
          <t>TDD Group Functions</t>
        </is>
      </c>
      <c r="P489" t="inlineStr">
        <is>
          <t>Integration</t>
        </is>
      </c>
      <c r="Q489" t="inlineStr">
        <is>
          <t>Squad</t>
        </is>
      </c>
      <c r="R489" t="inlineStr">
        <is>
          <t>Vacant</t>
        </is>
      </c>
    </row>
    <row r="490" ht="18" customHeight="1" s="506">
      <c r="A490" s="259" t="n">
        <v>99999101058</v>
      </c>
      <c r="B490" s="224" t="inlineStr">
        <is>
          <t>Mike Seales</t>
        </is>
      </c>
      <c r="C490" s="224" t="inlineStr">
        <is>
          <t>Technology Manager, Integration &amp; Process Automation</t>
        </is>
      </c>
      <c r="D490" s="260" t="inlineStr">
        <is>
          <t>Vacant</t>
        </is>
      </c>
      <c r="E490" s="224" t="inlineStr">
        <is>
          <t>Head of Technology - TDD &amp; Engineering Capability Lead</t>
        </is>
      </c>
      <c r="F490" s="224" t="inlineStr">
        <is>
          <t>TDD Group Functions</t>
        </is>
      </c>
      <c r="G490" s="260" t="inlineStr">
        <is>
          <t xml:space="preserve">TDD &amp; Engineering </t>
        </is>
      </c>
      <c r="H490" s="224" t="inlineStr">
        <is>
          <t>Integration &amp; Process Management</t>
        </is>
      </c>
      <c r="I490" s="224" t="inlineStr">
        <is>
          <t>TDD</t>
        </is>
      </c>
      <c r="J490" s="260" t="inlineStr">
        <is>
          <t>TDD</t>
        </is>
      </c>
      <c r="K490" s="260" t="inlineStr">
        <is>
          <t>Integration &amp; Process automation</t>
        </is>
      </c>
      <c r="L490" s="260" t="n"/>
      <c r="M490" s="261" t="inlineStr">
        <is>
          <t>NZ</t>
        </is>
      </c>
      <c r="N490" t="inlineStr">
        <is>
          <t>TDD Group Functions</t>
        </is>
      </c>
      <c r="O490" t="inlineStr">
        <is>
          <t>TDD Group Functions</t>
        </is>
      </c>
      <c r="P490" t="inlineStr">
        <is>
          <t>Integration</t>
        </is>
      </c>
      <c r="Q490" t="inlineStr">
        <is>
          <t>Squad</t>
        </is>
      </c>
      <c r="R490" t="inlineStr">
        <is>
          <t>Filled</t>
        </is>
      </c>
    </row>
    <row r="491" ht="18" customHeight="1" s="506">
      <c r="A491" s="259" t="n">
        <v>99999101879</v>
      </c>
      <c r="B491" s="224" t="inlineStr">
        <is>
          <t>Lisa Rademakers</t>
        </is>
      </c>
      <c r="C491" s="224" t="inlineStr">
        <is>
          <t>Delivery Lead- Integrations</t>
        </is>
      </c>
      <c r="D491" s="260" t="n"/>
      <c r="E491" t="inlineStr">
        <is>
          <t>Delivery Manager</t>
        </is>
      </c>
      <c r="F491" s="224" t="inlineStr">
        <is>
          <t>TDD Group Functions</t>
        </is>
      </c>
      <c r="G491" s="269" t="inlineStr">
        <is>
          <t>TDD &amp; Engineering</t>
        </is>
      </c>
      <c r="H491" s="224" t="inlineStr">
        <is>
          <t>Delivery, TDD &amp; Engineering</t>
        </is>
      </c>
      <c r="I491" s="224" t="inlineStr">
        <is>
          <t>TDD</t>
        </is>
      </c>
      <c r="J491" s="260" t="inlineStr">
        <is>
          <t>TDD</t>
        </is>
      </c>
      <c r="K491" s="260" t="inlineStr">
        <is>
          <t>Integration &amp; Process automation</t>
        </is>
      </c>
      <c r="L491" s="260" t="n"/>
      <c r="M491" s="261" t="inlineStr">
        <is>
          <t>NZ</t>
        </is>
      </c>
      <c r="N491" t="inlineStr">
        <is>
          <t>TDD Group Functions</t>
        </is>
      </c>
      <c r="O491" t="inlineStr">
        <is>
          <t>TDD Group Functions</t>
        </is>
      </c>
      <c r="P491" t="inlineStr">
        <is>
          <t>Integration</t>
        </is>
      </c>
      <c r="Q491" t="inlineStr">
        <is>
          <t>Squad</t>
        </is>
      </c>
      <c r="R491" t="inlineStr">
        <is>
          <t>Filled</t>
        </is>
      </c>
    </row>
    <row r="492" ht="18" customHeight="1" s="506">
      <c r="A492" s="259" t="n">
        <v>99999101069</v>
      </c>
      <c r="B492" s="269" t="inlineStr">
        <is>
          <t>Vacant</t>
        </is>
      </c>
      <c r="C492" s="269" t="inlineStr">
        <is>
          <t>Snr Engineer</t>
        </is>
      </c>
      <c r="D492" s="260" t="inlineStr">
        <is>
          <t>vacant</t>
        </is>
      </c>
      <c r="E492" s="269" t="inlineStr">
        <is>
          <t>RPA Lead</t>
        </is>
      </c>
      <c r="F492" s="224" t="inlineStr">
        <is>
          <t>TDD Group Functions</t>
        </is>
      </c>
      <c r="G492" s="260" t="inlineStr">
        <is>
          <t xml:space="preserve">TDD &amp; Engineering </t>
        </is>
      </c>
      <c r="H492" s="260" t="inlineStr">
        <is>
          <t>Integration &amp; Process automation</t>
        </is>
      </c>
      <c r="I492" s="260" t="inlineStr">
        <is>
          <t>B2B &amp; Energy Solutions</t>
        </is>
      </c>
      <c r="J492" s="260" t="inlineStr">
        <is>
          <t>Leadership</t>
        </is>
      </c>
      <c r="K492" s="260" t="inlineStr">
        <is>
          <t>Leadership</t>
        </is>
      </c>
      <c r="L492" s="260" t="n"/>
      <c r="M492" s="261" t="inlineStr">
        <is>
          <t>NZ</t>
        </is>
      </c>
      <c r="N492" t="inlineStr">
        <is>
          <t>Energy Solutions &amp; B2B</t>
        </is>
      </c>
      <c r="O492" t="inlineStr">
        <is>
          <t>Leadership</t>
        </is>
      </c>
      <c r="P492" t="inlineStr">
        <is>
          <t>Leadership</t>
        </is>
      </c>
      <c r="Q492" t="inlineStr">
        <is>
          <t>Leadership</t>
        </is>
      </c>
      <c r="R492" t="inlineStr">
        <is>
          <t>Vacant</t>
        </is>
      </c>
    </row>
    <row r="493" ht="18" customHeight="1" s="506">
      <c r="A493" s="259" t="n">
        <v>109863</v>
      </c>
      <c r="B493" s="224" t="inlineStr">
        <is>
          <t>Shane Ker</t>
        </is>
      </c>
      <c r="C493" s="224" t="inlineStr">
        <is>
          <t>Technology Manger - Finance Platfoms</t>
        </is>
      </c>
      <c r="D493" s="224" t="inlineStr">
        <is>
          <t>Vaso Vukovic</t>
        </is>
      </c>
      <c r="E493" s="224" t="inlineStr">
        <is>
          <t>Head of Technology - P&amp;C, Finance &amp; Legal</t>
        </is>
      </c>
      <c r="F493" s="224" t="inlineStr">
        <is>
          <t>TDD Group Functions</t>
        </is>
      </c>
      <c r="G493" s="269" t="inlineStr">
        <is>
          <t>P&amp;C, Finance &amp; Legal</t>
        </is>
      </c>
      <c r="H493" s="260" t="inlineStr">
        <is>
          <t>Tech, Finance Platforms</t>
        </is>
      </c>
      <c r="I493" s="260" t="inlineStr">
        <is>
          <t>Finance</t>
        </is>
      </c>
      <c r="J493" s="260" t="inlineStr">
        <is>
          <t>Finance</t>
        </is>
      </c>
      <c r="K493" s="260" t="inlineStr">
        <is>
          <t>Leadership</t>
        </is>
      </c>
      <c r="L493" s="260" t="n"/>
      <c r="M493" s="261" t="inlineStr">
        <is>
          <t>Australia</t>
        </is>
      </c>
      <c r="N493" t="inlineStr">
        <is>
          <t>Finance</t>
        </is>
      </c>
      <c r="O493" t="inlineStr">
        <is>
          <t>Leadership</t>
        </is>
      </c>
      <c r="P493" t="inlineStr">
        <is>
          <t>Leadership</t>
        </is>
      </c>
      <c r="Q493" t="inlineStr">
        <is>
          <t>Leadership</t>
        </is>
      </c>
      <c r="R493" t="inlineStr">
        <is>
          <t>Filled</t>
        </is>
      </c>
    </row>
    <row r="494" ht="18" customHeight="1" s="506">
      <c r="A494" s="259" t="n">
        <v>106350</v>
      </c>
      <c r="B494" s="282" t="inlineStr">
        <is>
          <t>Dave O'Keefe</t>
        </is>
      </c>
      <c r="C494" s="269" t="inlineStr">
        <is>
          <t>Technology Manager – P&amp;C Platforms</t>
        </is>
      </c>
      <c r="D494" s="260" t="inlineStr">
        <is>
          <t>Vacant</t>
        </is>
      </c>
      <c r="E494" s="269" t="inlineStr">
        <is>
          <t>Head of Technology - P&amp;C, Finance &amp; Legal</t>
        </is>
      </c>
      <c r="F494" s="224" t="inlineStr">
        <is>
          <t>TDD Group Functions</t>
        </is>
      </c>
      <c r="G494" s="269" t="inlineStr">
        <is>
          <t>P&amp;C, Finance &amp; Legal</t>
        </is>
      </c>
      <c r="H494" s="260" t="inlineStr">
        <is>
          <t>Tech, P&amp;C Platforms</t>
        </is>
      </c>
      <c r="I494" s="260" t="inlineStr">
        <is>
          <t>P&amp;C</t>
        </is>
      </c>
      <c r="J494" s="260" t="inlineStr">
        <is>
          <t>P&amp;C</t>
        </is>
      </c>
      <c r="K494" s="260" t="inlineStr">
        <is>
          <t>Leadership</t>
        </is>
      </c>
      <c r="L494" s="260" t="n"/>
      <c r="M494" s="261" t="n"/>
      <c r="N494" t="inlineStr">
        <is>
          <t>P&amp;C</t>
        </is>
      </c>
      <c r="O494" t="inlineStr">
        <is>
          <t>Leadership</t>
        </is>
      </c>
      <c r="P494" t="inlineStr">
        <is>
          <t>Leadership</t>
        </is>
      </c>
      <c r="Q494" t="inlineStr">
        <is>
          <t>Leadership</t>
        </is>
      </c>
      <c r="R494" t="inlineStr">
        <is>
          <t>Filled</t>
        </is>
      </c>
    </row>
    <row r="495" ht="18" customHeight="1" s="506">
      <c r="A495" s="259" t="n">
        <v>4818</v>
      </c>
      <c r="B495" s="224" t="inlineStr">
        <is>
          <t>Vaso Vukovic</t>
        </is>
      </c>
      <c r="C495" s="224" t="inlineStr">
        <is>
          <t>Head of Technology - P&amp;C, Finance &amp; Legal</t>
        </is>
      </c>
      <c r="D495" s="269" t="inlineStr">
        <is>
          <t>Emily Mogic</t>
        </is>
      </c>
      <c r="E495" s="224" t="inlineStr">
        <is>
          <t>GM TDD, Group Function</t>
        </is>
      </c>
      <c r="F495" s="224" t="inlineStr">
        <is>
          <t>TDD Group Functions</t>
        </is>
      </c>
      <c r="G495" s="269" t="inlineStr">
        <is>
          <t>P&amp;C, Finance &amp; Legal</t>
        </is>
      </c>
      <c r="H495" s="260" t="inlineStr">
        <is>
          <t>Technology, CF Engineering</t>
        </is>
      </c>
      <c r="I495" s="260" t="inlineStr">
        <is>
          <t>P&amp;C, Finance &amp; Legal</t>
        </is>
      </c>
      <c r="J495" s="260" t="inlineStr">
        <is>
          <t>P&amp;C, Finance &amp; Legal</t>
        </is>
      </c>
      <c r="K495" s="260" t="inlineStr">
        <is>
          <t>Leadership</t>
        </is>
      </c>
      <c r="L495" s="260" t="n"/>
      <c r="M495" s="261" t="inlineStr">
        <is>
          <t>Australia</t>
        </is>
      </c>
      <c r="N495" t="inlineStr">
        <is>
          <t>P&amp;C</t>
        </is>
      </c>
      <c r="O495" t="inlineStr">
        <is>
          <t>Leadership</t>
        </is>
      </c>
      <c r="P495" t="inlineStr">
        <is>
          <t>Leadership</t>
        </is>
      </c>
      <c r="Q495" t="inlineStr">
        <is>
          <t>Leadership</t>
        </is>
      </c>
      <c r="R495" t="inlineStr">
        <is>
          <t>Filled</t>
        </is>
      </c>
    </row>
    <row r="496" ht="18" customHeight="1" s="506">
      <c r="A496" s="259" t="n"/>
      <c r="B496" s="282" t="inlineStr">
        <is>
          <t>Vacant</t>
        </is>
      </c>
      <c r="C496" s="269" t="inlineStr">
        <is>
          <t>Delivery Manager</t>
        </is>
      </c>
      <c r="D496" s="260" t="inlineStr">
        <is>
          <t>Vacant</t>
        </is>
      </c>
      <c r="E496" s="291" t="inlineStr">
        <is>
          <t>Head of Technology - P&amp;C, Finance &amp; Legal</t>
        </is>
      </c>
      <c r="F496" s="224" t="inlineStr">
        <is>
          <t>TDD Group Functions</t>
        </is>
      </c>
      <c r="G496" s="269" t="inlineStr">
        <is>
          <t>P&amp;C, Finance &amp; Legal</t>
        </is>
      </c>
      <c r="H496" s="260" t="inlineStr">
        <is>
          <t>Delivery, Commercial Fuels</t>
        </is>
      </c>
      <c r="I496" s="260" t="inlineStr">
        <is>
          <t>P&amp;C, Finance &amp; Legal</t>
        </is>
      </c>
      <c r="J496" s="260" t="inlineStr">
        <is>
          <t>P&amp;C, Finance &amp; Legal</t>
        </is>
      </c>
      <c r="K496" s="260" t="inlineStr">
        <is>
          <t>Leadership</t>
        </is>
      </c>
      <c r="L496" s="260" t="n"/>
      <c r="M496" s="261" t="n"/>
      <c r="N496" t="inlineStr">
        <is>
          <t>P&amp;C</t>
        </is>
      </c>
      <c r="O496" t="inlineStr">
        <is>
          <t>Leadership</t>
        </is>
      </c>
      <c r="P496" t="inlineStr">
        <is>
          <t>Leadership</t>
        </is>
      </c>
      <c r="Q496" t="inlineStr">
        <is>
          <t>Leadership</t>
        </is>
      </c>
      <c r="R496" t="inlineStr">
        <is>
          <t>Vacant</t>
        </is>
      </c>
    </row>
    <row r="497" ht="18" customHeight="1" s="506">
      <c r="A497" s="259" t="n"/>
      <c r="B497" s="224" t="inlineStr">
        <is>
          <t>Vacant</t>
        </is>
      </c>
      <c r="C497" s="224" t="inlineStr">
        <is>
          <t>Head of Technology - TDD &amp; Engineering Capability Lead</t>
        </is>
      </c>
      <c r="D497" s="269" t="inlineStr">
        <is>
          <t>Emily Mogic</t>
        </is>
      </c>
      <c r="E497" s="224" t="inlineStr">
        <is>
          <t>GM TDD, Group Function</t>
        </is>
      </c>
      <c r="F497" s="224" t="inlineStr">
        <is>
          <t>TDD Group Functions</t>
        </is>
      </c>
      <c r="G497" s="260" t="inlineStr">
        <is>
          <t xml:space="preserve">TDD &amp; Engineering </t>
        </is>
      </c>
      <c r="H497" s="260" t="inlineStr">
        <is>
          <t>na</t>
        </is>
      </c>
      <c r="I497" s="260" t="inlineStr">
        <is>
          <t>TDD</t>
        </is>
      </c>
      <c r="J497" s="260" t="inlineStr">
        <is>
          <t>TDD</t>
        </is>
      </c>
      <c r="K497" s="260" t="inlineStr">
        <is>
          <t>Leadership</t>
        </is>
      </c>
      <c r="L497" s="260" t="n"/>
      <c r="M497" s="261" t="n"/>
      <c r="N497" t="inlineStr">
        <is>
          <t>TDD Group Functions</t>
        </is>
      </c>
      <c r="O497" t="inlineStr">
        <is>
          <t>Leadership</t>
        </is>
      </c>
      <c r="P497" t="inlineStr">
        <is>
          <t>Leadership</t>
        </is>
      </c>
      <c r="Q497" t="inlineStr">
        <is>
          <t>Leadership</t>
        </is>
      </c>
      <c r="R497" t="inlineStr">
        <is>
          <t>Vacant</t>
        </is>
      </c>
    </row>
    <row r="498" ht="18" customHeight="1" s="506">
      <c r="A498" s="259" t="n">
        <v>99999100381</v>
      </c>
      <c r="B498" s="224" t="inlineStr">
        <is>
          <t>Nakul Bharade</t>
        </is>
      </c>
      <c r="C498" s="224" t="inlineStr">
        <is>
          <t>Lead Engineer Software</t>
        </is>
      </c>
      <c r="D498" s="224" t="inlineStr">
        <is>
          <t>Mike Seales</t>
        </is>
      </c>
      <c r="E498" s="224" t="inlineStr">
        <is>
          <t>Technology Manager Integration &amp; Process Managemetn</t>
        </is>
      </c>
      <c r="F498" s="224" t="inlineStr">
        <is>
          <t>TDD Group Functions</t>
        </is>
      </c>
      <c r="G498" s="260" t="inlineStr">
        <is>
          <t xml:space="preserve">TDD &amp; Engineering </t>
        </is>
      </c>
      <c r="H498" s="224" t="inlineStr">
        <is>
          <t>Leadership</t>
        </is>
      </c>
      <c r="I498" s="224" t="inlineStr">
        <is>
          <t>TDD</t>
        </is>
      </c>
      <c r="J498" s="260" t="inlineStr">
        <is>
          <t>Leadership</t>
        </is>
      </c>
      <c r="K498" s="260" t="inlineStr">
        <is>
          <t>Leadership</t>
        </is>
      </c>
      <c r="L498" s="260" t="n"/>
      <c r="M498" s="261" t="inlineStr">
        <is>
          <t>NZ</t>
        </is>
      </c>
      <c r="N498" t="inlineStr">
        <is>
          <t>TDD Group Functions</t>
        </is>
      </c>
      <c r="O498" t="inlineStr">
        <is>
          <t>Leadership</t>
        </is>
      </c>
      <c r="P498" t="inlineStr">
        <is>
          <t>Leadership</t>
        </is>
      </c>
      <c r="Q498" t="inlineStr">
        <is>
          <t>Leadership</t>
        </is>
      </c>
      <c r="R498" t="inlineStr">
        <is>
          <t>Filled</t>
        </is>
      </c>
    </row>
    <row r="499" ht="18" customHeight="1" s="506">
      <c r="A499" s="259" t="n">
        <v>113017</v>
      </c>
      <c r="B499" s="282" t="inlineStr">
        <is>
          <t>Murray Mitchell</t>
        </is>
      </c>
      <c r="C499" s="269" t="inlineStr">
        <is>
          <t>Technology Manager, Workplace and Enterprise Tooling</t>
        </is>
      </c>
      <c r="D499" s="260" t="inlineStr">
        <is>
          <t>Vacant</t>
        </is>
      </c>
      <c r="E499" s="269" t="inlineStr">
        <is>
          <t>Head of Technology - TDD &amp; Engineering Capability Lead</t>
        </is>
      </c>
      <c r="F499" s="224" t="inlineStr">
        <is>
          <t>TDD Group Functions</t>
        </is>
      </c>
      <c r="G499" s="260" t="inlineStr">
        <is>
          <t xml:space="preserve">TDD &amp; Engineering </t>
        </is>
      </c>
      <c r="H499" s="260" t="n"/>
      <c r="I499" s="260" t="inlineStr">
        <is>
          <t>TDD</t>
        </is>
      </c>
      <c r="J499" s="260" t="inlineStr">
        <is>
          <t>TDD</t>
        </is>
      </c>
      <c r="K499" s="260" t="inlineStr">
        <is>
          <t>Leadership</t>
        </is>
      </c>
      <c r="L499" s="260" t="n"/>
      <c r="M499" s="261" t="n"/>
      <c r="N499" t="inlineStr">
        <is>
          <t>TDD Group Functions</t>
        </is>
      </c>
      <c r="O499" t="inlineStr">
        <is>
          <t>Leadership</t>
        </is>
      </c>
      <c r="P499" t="inlineStr">
        <is>
          <t>Leadership</t>
        </is>
      </c>
      <c r="Q499" t="inlineStr">
        <is>
          <t>Leadership</t>
        </is>
      </c>
      <c r="R499" t="inlineStr">
        <is>
          <t>Filled</t>
        </is>
      </c>
    </row>
    <row r="500" ht="18" customHeight="1" s="506">
      <c r="A500" s="259" t="n"/>
      <c r="B500" s="282" t="inlineStr">
        <is>
          <t>Vacant</t>
        </is>
      </c>
      <c r="C500" s="269" t="inlineStr">
        <is>
          <t>Technology Manager – DevOps and Quality Engineering</t>
        </is>
      </c>
      <c r="D500" s="269" t="inlineStr">
        <is>
          <t>vacant</t>
        </is>
      </c>
      <c r="E500" s="262" t="inlineStr">
        <is>
          <t>Head of Technology- TDD &amp; Engineering Capability</t>
        </is>
      </c>
      <c r="F500" s="224" t="inlineStr">
        <is>
          <t>TDD Group Functions</t>
        </is>
      </c>
      <c r="G500" s="260" t="inlineStr">
        <is>
          <t>TDD &amp; Engineering</t>
        </is>
      </c>
      <c r="H500" s="260" t="n"/>
      <c r="I500" s="260" t="inlineStr">
        <is>
          <t>TDD</t>
        </is>
      </c>
      <c r="J500" s="260" t="inlineStr">
        <is>
          <t>TDD</t>
        </is>
      </c>
      <c r="K500" s="260" t="inlineStr">
        <is>
          <t>Leadership</t>
        </is>
      </c>
      <c r="L500" s="260" t="n"/>
      <c r="M500" s="261" t="n"/>
      <c r="N500" t="inlineStr">
        <is>
          <t>TDD Group Functions</t>
        </is>
      </c>
      <c r="O500" t="inlineStr">
        <is>
          <t>Leadership</t>
        </is>
      </c>
      <c r="P500" t="inlineStr">
        <is>
          <t>Leadership</t>
        </is>
      </c>
      <c r="Q500" t="inlineStr">
        <is>
          <t>Leadership</t>
        </is>
      </c>
      <c r="R500" t="inlineStr">
        <is>
          <t>Vacant</t>
        </is>
      </c>
    </row>
    <row r="501" ht="18" customHeight="1" s="506">
      <c r="A501" s="259" t="n"/>
      <c r="B501" s="282" t="inlineStr">
        <is>
          <t>Vacant</t>
        </is>
      </c>
      <c r="C501" s="269" t="inlineStr">
        <is>
          <t>Delivery Manager</t>
        </is>
      </c>
      <c r="D501" s="260" t="inlineStr">
        <is>
          <t>vacant</t>
        </is>
      </c>
      <c r="E501" s="269" t="inlineStr">
        <is>
          <t>Head of Technology - TDD &amp; Engineering Capability Lead</t>
        </is>
      </c>
      <c r="F501" s="224" t="inlineStr">
        <is>
          <t>TDD Group Functions</t>
        </is>
      </c>
      <c r="G501" s="260" t="inlineStr">
        <is>
          <t xml:space="preserve">TDD &amp; Engineering </t>
        </is>
      </c>
      <c r="H501" s="260" t="n"/>
      <c r="I501" s="260" t="inlineStr">
        <is>
          <t>TDD</t>
        </is>
      </c>
      <c r="J501" s="260" t="inlineStr">
        <is>
          <t>TDD</t>
        </is>
      </c>
      <c r="K501" s="260" t="inlineStr">
        <is>
          <t>Leadership</t>
        </is>
      </c>
      <c r="L501" s="260" t="n"/>
      <c r="M501" s="261" t="n"/>
      <c r="N501" t="inlineStr">
        <is>
          <t>TDD Group Functions</t>
        </is>
      </c>
      <c r="O501" t="inlineStr">
        <is>
          <t>Leadership</t>
        </is>
      </c>
      <c r="P501" t="inlineStr">
        <is>
          <t>Leadership</t>
        </is>
      </c>
      <c r="Q501" t="inlineStr">
        <is>
          <t>Leadership</t>
        </is>
      </c>
      <c r="R501" t="inlineStr">
        <is>
          <t>Vacant</t>
        </is>
      </c>
    </row>
    <row r="502" ht="18" customHeight="1" s="506">
      <c r="A502" s="259" t="n"/>
      <c r="B502" s="282" t="inlineStr">
        <is>
          <t>Vacant</t>
        </is>
      </c>
      <c r="C502" s="269" t="inlineStr">
        <is>
          <t>Technology Manager – Cloud, Network and Infrastructure Operations</t>
        </is>
      </c>
      <c r="D502" s="269" t="inlineStr">
        <is>
          <t>vacant</t>
        </is>
      </c>
      <c r="E502" s="260" t="inlineStr">
        <is>
          <t>Head of Technology - TDD &amp; Engineering Capability Lead</t>
        </is>
      </c>
      <c r="F502" s="224" t="inlineStr">
        <is>
          <t>TDD Group Functions</t>
        </is>
      </c>
      <c r="G502" s="260" t="inlineStr">
        <is>
          <t>TDD &amp; Engineering</t>
        </is>
      </c>
      <c r="H502" s="260" t="inlineStr">
        <is>
          <t>Cloud Network &amp; Infra Ops</t>
        </is>
      </c>
      <c r="I502" s="260" t="inlineStr">
        <is>
          <t>TDD</t>
        </is>
      </c>
      <c r="J502" s="260" t="inlineStr">
        <is>
          <t>TDD</t>
        </is>
      </c>
      <c r="K502" s="260" t="inlineStr">
        <is>
          <t>Leadership</t>
        </is>
      </c>
      <c r="L502" s="260" t="n"/>
      <c r="M502" s="261" t="n"/>
      <c r="N502" t="inlineStr">
        <is>
          <t>TDD Group Functions</t>
        </is>
      </c>
      <c r="O502" t="inlineStr">
        <is>
          <t>Leadership</t>
        </is>
      </c>
      <c r="P502" t="inlineStr">
        <is>
          <t>Leadership</t>
        </is>
      </c>
      <c r="Q502" t="inlineStr">
        <is>
          <t>Leadership</t>
        </is>
      </c>
      <c r="R502" t="inlineStr">
        <is>
          <t>Vacant</t>
        </is>
      </c>
    </row>
    <row r="503" ht="18" customHeight="1" s="506">
      <c r="A503" s="259" t="n">
        <v>114573</v>
      </c>
      <c r="B503" s="269" t="inlineStr">
        <is>
          <t>Vacant</t>
        </is>
      </c>
      <c r="C503" s="269" t="inlineStr">
        <is>
          <t>Snr Engineer</t>
        </is>
      </c>
      <c r="D503" s="260" t="inlineStr">
        <is>
          <t>vacant</t>
        </is>
      </c>
      <c r="E503" s="269" t="inlineStr">
        <is>
          <t>RPA Lead</t>
        </is>
      </c>
      <c r="F503" s="224" t="inlineStr">
        <is>
          <t>TDD Group Functions</t>
        </is>
      </c>
      <c r="G503" s="260" t="inlineStr">
        <is>
          <t xml:space="preserve">TDD &amp; Engineering </t>
        </is>
      </c>
      <c r="H503" s="260" t="inlineStr">
        <is>
          <t>Technology, T&amp;S Data</t>
        </is>
      </c>
      <c r="I503" s="224" t="inlineStr">
        <is>
          <t>TDD</t>
        </is>
      </c>
      <c r="J503" s="260" t="inlineStr">
        <is>
          <t>Leadership</t>
        </is>
      </c>
      <c r="K503" s="260" t="inlineStr">
        <is>
          <t>Leadership</t>
        </is>
      </c>
      <c r="L503" s="260" t="n"/>
      <c r="M503" s="261" t="inlineStr">
        <is>
          <t>Australia</t>
        </is>
      </c>
      <c r="N503" t="inlineStr">
        <is>
          <t>TDD Group Functions</t>
        </is>
      </c>
      <c r="O503" t="inlineStr">
        <is>
          <t>Leadership</t>
        </is>
      </c>
      <c r="P503" t="inlineStr">
        <is>
          <t>Leadership</t>
        </is>
      </c>
      <c r="Q503" t="inlineStr">
        <is>
          <t>Leadership</t>
        </is>
      </c>
      <c r="R503" t="inlineStr">
        <is>
          <t>Vacant</t>
        </is>
      </c>
    </row>
    <row r="504" ht="18" customHeight="1" s="506">
      <c r="A504" s="259" t="n">
        <v>99999170438</v>
      </c>
      <c r="B504" s="282" t="inlineStr">
        <is>
          <t>Leilanie Avilla</t>
        </is>
      </c>
      <c r="C504" s="269" t="inlineStr">
        <is>
          <t>JDE Systems Specialist</t>
        </is>
      </c>
      <c r="D504" s="260" t="inlineStr">
        <is>
          <t>Lydia Pritchard</t>
        </is>
      </c>
      <c r="E504" s="269" t="inlineStr">
        <is>
          <t>Lead JDE System Specialist</t>
        </is>
      </c>
      <c r="F504" s="224" t="inlineStr">
        <is>
          <t>TDD Group Functions</t>
        </is>
      </c>
      <c r="G504" s="269" t="inlineStr">
        <is>
          <t>P&amp;C, Finance &amp; Legal</t>
        </is>
      </c>
      <c r="H504" s="260" t="inlineStr">
        <is>
          <t>Tech, Finance Platforms</t>
        </is>
      </c>
      <c r="I504" s="260" t="inlineStr">
        <is>
          <t>Finance</t>
        </is>
      </c>
      <c r="J504" s="260" t="inlineStr">
        <is>
          <t>NZ Finance</t>
        </is>
      </c>
      <c r="K504" s="260" t="inlineStr">
        <is>
          <t>NZ Finance</t>
        </is>
      </c>
      <c r="L504" s="260" t="n"/>
      <c r="M504" s="261" t="inlineStr">
        <is>
          <t>NZ</t>
        </is>
      </c>
      <c r="N504" t="inlineStr">
        <is>
          <t>Finance</t>
        </is>
      </c>
      <c r="O504" t="inlineStr">
        <is>
          <t>NZ Finance</t>
        </is>
      </c>
      <c r="P504" t="inlineStr">
        <is>
          <t>NZ Finance</t>
        </is>
      </c>
      <c r="Q504" t="inlineStr">
        <is>
          <t>Squad</t>
        </is>
      </c>
      <c r="R504" t="inlineStr">
        <is>
          <t>Filled</t>
        </is>
      </c>
    </row>
    <row r="505" ht="18" customHeight="1" s="506">
      <c r="A505" s="259" t="n">
        <v>113562</v>
      </c>
      <c r="B505" s="282" t="inlineStr">
        <is>
          <t>Kamal Patel</t>
        </is>
      </c>
      <c r="C505" s="269" t="inlineStr">
        <is>
          <t>JDE Senior Systems Specialist</t>
        </is>
      </c>
      <c r="D505" s="260" t="inlineStr">
        <is>
          <t>Lydia Pritchard</t>
        </is>
      </c>
      <c r="E505" s="269" t="inlineStr">
        <is>
          <t>Lead JDE System Specialist</t>
        </is>
      </c>
      <c r="F505" s="224" t="inlineStr">
        <is>
          <t>TDD Group Functions</t>
        </is>
      </c>
      <c r="G505" s="269" t="inlineStr">
        <is>
          <t>P&amp;C, Finance &amp; Legal</t>
        </is>
      </c>
      <c r="H505" s="260" t="inlineStr">
        <is>
          <t>Tech, Finance Platforms</t>
        </is>
      </c>
      <c r="I505" s="260" t="inlineStr">
        <is>
          <t>Finance</t>
        </is>
      </c>
      <c r="J505" s="260" t="inlineStr">
        <is>
          <t>NZ Finance</t>
        </is>
      </c>
      <c r="K505" s="260" t="inlineStr">
        <is>
          <t>NZ Finance</t>
        </is>
      </c>
      <c r="L505" s="260" t="n"/>
      <c r="M505" s="261" t="n"/>
      <c r="N505" t="inlineStr">
        <is>
          <t>Finance</t>
        </is>
      </c>
      <c r="O505" t="inlineStr">
        <is>
          <t>NZ Finance</t>
        </is>
      </c>
      <c r="P505" t="inlineStr">
        <is>
          <t>NZ Finance</t>
        </is>
      </c>
      <c r="Q505" t="inlineStr">
        <is>
          <t>Squad</t>
        </is>
      </c>
      <c r="R505" t="inlineStr">
        <is>
          <t>Filled</t>
        </is>
      </c>
    </row>
    <row r="506" ht="18" customHeight="1" s="506">
      <c r="A506" s="259" t="n">
        <v>113587</v>
      </c>
      <c r="B506" s="282" t="inlineStr">
        <is>
          <t>Martyn Rudduck</t>
        </is>
      </c>
      <c r="C506" s="269" t="inlineStr">
        <is>
          <t>JDE Senior Systems Specialist</t>
        </is>
      </c>
      <c r="D506" s="260" t="inlineStr">
        <is>
          <t>Lydia Pritchard</t>
        </is>
      </c>
      <c r="E506" s="269" t="inlineStr">
        <is>
          <t>Lead JDE System Specialist</t>
        </is>
      </c>
      <c r="F506" s="224" t="inlineStr">
        <is>
          <t>TDD Group Functions</t>
        </is>
      </c>
      <c r="G506" s="269" t="inlineStr">
        <is>
          <t>P&amp;C, Finance &amp; Legal</t>
        </is>
      </c>
      <c r="H506" s="260" t="inlineStr">
        <is>
          <t>Tech, Finance Platforms</t>
        </is>
      </c>
      <c r="I506" s="260" t="inlineStr">
        <is>
          <t>Finance</t>
        </is>
      </c>
      <c r="J506" s="260" t="inlineStr">
        <is>
          <t>NZ Finance</t>
        </is>
      </c>
      <c r="K506" s="260" t="inlineStr">
        <is>
          <t>NZ Finance</t>
        </is>
      </c>
      <c r="L506" s="260" t="n"/>
      <c r="M506" s="261" t="n"/>
      <c r="N506" t="inlineStr">
        <is>
          <t>Finance</t>
        </is>
      </c>
      <c r="O506" t="inlineStr">
        <is>
          <t>NZ Finance</t>
        </is>
      </c>
      <c r="P506" t="inlineStr">
        <is>
          <t>NZ Finance</t>
        </is>
      </c>
      <c r="Q506" t="inlineStr">
        <is>
          <t>Squad</t>
        </is>
      </c>
      <c r="R506" t="inlineStr">
        <is>
          <t>Filled</t>
        </is>
      </c>
    </row>
    <row r="507" ht="18" customHeight="1" s="506">
      <c r="A507" s="259" t="n">
        <v>99999100336</v>
      </c>
      <c r="B507" s="224" t="inlineStr">
        <is>
          <t>Lydia Pritchard</t>
        </is>
      </c>
      <c r="C507" s="224" t="inlineStr">
        <is>
          <t>Lead JDE Systems Specialist</t>
        </is>
      </c>
      <c r="D507" s="224" t="inlineStr">
        <is>
          <t>Shane Ker</t>
        </is>
      </c>
      <c r="E507" s="224" t="inlineStr">
        <is>
          <t>Technology Manager Finance Platforms</t>
        </is>
      </c>
      <c r="F507" s="224" t="inlineStr">
        <is>
          <t>TDD Group Functions</t>
        </is>
      </c>
      <c r="G507" s="269" t="inlineStr">
        <is>
          <t>P&amp;C, Finance &amp; Legal</t>
        </is>
      </c>
      <c r="H507" s="260" t="inlineStr">
        <is>
          <t>Tech, Finance Platforms</t>
        </is>
      </c>
      <c r="I507" s="260" t="inlineStr">
        <is>
          <t>Finance</t>
        </is>
      </c>
      <c r="J507" s="260" t="inlineStr">
        <is>
          <t>NZ Finance</t>
        </is>
      </c>
      <c r="K507" s="260" t="inlineStr">
        <is>
          <t>NZ Finance</t>
        </is>
      </c>
      <c r="L507" s="260" t="n"/>
      <c r="M507" s="261" t="inlineStr">
        <is>
          <t>NZ</t>
        </is>
      </c>
      <c r="N507" t="inlineStr">
        <is>
          <t>Finance</t>
        </is>
      </c>
      <c r="O507" t="inlineStr">
        <is>
          <t>NZ Finance</t>
        </is>
      </c>
      <c r="P507" t="inlineStr">
        <is>
          <t>NZ Finance</t>
        </is>
      </c>
      <c r="Q507" t="inlineStr">
        <is>
          <t>Squad</t>
        </is>
      </c>
      <c r="R507" t="inlineStr">
        <is>
          <t>Filled</t>
        </is>
      </c>
    </row>
    <row r="508" ht="18" customHeight="1" s="506">
      <c r="A508" s="259" t="n"/>
      <c r="B508" s="282" t="inlineStr">
        <is>
          <t>Vacant</t>
        </is>
      </c>
      <c r="C508" s="269" t="inlineStr">
        <is>
          <t>Delivery Lead (JDE)</t>
        </is>
      </c>
      <c r="D508" s="260" t="inlineStr">
        <is>
          <t>Vacant</t>
        </is>
      </c>
      <c r="E508" s="269" t="inlineStr">
        <is>
          <t>Delivery Manager, P&amp;C, Finance &amp; Legal</t>
        </is>
      </c>
      <c r="F508" s="224" t="inlineStr">
        <is>
          <t>TDD Group Functions</t>
        </is>
      </c>
      <c r="G508" s="269" t="inlineStr">
        <is>
          <t>P&amp;C, Finance &amp; Legal</t>
        </is>
      </c>
      <c r="H508" s="260" t="inlineStr">
        <is>
          <t>Delivery, P&amp;C, Finance &amp; Legal</t>
        </is>
      </c>
      <c r="I508" s="260" t="inlineStr">
        <is>
          <t>Finance</t>
        </is>
      </c>
      <c r="J508" s="260" t="inlineStr">
        <is>
          <t>NZ Finance</t>
        </is>
      </c>
      <c r="K508" s="260" t="inlineStr">
        <is>
          <t>NZ Finance</t>
        </is>
      </c>
      <c r="L508" s="260" t="n"/>
      <c r="M508" s="261" t="n"/>
      <c r="N508" t="inlineStr">
        <is>
          <t>Finance</t>
        </is>
      </c>
      <c r="O508" t="inlineStr">
        <is>
          <t>NZ Finance</t>
        </is>
      </c>
      <c r="P508" t="inlineStr">
        <is>
          <t>NZ Finance</t>
        </is>
      </c>
      <c r="Q508" t="inlineStr">
        <is>
          <t>Squad</t>
        </is>
      </c>
      <c r="R508" t="inlineStr">
        <is>
          <t>Vacant</t>
        </is>
      </c>
    </row>
    <row r="509" ht="18" customHeight="1" s="506">
      <c r="A509" s="259" t="n">
        <v>83003</v>
      </c>
      <c r="B509" s="224" t="inlineStr">
        <is>
          <t>Grace Hadiwijaya</t>
        </is>
      </c>
      <c r="C509" s="224" t="inlineStr">
        <is>
          <t>Lead P&amp;C Platforms</t>
        </is>
      </c>
      <c r="D509" s="260" t="inlineStr">
        <is>
          <t>Vacant</t>
        </is>
      </c>
      <c r="E509" s="224" t="inlineStr">
        <is>
          <t>Technology Manager P&amp;C Platforms</t>
        </is>
      </c>
      <c r="F509" s="224" t="inlineStr">
        <is>
          <t>TDD Group Functions</t>
        </is>
      </c>
      <c r="G509" s="269" t="inlineStr">
        <is>
          <t>Loyalty &amp; Martech</t>
        </is>
      </c>
      <c r="H509" s="260" t="inlineStr">
        <is>
          <t>Tech, P&amp;C Platforms</t>
        </is>
      </c>
      <c r="I509" s="260" t="inlineStr">
        <is>
          <t>P&amp;C</t>
        </is>
      </c>
      <c r="J509" s="260" t="inlineStr">
        <is>
          <t>P&amp;C</t>
        </is>
      </c>
      <c r="K509" s="260" t="inlineStr">
        <is>
          <t>P&amp;C</t>
        </is>
      </c>
      <c r="L509" s="260" t="n"/>
      <c r="M509" s="261" t="inlineStr">
        <is>
          <t>Australia</t>
        </is>
      </c>
      <c r="N509" t="inlineStr">
        <is>
          <t>P&amp;C</t>
        </is>
      </c>
      <c r="O509" t="inlineStr">
        <is>
          <t>P&amp;C</t>
        </is>
      </c>
      <c r="P509" t="inlineStr">
        <is>
          <t>P&amp;C</t>
        </is>
      </c>
      <c r="Q509" t="inlineStr">
        <is>
          <t>Squad</t>
        </is>
      </c>
      <c r="R509" t="inlineStr">
        <is>
          <t>Filled</t>
        </is>
      </c>
    </row>
    <row r="510" ht="18" customHeight="1" s="506">
      <c r="A510" s="259" t="n"/>
      <c r="B510" s="282" t="inlineStr">
        <is>
          <t>Vacant</t>
        </is>
      </c>
      <c r="C510" s="269" t="inlineStr">
        <is>
          <t>Quality Assurance</t>
        </is>
      </c>
      <c r="D510" s="260" t="inlineStr">
        <is>
          <t>Vacant</t>
        </is>
      </c>
      <c r="E510" s="224" t="inlineStr">
        <is>
          <t>Technology Manager P&amp;C Platforms</t>
        </is>
      </c>
      <c r="F510" s="224" t="inlineStr">
        <is>
          <t>TDD Group Functions</t>
        </is>
      </c>
      <c r="G510" s="269" t="inlineStr">
        <is>
          <t>P&amp;C, Finance &amp; Legal</t>
        </is>
      </c>
      <c r="H510" s="260" t="inlineStr">
        <is>
          <t>Tech, P&amp;C Platforms</t>
        </is>
      </c>
      <c r="I510" s="260" t="inlineStr">
        <is>
          <t>P&amp;C</t>
        </is>
      </c>
      <c r="J510" s="260" t="inlineStr">
        <is>
          <t>P&amp;C</t>
        </is>
      </c>
      <c r="K510" s="260" t="inlineStr">
        <is>
          <t>P&amp;C</t>
        </is>
      </c>
      <c r="L510" s="260" t="n"/>
      <c r="M510" s="261" t="n"/>
      <c r="N510" t="inlineStr">
        <is>
          <t>P&amp;C</t>
        </is>
      </c>
      <c r="O510" t="inlineStr">
        <is>
          <t>P&amp;C</t>
        </is>
      </c>
      <c r="P510" t="inlineStr">
        <is>
          <t>P&amp;C</t>
        </is>
      </c>
      <c r="Q510" t="inlineStr">
        <is>
          <t>Squad</t>
        </is>
      </c>
      <c r="R510" t="inlineStr">
        <is>
          <t>Vacant</t>
        </is>
      </c>
    </row>
    <row r="511" ht="18" customHeight="1" s="506">
      <c r="A511" s="259" t="n">
        <v>93476</v>
      </c>
      <c r="B511" s="224" t="inlineStr">
        <is>
          <t>Prerna Sharma</t>
        </is>
      </c>
      <c r="C511" s="224" t="inlineStr">
        <is>
          <t>SAP HR Specialist</t>
        </is>
      </c>
      <c r="D511" s="260" t="inlineStr">
        <is>
          <t>Vacant</t>
        </is>
      </c>
      <c r="E511" s="224" t="inlineStr">
        <is>
          <t>Technology Manager P&amp;C Platforms</t>
        </is>
      </c>
      <c r="F511" s="224" t="inlineStr">
        <is>
          <t>TDD Group Functions</t>
        </is>
      </c>
      <c r="G511" s="269" t="inlineStr">
        <is>
          <t>P&amp;C, Finance &amp; Legal</t>
        </is>
      </c>
      <c r="H511" s="260" t="inlineStr">
        <is>
          <t>Tech, P&amp;C Platforms</t>
        </is>
      </c>
      <c r="I511" s="260" t="inlineStr">
        <is>
          <t>P&amp;C</t>
        </is>
      </c>
      <c r="J511" s="260" t="inlineStr">
        <is>
          <t>P&amp;C</t>
        </is>
      </c>
      <c r="K511" s="260" t="inlineStr">
        <is>
          <t>P&amp;C</t>
        </is>
      </c>
      <c r="L511" s="260" t="n"/>
      <c r="M511" s="261" t="inlineStr">
        <is>
          <t>Australia</t>
        </is>
      </c>
      <c r="N511" t="inlineStr">
        <is>
          <t>P&amp;C</t>
        </is>
      </c>
      <c r="O511" t="inlineStr">
        <is>
          <t>P&amp;C</t>
        </is>
      </c>
      <c r="P511" t="inlineStr">
        <is>
          <t>P&amp;C</t>
        </is>
      </c>
      <c r="Q511" t="inlineStr">
        <is>
          <t>Squad</t>
        </is>
      </c>
      <c r="R511" t="inlineStr">
        <is>
          <t>Filled</t>
        </is>
      </c>
    </row>
    <row r="512" ht="18" customHeight="1" s="506">
      <c r="A512" s="259" t="n"/>
      <c r="B512" s="282" t="inlineStr">
        <is>
          <t>Vacant</t>
        </is>
      </c>
      <c r="C512" s="269" t="inlineStr">
        <is>
          <t>Engineer</t>
        </is>
      </c>
      <c r="D512" s="260" t="inlineStr">
        <is>
          <t>vacant</t>
        </is>
      </c>
      <c r="E512" s="224" t="inlineStr">
        <is>
          <t>Technology Manager P&amp;C Platforms</t>
        </is>
      </c>
      <c r="F512" s="224" t="inlineStr">
        <is>
          <t>TDD Group Functions</t>
        </is>
      </c>
      <c r="G512" s="269" t="inlineStr">
        <is>
          <t>P&amp;C, Finance &amp; Legal</t>
        </is>
      </c>
      <c r="H512" s="260" t="inlineStr">
        <is>
          <t>Tech, P&amp;C Platforms</t>
        </is>
      </c>
      <c r="I512" s="260" t="inlineStr">
        <is>
          <t>P&amp;C</t>
        </is>
      </c>
      <c r="J512" s="260" t="inlineStr">
        <is>
          <t>P&amp;C</t>
        </is>
      </c>
      <c r="K512" s="260" t="inlineStr">
        <is>
          <t>P&amp;C</t>
        </is>
      </c>
      <c r="L512" s="260" t="n"/>
      <c r="M512" s="261" t="n"/>
      <c r="N512" t="inlineStr">
        <is>
          <t>P&amp;C</t>
        </is>
      </c>
      <c r="O512" t="inlineStr">
        <is>
          <t>P&amp;C</t>
        </is>
      </c>
      <c r="P512" t="inlineStr">
        <is>
          <t>P&amp;C</t>
        </is>
      </c>
      <c r="Q512" t="inlineStr">
        <is>
          <t>Squad</t>
        </is>
      </c>
      <c r="R512" t="inlineStr">
        <is>
          <t>Vacant</t>
        </is>
      </c>
    </row>
    <row r="513" ht="18" customHeight="1" s="506">
      <c r="A513" s="259" t="n">
        <v>108123</v>
      </c>
      <c r="B513" s="224" t="inlineStr">
        <is>
          <t>Maadhu Suresh</t>
        </is>
      </c>
      <c r="C513" s="224" t="inlineStr">
        <is>
          <t>Solution Architect</t>
        </is>
      </c>
      <c r="D513" s="260" t="inlineStr">
        <is>
          <t>Vacant</t>
        </is>
      </c>
      <c r="E513" s="224" t="inlineStr">
        <is>
          <t>Technology Manager P&amp;C Platforms</t>
        </is>
      </c>
      <c r="F513" s="224" t="inlineStr">
        <is>
          <t>TDD Group Functions</t>
        </is>
      </c>
      <c r="G513" s="269" t="inlineStr">
        <is>
          <t>P&amp;C, Finance &amp; Legal</t>
        </is>
      </c>
      <c r="H513" s="260" t="inlineStr">
        <is>
          <t>Tech, P&amp;C Platforms</t>
        </is>
      </c>
      <c r="I513" s="260" t="inlineStr">
        <is>
          <t>P&amp;C</t>
        </is>
      </c>
      <c r="J513" s="260" t="inlineStr">
        <is>
          <t>P&amp;C</t>
        </is>
      </c>
      <c r="K513" s="260" t="inlineStr">
        <is>
          <t>P&amp;C</t>
        </is>
      </c>
      <c r="L513" s="260" t="n"/>
      <c r="M513" s="261" t="inlineStr">
        <is>
          <t>Australia</t>
        </is>
      </c>
      <c r="N513" t="inlineStr">
        <is>
          <t>P&amp;C</t>
        </is>
      </c>
      <c r="O513" t="inlineStr">
        <is>
          <t>P&amp;C</t>
        </is>
      </c>
      <c r="P513" t="inlineStr">
        <is>
          <t>P&amp;C</t>
        </is>
      </c>
      <c r="Q513" t="inlineStr">
        <is>
          <t>Squad</t>
        </is>
      </c>
      <c r="R513" t="inlineStr">
        <is>
          <t>Filled</t>
        </is>
      </c>
    </row>
    <row r="514" ht="18" customHeight="1" s="506">
      <c r="A514" s="259" t="n">
        <v>99999101403</v>
      </c>
      <c r="B514" s="224" t="inlineStr">
        <is>
          <t>Michael Pollock</t>
        </is>
      </c>
      <c r="C514" s="224" t="inlineStr">
        <is>
          <t>Lead Business Analyst</t>
        </is>
      </c>
      <c r="D514" s="260" t="inlineStr">
        <is>
          <t>Vacant</t>
        </is>
      </c>
      <c r="E514" s="269" t="inlineStr">
        <is>
          <t>Delivery Manager, P&amp;C, Finance &amp; Legal</t>
        </is>
      </c>
      <c r="F514" s="224" t="inlineStr">
        <is>
          <t>TDD Group Functions</t>
        </is>
      </c>
      <c r="G514" s="269" t="inlineStr">
        <is>
          <t>Loyalty &amp; Martech</t>
        </is>
      </c>
      <c r="H514" s="260" t="inlineStr">
        <is>
          <t>Delivery, P&amp;C, Finance &amp; Legal</t>
        </is>
      </c>
      <c r="I514" s="260" t="inlineStr">
        <is>
          <t>P&amp;C</t>
        </is>
      </c>
      <c r="J514" s="260" t="inlineStr">
        <is>
          <t>P&amp;C</t>
        </is>
      </c>
      <c r="K514" s="260" t="inlineStr">
        <is>
          <t>P&amp;C</t>
        </is>
      </c>
      <c r="L514" s="260" t="n"/>
      <c r="M514" s="261" t="inlineStr">
        <is>
          <t>NZ</t>
        </is>
      </c>
      <c r="N514" t="inlineStr">
        <is>
          <t>P&amp;C</t>
        </is>
      </c>
      <c r="O514" t="inlineStr">
        <is>
          <t>P&amp;C</t>
        </is>
      </c>
      <c r="P514" t="inlineStr">
        <is>
          <t>P&amp;C</t>
        </is>
      </c>
      <c r="Q514" t="inlineStr">
        <is>
          <t>Squad</t>
        </is>
      </c>
      <c r="R514" t="inlineStr">
        <is>
          <t>Filled</t>
        </is>
      </c>
    </row>
    <row r="515" ht="18" customHeight="1" s="506">
      <c r="A515" s="259" t="n"/>
      <c r="B515" s="282" t="inlineStr">
        <is>
          <t>Vacant</t>
        </is>
      </c>
      <c r="C515" s="269" t="inlineStr">
        <is>
          <t>Engineer</t>
        </is>
      </c>
      <c r="D515" s="260" t="inlineStr">
        <is>
          <t>vacant</t>
        </is>
      </c>
      <c r="E515" s="224" t="inlineStr">
        <is>
          <t>Technology Manager P&amp;C Platforms</t>
        </is>
      </c>
      <c r="F515" s="224" t="inlineStr">
        <is>
          <t>TDD Group Functions</t>
        </is>
      </c>
      <c r="G515" s="269" t="inlineStr">
        <is>
          <t>P&amp;C, Finance &amp; Legal</t>
        </is>
      </c>
      <c r="H515" s="260" t="inlineStr">
        <is>
          <t>Tech, P&amp;C Platforms</t>
        </is>
      </c>
      <c r="I515" s="260" t="inlineStr">
        <is>
          <t>P&amp;C</t>
        </is>
      </c>
      <c r="J515" s="260" t="inlineStr">
        <is>
          <t>P&amp;C</t>
        </is>
      </c>
      <c r="K515" s="260" t="inlineStr">
        <is>
          <t>P&amp;C</t>
        </is>
      </c>
      <c r="L515" s="260" t="n"/>
      <c r="M515" s="261" t="n"/>
      <c r="N515" t="inlineStr">
        <is>
          <t>P&amp;C</t>
        </is>
      </c>
      <c r="O515" t="inlineStr">
        <is>
          <t>P&amp;C</t>
        </is>
      </c>
      <c r="P515" t="inlineStr">
        <is>
          <t>P&amp;C</t>
        </is>
      </c>
      <c r="Q515" t="inlineStr">
        <is>
          <t>Squad</t>
        </is>
      </c>
      <c r="R515" t="inlineStr">
        <is>
          <t>Vacant</t>
        </is>
      </c>
    </row>
    <row r="516" ht="18" customHeight="1" s="506">
      <c r="A516" s="259" t="n">
        <v>99876</v>
      </c>
      <c r="B516" s="269" t="inlineStr">
        <is>
          <t>Thai Pung</t>
        </is>
      </c>
      <c r="C516" s="269" t="inlineStr">
        <is>
          <t>Delivery Lead - (P&amp;C)</t>
        </is>
      </c>
      <c r="D516" s="269" t="inlineStr">
        <is>
          <t>vacant</t>
        </is>
      </c>
      <c r="E516" s="269" t="inlineStr">
        <is>
          <t>Delivery Manager, P&amp;C, Finance &amp; Legal</t>
        </is>
      </c>
      <c r="F516" s="224" t="inlineStr">
        <is>
          <t>TDD Group Functions</t>
        </is>
      </c>
      <c r="G516" s="269" t="inlineStr">
        <is>
          <t>P&amp;C, Finance &amp; Legal</t>
        </is>
      </c>
      <c r="H516" s="260" t="inlineStr">
        <is>
          <t>Delivery, P&amp;C, Finance &amp; Legal</t>
        </is>
      </c>
      <c r="I516" s="260" t="inlineStr">
        <is>
          <t>P&amp;C</t>
        </is>
      </c>
      <c r="J516" s="260" t="inlineStr">
        <is>
          <t>P&amp;C</t>
        </is>
      </c>
      <c r="K516" s="260" t="inlineStr">
        <is>
          <t>P&amp;C</t>
        </is>
      </c>
      <c r="L516" s="260" t="n"/>
      <c r="M516" s="261" t="inlineStr">
        <is>
          <t>Australia</t>
        </is>
      </c>
      <c r="N516" t="inlineStr">
        <is>
          <t>P&amp;C</t>
        </is>
      </c>
      <c r="O516" t="inlineStr">
        <is>
          <t>P&amp;C</t>
        </is>
      </c>
      <c r="P516" t="inlineStr">
        <is>
          <t>P&amp;C</t>
        </is>
      </c>
      <c r="Q516" t="inlineStr">
        <is>
          <t>Squad</t>
        </is>
      </c>
      <c r="R516" t="inlineStr">
        <is>
          <t>Filled</t>
        </is>
      </c>
    </row>
    <row r="517" ht="18" customHeight="1" s="506">
      <c r="A517" s="259" t="n"/>
      <c r="B517" s="282" t="inlineStr">
        <is>
          <t>Vacant</t>
        </is>
      </c>
      <c r="C517" s="269" t="inlineStr">
        <is>
          <t>Systems Specialist</t>
        </is>
      </c>
      <c r="D517" s="260" t="inlineStr">
        <is>
          <t>Vacant</t>
        </is>
      </c>
      <c r="E517" s="224" t="inlineStr">
        <is>
          <t>Technology Manager P&amp;C Platforms</t>
        </is>
      </c>
      <c r="F517" s="224" t="inlineStr">
        <is>
          <t>TDD Group Functions</t>
        </is>
      </c>
      <c r="G517" s="269" t="inlineStr">
        <is>
          <t>P&amp;C, Finance &amp; Legal</t>
        </is>
      </c>
      <c r="H517" s="260" t="inlineStr">
        <is>
          <t>Tech, P&amp;C Platforms</t>
        </is>
      </c>
      <c r="I517" s="260" t="inlineStr">
        <is>
          <t>P&amp;C</t>
        </is>
      </c>
      <c r="J517" s="260" t="inlineStr">
        <is>
          <t>P&amp;C</t>
        </is>
      </c>
      <c r="K517" s="260" t="inlineStr">
        <is>
          <t>P&amp;C RTA</t>
        </is>
      </c>
      <c r="L517" s="260" t="n"/>
      <c r="M517" s="261" t="n"/>
      <c r="N517" t="inlineStr">
        <is>
          <t>P&amp;C</t>
        </is>
      </c>
      <c r="O517" t="inlineStr">
        <is>
          <t>P&amp;C</t>
        </is>
      </c>
      <c r="P517" t="inlineStr">
        <is>
          <t>P&amp;C - RTA</t>
        </is>
      </c>
      <c r="Q517" t="inlineStr">
        <is>
          <t>Squad</t>
        </is>
      </c>
      <c r="R517" t="inlineStr">
        <is>
          <t>Vacant</t>
        </is>
      </c>
    </row>
    <row r="518" ht="18" customHeight="1" s="506">
      <c r="A518" s="259" t="n">
        <v>0</v>
      </c>
      <c r="B518" s="224" t="inlineStr">
        <is>
          <t>Kurniaty Widjaya</t>
        </is>
      </c>
      <c r="C518" s="224" t="inlineStr">
        <is>
          <t>ERP HR Pay Functional Lead</t>
        </is>
      </c>
      <c r="D518" s="260" t="inlineStr">
        <is>
          <t>Vacant</t>
        </is>
      </c>
      <c r="E518" s="224" t="inlineStr">
        <is>
          <t>Technology Manager P&amp;C Platforms</t>
        </is>
      </c>
      <c r="F518" s="224" t="inlineStr">
        <is>
          <t>TDD Group Functions</t>
        </is>
      </c>
      <c r="G518" s="269" t="inlineStr">
        <is>
          <t>P&amp;C, Finance &amp; Legal</t>
        </is>
      </c>
      <c r="H518" s="260" t="inlineStr">
        <is>
          <t>Tech, P&amp;C Platforms</t>
        </is>
      </c>
      <c r="I518" s="262" t="inlineStr">
        <is>
          <t>P&amp;C</t>
        </is>
      </c>
      <c r="J518" s="260" t="inlineStr">
        <is>
          <t>P&amp;C</t>
        </is>
      </c>
      <c r="K518" s="260" t="inlineStr">
        <is>
          <t>P&amp;C RTA</t>
        </is>
      </c>
      <c r="L518" s="260" t="n"/>
      <c r="M518" s="261" t="n">
        <v>0</v>
      </c>
      <c r="N518" t="inlineStr">
        <is>
          <t>P&amp;C</t>
        </is>
      </c>
      <c r="O518" t="inlineStr">
        <is>
          <t>P&amp;C</t>
        </is>
      </c>
      <c r="P518" t="inlineStr">
        <is>
          <t>P&amp;C - RTA</t>
        </is>
      </c>
      <c r="Q518" t="inlineStr">
        <is>
          <t>Squad</t>
        </is>
      </c>
      <c r="R518" t="inlineStr">
        <is>
          <t>Filled</t>
        </is>
      </c>
    </row>
    <row r="519" ht="18" customHeight="1" s="506">
      <c r="A519" s="259" t="n"/>
      <c r="B519" s="282" t="inlineStr">
        <is>
          <t>Vacant</t>
        </is>
      </c>
      <c r="C519" s="269" t="inlineStr">
        <is>
          <t>Delivery Lead (RTA)</t>
        </is>
      </c>
      <c r="D519" s="260" t="inlineStr">
        <is>
          <t>Vacant</t>
        </is>
      </c>
      <c r="E519" s="269" t="inlineStr">
        <is>
          <t>Delivery Manager, P&amp;C, Finance &amp; Legal</t>
        </is>
      </c>
      <c r="F519" s="224" t="inlineStr">
        <is>
          <t>TDD Group Functions</t>
        </is>
      </c>
      <c r="G519" s="269" t="inlineStr">
        <is>
          <t>P&amp;C, Finance &amp; Legal</t>
        </is>
      </c>
      <c r="H519" s="262" t="inlineStr">
        <is>
          <t>Delivery, P&amp;C, Finance &amp; Legal</t>
        </is>
      </c>
      <c r="I519" s="260" t="inlineStr">
        <is>
          <t>P&amp;C</t>
        </is>
      </c>
      <c r="J519" s="260" t="inlineStr">
        <is>
          <t>P&amp;C</t>
        </is>
      </c>
      <c r="K519" s="262" t="inlineStr">
        <is>
          <t>P&amp;C RTA</t>
        </is>
      </c>
      <c r="L519" s="260" t="n"/>
      <c r="M519" s="261" t="n"/>
      <c r="N519" t="inlineStr">
        <is>
          <t>P&amp;C</t>
        </is>
      </c>
      <c r="O519" t="inlineStr">
        <is>
          <t>P&amp;C</t>
        </is>
      </c>
      <c r="P519" t="inlineStr">
        <is>
          <t>P&amp;C - RTA</t>
        </is>
      </c>
      <c r="Q519" t="inlineStr">
        <is>
          <t>Squad</t>
        </is>
      </c>
      <c r="R519" t="inlineStr">
        <is>
          <t>Vacant</t>
        </is>
      </c>
    </row>
    <row r="520" ht="18" customHeight="1" s="506">
      <c r="A520" s="259" t="n"/>
      <c r="B520" s="282" t="inlineStr">
        <is>
          <t>Vacant</t>
        </is>
      </c>
      <c r="C520" s="269" t="inlineStr">
        <is>
          <t>Engineer</t>
        </is>
      </c>
      <c r="D520" s="260" t="inlineStr">
        <is>
          <t>vacant</t>
        </is>
      </c>
      <c r="E520" s="224" t="inlineStr">
        <is>
          <t>Technology Manager P&amp;C Platforms</t>
        </is>
      </c>
      <c r="F520" s="224" t="inlineStr">
        <is>
          <t>TDD Group Functions</t>
        </is>
      </c>
      <c r="G520" s="269" t="inlineStr">
        <is>
          <t>P&amp;C, Finance &amp; Legal</t>
        </is>
      </c>
      <c r="H520" s="260" t="inlineStr">
        <is>
          <t>Tech, P&amp;C Platforms</t>
        </is>
      </c>
      <c r="I520" s="260" t="inlineStr">
        <is>
          <t>P&amp;C</t>
        </is>
      </c>
      <c r="J520" s="260" t="inlineStr">
        <is>
          <t>P&amp;C</t>
        </is>
      </c>
      <c r="K520" s="260" t="inlineStr">
        <is>
          <t>P&amp;C RTA</t>
        </is>
      </c>
      <c r="L520" s="260" t="n"/>
      <c r="M520" s="261" t="n"/>
      <c r="N520" t="inlineStr">
        <is>
          <t>P&amp;C</t>
        </is>
      </c>
      <c r="O520" t="inlineStr">
        <is>
          <t>P&amp;C</t>
        </is>
      </c>
      <c r="P520" t="inlineStr">
        <is>
          <t>P&amp;C - RTA</t>
        </is>
      </c>
      <c r="Q520" t="inlineStr">
        <is>
          <t>Squad</t>
        </is>
      </c>
      <c r="R520" t="inlineStr">
        <is>
          <t>Vacant</t>
        </is>
      </c>
    </row>
    <row r="521" ht="18" customHeight="1" s="506">
      <c r="A521" s="259" t="n"/>
      <c r="B521" s="282" t="inlineStr">
        <is>
          <t>Vacant</t>
        </is>
      </c>
      <c r="C521" s="269" t="inlineStr">
        <is>
          <t>Quality Assurance</t>
        </is>
      </c>
      <c r="D521" s="260" t="inlineStr">
        <is>
          <t>vacant</t>
        </is>
      </c>
      <c r="E521" s="224" t="inlineStr">
        <is>
          <t>Technology Manager P&amp;C Platforms</t>
        </is>
      </c>
      <c r="F521" s="224" t="inlineStr">
        <is>
          <t>TDD Group Functions</t>
        </is>
      </c>
      <c r="G521" s="269" t="inlineStr">
        <is>
          <t>P&amp;C, Finance &amp; Legal</t>
        </is>
      </c>
      <c r="H521" s="260" t="inlineStr">
        <is>
          <t>Tech, P&amp;C Platforms</t>
        </is>
      </c>
      <c r="I521" s="260" t="inlineStr">
        <is>
          <t>P&amp;C</t>
        </is>
      </c>
      <c r="J521" s="260" t="inlineStr">
        <is>
          <t>P&amp;C</t>
        </is>
      </c>
      <c r="K521" s="260" t="inlineStr">
        <is>
          <t>P&amp;C RTA</t>
        </is>
      </c>
      <c r="L521" s="260" t="n"/>
      <c r="M521" s="261" t="n"/>
      <c r="N521" t="inlineStr">
        <is>
          <t>P&amp;C</t>
        </is>
      </c>
      <c r="O521" t="inlineStr">
        <is>
          <t>P&amp;C</t>
        </is>
      </c>
      <c r="P521" t="inlineStr">
        <is>
          <t>P&amp;C - RTA</t>
        </is>
      </c>
      <c r="Q521" t="inlineStr">
        <is>
          <t>Squad</t>
        </is>
      </c>
      <c r="R521" t="inlineStr">
        <is>
          <t>Vacant</t>
        </is>
      </c>
    </row>
    <row r="522" ht="18" customHeight="1" s="506">
      <c r="A522" s="259" t="n"/>
      <c r="B522" s="282" t="inlineStr">
        <is>
          <t>Vacant</t>
        </is>
      </c>
      <c r="C522" s="269" t="inlineStr">
        <is>
          <t>Business Analyst (P&amp;C RTA)</t>
        </is>
      </c>
      <c r="D522" s="260" t="inlineStr">
        <is>
          <t>Vacant</t>
        </is>
      </c>
      <c r="E522" s="269" t="inlineStr">
        <is>
          <t>Delivery Manager, P&amp;C, Finance &amp; Legal</t>
        </is>
      </c>
      <c r="F522" s="224" t="inlineStr">
        <is>
          <t>TDD Group Functions</t>
        </is>
      </c>
      <c r="G522" s="269" t="inlineStr">
        <is>
          <t>P&amp;C, Finance &amp; Legal</t>
        </is>
      </c>
      <c r="H522" s="260" t="inlineStr">
        <is>
          <t>Technology B2B</t>
        </is>
      </c>
      <c r="I522" s="260" t="inlineStr">
        <is>
          <t>P&amp;C</t>
        </is>
      </c>
      <c r="J522" s="260" t="inlineStr">
        <is>
          <t>P&amp;C</t>
        </is>
      </c>
      <c r="K522" s="260" t="inlineStr">
        <is>
          <t>P&amp;C RTA</t>
        </is>
      </c>
      <c r="L522" s="260" t="n"/>
      <c r="M522" s="261" t="n"/>
      <c r="N522" t="inlineStr">
        <is>
          <t>P&amp;C</t>
        </is>
      </c>
      <c r="O522" t="inlineStr">
        <is>
          <t>P&amp;C</t>
        </is>
      </c>
      <c r="P522" t="inlineStr">
        <is>
          <t>P&amp;C - RTA</t>
        </is>
      </c>
      <c r="Q522" t="inlineStr">
        <is>
          <t>Squad</t>
        </is>
      </c>
      <c r="R522" t="inlineStr">
        <is>
          <t>Vacant</t>
        </is>
      </c>
    </row>
    <row r="523" ht="18" customHeight="1" s="506">
      <c r="A523" s="259" t="n"/>
      <c r="B523" s="282" t="inlineStr">
        <is>
          <t>Vacant</t>
        </is>
      </c>
      <c r="C523" s="269" t="inlineStr">
        <is>
          <t>SAP Functional Specialist</t>
        </is>
      </c>
      <c r="D523" s="260" t="inlineStr">
        <is>
          <t>EE Lynn Yap</t>
        </is>
      </c>
      <c r="E523" s="269" t="inlineStr">
        <is>
          <t>SAP ERP Application Lead</t>
        </is>
      </c>
      <c r="F523" s="224" t="inlineStr">
        <is>
          <t>TDD Group Functions</t>
        </is>
      </c>
      <c r="G523" s="269" t="inlineStr">
        <is>
          <t>P&amp;C, Finance &amp; Legal</t>
        </is>
      </c>
      <c r="H523" s="260" t="inlineStr">
        <is>
          <t>Tech, Finance Platforms</t>
        </is>
      </c>
      <c r="I523" s="260" t="inlineStr">
        <is>
          <t>Finance</t>
        </is>
      </c>
      <c r="J523" s="260" t="inlineStr">
        <is>
          <t>AU Finance</t>
        </is>
      </c>
      <c r="K523" s="260" t="inlineStr">
        <is>
          <t>SAP ERP</t>
        </is>
      </c>
      <c r="L523" s="260" t="n"/>
      <c r="M523" s="261" t="n"/>
      <c r="N523" t="inlineStr">
        <is>
          <t>Finance</t>
        </is>
      </c>
      <c r="O523" t="inlineStr">
        <is>
          <t>AU Finance</t>
        </is>
      </c>
      <c r="P523" t="inlineStr">
        <is>
          <t>AU Finance</t>
        </is>
      </c>
      <c r="Q523" t="inlineStr">
        <is>
          <t>Squad</t>
        </is>
      </c>
      <c r="R523" t="inlineStr">
        <is>
          <t>Vacant</t>
        </is>
      </c>
    </row>
    <row r="524" ht="18" customHeight="1" s="506">
      <c r="A524" s="259" t="n"/>
      <c r="B524" s="282" t="inlineStr">
        <is>
          <t>Vacant</t>
        </is>
      </c>
      <c r="C524" s="269" t="inlineStr">
        <is>
          <t>SAP Functional Specialist</t>
        </is>
      </c>
      <c r="D524" s="260" t="inlineStr">
        <is>
          <t>Julma Bhagwani</t>
        </is>
      </c>
      <c r="E524" s="269" t="inlineStr">
        <is>
          <t>SAP ERP Application Lead</t>
        </is>
      </c>
      <c r="F524" s="224" t="inlineStr">
        <is>
          <t>TDD Group Functions</t>
        </is>
      </c>
      <c r="G524" s="269" t="inlineStr">
        <is>
          <t>P&amp;C, Finance &amp; Legal</t>
        </is>
      </c>
      <c r="H524" s="260" t="inlineStr">
        <is>
          <t>Tech, Finance Platforms</t>
        </is>
      </c>
      <c r="I524" s="260" t="inlineStr">
        <is>
          <t>Finance</t>
        </is>
      </c>
      <c r="J524" s="260" t="inlineStr">
        <is>
          <t>AU Finance</t>
        </is>
      </c>
      <c r="K524" s="260" t="inlineStr">
        <is>
          <t>SAP ERP</t>
        </is>
      </c>
      <c r="L524" s="260" t="n"/>
      <c r="M524" s="261" t="n"/>
      <c r="N524" t="inlineStr">
        <is>
          <t>Finance</t>
        </is>
      </c>
      <c r="O524" t="inlineStr">
        <is>
          <t>AU Finance</t>
        </is>
      </c>
      <c r="P524" t="inlineStr">
        <is>
          <t>AU Finance</t>
        </is>
      </c>
      <c r="Q524" t="inlineStr">
        <is>
          <t>Squad</t>
        </is>
      </c>
      <c r="R524" t="inlineStr">
        <is>
          <t>Vacant</t>
        </is>
      </c>
    </row>
    <row r="525" ht="18" customHeight="1" s="506">
      <c r="A525" s="259" t="n"/>
      <c r="B525" s="282" t="inlineStr">
        <is>
          <t>Vacant</t>
        </is>
      </c>
      <c r="C525" s="269" t="inlineStr">
        <is>
          <t>SAP Functional Specialist</t>
        </is>
      </c>
      <c r="D525" s="260" t="inlineStr">
        <is>
          <t>Maudud Chaudhury</t>
        </is>
      </c>
      <c r="E525" s="269" t="inlineStr">
        <is>
          <t>SAP ERP Application Lead</t>
        </is>
      </c>
      <c r="F525" s="224" t="inlineStr">
        <is>
          <t>TDD Group Functions</t>
        </is>
      </c>
      <c r="G525" s="269" t="inlineStr">
        <is>
          <t>P&amp;C, Finance &amp; Legal</t>
        </is>
      </c>
      <c r="H525" s="260" t="inlineStr">
        <is>
          <t>Tech, Finance Platforms</t>
        </is>
      </c>
      <c r="I525" s="260" t="inlineStr">
        <is>
          <t>Finance</t>
        </is>
      </c>
      <c r="J525" s="260" t="inlineStr">
        <is>
          <t>AU Finance</t>
        </is>
      </c>
      <c r="K525" s="260" t="inlineStr">
        <is>
          <t>SAP ERP</t>
        </is>
      </c>
      <c r="L525" s="260" t="n"/>
      <c r="M525" s="261" t="n"/>
      <c r="N525" t="inlineStr">
        <is>
          <t>Finance</t>
        </is>
      </c>
      <c r="O525" t="inlineStr">
        <is>
          <t>AU Finance</t>
        </is>
      </c>
      <c r="P525" t="inlineStr">
        <is>
          <t>AU Finance</t>
        </is>
      </c>
      <c r="Q525" t="inlineStr">
        <is>
          <t>Squad</t>
        </is>
      </c>
      <c r="R525" t="inlineStr">
        <is>
          <t>Vacant</t>
        </is>
      </c>
    </row>
    <row r="526" ht="18" customHeight="1" s="506">
      <c r="A526" s="259" t="n">
        <v>4251</v>
      </c>
      <c r="B526" s="269" t="inlineStr">
        <is>
          <t>Maudud Chaudhury</t>
        </is>
      </c>
      <c r="C526" s="269" t="inlineStr">
        <is>
          <t>SAP ERP Application Lead</t>
        </is>
      </c>
      <c r="D526" s="260" t="inlineStr">
        <is>
          <t>Shane Ker</t>
        </is>
      </c>
      <c r="E526" s="269" t="inlineStr">
        <is>
          <t>Technology Manager Finance Platforms</t>
        </is>
      </c>
      <c r="F526" s="224" t="inlineStr">
        <is>
          <t>TDD Group Functions</t>
        </is>
      </c>
      <c r="G526" s="269" t="inlineStr">
        <is>
          <t>P&amp;C, Finance &amp; Legal</t>
        </is>
      </c>
      <c r="H526" s="260" t="inlineStr">
        <is>
          <t>Tech, Finance Platforms</t>
        </is>
      </c>
      <c r="I526" s="260" t="inlineStr">
        <is>
          <t>Finance</t>
        </is>
      </c>
      <c r="J526" s="260" t="inlineStr">
        <is>
          <t>AU Finance</t>
        </is>
      </c>
      <c r="K526" s="260" t="inlineStr">
        <is>
          <t>SAP ERP</t>
        </is>
      </c>
      <c r="L526" s="260" t="n"/>
      <c r="M526" s="261" t="inlineStr">
        <is>
          <t>Australia</t>
        </is>
      </c>
      <c r="N526" t="inlineStr">
        <is>
          <t>Finance</t>
        </is>
      </c>
      <c r="O526" t="inlineStr">
        <is>
          <t>AU Finance</t>
        </is>
      </c>
      <c r="P526" t="inlineStr">
        <is>
          <t>AU Finance</t>
        </is>
      </c>
      <c r="Q526" t="inlineStr">
        <is>
          <t>Squad</t>
        </is>
      </c>
      <c r="R526" t="inlineStr">
        <is>
          <t>Filled</t>
        </is>
      </c>
    </row>
    <row r="527" ht="18" customHeight="1" s="506">
      <c r="A527" s="259" t="n"/>
      <c r="B527" s="282" t="inlineStr">
        <is>
          <t>Vacant</t>
        </is>
      </c>
      <c r="C527" s="269" t="inlineStr">
        <is>
          <t>Solution Architect - Finance</t>
        </is>
      </c>
      <c r="D527" s="260" t="inlineStr">
        <is>
          <t>Shane Ker</t>
        </is>
      </c>
      <c r="E527" s="269" t="inlineStr">
        <is>
          <t>Technology Manager Finance Platforms</t>
        </is>
      </c>
      <c r="F527" s="224" t="inlineStr">
        <is>
          <t>TDD Group Functions</t>
        </is>
      </c>
      <c r="G527" s="269" t="inlineStr">
        <is>
          <t>P&amp;C, Finance &amp; Legal</t>
        </is>
      </c>
      <c r="H527" s="260" t="inlineStr">
        <is>
          <t>Tech, Finance Platforms</t>
        </is>
      </c>
      <c r="I527" s="260" t="inlineStr">
        <is>
          <t>Finance</t>
        </is>
      </c>
      <c r="J527" s="260" t="inlineStr">
        <is>
          <t>AU Finance</t>
        </is>
      </c>
      <c r="K527" s="260" t="inlineStr">
        <is>
          <t>SAP ERP</t>
        </is>
      </c>
      <c r="L527" s="260" t="n"/>
      <c r="M527" s="261" t="n"/>
      <c r="N527" t="inlineStr">
        <is>
          <t>Finance</t>
        </is>
      </c>
      <c r="O527" t="inlineStr">
        <is>
          <t>AU Finance</t>
        </is>
      </c>
      <c r="P527" t="inlineStr">
        <is>
          <t>AU Finance</t>
        </is>
      </c>
      <c r="Q527" t="inlineStr">
        <is>
          <t>Squad</t>
        </is>
      </c>
      <c r="R527" t="inlineStr">
        <is>
          <t>Vacant</t>
        </is>
      </c>
    </row>
    <row r="528" ht="18" customHeight="1" s="506">
      <c r="A528" s="259" t="n">
        <v>11241</v>
      </c>
      <c r="B528" s="269" t="inlineStr">
        <is>
          <t>Julma Bhagwani</t>
        </is>
      </c>
      <c r="C528" s="269" t="inlineStr">
        <is>
          <t>SAP ERP Application Lead</t>
        </is>
      </c>
      <c r="D528" s="260" t="inlineStr">
        <is>
          <t>Shane Ker</t>
        </is>
      </c>
      <c r="E528" s="269" t="inlineStr">
        <is>
          <t>Technology Manager Finance Platforms</t>
        </is>
      </c>
      <c r="F528" s="224" t="inlineStr">
        <is>
          <t>TDD Group Functions</t>
        </is>
      </c>
      <c r="G528" s="269" t="inlineStr">
        <is>
          <t>P&amp;C, Finance &amp; Legal</t>
        </is>
      </c>
      <c r="H528" s="260" t="inlineStr">
        <is>
          <t>Tech, Finance Platforms</t>
        </is>
      </c>
      <c r="I528" s="260" t="inlineStr">
        <is>
          <t>Finance</t>
        </is>
      </c>
      <c r="J528" s="260" t="inlineStr">
        <is>
          <t>AU Finance</t>
        </is>
      </c>
      <c r="K528" s="260" t="inlineStr">
        <is>
          <t>SAP ERP</t>
        </is>
      </c>
      <c r="L528" s="260" t="n"/>
      <c r="M528" s="261" t="inlineStr">
        <is>
          <t>Australia</t>
        </is>
      </c>
      <c r="N528" t="inlineStr">
        <is>
          <t>Finance</t>
        </is>
      </c>
      <c r="O528" t="inlineStr">
        <is>
          <t>AU Finance</t>
        </is>
      </c>
      <c r="P528" t="inlineStr">
        <is>
          <t>AU Finance</t>
        </is>
      </c>
      <c r="Q528" t="inlineStr">
        <is>
          <t>Squad</t>
        </is>
      </c>
      <c r="R528" t="inlineStr">
        <is>
          <t>Filled</t>
        </is>
      </c>
    </row>
    <row r="529" ht="18" customHeight="1" s="506">
      <c r="A529" s="259" t="n"/>
      <c r="B529" s="282" t="inlineStr">
        <is>
          <t xml:space="preserve">Vacant </t>
        </is>
      </c>
      <c r="C529" s="269" t="inlineStr">
        <is>
          <t>Integration Specialist (ASAPIO CTRM)</t>
        </is>
      </c>
      <c r="D529" s="260" t="inlineStr">
        <is>
          <t>Vacant</t>
        </is>
      </c>
      <c r="E529" s="269" t="inlineStr">
        <is>
          <t>Technology Manager Finance Platforms</t>
        </is>
      </c>
      <c r="F529" s="224" t="inlineStr">
        <is>
          <t>TDD Group Functions</t>
        </is>
      </c>
      <c r="G529" s="269" t="inlineStr">
        <is>
          <t>P&amp;C, Finance &amp; Legal</t>
        </is>
      </c>
      <c r="H529" s="260" t="inlineStr">
        <is>
          <t>Tech, Finance Platforms</t>
        </is>
      </c>
      <c r="I529" s="260" t="inlineStr">
        <is>
          <t>Finance</t>
        </is>
      </c>
      <c r="J529" s="260" t="inlineStr">
        <is>
          <t>AU Finance</t>
        </is>
      </c>
      <c r="K529" s="260" t="inlineStr">
        <is>
          <t>SAP ERP</t>
        </is>
      </c>
      <c r="L529" s="260" t="n"/>
      <c r="M529" s="261" t="n"/>
      <c r="N529" t="inlineStr">
        <is>
          <t>Finance</t>
        </is>
      </c>
      <c r="O529" t="inlineStr">
        <is>
          <t>AU Finance</t>
        </is>
      </c>
      <c r="P529" t="inlineStr">
        <is>
          <t>AU Finance</t>
        </is>
      </c>
      <c r="Q529" t="inlineStr">
        <is>
          <t>Squad</t>
        </is>
      </c>
      <c r="R529" t="inlineStr">
        <is>
          <t>Vacant</t>
        </is>
      </c>
    </row>
    <row r="530" ht="18" customHeight="1" s="506">
      <c r="A530" s="259" t="n"/>
      <c r="B530" s="282" t="inlineStr">
        <is>
          <t>Vacant</t>
        </is>
      </c>
      <c r="C530" s="269" t="inlineStr">
        <is>
          <t>SAP Functional Specialist</t>
        </is>
      </c>
      <c r="D530" s="260" t="inlineStr">
        <is>
          <t>Vacant</t>
        </is>
      </c>
      <c r="E530" s="269" t="inlineStr">
        <is>
          <t>Technology Manager Finance Platforms</t>
        </is>
      </c>
      <c r="F530" s="224" t="inlineStr">
        <is>
          <t>TDD Group Functions</t>
        </is>
      </c>
      <c r="G530" s="269" t="inlineStr">
        <is>
          <t>P&amp;C, Finance &amp; Legal</t>
        </is>
      </c>
      <c r="H530" s="260" t="inlineStr">
        <is>
          <t>Tech, Finance Platforms</t>
        </is>
      </c>
      <c r="I530" s="260" t="inlineStr">
        <is>
          <t>Finance</t>
        </is>
      </c>
      <c r="J530" s="260" t="inlineStr">
        <is>
          <t>AU Finance</t>
        </is>
      </c>
      <c r="K530" s="260" t="inlineStr">
        <is>
          <t>SAP ERP</t>
        </is>
      </c>
      <c r="L530" s="260" t="n"/>
      <c r="M530" s="261" t="n"/>
      <c r="N530" t="inlineStr">
        <is>
          <t>Finance</t>
        </is>
      </c>
      <c r="O530" t="inlineStr">
        <is>
          <t>AU Finance</t>
        </is>
      </c>
      <c r="P530" t="inlineStr">
        <is>
          <t>AU Finance</t>
        </is>
      </c>
      <c r="Q530" t="inlineStr">
        <is>
          <t>Squad</t>
        </is>
      </c>
      <c r="R530" t="inlineStr">
        <is>
          <t>Vacant</t>
        </is>
      </c>
    </row>
    <row r="531" ht="18" customHeight="1" s="506">
      <c r="A531" s="259" t="n"/>
      <c r="B531" s="282" t="inlineStr">
        <is>
          <t>Vacant</t>
        </is>
      </c>
      <c r="C531" s="269" t="inlineStr">
        <is>
          <t>Delivery Lead (SAP)</t>
        </is>
      </c>
      <c r="D531" s="260" t="inlineStr">
        <is>
          <t>Vacant</t>
        </is>
      </c>
      <c r="E531" s="269" t="inlineStr">
        <is>
          <t>Delivery Manager, P&amp;C, Finance &amp; Legal</t>
        </is>
      </c>
      <c r="F531" s="224" t="inlineStr">
        <is>
          <t>TDD Group Functions</t>
        </is>
      </c>
      <c r="G531" s="269" t="inlineStr">
        <is>
          <t>P&amp;C, Finance &amp; Legal</t>
        </is>
      </c>
      <c r="H531" s="260" t="inlineStr">
        <is>
          <t>Delivery, P&amp;C, Finance &amp; Legal</t>
        </is>
      </c>
      <c r="I531" s="260" t="inlineStr">
        <is>
          <t>Finance</t>
        </is>
      </c>
      <c r="J531" s="260" t="inlineStr">
        <is>
          <t>AU Finance</t>
        </is>
      </c>
      <c r="K531" s="260" t="inlineStr">
        <is>
          <t>SAP ERP</t>
        </is>
      </c>
      <c r="L531" s="260" t="n"/>
      <c r="M531" s="261" t="n"/>
      <c r="N531" t="inlineStr">
        <is>
          <t>Finance</t>
        </is>
      </c>
      <c r="O531" t="inlineStr">
        <is>
          <t>AU Finance</t>
        </is>
      </c>
      <c r="P531" t="inlineStr">
        <is>
          <t>AU Finance</t>
        </is>
      </c>
      <c r="Q531" t="inlineStr">
        <is>
          <t>Squad</t>
        </is>
      </c>
      <c r="R531" t="inlineStr">
        <is>
          <t>Vacant</t>
        </is>
      </c>
    </row>
    <row r="532" ht="18" customHeight="1" s="506">
      <c r="A532" s="259" t="n">
        <v>99999101446</v>
      </c>
      <c r="B532" s="224" t="inlineStr">
        <is>
          <t>Rob Struthers</t>
        </is>
      </c>
      <c r="C532" s="224" t="inlineStr">
        <is>
          <t>Engineer - Modern Workplaces</t>
        </is>
      </c>
      <c r="D532" s="260" t="inlineStr">
        <is>
          <t>Vacant</t>
        </is>
      </c>
      <c r="E532" s="224" t="inlineStr">
        <is>
          <t>Technology Manager, Enterprise Tooling</t>
        </is>
      </c>
      <c r="F532" s="224" t="inlineStr">
        <is>
          <t>TDD Group Functions</t>
        </is>
      </c>
      <c r="G532" s="260" t="inlineStr">
        <is>
          <t xml:space="preserve">TDD &amp; Engineering </t>
        </is>
      </c>
      <c r="H532" s="224" t="inlineStr">
        <is>
          <t>Workplace &amp; Enterprise Tooling</t>
        </is>
      </c>
      <c r="I532" s="224" t="inlineStr">
        <is>
          <t>TDD</t>
        </is>
      </c>
      <c r="J532" s="260" t="inlineStr">
        <is>
          <t>TDD</t>
        </is>
      </c>
      <c r="K532" s="260" t="inlineStr">
        <is>
          <t>Workplace &amp; Enterprise Tooling</t>
        </is>
      </c>
      <c r="L532" s="260" t="n"/>
      <c r="M532" s="261" t="inlineStr">
        <is>
          <t>NZ</t>
        </is>
      </c>
      <c r="N532" t="inlineStr">
        <is>
          <t>TDD Group Functions</t>
        </is>
      </c>
      <c r="O532" t="inlineStr">
        <is>
          <t>TDD Group Functions</t>
        </is>
      </c>
      <c r="P532" t="inlineStr">
        <is>
          <t>Workplace &amp; Enterprise Tooling</t>
        </is>
      </c>
      <c r="Q532" t="inlineStr">
        <is>
          <t>Squad</t>
        </is>
      </c>
      <c r="R532" t="inlineStr">
        <is>
          <t>Filled</t>
        </is>
      </c>
    </row>
    <row r="533" ht="18" customHeight="1" s="506">
      <c r="A533" s="259" t="n">
        <v>99999101229</v>
      </c>
      <c r="B533" s="224" t="inlineStr">
        <is>
          <t>Billie Connolly</t>
        </is>
      </c>
      <c r="C533" s="224" t="inlineStr">
        <is>
          <t>Engineer - Modern Workplaces</t>
        </is>
      </c>
      <c r="D533" s="260" t="inlineStr">
        <is>
          <t>Vacant</t>
        </is>
      </c>
      <c r="E533" s="224" t="inlineStr">
        <is>
          <t>Technology Manager, Workplace and Enterprise Tooling</t>
        </is>
      </c>
      <c r="F533" s="224" t="inlineStr">
        <is>
          <t>TDD Group Functions</t>
        </is>
      </c>
      <c r="G533" s="260" t="inlineStr">
        <is>
          <t xml:space="preserve">TDD &amp; Engineering </t>
        </is>
      </c>
      <c r="H533" s="224" t="inlineStr">
        <is>
          <t>Workplace &amp; Enterprise Tooling</t>
        </is>
      </c>
      <c r="I533" s="224" t="inlineStr">
        <is>
          <t>TDD</t>
        </is>
      </c>
      <c r="J533" s="260" t="inlineStr">
        <is>
          <t>TDD</t>
        </is>
      </c>
      <c r="K533" s="260" t="inlineStr">
        <is>
          <t>Workplace &amp; Enterprise Tooling</t>
        </is>
      </c>
      <c r="L533" s="260" t="n"/>
      <c r="M533" s="261" t="inlineStr">
        <is>
          <t>NZ</t>
        </is>
      </c>
      <c r="N533" t="inlineStr">
        <is>
          <t>TDD Group Functions</t>
        </is>
      </c>
      <c r="O533" t="inlineStr">
        <is>
          <t>TDD Group Functions</t>
        </is>
      </c>
      <c r="P533" t="inlineStr">
        <is>
          <t>Workplace &amp; Enterprise Tooling</t>
        </is>
      </c>
      <c r="Q533" t="inlineStr">
        <is>
          <t>Squad</t>
        </is>
      </c>
      <c r="R533" t="inlineStr">
        <is>
          <t>Filled</t>
        </is>
      </c>
    </row>
    <row r="534" ht="18" customHeight="1" s="506">
      <c r="A534" s="259" t="n"/>
      <c r="B534" s="282" t="inlineStr">
        <is>
          <t>Vacant</t>
        </is>
      </c>
      <c r="C534" s="269" t="inlineStr">
        <is>
          <t>Business Analyst (Workplace &amp; Enterprise Tooling)</t>
        </is>
      </c>
      <c r="D534" s="260" t="inlineStr">
        <is>
          <t>vacant</t>
        </is>
      </c>
      <c r="E534" s="269" t="inlineStr">
        <is>
          <t xml:space="preserve">Delivery Manager </t>
        </is>
      </c>
      <c r="F534" s="224" t="inlineStr">
        <is>
          <t>TDD Group Functions</t>
        </is>
      </c>
      <c r="G534" s="260" t="inlineStr">
        <is>
          <t>TDD &amp; Engineering</t>
        </is>
      </c>
      <c r="H534" s="224" t="inlineStr">
        <is>
          <t>Delivery, TDD &amp; Engineering</t>
        </is>
      </c>
      <c r="I534" s="224" t="inlineStr">
        <is>
          <t>TDD</t>
        </is>
      </c>
      <c r="J534" s="260" t="inlineStr">
        <is>
          <t>TDD</t>
        </is>
      </c>
      <c r="K534" s="260" t="inlineStr">
        <is>
          <t>Workplace &amp; Enterprise Tooling</t>
        </is>
      </c>
      <c r="L534" s="260" t="n"/>
      <c r="M534" s="261" t="n"/>
      <c r="N534" t="inlineStr">
        <is>
          <t>TDD Group Functions</t>
        </is>
      </c>
      <c r="O534" t="inlineStr">
        <is>
          <t>TDD Group Functions</t>
        </is>
      </c>
      <c r="P534" t="inlineStr">
        <is>
          <t>Workplace &amp; Enterprise Tooling</t>
        </is>
      </c>
      <c r="Q534" t="inlineStr">
        <is>
          <t>Squad</t>
        </is>
      </c>
      <c r="R534" t="inlineStr">
        <is>
          <t>Vacant</t>
        </is>
      </c>
    </row>
    <row r="535" ht="18" customHeight="1" s="506">
      <c r="A535" s="259" t="n">
        <v>95018</v>
      </c>
      <c r="B535" s="224" t="inlineStr">
        <is>
          <t>Ken Thomson</t>
        </is>
      </c>
      <c r="C535" s="224" t="inlineStr">
        <is>
          <t>Servicenow Platform Specialist</t>
        </is>
      </c>
      <c r="D535" s="260" t="inlineStr">
        <is>
          <t>Vacant</t>
        </is>
      </c>
      <c r="E535" s="224" t="inlineStr">
        <is>
          <t>Technology Manager, Workplace and Enterprise Tooling</t>
        </is>
      </c>
      <c r="F535" s="224" t="inlineStr">
        <is>
          <t>TDD Group Functions</t>
        </is>
      </c>
      <c r="G535" s="260" t="inlineStr">
        <is>
          <t xml:space="preserve">TDD &amp; Engineering </t>
        </is>
      </c>
      <c r="H535" s="224" t="inlineStr">
        <is>
          <t>Workplace &amp; Enterprise Tooling</t>
        </is>
      </c>
      <c r="I535" s="224" t="inlineStr">
        <is>
          <t>TDD</t>
        </is>
      </c>
      <c r="J535" s="260" t="inlineStr">
        <is>
          <t>TDD</t>
        </is>
      </c>
      <c r="K535" s="260" t="inlineStr">
        <is>
          <t>Workplace &amp; Enterprise Tooling</t>
        </is>
      </c>
      <c r="L535" s="260" t="n"/>
      <c r="M535" s="261" t="inlineStr">
        <is>
          <t>Australia</t>
        </is>
      </c>
      <c r="N535" t="inlineStr">
        <is>
          <t>TDD Group Functions</t>
        </is>
      </c>
      <c r="O535" t="inlineStr">
        <is>
          <t>TDD Group Functions</t>
        </is>
      </c>
      <c r="P535" t="inlineStr">
        <is>
          <t>Workplace &amp; Enterprise Tooling</t>
        </is>
      </c>
      <c r="Q535" t="inlineStr">
        <is>
          <t>Squad</t>
        </is>
      </c>
      <c r="R535" t="inlineStr">
        <is>
          <t>Filled</t>
        </is>
      </c>
    </row>
    <row r="536" ht="18" customHeight="1" s="506">
      <c r="A536" s="259" t="n">
        <v>106024</v>
      </c>
      <c r="B536" s="224" t="inlineStr">
        <is>
          <t>Nicholas McKay</t>
        </is>
      </c>
      <c r="C536" s="224" t="inlineStr">
        <is>
          <t>Workplace Tooling Specialist</t>
        </is>
      </c>
      <c r="D536" s="260" t="inlineStr">
        <is>
          <t>Vacant</t>
        </is>
      </c>
      <c r="E536" s="224" t="inlineStr">
        <is>
          <t>Technology Manager, Workplace and Enterprise Tooling</t>
        </is>
      </c>
      <c r="F536" s="224" t="inlineStr">
        <is>
          <t>TDD Group Functions</t>
        </is>
      </c>
      <c r="G536" s="260" t="inlineStr">
        <is>
          <t xml:space="preserve">TDD &amp; Engineering </t>
        </is>
      </c>
      <c r="H536" s="224" t="inlineStr">
        <is>
          <t>Workplace &amp; Enterprise Tooling</t>
        </is>
      </c>
      <c r="I536" s="224" t="inlineStr">
        <is>
          <t>TDD</t>
        </is>
      </c>
      <c r="J536" s="260" t="inlineStr">
        <is>
          <t>TDD</t>
        </is>
      </c>
      <c r="K536" s="260" t="inlineStr">
        <is>
          <t>Workplace &amp; Enterprise Tooling</t>
        </is>
      </c>
      <c r="L536" s="260" t="n"/>
      <c r="M536" s="261" t="inlineStr">
        <is>
          <t>Australia</t>
        </is>
      </c>
      <c r="N536" t="inlineStr">
        <is>
          <t>TDD Group Functions</t>
        </is>
      </c>
      <c r="O536" t="inlineStr">
        <is>
          <t>TDD Group Functions</t>
        </is>
      </c>
      <c r="P536" t="inlineStr">
        <is>
          <t>Workplace &amp; Enterprise Tooling</t>
        </is>
      </c>
      <c r="Q536" t="inlineStr">
        <is>
          <t>Squad</t>
        </is>
      </c>
      <c r="R536" t="inlineStr">
        <is>
          <t>Filled</t>
        </is>
      </c>
    </row>
    <row r="537" ht="18" customHeight="1" s="506">
      <c r="A537" s="259" t="n"/>
      <c r="B537" s="282" t="inlineStr">
        <is>
          <t>Vacant</t>
        </is>
      </c>
      <c r="C537" s="269" t="inlineStr">
        <is>
          <t>Enterprise Systems Specialist</t>
        </is>
      </c>
      <c r="D537" s="260" t="inlineStr">
        <is>
          <t>Vacant</t>
        </is>
      </c>
      <c r="E537" s="224" t="inlineStr">
        <is>
          <t>Technology Manager, Workplace and Enterprise Tooling</t>
        </is>
      </c>
      <c r="F537" s="224" t="inlineStr">
        <is>
          <t>TDD Group Functions</t>
        </is>
      </c>
      <c r="G537" s="260" t="inlineStr">
        <is>
          <t xml:space="preserve">TDD &amp; Engineering </t>
        </is>
      </c>
      <c r="H537" s="224" t="inlineStr">
        <is>
          <t>Workplace &amp; Enterprise Tooling</t>
        </is>
      </c>
      <c r="I537" s="224" t="inlineStr">
        <is>
          <t>TDD</t>
        </is>
      </c>
      <c r="J537" s="260" t="inlineStr">
        <is>
          <t>TDD</t>
        </is>
      </c>
      <c r="K537" s="260" t="inlineStr">
        <is>
          <t>Workplace &amp; Enterprise Tooling</t>
        </is>
      </c>
      <c r="L537" s="260" t="n"/>
      <c r="M537" s="261" t="n"/>
      <c r="N537" t="inlineStr">
        <is>
          <t>TDD Group Functions</t>
        </is>
      </c>
      <c r="O537" t="inlineStr">
        <is>
          <t>TDD Group Functions</t>
        </is>
      </c>
      <c r="P537" t="inlineStr">
        <is>
          <t>Workplace &amp; Enterprise Tooling</t>
        </is>
      </c>
      <c r="Q537" t="inlineStr">
        <is>
          <t>Squad</t>
        </is>
      </c>
      <c r="R537" t="inlineStr">
        <is>
          <t>Vacant</t>
        </is>
      </c>
    </row>
    <row r="538" ht="18" customHeight="1" s="506">
      <c r="A538" s="259" t="n">
        <v>99999102124</v>
      </c>
      <c r="B538" s="224" t="n"/>
      <c r="C538" s="224" t="n"/>
      <c r="D538" s="224" t="inlineStr">
        <is>
          <t>Vacant</t>
        </is>
      </c>
      <c r="E538" s="224" t="n"/>
      <c r="F538" s="224" t="n"/>
      <c r="G538" s="260" t="n"/>
      <c r="H538" s="224" t="n"/>
      <c r="I538" s="260" t="n"/>
      <c r="J538" s="224" t="n"/>
      <c r="K538" s="224" t="n"/>
      <c r="L538" s="260" t="n"/>
      <c r="M538" s="261" t="inlineStr">
        <is>
          <t>NZ</t>
        </is>
      </c>
    </row>
  </sheetData>
  <autoFilter ref="A1:XEV538"/>
  <pageMargins left="0.75" right="0.75" top="1" bottom="1" header="0.5" footer="0.5"/>
  <headerFooter>
    <oddHeader>&amp;L&amp;"Aptos"&amp;1 &amp;K000000 Restricted#_x000d_</oddHeader>
    <oddFooter/>
    <evenHeader/>
    <evenFooter/>
    <firstHeader/>
    <firstFooter/>
  </headerFooter>
</worksheet>
</file>

<file path=xl/worksheets/sheet46.xml><?xml version="1.0" encoding="utf-8"?>
<worksheet xmlns="http://schemas.openxmlformats.org/spreadsheetml/2006/main">
  <sheetPr filterMode="1">
    <tabColor rgb="00375623"/>
    <outlinePr summaryBelow="1" summaryRight="1"/>
    <pageSetUpPr/>
  </sheetPr>
  <dimension ref="A1:AG572"/>
  <sheetViews>
    <sheetView showGridLines="0" zoomScale="78" zoomScaleNormal="78" workbookViewId="0">
      <pane xSplit="2" ySplit="1" topLeftCell="G272" activePane="bottomRight" state="frozen"/>
      <selection pane="topRight" activeCell="D1" sqref="D1"/>
      <selection pane="bottomLeft" activeCell="A2" sqref="A2"/>
      <selection pane="bottomRight" activeCell="G280" sqref="A280:G280"/>
    </sheetView>
  </sheetViews>
  <sheetFormatPr baseColWidth="8" defaultColWidth="8.7265625" defaultRowHeight="18" customHeight="1" outlineLevelCol="0"/>
  <cols>
    <col width="16.26953125" customWidth="1" style="420" min="1" max="1"/>
    <col width="20.7265625" customWidth="1" style="328" min="2" max="2"/>
    <col width="26.81640625" customWidth="1" style="421" min="3" max="3"/>
    <col width="19.453125" customWidth="1" style="328" min="4" max="4"/>
    <col width="37.453125" customWidth="1" style="328" min="5" max="5"/>
    <col width="37" customWidth="1" style="328" min="6" max="6"/>
    <col width="30.54296875" bestFit="1" customWidth="1" style="328" min="7" max="7"/>
    <col width="33" bestFit="1" customWidth="1" style="328" min="8" max="8"/>
    <col width="23.453125" customWidth="1" style="328" min="9" max="9"/>
    <col width="23.26953125" customWidth="1" style="328" min="10" max="10"/>
    <col width="17.1796875" customWidth="1" style="328" min="11" max="11"/>
    <col width="6.54296875" customWidth="1" style="328" min="12" max="12"/>
    <col width="9.453125" customWidth="1" style="328" min="13" max="13"/>
    <col width="8.26953125" customWidth="1" style="341" min="14" max="14"/>
    <col width="8.7265625" customWidth="1" style="341" min="15" max="15"/>
    <col width="17.1796875" customWidth="1" style="341" min="16" max="16"/>
    <col width="16.453125" customWidth="1" style="341" min="17" max="17"/>
    <col width="10.1796875" customWidth="1" style="341" min="18" max="18"/>
    <col width="8.7265625" customWidth="1" style="341" min="19" max="19"/>
    <col width="14.81640625" customWidth="1" style="341" min="20" max="20"/>
    <col width="15.1796875" customWidth="1" style="341" min="21" max="21"/>
    <col width="14.81640625" customWidth="1" style="341" min="22" max="24"/>
    <col width="14.81640625" customWidth="1" style="328" min="25" max="25"/>
    <col width="14.81640625" customWidth="1" style="341" min="26" max="26"/>
    <col width="14.81640625" customWidth="1" style="328" min="27" max="27"/>
    <col width="8.7265625" customWidth="1" style="328" min="28" max="28"/>
    <col width="8.7265625" customWidth="1" style="328" min="29" max="16384"/>
  </cols>
  <sheetData>
    <row r="1" ht="41.5" customFormat="1" customHeight="1" s="316">
      <c r="A1" s="251" t="inlineStr">
        <is>
          <t>EE Number</t>
        </is>
      </c>
      <c r="B1" s="252" t="inlineStr">
        <is>
          <t>Name</t>
        </is>
      </c>
      <c r="C1" s="252" t="inlineStr">
        <is>
          <t>Position Title</t>
        </is>
      </c>
      <c r="D1" s="252" t="inlineStr">
        <is>
          <t>Reports to name</t>
        </is>
      </c>
      <c r="E1" s="252" t="inlineStr">
        <is>
          <t>Reports to Position</t>
        </is>
      </c>
      <c r="F1" s="306" t="inlineStr">
        <is>
          <t>Division (GM)</t>
        </is>
      </c>
      <c r="G1" s="307" t="inlineStr">
        <is>
          <t>Department (GM-1)</t>
        </is>
      </c>
      <c r="H1" s="307" t="inlineStr">
        <is>
          <t>Team (GM-2)</t>
        </is>
      </c>
      <c r="I1" s="308" t="inlineStr">
        <is>
          <t>Portfolio</t>
        </is>
      </c>
      <c r="J1" s="256" t="inlineStr">
        <is>
          <t>Platform</t>
        </is>
      </c>
      <c r="K1" s="308" t="inlineStr">
        <is>
          <t>Squad</t>
        </is>
      </c>
      <c r="L1" s="308" t="inlineStr">
        <is>
          <t>CC</t>
        </is>
      </c>
      <c r="M1" s="257" t="inlineStr">
        <is>
          <t>Country</t>
        </is>
      </c>
      <c r="N1" s="309" t="inlineStr">
        <is>
          <t>Job Level</t>
        </is>
      </c>
      <c r="O1" s="309" t="inlineStr">
        <is>
          <t>FTE</t>
        </is>
      </c>
      <c r="P1" s="309" t="n"/>
      <c r="Q1" s="309" t="inlineStr">
        <is>
          <t>Type</t>
        </is>
      </c>
      <c r="R1" s="310" t="inlineStr">
        <is>
          <t>Unit</t>
        </is>
      </c>
      <c r="S1" s="310" t="inlineStr">
        <is>
          <t>day rate</t>
        </is>
      </c>
      <c r="T1" s="311" t="inlineStr">
        <is>
          <t>FTE Base
 Local</t>
        </is>
      </c>
      <c r="U1" s="312" t="inlineStr">
        <is>
          <t>FTE Base 
AUD</t>
        </is>
      </c>
      <c r="V1" s="313" t="inlineStr">
        <is>
          <t>STI</t>
        </is>
      </c>
      <c r="W1" s="314" t="inlineStr">
        <is>
          <t>Payroll</t>
        </is>
      </c>
      <c r="X1" s="314" t="inlineStr">
        <is>
          <t>Pensions</t>
        </is>
      </c>
      <c r="Y1" s="314" t="inlineStr">
        <is>
          <t>medical</t>
        </is>
      </c>
      <c r="Z1" s="314" t="inlineStr">
        <is>
          <t>CPI</t>
        </is>
      </c>
      <c r="AA1" s="315" t="inlineStr">
        <is>
          <t>Full Cost 
AUD</t>
        </is>
      </c>
      <c r="AB1" s="316" t="inlineStr">
        <is>
          <t>MyHR ee no</t>
        </is>
      </c>
      <c r="AC1" s="252" t="inlineStr">
        <is>
          <t>Model Portfolio</t>
        </is>
      </c>
      <c r="AD1" s="252" t="inlineStr">
        <is>
          <t>Model Platform</t>
        </is>
      </c>
      <c r="AE1" s="252" t="inlineStr">
        <is>
          <t>Model Squad</t>
        </is>
      </c>
      <c r="AF1" s="252" t="inlineStr">
        <is>
          <t>Class</t>
        </is>
      </c>
      <c r="AG1" s="252" t="inlineStr">
        <is>
          <t>Status</t>
        </is>
      </c>
    </row>
    <row r="2" hidden="1" ht="18" customHeight="1" s="506">
      <c r="A2" s="259" t="n">
        <v>99999101533</v>
      </c>
      <c r="B2" s="224" t="inlineStr">
        <is>
          <t>Adrian Alcance</t>
        </is>
      </c>
      <c r="C2" s="317" t="inlineStr">
        <is>
          <t>Senior Engineer - DevOps</t>
        </is>
      </c>
      <c r="D2" s="224" t="inlineStr">
        <is>
          <t>Vacant</t>
        </is>
      </c>
      <c r="E2" s="224" t="inlineStr">
        <is>
          <t>Technology Manager, Engineering</t>
        </is>
      </c>
      <c r="F2" s="224" t="inlineStr">
        <is>
          <t>Ampol Retail &amp; Z</t>
        </is>
      </c>
      <c r="G2" s="224" t="inlineStr">
        <is>
          <t>Z &amp; Group Retail</t>
        </is>
      </c>
      <c r="H2" s="224" t="inlineStr">
        <is>
          <t>Z &amp; Group Retail, Engineering</t>
        </is>
      </c>
      <c r="I2" s="224" t="inlineStr">
        <is>
          <t>Z</t>
        </is>
      </c>
      <c r="J2" s="224" t="inlineStr">
        <is>
          <t>Z Customer</t>
        </is>
      </c>
      <c r="K2" s="224" t="inlineStr">
        <is>
          <t xml:space="preserve">Z Retail Backend </t>
        </is>
      </c>
      <c r="L2" s="318" t="n"/>
      <c r="M2" s="319" t="inlineStr">
        <is>
          <t>NZ</t>
        </is>
      </c>
      <c r="N2" s="320" t="inlineStr">
        <is>
          <t>CIA</t>
        </is>
      </c>
      <c r="O2" s="321" t="n">
        <v>1</v>
      </c>
      <c r="P2" s="320" t="n"/>
      <c r="Q2" s="321" t="inlineStr">
        <is>
          <t>Permanent - Full Time</t>
        </is>
      </c>
      <c r="R2" s="322" t="n"/>
      <c r="S2" s="322" t="n"/>
      <c r="T2" s="322" t="n">
        <v>123710</v>
      </c>
      <c r="U2" s="699" t="n">
        <v>113813.2</v>
      </c>
      <c r="V2" s="324" t="n">
        <v>0.15</v>
      </c>
      <c r="W2" s="321" t="n"/>
      <c r="X2" s="325" t="n">
        <v>0.05</v>
      </c>
      <c r="Y2" s="700" t="n">
        <v>2910</v>
      </c>
      <c r="Z2" s="325" t="n">
        <v>0.03</v>
      </c>
      <c r="AA2" s="701">
        <f>U2*(1+V2+X2+Z2)+Y2</f>
        <v>142900.236</v>
      </c>
      <c r="AB2" t="n">
        <v>113501</v>
      </c>
      <c r="AC2" t="inlineStr">
        <is>
          <t>Z Retail</t>
        </is>
      </c>
      <c r="AD2" t="inlineStr">
        <is>
          <t>Z Customer</t>
        </is>
      </c>
      <c r="AE2" t="inlineStr">
        <is>
          <t>Z Retail Backend</t>
        </is>
      </c>
      <c r="AF2" t="inlineStr">
        <is>
          <t>Squad</t>
        </is>
      </c>
      <c r="AG2" t="inlineStr">
        <is>
          <t>Filled</t>
        </is>
      </c>
    </row>
    <row r="3" hidden="1" ht="18" customHeight="1" s="506">
      <c r="A3" s="259" t="n">
        <v>110388</v>
      </c>
      <c r="B3" s="224" t="inlineStr">
        <is>
          <t>Adrian Lueng</t>
        </is>
      </c>
      <c r="C3" s="317" t="inlineStr">
        <is>
          <t>Quality Assurance</t>
        </is>
      </c>
      <c r="D3" s="224" t="inlineStr">
        <is>
          <t>Vedran Jukic</t>
        </is>
      </c>
      <c r="E3" s="224" t="inlineStr">
        <is>
          <t>Technology Manager, Retail</t>
        </is>
      </c>
      <c r="F3" s="224" t="inlineStr">
        <is>
          <t>Ampol Retail &amp; Z</t>
        </is>
      </c>
      <c r="G3" s="318" t="inlineStr">
        <is>
          <t>Ampol Retail</t>
        </is>
      </c>
      <c r="H3" s="224" t="inlineStr">
        <is>
          <t>Ampol Retail, Technology</t>
        </is>
      </c>
      <c r="I3" s="224" t="inlineStr">
        <is>
          <t>Retail</t>
        </is>
      </c>
      <c r="J3" s="318" t="inlineStr">
        <is>
          <t>Network/QSR</t>
        </is>
      </c>
      <c r="K3" s="224" t="inlineStr">
        <is>
          <t>Network &amp; QSR</t>
        </is>
      </c>
      <c r="L3" s="318" t="n"/>
      <c r="M3" s="319" t="inlineStr">
        <is>
          <t>Australia</t>
        </is>
      </c>
      <c r="N3" s="320" t="inlineStr">
        <is>
          <t>CIA</t>
        </is>
      </c>
      <c r="O3" s="320" t="n">
        <v>1</v>
      </c>
      <c r="P3" s="320" t="n"/>
      <c r="Q3" s="320" t="inlineStr">
        <is>
          <t>Permanent - Full Time</t>
        </is>
      </c>
      <c r="R3" s="322" t="n"/>
      <c r="S3" s="322" t="n"/>
      <c r="T3" s="322" t="n">
        <v>120030</v>
      </c>
      <c r="U3" s="699" t="n">
        <v>120030</v>
      </c>
      <c r="V3" s="325" t="n">
        <v>0.1</v>
      </c>
      <c r="W3" s="702" t="n">
        <v>0.055</v>
      </c>
      <c r="X3" s="702" t="n">
        <v>0.12</v>
      </c>
      <c r="Y3" s="703" t="n"/>
      <c r="Z3" s="702" t="n">
        <v>0.04</v>
      </c>
      <c r="AA3" s="701">
        <f>U3*(1+V3+W3+X3+Y3+Z3)</f>
        <v>157839.44999999998</v>
      </c>
      <c r="AC3" t="inlineStr">
        <is>
          <t>Ampol Retail</t>
        </is>
      </c>
      <c r="AD3" t="inlineStr">
        <is>
          <t>Network / QSR</t>
        </is>
      </c>
      <c r="AE3" t="inlineStr">
        <is>
          <t>Network / QSR</t>
        </is>
      </c>
      <c r="AF3" t="inlineStr">
        <is>
          <t>Squad</t>
        </is>
      </c>
      <c r="AG3" t="inlineStr">
        <is>
          <t>Filled</t>
        </is>
      </c>
    </row>
    <row r="4" hidden="1" ht="18" customHeight="1" s="506">
      <c r="A4" s="259" t="inlineStr">
        <is>
          <t>C</t>
        </is>
      </c>
      <c r="B4" s="224" t="inlineStr">
        <is>
          <t>Alex Prakhiy</t>
        </is>
      </c>
      <c r="C4" s="317" t="inlineStr">
        <is>
          <t>Business Analyst</t>
        </is>
      </c>
      <c r="D4" s="224" t="inlineStr">
        <is>
          <t>Vanessa Allen</t>
        </is>
      </c>
      <c r="E4" s="224" t="inlineStr">
        <is>
          <t>Delivery Manager, Ampol Retail</t>
        </is>
      </c>
      <c r="F4" s="224" t="inlineStr">
        <is>
          <t>Ampol Retail &amp; Z</t>
        </is>
      </c>
      <c r="G4" s="318" t="inlineStr">
        <is>
          <t>Ampol Retail</t>
        </is>
      </c>
      <c r="H4" s="224" t="inlineStr">
        <is>
          <t>Ampol Retail, Delivery</t>
        </is>
      </c>
      <c r="I4" s="224" t="inlineStr">
        <is>
          <t>EGI Integration</t>
        </is>
      </c>
      <c r="J4" s="318" t="inlineStr">
        <is>
          <t>EGI</t>
        </is>
      </c>
      <c r="K4" s="224" t="inlineStr">
        <is>
          <t>EGI</t>
        </is>
      </c>
      <c r="L4" s="318" t="n"/>
      <c r="M4" s="319" t="inlineStr">
        <is>
          <t>Australia</t>
        </is>
      </c>
      <c r="N4" s="322" t="inlineStr">
        <is>
          <t>NA</t>
        </is>
      </c>
      <c r="O4" s="320" t="n">
        <v>1</v>
      </c>
      <c r="P4" s="322" t="n"/>
      <c r="Q4" s="322" t="inlineStr">
        <is>
          <t>cxc</t>
        </is>
      </c>
      <c r="R4" s="331" t="inlineStr">
        <is>
          <t>Daily</t>
        </is>
      </c>
      <c r="S4" s="322" t="n">
        <v>1000</v>
      </c>
      <c r="T4" s="322" t="n">
        <v>0</v>
      </c>
      <c r="U4" s="322" t="n"/>
      <c r="V4" s="318" t="n"/>
      <c r="W4" s="318" t="n"/>
      <c r="X4" s="318" t="n"/>
      <c r="Y4" s="318" t="n"/>
      <c r="Z4" s="318" t="n"/>
      <c r="AA4" s="704">
        <f>S4*222</f>
        <v>222000.0</v>
      </c>
      <c r="AC4" t="inlineStr">
        <is>
          <t>EGI</t>
        </is>
      </c>
      <c r="AD4" t="inlineStr">
        <is>
          <t>EGI</t>
        </is>
      </c>
      <c r="AE4" t="inlineStr">
        <is>
          <t>EGI (unassigned)</t>
        </is>
      </c>
      <c r="AF4" t="inlineStr">
        <is>
          <t>Unmapped</t>
        </is>
      </c>
      <c r="AG4" t="inlineStr">
        <is>
          <t>Filled</t>
        </is>
      </c>
    </row>
    <row r="5" hidden="1" ht="18" customHeight="1" s="506">
      <c r="A5" s="259" t="n">
        <v>99999101643</v>
      </c>
      <c r="B5" s="224" t="inlineStr">
        <is>
          <t>Alex Sutherland</t>
        </is>
      </c>
      <c r="C5" s="317" t="inlineStr">
        <is>
          <t>Site Systems Analyst</t>
        </is>
      </c>
      <c r="D5" s="224" t="inlineStr">
        <is>
          <t>Callan McLaughlin</t>
        </is>
      </c>
      <c r="E5" s="224" t="inlineStr">
        <is>
          <t>Technology Manager,  Site Systems</t>
        </is>
      </c>
      <c r="F5" s="224" t="inlineStr">
        <is>
          <t>Ampol Retail &amp; Z</t>
        </is>
      </c>
      <c r="G5" s="318" t="inlineStr">
        <is>
          <t>Z &amp; Group Retail</t>
        </is>
      </c>
      <c r="H5" s="224" t="inlineStr">
        <is>
          <t>Z &amp; Group Retail, Site Systems</t>
        </is>
      </c>
      <c r="I5" s="224" t="inlineStr">
        <is>
          <t>Z</t>
        </is>
      </c>
      <c r="J5" s="318" t="inlineStr">
        <is>
          <t>Z Customer</t>
        </is>
      </c>
      <c r="K5" s="224" t="inlineStr">
        <is>
          <t>Site Systems</t>
        </is>
      </c>
      <c r="L5" s="318" t="n"/>
      <c r="M5" s="319" t="inlineStr">
        <is>
          <t>NZ</t>
        </is>
      </c>
      <c r="N5" s="320" t="inlineStr">
        <is>
          <t>CDB</t>
        </is>
      </c>
      <c r="O5" s="321" t="n">
        <v>1</v>
      </c>
      <c r="P5" s="320" t="n"/>
      <c r="Q5" s="321" t="inlineStr">
        <is>
          <t>Permanent - Full Time</t>
        </is>
      </c>
      <c r="R5" s="322" t="n"/>
      <c r="S5" s="322" t="n"/>
      <c r="T5" s="322" t="n">
        <v>86540</v>
      </c>
      <c r="U5" s="699" t="n">
        <v>79616.8</v>
      </c>
      <c r="V5" s="324" t="n">
        <v>0.1</v>
      </c>
      <c r="W5" s="321" t="n"/>
      <c r="X5" s="325" t="n">
        <v>0.05</v>
      </c>
      <c r="Y5" s="700" t="n">
        <v>2910</v>
      </c>
      <c r="Z5" s="325" t="n">
        <v>0.03</v>
      </c>
      <c r="AA5" s="701">
        <f>U5*(1+V5+X5+Z5)+Y5</f>
        <v>96857.82400000002</v>
      </c>
      <c r="AB5" t="n">
        <v>113502</v>
      </c>
      <c r="AC5" t="inlineStr">
        <is>
          <t>Z Retail</t>
        </is>
      </c>
      <c r="AD5" t="inlineStr">
        <is>
          <t>Z Customer</t>
        </is>
      </c>
      <c r="AE5" t="inlineStr">
        <is>
          <t>Site Systems</t>
        </is>
      </c>
      <c r="AF5" t="inlineStr">
        <is>
          <t>Squad</t>
        </is>
      </c>
      <c r="AG5" t="inlineStr">
        <is>
          <t>Filled</t>
        </is>
      </c>
    </row>
    <row r="6" hidden="1" ht="18" customHeight="1" s="506">
      <c r="A6" s="259" t="n">
        <v>99999101548</v>
      </c>
      <c r="B6" s="224" t="inlineStr">
        <is>
          <t>Allana Arbuckle</t>
        </is>
      </c>
      <c r="C6" s="317" t="inlineStr">
        <is>
          <t>Business Analyst</t>
        </is>
      </c>
      <c r="D6" s="318" t="inlineStr">
        <is>
          <t>Vacant</t>
        </is>
      </c>
      <c r="E6" s="224" t="inlineStr">
        <is>
          <t>Delivery Manager, Z and Retail Data</t>
        </is>
      </c>
      <c r="F6" s="224" t="inlineStr">
        <is>
          <t>Ampol Retail &amp; Z</t>
        </is>
      </c>
      <c r="G6" s="318" t="inlineStr">
        <is>
          <t>Z &amp; Group Retail</t>
        </is>
      </c>
      <c r="H6" s="224" t="inlineStr">
        <is>
          <t>Z &amp; Group Retail, Delivery</t>
        </is>
      </c>
      <c r="I6" s="224" t="inlineStr">
        <is>
          <t>Z</t>
        </is>
      </c>
      <c r="J6" s="224" t="inlineStr">
        <is>
          <t>Z Customer</t>
        </is>
      </c>
      <c r="K6" s="224" t="inlineStr">
        <is>
          <t xml:space="preserve">Z Retail Backend </t>
        </is>
      </c>
      <c r="L6" s="318" t="n"/>
      <c r="M6" s="319" t="inlineStr">
        <is>
          <t>NZ</t>
        </is>
      </c>
      <c r="N6" s="320" t="inlineStr">
        <is>
          <t>CDB</t>
        </is>
      </c>
      <c r="O6" s="321" t="n">
        <v>1</v>
      </c>
      <c r="P6" s="320" t="n"/>
      <c r="Q6" s="321" t="inlineStr">
        <is>
          <t>Permanent - Full Time</t>
        </is>
      </c>
      <c r="R6" s="322" t="n"/>
      <c r="S6" s="322" t="n"/>
      <c r="T6" s="322" t="n">
        <v>100900</v>
      </c>
      <c r="U6" s="699" t="n">
        <v>92828</v>
      </c>
      <c r="V6" s="324" t="n">
        <v>0.1</v>
      </c>
      <c r="W6" s="321" t="n"/>
      <c r="X6" s="325" t="n">
        <v>0.05</v>
      </c>
      <c r="Y6" s="700" t="n">
        <v>2910</v>
      </c>
      <c r="Z6" s="325" t="n">
        <v>0.03</v>
      </c>
      <c r="AA6" s="701">
        <f>U6*(1+V6+X6+Z6)+Y6</f>
        <v>112447.04000000001</v>
      </c>
      <c r="AB6" t="n">
        <v>113503</v>
      </c>
      <c r="AC6" t="inlineStr">
        <is>
          <t>Z Retail</t>
        </is>
      </c>
      <c r="AD6" t="inlineStr">
        <is>
          <t>Z Customer</t>
        </is>
      </c>
      <c r="AE6" t="inlineStr">
        <is>
          <t>Z Retail Backend</t>
        </is>
      </c>
      <c r="AF6" t="inlineStr">
        <is>
          <t>Squad</t>
        </is>
      </c>
      <c r="AG6" t="inlineStr">
        <is>
          <t>Filled</t>
        </is>
      </c>
    </row>
    <row r="7" hidden="1" ht="18" customHeight="1" s="506">
      <c r="A7" s="259" t="n">
        <v>4534</v>
      </c>
      <c r="B7" s="224" t="inlineStr">
        <is>
          <t>Andrew Whitford</t>
        </is>
      </c>
      <c r="C7" s="317" t="inlineStr">
        <is>
          <t>Field Systems Operations Lead - WA</t>
        </is>
      </c>
      <c r="D7" s="224" t="inlineStr">
        <is>
          <t>Ephriam Adan</t>
        </is>
      </c>
      <c r="E7" s="224" t="inlineStr">
        <is>
          <t>Manager, AU Retail Operations</t>
        </is>
      </c>
      <c r="F7" s="224" t="inlineStr">
        <is>
          <t>Ampol Retail &amp; Z</t>
        </is>
      </c>
      <c r="G7" s="318" t="inlineStr">
        <is>
          <t>Ampol Retail</t>
        </is>
      </c>
      <c r="H7" s="224" t="inlineStr">
        <is>
          <t>Ampol Retail, Technology</t>
        </is>
      </c>
      <c r="I7" s="224" t="inlineStr">
        <is>
          <t>Retail</t>
        </is>
      </c>
      <c r="J7" s="318" t="inlineStr">
        <is>
          <t>Store Operations</t>
        </is>
      </c>
      <c r="K7" s="224" t="inlineStr">
        <is>
          <t>Store Operations</t>
        </is>
      </c>
      <c r="L7" s="318" t="n"/>
      <c r="M7" s="319" t="inlineStr">
        <is>
          <t>Australia</t>
        </is>
      </c>
      <c r="N7" s="322" t="inlineStr">
        <is>
          <t>CIA</t>
        </is>
      </c>
      <c r="O7" s="322" t="n">
        <v>1</v>
      </c>
      <c r="P7" s="322" t="n"/>
      <c r="Q7" s="322" t="inlineStr">
        <is>
          <t>Permanent - Full Time</t>
        </is>
      </c>
      <c r="R7" s="322" t="n"/>
      <c r="S7" s="322" t="n"/>
      <c r="T7" s="322" t="n">
        <v>124740</v>
      </c>
      <c r="U7" s="705" t="n">
        <v>124740</v>
      </c>
      <c r="V7" s="325" t="n">
        <v>0.1</v>
      </c>
      <c r="W7" s="702" t="n">
        <v>0.055</v>
      </c>
      <c r="X7" s="702" t="n">
        <v>0.12</v>
      </c>
      <c r="Y7" s="703" t="n"/>
      <c r="Z7" s="702" t="n">
        <v>0.04</v>
      </c>
      <c r="AA7" s="701">
        <f>U7*(1+V7+W7+X7+Y7+Z7)</f>
        <v>164033.1</v>
      </c>
      <c r="AC7" t="inlineStr">
        <is>
          <t>Ampol Retail</t>
        </is>
      </c>
      <c r="AD7" t="inlineStr">
        <is>
          <t>Store Operations</t>
        </is>
      </c>
      <c r="AE7" t="inlineStr">
        <is>
          <t>Store Operations</t>
        </is>
      </c>
      <c r="AF7" t="inlineStr">
        <is>
          <t>Squad</t>
        </is>
      </c>
      <c r="AG7" t="inlineStr">
        <is>
          <t>Filled</t>
        </is>
      </c>
    </row>
    <row r="8" hidden="1" ht="18" customHeight="1" s="506">
      <c r="A8" s="259" t="n">
        <v>111451</v>
      </c>
      <c r="B8" s="224" t="inlineStr">
        <is>
          <t>Aniket Banerji</t>
        </is>
      </c>
      <c r="C8" s="317" t="inlineStr">
        <is>
          <t>Deployment Lead</t>
        </is>
      </c>
      <c r="D8" s="224" t="inlineStr">
        <is>
          <t>Matthew Patane</t>
        </is>
      </c>
      <c r="E8" s="224" t="inlineStr">
        <is>
          <t>Release &amp; Deployment Manager</t>
        </is>
      </c>
      <c r="F8" s="224" t="inlineStr">
        <is>
          <t>Ampol Retail &amp; Z</t>
        </is>
      </c>
      <c r="G8" s="318" t="inlineStr">
        <is>
          <t>Ampol Retail</t>
        </is>
      </c>
      <c r="H8" s="224" t="inlineStr">
        <is>
          <t>Ampol Retail, Technology</t>
        </is>
      </c>
      <c r="I8" s="224" t="inlineStr">
        <is>
          <t>Retail</t>
        </is>
      </c>
      <c r="J8" s="318" t="inlineStr">
        <is>
          <t>Store Operations</t>
        </is>
      </c>
      <c r="K8" s="270" t="inlineStr">
        <is>
          <t>Deployment</t>
        </is>
      </c>
      <c r="L8" s="318" t="n"/>
      <c r="M8" s="319" t="inlineStr">
        <is>
          <t>Australia</t>
        </is>
      </c>
      <c r="N8" s="320" t="inlineStr">
        <is>
          <t>CIB</t>
        </is>
      </c>
      <c r="O8" s="320" t="n">
        <v>1</v>
      </c>
      <c r="P8" s="320" t="n"/>
      <c r="Q8" s="320" t="inlineStr">
        <is>
          <t>Temporary - Full Time</t>
        </is>
      </c>
      <c r="R8" s="322" t="n"/>
      <c r="S8" s="322" t="n"/>
      <c r="T8" s="322" t="n">
        <v>150000</v>
      </c>
      <c r="U8" s="705" t="n">
        <v>150000</v>
      </c>
      <c r="V8" s="325" t="n">
        <v>0.12</v>
      </c>
      <c r="W8" s="702" t="n">
        <v>0.055</v>
      </c>
      <c r="X8" s="702" t="n">
        <v>0.12</v>
      </c>
      <c r="Y8" s="703" t="n"/>
      <c r="Z8" s="702" t="n">
        <v>0.04</v>
      </c>
      <c r="AA8" s="701">
        <f>U8*(1+V8+W8+X8+Y8+Z8)</f>
        <v>200250.0</v>
      </c>
      <c r="AC8" t="inlineStr">
        <is>
          <t>Ampol Retail</t>
        </is>
      </c>
      <c r="AD8" t="inlineStr">
        <is>
          <t>Store Operations</t>
        </is>
      </c>
      <c r="AE8" t="inlineStr">
        <is>
          <t>Deployment</t>
        </is>
      </c>
      <c r="AF8" t="inlineStr">
        <is>
          <t>Squad</t>
        </is>
      </c>
      <c r="AG8" t="inlineStr">
        <is>
          <t>Filled</t>
        </is>
      </c>
    </row>
    <row r="9" hidden="1" ht="18" customHeight="1" s="506">
      <c r="A9" s="259" t="n">
        <v>99999101214</v>
      </c>
      <c r="B9" s="224" t="inlineStr">
        <is>
          <t>Anna Koot</t>
        </is>
      </c>
      <c r="C9" s="317" t="inlineStr">
        <is>
          <t>Senior Business Analyst</t>
        </is>
      </c>
      <c r="D9" s="318" t="inlineStr">
        <is>
          <t>Vacant</t>
        </is>
      </c>
      <c r="E9" s="224" t="inlineStr">
        <is>
          <t>Delivery Manager, Z and Retail Data</t>
        </is>
      </c>
      <c r="F9" s="224" t="inlineStr">
        <is>
          <t>Ampol Retail &amp; Z</t>
        </is>
      </c>
      <c r="G9" s="318" t="inlineStr">
        <is>
          <t>Z &amp; Group Retail</t>
        </is>
      </c>
      <c r="H9" s="224" t="inlineStr">
        <is>
          <t>Z &amp; Group Retail, Delivery</t>
        </is>
      </c>
      <c r="I9" s="224" t="inlineStr">
        <is>
          <t>Z</t>
        </is>
      </c>
      <c r="J9" s="318" t="inlineStr">
        <is>
          <t>Z Supply</t>
        </is>
      </c>
      <c r="K9" s="224" t="inlineStr">
        <is>
          <t>Z Supply</t>
        </is>
      </c>
      <c r="L9" s="318" t="n"/>
      <c r="M9" s="319" t="inlineStr">
        <is>
          <t>NZ</t>
        </is>
      </c>
      <c r="N9" s="320" t="inlineStr">
        <is>
          <t>CIA</t>
        </is>
      </c>
      <c r="O9" s="321" t="n">
        <v>1</v>
      </c>
      <c r="P9" s="320" t="n"/>
      <c r="Q9" s="321" t="inlineStr">
        <is>
          <t>Permanent - Full Time</t>
        </is>
      </c>
      <c r="R9" s="322" t="n"/>
      <c r="S9" s="322" t="n"/>
      <c r="T9" s="322" t="n">
        <v>133320</v>
      </c>
      <c r="U9" s="705" t="n">
        <v>122654.4</v>
      </c>
      <c r="V9" s="324" t="n">
        <v>0.15</v>
      </c>
      <c r="W9" s="321" t="n"/>
      <c r="X9" s="325" t="n">
        <v>0.05</v>
      </c>
      <c r="Y9" s="700" t="n">
        <v>2910</v>
      </c>
      <c r="Z9" s="325" t="n">
        <v>0.03</v>
      </c>
      <c r="AA9" s="701">
        <f>U9*(1+V9+X9+Z9)+Y9</f>
        <v>153774.91199999998</v>
      </c>
      <c r="AB9" t="n">
        <v>113512</v>
      </c>
      <c r="AC9" t="inlineStr">
        <is>
          <t>Z Retail</t>
        </is>
      </c>
      <c r="AD9" t="inlineStr">
        <is>
          <t>Z Supply</t>
        </is>
      </c>
      <c r="AE9" t="inlineStr">
        <is>
          <t>Z Supply</t>
        </is>
      </c>
      <c r="AF9" t="inlineStr">
        <is>
          <t>Squad</t>
        </is>
      </c>
      <c r="AG9" t="inlineStr">
        <is>
          <t>Filled</t>
        </is>
      </c>
    </row>
    <row r="10" hidden="1" ht="18" customHeight="1" s="506">
      <c r="A10" s="259" t="n">
        <v>9999970029518</v>
      </c>
      <c r="B10" s="224" t="inlineStr">
        <is>
          <t>Anne Pretorius</t>
        </is>
      </c>
      <c r="C10" s="317" t="inlineStr">
        <is>
          <t>Lead Business Analyst</t>
        </is>
      </c>
      <c r="D10" s="318" t="inlineStr">
        <is>
          <t>Vacant</t>
        </is>
      </c>
      <c r="E10" s="224" t="inlineStr">
        <is>
          <t>Delivery Manager, Z and Retail Data</t>
        </is>
      </c>
      <c r="F10" s="224" t="inlineStr">
        <is>
          <t>Ampol Retail &amp; Z</t>
        </is>
      </c>
      <c r="G10" s="318" t="inlineStr">
        <is>
          <t>Z &amp; Group Retail</t>
        </is>
      </c>
      <c r="H10" s="224" t="inlineStr">
        <is>
          <t>Z &amp; Group Retail, Delivery</t>
        </is>
      </c>
      <c r="I10" s="224" t="inlineStr">
        <is>
          <t>EGI Integration</t>
        </is>
      </c>
      <c r="J10" s="318" t="inlineStr">
        <is>
          <t>EGI</t>
        </is>
      </c>
      <c r="K10" s="224" t="inlineStr">
        <is>
          <t>EGI</t>
        </is>
      </c>
      <c r="L10" s="318" t="n"/>
      <c r="M10" s="319" t="inlineStr">
        <is>
          <t>NZ</t>
        </is>
      </c>
      <c r="N10" s="320" t="inlineStr">
        <is>
          <t>CIC</t>
        </is>
      </c>
      <c r="O10" s="321" t="n">
        <v>0.8</v>
      </c>
      <c r="P10" s="320" t="n"/>
      <c r="Q10" s="321" t="inlineStr">
        <is>
          <t>Permanent - Part Time</t>
        </is>
      </c>
      <c r="R10" s="322" t="n"/>
      <c r="S10" s="322" t="n"/>
      <c r="T10" s="322" t="n">
        <v>170290</v>
      </c>
      <c r="U10" s="705" t="n">
        <v>156666.8</v>
      </c>
      <c r="V10" s="324" t="n">
        <v>0.15</v>
      </c>
      <c r="W10" s="321" t="n"/>
      <c r="X10" s="325" t="n">
        <v>0.05</v>
      </c>
      <c r="Y10" s="700" t="n">
        <v>2910</v>
      </c>
      <c r="Z10" s="325" t="n">
        <v>0.03</v>
      </c>
      <c r="AA10" s="701">
        <f>U10*(1+V10+X10+Z10)+Y10</f>
        <v>195610.164</v>
      </c>
      <c r="AB10" t="n">
        <v>113513</v>
      </c>
      <c r="AC10" t="inlineStr">
        <is>
          <t>EGI</t>
        </is>
      </c>
      <c r="AD10" t="inlineStr">
        <is>
          <t>EGI</t>
        </is>
      </c>
      <c r="AE10" t="inlineStr">
        <is>
          <t>EGI (unassigned)</t>
        </is>
      </c>
      <c r="AF10" t="inlineStr">
        <is>
          <t>Unmapped</t>
        </is>
      </c>
      <c r="AG10" t="inlineStr">
        <is>
          <t>Filled</t>
        </is>
      </c>
    </row>
    <row r="11" hidden="1" ht="18" customHeight="1" s="506">
      <c r="A11" s="259" t="n">
        <v>110197</v>
      </c>
      <c r="B11" s="224" t="inlineStr">
        <is>
          <t>Anthony Dumbrell</t>
        </is>
      </c>
      <c r="C11" s="317" t="inlineStr">
        <is>
          <t>Technology &amp; Lab Specialist Stores</t>
        </is>
      </c>
      <c r="D11" s="224" t="inlineStr">
        <is>
          <t>Vedran Jukic</t>
        </is>
      </c>
      <c r="E11" s="224" t="inlineStr">
        <is>
          <t>Technology Manager, Retail</t>
        </is>
      </c>
      <c r="F11" s="224" t="inlineStr">
        <is>
          <t>Ampol Retail &amp; Z</t>
        </is>
      </c>
      <c r="G11" s="318" t="inlineStr">
        <is>
          <t>Ampol Retail</t>
        </is>
      </c>
      <c r="H11" s="224" t="inlineStr">
        <is>
          <t>Ampol Retail, Technology</t>
        </is>
      </c>
      <c r="I11" s="224" t="inlineStr">
        <is>
          <t>Retail</t>
        </is>
      </c>
      <c r="J11" s="318" t="inlineStr">
        <is>
          <t>Store Operations</t>
        </is>
      </c>
      <c r="K11" s="224" t="inlineStr">
        <is>
          <t>Deployment</t>
        </is>
      </c>
      <c r="L11" s="318" t="n"/>
      <c r="M11" s="319" t="inlineStr">
        <is>
          <t>Australia</t>
        </is>
      </c>
      <c r="N11" s="320" t="inlineStr">
        <is>
          <t>CIB</t>
        </is>
      </c>
      <c r="O11" s="320" t="n">
        <v>1</v>
      </c>
      <c r="P11" s="320" t="n"/>
      <c r="Q11" s="320" t="inlineStr">
        <is>
          <t>Permanent - Full Time</t>
        </is>
      </c>
      <c r="R11" s="322" t="n"/>
      <c r="S11" s="322" t="n"/>
      <c r="T11" s="322" t="n">
        <v>154360</v>
      </c>
      <c r="U11" s="705" t="n">
        <v>154360</v>
      </c>
      <c r="V11" s="325" t="n">
        <v>0.12</v>
      </c>
      <c r="W11" s="702" t="n">
        <v>0.055</v>
      </c>
      <c r="X11" s="702" t="n">
        <v>0.12</v>
      </c>
      <c r="Y11" s="703" t="n"/>
      <c r="Z11" s="702" t="n">
        <v>0.04</v>
      </c>
      <c r="AA11" s="701">
        <f>U11*(1+V11+W11+X11+Y11+Z11)</f>
        <v>206070.6</v>
      </c>
      <c r="AC11" t="inlineStr">
        <is>
          <t>Ampol Retail</t>
        </is>
      </c>
      <c r="AD11" t="inlineStr">
        <is>
          <t>Store Operations</t>
        </is>
      </c>
      <c r="AE11" t="inlineStr">
        <is>
          <t>Deployment</t>
        </is>
      </c>
      <c r="AF11" t="inlineStr">
        <is>
          <t>Squad</t>
        </is>
      </c>
      <c r="AG11" t="inlineStr">
        <is>
          <t>Filled</t>
        </is>
      </c>
    </row>
    <row r="12" hidden="1" ht="18" customHeight="1" s="506">
      <c r="A12" s="259" t="n">
        <v>99999101647</v>
      </c>
      <c r="B12" s="224" t="inlineStr">
        <is>
          <t>Ash Muthumala</t>
        </is>
      </c>
      <c r="C12" s="317" t="inlineStr">
        <is>
          <t>Senior QA Analyst</t>
        </is>
      </c>
      <c r="D12" s="318" t="inlineStr">
        <is>
          <t>Vacant</t>
        </is>
      </c>
      <c r="E12" s="224" t="inlineStr">
        <is>
          <t>Technology Manager, Data</t>
        </is>
      </c>
      <c r="F12" s="224" t="inlineStr">
        <is>
          <t>Ampol Retail &amp; Z</t>
        </is>
      </c>
      <c r="G12" s="318" t="inlineStr">
        <is>
          <t>Z &amp; Group Retail</t>
        </is>
      </c>
      <c r="H12" t="inlineStr">
        <is>
          <t>Z &amp; Group Retail, Data</t>
        </is>
      </c>
      <c r="I12" s="224" t="inlineStr">
        <is>
          <t>Z</t>
        </is>
      </c>
      <c r="J12" s="318" t="inlineStr">
        <is>
          <t>Z Customer &amp; Z Supply</t>
        </is>
      </c>
      <c r="K12" s="224" t="inlineStr">
        <is>
          <t>Data - NZ</t>
        </is>
      </c>
      <c r="L12" s="318" t="n"/>
      <c r="M12" s="319" t="inlineStr">
        <is>
          <t>NZ</t>
        </is>
      </c>
      <c r="N12" s="320" t="inlineStr">
        <is>
          <t>CIA</t>
        </is>
      </c>
      <c r="O12" s="321" t="n">
        <v>1</v>
      </c>
      <c r="P12" s="320" t="n"/>
      <c r="Q12" s="321" t="inlineStr">
        <is>
          <t>Permanent - Full Time</t>
        </is>
      </c>
      <c r="R12" s="322" t="n"/>
      <c r="S12" s="322" t="n"/>
      <c r="T12" s="322" t="n">
        <v>121830</v>
      </c>
      <c r="U12" s="705" t="n">
        <v>112083.6</v>
      </c>
      <c r="V12" s="324" t="n">
        <v>0.15</v>
      </c>
      <c r="W12" s="321" t="n"/>
      <c r="X12" s="325" t="n">
        <v>0.05</v>
      </c>
      <c r="Y12" s="700" t="n">
        <v>2910</v>
      </c>
      <c r="Z12" s="325" t="n">
        <v>0.03</v>
      </c>
      <c r="AA12" s="701">
        <f>U12*(1+V12+X12+Z12)+Y12</f>
        <v>140772.828</v>
      </c>
      <c r="AB12" t="n">
        <v>113515</v>
      </c>
      <c r="AC12" t="inlineStr">
        <is>
          <t>Z Retail</t>
        </is>
      </c>
      <c r="AD12" t="inlineStr">
        <is>
          <t>-</t>
        </is>
      </c>
      <c r="AE12" t="inlineStr">
        <is>
          <t>Data NZ</t>
        </is>
      </c>
      <c r="AF12" t="inlineStr">
        <is>
          <t>Unmapped</t>
        </is>
      </c>
      <c r="AG12" t="inlineStr">
        <is>
          <t>Filled</t>
        </is>
      </c>
    </row>
    <row r="13" hidden="1" ht="18" customHeight="1" s="506">
      <c r="A13" s="259" t="n">
        <v>97784</v>
      </c>
      <c r="B13" s="224" t="inlineStr">
        <is>
          <t>Balaji Murugan</t>
        </is>
      </c>
      <c r="C13" s="317" t="inlineStr">
        <is>
          <t>Delivery Lead</t>
        </is>
      </c>
      <c r="D13" s="224" t="inlineStr">
        <is>
          <t>Vanessa Allen</t>
        </is>
      </c>
      <c r="E13" s="224" t="inlineStr">
        <is>
          <t>Delivery Manager, Ampol Retail</t>
        </is>
      </c>
      <c r="F13" s="224" t="inlineStr">
        <is>
          <t>Ampol Retail &amp; Z</t>
        </is>
      </c>
      <c r="G13" s="318" t="inlineStr">
        <is>
          <t>Ampol Retail</t>
        </is>
      </c>
      <c r="H13" s="224" t="inlineStr">
        <is>
          <t>Ampol Retail, Delivery</t>
        </is>
      </c>
      <c r="I13" s="224" t="inlineStr">
        <is>
          <t>Retail</t>
        </is>
      </c>
      <c r="J13" s="318" t="inlineStr">
        <is>
          <t>AMPOS</t>
        </is>
      </c>
      <c r="K13" s="224" t="inlineStr">
        <is>
          <t>Ampos</t>
        </is>
      </c>
      <c r="L13" s="318" t="n"/>
      <c r="M13" s="319" t="inlineStr">
        <is>
          <t>Australia</t>
        </is>
      </c>
      <c r="N13" s="320" t="inlineStr">
        <is>
          <t>CIC</t>
        </is>
      </c>
      <c r="O13" s="320" t="n">
        <v>1</v>
      </c>
      <c r="P13" s="320" t="n"/>
      <c r="Q13" s="320" t="inlineStr">
        <is>
          <t>Permanent - Full Time</t>
        </is>
      </c>
      <c r="R13" s="322" t="n"/>
      <c r="S13" s="322" t="n"/>
      <c r="T13" s="322" t="n">
        <v>178018</v>
      </c>
      <c r="U13" s="705" t="n">
        <v>178018</v>
      </c>
      <c r="V13" s="325" t="n">
        <v>0.12</v>
      </c>
      <c r="W13" s="702" t="n">
        <v>0.055</v>
      </c>
      <c r="X13" s="702" t="n">
        <v>0.12</v>
      </c>
      <c r="Y13" s="703" t="n"/>
      <c r="Z13" s="702" t="n">
        <v>0.04</v>
      </c>
      <c r="AA13" s="701">
        <f>U13*(1+V13+W13+X13+Y13+Z13)</f>
        <v>237654.03</v>
      </c>
      <c r="AC13" t="inlineStr">
        <is>
          <t>Ampol Retail</t>
        </is>
      </c>
      <c r="AD13" t="inlineStr">
        <is>
          <t>AmPOS</t>
        </is>
      </c>
      <c r="AE13" t="inlineStr">
        <is>
          <t>AmPOS</t>
        </is>
      </c>
      <c r="AF13" t="inlineStr">
        <is>
          <t>Strategic Program</t>
        </is>
      </c>
      <c r="AG13" t="inlineStr">
        <is>
          <t>Filled</t>
        </is>
      </c>
    </row>
    <row r="14" hidden="1" ht="18" customHeight="1" s="506">
      <c r="A14" s="259" t="n">
        <v>97847</v>
      </c>
      <c r="B14" s="224" t="inlineStr">
        <is>
          <t>Beenu Murali</t>
        </is>
      </c>
      <c r="C14" s="317" t="inlineStr">
        <is>
          <t>Quality Assurance</t>
        </is>
      </c>
      <c r="D14" s="318" t="inlineStr">
        <is>
          <t>Vacant</t>
        </is>
      </c>
      <c r="E14" s="224" t="inlineStr">
        <is>
          <t>Lead Quality Assurance</t>
        </is>
      </c>
      <c r="F14" s="224" t="inlineStr">
        <is>
          <t>Ampol Retail &amp; Z</t>
        </is>
      </c>
      <c r="G14" s="318" t="inlineStr">
        <is>
          <t>Ampol Retail</t>
        </is>
      </c>
      <c r="H14" s="224" t="inlineStr">
        <is>
          <t>Ampol Retail, Store Platforms</t>
        </is>
      </c>
      <c r="I14" s="224" t="inlineStr">
        <is>
          <t>Retail</t>
        </is>
      </c>
      <c r="J14" s="318" t="inlineStr">
        <is>
          <t>Store Operations</t>
        </is>
      </c>
      <c r="K14" s="224" t="inlineStr">
        <is>
          <t>Payments</t>
        </is>
      </c>
      <c r="L14" s="318" t="n"/>
      <c r="M14" s="319" t="inlineStr">
        <is>
          <t>Australia</t>
        </is>
      </c>
      <c r="N14" s="320" t="inlineStr">
        <is>
          <t>CDC</t>
        </is>
      </c>
      <c r="O14" s="320" t="n">
        <v>1</v>
      </c>
      <c r="P14" s="320" t="n"/>
      <c r="Q14" s="320" t="inlineStr">
        <is>
          <t>Permanent - Full Time</t>
        </is>
      </c>
      <c r="R14" s="322" t="n"/>
      <c r="S14" s="322" t="n"/>
      <c r="T14" s="322" t="n">
        <v>111090</v>
      </c>
      <c r="U14" s="705" t="n">
        <v>111090</v>
      </c>
      <c r="V14" s="325" t="n">
        <v>0.1</v>
      </c>
      <c r="W14" s="702" t="n">
        <v>0.055</v>
      </c>
      <c r="X14" s="702" t="n">
        <v>0.12</v>
      </c>
      <c r="Y14" s="703" t="n"/>
      <c r="Z14" s="702" t="n">
        <v>0.04</v>
      </c>
      <c r="AA14" s="701">
        <f>U14*(1+V14+W14+X14+Y14+Z14)</f>
        <v>146083.35</v>
      </c>
      <c r="AC14" t="inlineStr">
        <is>
          <t>Ampol Retail</t>
        </is>
      </c>
      <c r="AD14" t="inlineStr">
        <is>
          <t>Store Operations</t>
        </is>
      </c>
      <c r="AE14" t="inlineStr">
        <is>
          <t>Payments</t>
        </is>
      </c>
      <c r="AF14" t="inlineStr">
        <is>
          <t>Squad</t>
        </is>
      </c>
      <c r="AG14" t="inlineStr">
        <is>
          <t>Filled</t>
        </is>
      </c>
    </row>
    <row r="15" hidden="1" ht="18" customHeight="1" s="506">
      <c r="A15" s="259" t="n">
        <v>99999101333</v>
      </c>
      <c r="B15" s="224" t="inlineStr">
        <is>
          <t>Benjamin Sheffield</t>
        </is>
      </c>
      <c r="C15" s="317" t="inlineStr">
        <is>
          <t>Lead Engineer - Software</t>
        </is>
      </c>
      <c r="D15" s="224" t="inlineStr">
        <is>
          <t>Vacant</t>
        </is>
      </c>
      <c r="E15" s="224" t="inlineStr">
        <is>
          <t>Technology Manager, Engineering</t>
        </is>
      </c>
      <c r="F15" s="224" t="inlineStr">
        <is>
          <t>Ampol Retail &amp; Z</t>
        </is>
      </c>
      <c r="G15" s="318" t="inlineStr">
        <is>
          <t>Z &amp; Group Retail</t>
        </is>
      </c>
      <c r="H15" s="224" t="inlineStr">
        <is>
          <t>Z &amp; Group Retail, Engineering</t>
        </is>
      </c>
      <c r="I15" s="224" t="inlineStr">
        <is>
          <t>Z</t>
        </is>
      </c>
      <c r="J15" s="318" t="inlineStr">
        <is>
          <t>Z Supply</t>
        </is>
      </c>
      <c r="K15" s="224" t="inlineStr">
        <is>
          <t>Z Supply</t>
        </is>
      </c>
      <c r="L15" s="318" t="n"/>
      <c r="M15" s="319" t="inlineStr">
        <is>
          <t>NZ</t>
        </is>
      </c>
      <c r="N15" s="320" t="inlineStr">
        <is>
          <t>CIC</t>
        </is>
      </c>
      <c r="O15" s="321" t="n">
        <v>1</v>
      </c>
      <c r="P15" s="320" t="n"/>
      <c r="Q15" s="321" t="inlineStr">
        <is>
          <t>Permanent - Full Time</t>
        </is>
      </c>
      <c r="R15" s="322" t="n"/>
      <c r="S15" s="322" t="n"/>
      <c r="T15" s="322" t="n">
        <v>160250</v>
      </c>
      <c r="U15" s="705" t="n">
        <v>147430</v>
      </c>
      <c r="V15" s="324" t="n">
        <v>0.15</v>
      </c>
      <c r="W15" s="321" t="n"/>
      <c r="X15" s="325" t="n">
        <v>0.05</v>
      </c>
      <c r="Y15" s="700" t="n">
        <v>2910</v>
      </c>
      <c r="Z15" s="325" t="n">
        <v>0.03</v>
      </c>
      <c r="AA15" s="701">
        <f>U15*(1+V15+X15+Z15)+Y15</f>
        <v>184248.9</v>
      </c>
      <c r="AB15" t="n">
        <v>113518</v>
      </c>
      <c r="AC15" t="inlineStr">
        <is>
          <t>Z Retail</t>
        </is>
      </c>
      <c r="AD15" t="inlineStr">
        <is>
          <t>Z Supply</t>
        </is>
      </c>
      <c r="AE15" t="inlineStr">
        <is>
          <t>Z Supply</t>
        </is>
      </c>
      <c r="AF15" t="inlineStr">
        <is>
          <t>Squad</t>
        </is>
      </c>
      <c r="AG15" t="inlineStr">
        <is>
          <t>Filled</t>
        </is>
      </c>
    </row>
    <row r="16" hidden="1" ht="18" customHeight="1" s="506">
      <c r="A16" s="259" t="inlineStr">
        <is>
          <t>C</t>
        </is>
      </c>
      <c r="B16" s="224" t="inlineStr">
        <is>
          <t>Bhaskar Nandi</t>
        </is>
      </c>
      <c r="C16" s="317" t="inlineStr">
        <is>
          <t>Business Analyst</t>
        </is>
      </c>
      <c r="D16" s="224" t="inlineStr">
        <is>
          <t>Vanessa Allen</t>
        </is>
      </c>
      <c r="E16" s="224" t="inlineStr">
        <is>
          <t>Delivery Manager, Ampol Retail</t>
        </is>
      </c>
      <c r="F16" s="224" t="inlineStr">
        <is>
          <t>Ampol Retail &amp; Z</t>
        </is>
      </c>
      <c r="G16" s="318" t="inlineStr">
        <is>
          <t>Ampol Retail</t>
        </is>
      </c>
      <c r="H16" s="224" t="inlineStr">
        <is>
          <t>Ampol Retail, Delivery</t>
        </is>
      </c>
      <c r="I16" s="224" t="inlineStr">
        <is>
          <t>EGI Integration</t>
        </is>
      </c>
      <c r="J16" s="318" t="inlineStr">
        <is>
          <t>EGI</t>
        </is>
      </c>
      <c r="K16" s="224" t="inlineStr">
        <is>
          <t>EGI</t>
        </is>
      </c>
      <c r="L16" s="318" t="n"/>
      <c r="M16" s="319" t="inlineStr">
        <is>
          <t>Australia</t>
        </is>
      </c>
      <c r="N16" s="322" t="inlineStr">
        <is>
          <t>NA</t>
        </is>
      </c>
      <c r="O16" s="320" t="n">
        <v>1</v>
      </c>
      <c r="P16" s="322" t="n"/>
      <c r="Q16" s="322" t="inlineStr">
        <is>
          <t>cxc</t>
        </is>
      </c>
      <c r="R16" s="331" t="inlineStr">
        <is>
          <t>Daily</t>
        </is>
      </c>
      <c r="S16" s="322" t="n">
        <v>900</v>
      </c>
      <c r="T16" s="322" t="n">
        <v>0</v>
      </c>
      <c r="U16" s="334" t="n"/>
      <c r="V16" s="318" t="n"/>
      <c r="W16" s="318" t="n"/>
      <c r="X16" s="318" t="n"/>
      <c r="Y16" s="318" t="n"/>
      <c r="Z16" s="318" t="n"/>
      <c r="AA16" s="704">
        <f>S16*222</f>
        <v>199800.0</v>
      </c>
      <c r="AC16" t="inlineStr">
        <is>
          <t>EGI</t>
        </is>
      </c>
      <c r="AD16" t="inlineStr">
        <is>
          <t>EGI</t>
        </is>
      </c>
      <c r="AE16" t="inlineStr">
        <is>
          <t>EGI (unassigned)</t>
        </is>
      </c>
      <c r="AF16" t="inlineStr">
        <is>
          <t>Unmapped</t>
        </is>
      </c>
      <c r="AG16" t="inlineStr">
        <is>
          <t>Filled</t>
        </is>
      </c>
    </row>
    <row r="17" hidden="1" ht="18" customHeight="1" s="506">
      <c r="A17" s="259" t="n">
        <v>99999101553</v>
      </c>
      <c r="B17" s="224" t="inlineStr">
        <is>
          <t>Bradley Cunningham</t>
        </is>
      </c>
      <c r="C17" s="317" t="inlineStr">
        <is>
          <t>Site Systems Analyst</t>
        </is>
      </c>
      <c r="D17" s="224" t="inlineStr">
        <is>
          <t>Callan McLaughlin</t>
        </is>
      </c>
      <c r="E17" s="224" t="inlineStr">
        <is>
          <t>Technology Manager,  Site Systems</t>
        </is>
      </c>
      <c r="F17" s="224" t="inlineStr">
        <is>
          <t>Ampol Retail &amp; Z</t>
        </is>
      </c>
      <c r="G17" s="318" t="inlineStr">
        <is>
          <t>Z &amp; Group Retail</t>
        </is>
      </c>
      <c r="H17" s="224" t="inlineStr">
        <is>
          <t>Z &amp; Group Retail, Site Systems</t>
        </is>
      </c>
      <c r="I17" s="224" t="inlineStr">
        <is>
          <t>Z</t>
        </is>
      </c>
      <c r="J17" s="318" t="inlineStr">
        <is>
          <t>Z Customer</t>
        </is>
      </c>
      <c r="K17" s="224" t="inlineStr">
        <is>
          <t>Site Systems</t>
        </is>
      </c>
      <c r="L17" s="318" t="n"/>
      <c r="M17" s="319" t="inlineStr">
        <is>
          <t>NZ</t>
        </is>
      </c>
      <c r="N17" s="320" t="inlineStr">
        <is>
          <t>CDC</t>
        </is>
      </c>
      <c r="O17" s="321" t="n">
        <v>1</v>
      </c>
      <c r="P17" s="320" t="n"/>
      <c r="Q17" s="321" t="inlineStr">
        <is>
          <t>Permanent - Full Time</t>
        </is>
      </c>
      <c r="R17" s="322" t="n"/>
      <c r="S17" s="322" t="n"/>
      <c r="T17" s="322" t="n">
        <v>96110</v>
      </c>
      <c r="U17" s="699" t="n">
        <v>88421.2</v>
      </c>
      <c r="V17" s="324" t="n">
        <v>0.1</v>
      </c>
      <c r="W17" s="321" t="n"/>
      <c r="X17" s="325" t="n">
        <v>0.05</v>
      </c>
      <c r="Y17" s="700" t="n">
        <v>2910</v>
      </c>
      <c r="Z17" s="325" t="n">
        <v>0.03</v>
      </c>
      <c r="AA17" s="701">
        <f>U17*(1+V17+X17+Z17)+Y17</f>
        <v>107247.01600000002</v>
      </c>
      <c r="AB17" t="n">
        <v>113522</v>
      </c>
      <c r="AC17" t="inlineStr">
        <is>
          <t>Z Retail</t>
        </is>
      </c>
      <c r="AD17" t="inlineStr">
        <is>
          <t>Z Customer</t>
        </is>
      </c>
      <c r="AE17" t="inlineStr">
        <is>
          <t>Site Systems</t>
        </is>
      </c>
      <c r="AF17" t="inlineStr">
        <is>
          <t>Squad</t>
        </is>
      </c>
      <c r="AG17" t="inlineStr">
        <is>
          <t>Filled</t>
        </is>
      </c>
    </row>
    <row r="18" hidden="1" ht="18" customHeight="1" s="506">
      <c r="A18" s="259" t="n">
        <v>99999101959</v>
      </c>
      <c r="B18" s="224" t="inlineStr">
        <is>
          <t>Brian Lai</t>
        </is>
      </c>
      <c r="C18" s="317" t="inlineStr">
        <is>
          <t>Engineer - Data</t>
        </is>
      </c>
      <c r="D18" s="318" t="inlineStr">
        <is>
          <t>Vacant</t>
        </is>
      </c>
      <c r="E18" s="224" t="inlineStr">
        <is>
          <t>Technology Manager, Data</t>
        </is>
      </c>
      <c r="F18" s="224" t="inlineStr">
        <is>
          <t>Ampol Retail &amp; Z</t>
        </is>
      </c>
      <c r="G18" s="318" t="inlineStr">
        <is>
          <t>Z &amp; Group Retail</t>
        </is>
      </c>
      <c r="H18" s="224" t="inlineStr">
        <is>
          <t>Z &amp; Group Retail, Data</t>
        </is>
      </c>
      <c r="I18" s="224" t="inlineStr">
        <is>
          <t>Z</t>
        </is>
      </c>
      <c r="J18" s="318" t="inlineStr">
        <is>
          <t>Z Customer &amp; Z Supply</t>
        </is>
      </c>
      <c r="K18" s="224" t="inlineStr">
        <is>
          <t>Data - NZ</t>
        </is>
      </c>
      <c r="L18" s="318" t="n"/>
      <c r="M18" s="319" t="inlineStr">
        <is>
          <t>NZ</t>
        </is>
      </c>
      <c r="N18" s="320" t="inlineStr">
        <is>
          <t>CIA</t>
        </is>
      </c>
      <c r="O18" s="321" t="n">
        <v>1</v>
      </c>
      <c r="P18" s="320" t="n"/>
      <c r="Q18" s="321" t="inlineStr">
        <is>
          <t>Permanent - Full Time</t>
        </is>
      </c>
      <c r="R18" s="322" t="n"/>
      <c r="S18" s="322" t="n"/>
      <c r="T18" s="322" t="n">
        <v>135000</v>
      </c>
      <c r="U18" s="699" t="n">
        <v>124200</v>
      </c>
      <c r="V18" s="324" t="n">
        <v>0.15</v>
      </c>
      <c r="W18" s="321" t="n"/>
      <c r="X18" s="325" t="n">
        <v>0.05</v>
      </c>
      <c r="Y18" s="700" t="n">
        <v>2910</v>
      </c>
      <c r="Z18" s="325" t="n">
        <v>0.03</v>
      </c>
      <c r="AA18" s="701">
        <f>U18*(1+V18+X18+Z18)+Y18</f>
        <v>155676.0</v>
      </c>
      <c r="AB18" t="n">
        <v>113523</v>
      </c>
      <c r="AC18" t="inlineStr">
        <is>
          <t>Z Retail</t>
        </is>
      </c>
      <c r="AD18" t="inlineStr">
        <is>
          <t>-</t>
        </is>
      </c>
      <c r="AE18" t="inlineStr">
        <is>
          <t>Data NZ</t>
        </is>
      </c>
      <c r="AF18" t="inlineStr">
        <is>
          <t>Unmapped</t>
        </is>
      </c>
      <c r="AG18" t="inlineStr">
        <is>
          <t>Filled</t>
        </is>
      </c>
    </row>
    <row r="19" hidden="1" ht="18" customHeight="1" s="506">
      <c r="A19" s="259" t="n">
        <v>99999100418</v>
      </c>
      <c r="B19" s="335" t="inlineStr">
        <is>
          <t>Callan McLaughlin</t>
        </is>
      </c>
      <c r="C19" s="336" t="inlineStr">
        <is>
          <t>Technology Manager, Site Systems</t>
        </is>
      </c>
      <c r="D19" s="318" t="inlineStr">
        <is>
          <t>vacant</t>
        </is>
      </c>
      <c r="E19" s="318" t="inlineStr">
        <is>
          <t>Head of Technology, Z and Group Retail Platforms</t>
        </is>
      </c>
      <c r="F19" s="224" t="inlineStr">
        <is>
          <t>Ampol Retail &amp; Z</t>
        </is>
      </c>
      <c r="G19" s="318" t="inlineStr">
        <is>
          <t>Z &amp; Group Retail</t>
        </is>
      </c>
      <c r="H19" s="224" t="inlineStr">
        <is>
          <t>Z &amp; Group Retail, Site Systems</t>
        </is>
      </c>
      <c r="I19" s="224" t="inlineStr">
        <is>
          <t>Z</t>
        </is>
      </c>
      <c r="J19" s="318" t="inlineStr">
        <is>
          <t>Z Customer &amp; Z Supply</t>
        </is>
      </c>
      <c r="K19" s="318" t="inlineStr">
        <is>
          <t>Leadership</t>
        </is>
      </c>
      <c r="L19" s="318" t="n"/>
      <c r="M19" s="319" t="inlineStr">
        <is>
          <t>NZ</t>
        </is>
      </c>
      <c r="N19" s="320" t="inlineStr">
        <is>
          <t>CSB</t>
        </is>
      </c>
      <c r="O19" s="321" t="n">
        <v>1</v>
      </c>
      <c r="P19" s="320" t="n"/>
      <c r="Q19" s="321" t="inlineStr">
        <is>
          <t>Permanent - Full Time</t>
        </is>
      </c>
      <c r="R19" s="322" t="n"/>
      <c r="S19" s="322" t="n"/>
      <c r="T19" s="322" t="n">
        <v>183480</v>
      </c>
      <c r="U19" s="699" t="n">
        <v>168801.6</v>
      </c>
      <c r="V19" s="324" t="n">
        <v>0.15</v>
      </c>
      <c r="W19" s="321" t="n"/>
      <c r="X19" s="325" t="n">
        <v>0.05</v>
      </c>
      <c r="Y19" s="700" t="n">
        <v>2910</v>
      </c>
      <c r="Z19" s="325" t="n">
        <v>0.03</v>
      </c>
      <c r="AA19" s="701">
        <f>U19*(1+V19+X19+Z19)+Y19</f>
        <v>210535.968</v>
      </c>
      <c r="AB19" t="n">
        <v>113525</v>
      </c>
      <c r="AC19" t="inlineStr">
        <is>
          <t>Z Retail</t>
        </is>
      </c>
      <c r="AD19" t="inlineStr">
        <is>
          <t>Leadership</t>
        </is>
      </c>
      <c r="AE19" t="inlineStr">
        <is>
          <t>Leadership</t>
        </is>
      </c>
      <c r="AF19" t="inlineStr">
        <is>
          <t>Leadership</t>
        </is>
      </c>
      <c r="AG19" t="inlineStr">
        <is>
          <t>Filled</t>
        </is>
      </c>
    </row>
    <row r="20" hidden="1" ht="18" customHeight="1" s="506">
      <c r="A20" s="259" t="n">
        <v>99999100975</v>
      </c>
      <c r="B20" s="224" t="inlineStr">
        <is>
          <t>Chris Mitchell</t>
        </is>
      </c>
      <c r="C20" s="317" t="inlineStr">
        <is>
          <t>Deployment Lead</t>
        </is>
      </c>
      <c r="D20" s="224" t="inlineStr">
        <is>
          <t>Callan McLaughlin</t>
        </is>
      </c>
      <c r="E20" s="224" t="inlineStr">
        <is>
          <t>Technology Manager,  Site Systems</t>
        </is>
      </c>
      <c r="F20" s="224" t="inlineStr">
        <is>
          <t>Ampol Retail &amp; Z</t>
        </is>
      </c>
      <c r="G20" s="318" t="inlineStr">
        <is>
          <t>Z &amp; Group Retail</t>
        </is>
      </c>
      <c r="H20" s="224" t="inlineStr">
        <is>
          <t>Z &amp; Group Retail, Site Systems</t>
        </is>
      </c>
      <c r="I20" s="224" t="inlineStr">
        <is>
          <t>Z</t>
        </is>
      </c>
      <c r="J20" s="318" t="inlineStr">
        <is>
          <t>Z Customer</t>
        </is>
      </c>
      <c r="K20" s="224" t="inlineStr">
        <is>
          <t>Site Systems</t>
        </is>
      </c>
      <c r="L20" s="318" t="n"/>
      <c r="M20" s="319" t="inlineStr">
        <is>
          <t>NZ</t>
        </is>
      </c>
      <c r="N20" s="320" t="inlineStr">
        <is>
          <t>CIA</t>
        </is>
      </c>
      <c r="O20" s="321" t="n">
        <v>1</v>
      </c>
      <c r="P20" s="320" t="n"/>
      <c r="Q20" s="321" t="inlineStr">
        <is>
          <t>Permanent - Full Time</t>
        </is>
      </c>
      <c r="R20" s="322" t="n"/>
      <c r="S20" s="322" t="n"/>
      <c r="T20" s="322" t="n">
        <v>118000</v>
      </c>
      <c r="U20" s="699" t="n">
        <v>108560</v>
      </c>
      <c r="V20" s="324" t="n">
        <v>0.15</v>
      </c>
      <c r="W20" s="321" t="n"/>
      <c r="X20" s="325" t="n">
        <v>0.05</v>
      </c>
      <c r="Y20" s="700" t="n">
        <v>2910</v>
      </c>
      <c r="Z20" s="325" t="n">
        <v>0.03</v>
      </c>
      <c r="AA20" s="701">
        <f>U20*(1+V20+X20+Z20)+Y20</f>
        <v>136438.8</v>
      </c>
      <c r="AB20" t="n">
        <v>113530</v>
      </c>
      <c r="AC20" t="inlineStr">
        <is>
          <t>Z Retail</t>
        </is>
      </c>
      <c r="AD20" t="inlineStr">
        <is>
          <t>Z Customer</t>
        </is>
      </c>
      <c r="AE20" t="inlineStr">
        <is>
          <t>Site Systems</t>
        </is>
      </c>
      <c r="AF20" t="inlineStr">
        <is>
          <t>Squad</t>
        </is>
      </c>
      <c r="AG20" t="inlineStr">
        <is>
          <t>Filled</t>
        </is>
      </c>
    </row>
    <row r="21" hidden="1" ht="18" customHeight="1" s="506">
      <c r="A21" s="259" t="n">
        <v>99999101233</v>
      </c>
      <c r="B21" s="224" t="inlineStr">
        <is>
          <t>Chris Wilson</t>
        </is>
      </c>
      <c r="C21" s="317" t="inlineStr">
        <is>
          <t>Solution Architect</t>
        </is>
      </c>
      <c r="D21" s="224" t="inlineStr">
        <is>
          <t>Callan McLaughlin</t>
        </is>
      </c>
      <c r="E21" s="224" t="inlineStr">
        <is>
          <t>Technology Manager,  Site Systems</t>
        </is>
      </c>
      <c r="F21" s="224" t="inlineStr">
        <is>
          <t>Ampol Retail &amp; Z</t>
        </is>
      </c>
      <c r="G21" s="318" t="inlineStr">
        <is>
          <t>Z &amp; Group Retail</t>
        </is>
      </c>
      <c r="H21" s="224" t="inlineStr">
        <is>
          <t>Z &amp; Group Retail, Site Systems</t>
        </is>
      </c>
      <c r="I21" s="224" t="inlineStr">
        <is>
          <t>Z</t>
        </is>
      </c>
      <c r="J21" s="318" t="inlineStr">
        <is>
          <t>Z Customer</t>
        </is>
      </c>
      <c r="K21" s="224" t="inlineStr">
        <is>
          <t>Site Systems</t>
        </is>
      </c>
      <c r="L21" s="318" t="n"/>
      <c r="M21" s="319" t="inlineStr">
        <is>
          <t>NZ</t>
        </is>
      </c>
      <c r="N21" s="320" t="inlineStr">
        <is>
          <t>CIC</t>
        </is>
      </c>
      <c r="O21" s="321" t="n">
        <v>1</v>
      </c>
      <c r="P21" s="320" t="n"/>
      <c r="Q21" s="321" t="inlineStr">
        <is>
          <t>Permanent - Full Time</t>
        </is>
      </c>
      <c r="R21" s="322" t="n"/>
      <c r="S21" s="322" t="n"/>
      <c r="T21" s="322" t="n">
        <v>161990</v>
      </c>
      <c r="U21" s="705" t="n">
        <v>149030.8</v>
      </c>
      <c r="V21" s="324" t="n">
        <v>0.15</v>
      </c>
      <c r="W21" s="321" t="n"/>
      <c r="X21" s="325" t="n">
        <v>0.05</v>
      </c>
      <c r="Y21" s="700" t="n">
        <v>2910</v>
      </c>
      <c r="Z21" s="325" t="n">
        <v>0.03</v>
      </c>
      <c r="AA21" s="701">
        <f>U21*(1+V21+X21+Z21)+Y21</f>
        <v>186217.884</v>
      </c>
      <c r="AB21" t="n">
        <v>113531</v>
      </c>
      <c r="AC21" t="inlineStr">
        <is>
          <t>Z Retail</t>
        </is>
      </c>
      <c r="AD21" t="inlineStr">
        <is>
          <t>Z Customer</t>
        </is>
      </c>
      <c r="AE21" t="inlineStr">
        <is>
          <t>Site Systems</t>
        </is>
      </c>
      <c r="AF21" t="inlineStr">
        <is>
          <t>Squad</t>
        </is>
      </c>
      <c r="AG21" t="inlineStr">
        <is>
          <t>Filled</t>
        </is>
      </c>
    </row>
    <row r="22" hidden="1" ht="18" customHeight="1" s="506">
      <c r="A22" s="259" t="n">
        <v>99999102141</v>
      </c>
      <c r="B22" s="224" t="inlineStr">
        <is>
          <t>Christian Guo</t>
        </is>
      </c>
      <c r="C22" s="317" t="inlineStr">
        <is>
          <t>Solution Architect</t>
        </is>
      </c>
      <c r="D22" s="224" t="inlineStr">
        <is>
          <t>Callan McLaughlin</t>
        </is>
      </c>
      <c r="E22" s="224" t="inlineStr">
        <is>
          <t>Technology Manager,  Site Systems</t>
        </is>
      </c>
      <c r="F22" s="224" t="inlineStr">
        <is>
          <t>Ampol Retail &amp; Z</t>
        </is>
      </c>
      <c r="G22" s="318" t="inlineStr">
        <is>
          <t>Z &amp; Group Retail</t>
        </is>
      </c>
      <c r="H22" s="224" t="inlineStr">
        <is>
          <t>Z &amp; Group Retail, Site Systems</t>
        </is>
      </c>
      <c r="I22" s="224" t="inlineStr">
        <is>
          <t>Z</t>
        </is>
      </c>
      <c r="J22" s="224" t="inlineStr">
        <is>
          <t>Z Customer</t>
        </is>
      </c>
      <c r="K22" s="224" t="inlineStr">
        <is>
          <t>Z Retail Backend &amp; Supply</t>
        </is>
      </c>
      <c r="L22" s="318" t="n"/>
      <c r="M22" s="319" t="inlineStr">
        <is>
          <t>NZ</t>
        </is>
      </c>
      <c r="N22" s="320" t="inlineStr">
        <is>
          <t>CIC</t>
        </is>
      </c>
      <c r="O22" s="321" t="n">
        <v>1</v>
      </c>
      <c r="P22" s="320" t="n"/>
      <c r="Q22" s="321" t="inlineStr">
        <is>
          <t>Permanent - Full Time</t>
        </is>
      </c>
      <c r="R22" s="322" t="n"/>
      <c r="S22" s="322" t="n"/>
      <c r="T22" s="322" t="n">
        <v>180000</v>
      </c>
      <c r="U22" s="705" t="n">
        <v>165600</v>
      </c>
      <c r="V22" s="324" t="n">
        <v>0.15</v>
      </c>
      <c r="W22" s="321" t="n"/>
      <c r="X22" s="325" t="n">
        <v>0.05</v>
      </c>
      <c r="Y22" s="700" t="n">
        <v>2910</v>
      </c>
      <c r="Z22" s="325" t="n">
        <v>0.03</v>
      </c>
      <c r="AA22" s="701">
        <f>U22*(1+V22+X22+Z22)+Y22</f>
        <v>206598.0</v>
      </c>
      <c r="AB22" t="n">
        <v>116260</v>
      </c>
      <c r="AC22" t="inlineStr">
        <is>
          <t>Z Retail</t>
        </is>
      </c>
      <c r="AD22" t="inlineStr">
        <is>
          <t>Z Customer</t>
        </is>
      </c>
      <c r="AE22" t="inlineStr">
        <is>
          <t>Z Retail Backend</t>
        </is>
      </c>
      <c r="AF22" t="inlineStr">
        <is>
          <t>Squad</t>
        </is>
      </c>
      <c r="AG22" t="inlineStr">
        <is>
          <t>Filled</t>
        </is>
      </c>
    </row>
    <row r="23" hidden="1" ht="18" customHeight="1" s="506">
      <c r="A23" s="259" t="n">
        <v>95128</v>
      </c>
      <c r="B23" s="224" t="inlineStr">
        <is>
          <t>Deepak Kubendran</t>
        </is>
      </c>
      <c r="C23" s="317" t="inlineStr">
        <is>
          <t>Project Manager – Deployments</t>
        </is>
      </c>
      <c r="D23" s="224" t="inlineStr">
        <is>
          <t>Matthew Patane</t>
        </is>
      </c>
      <c r="E23" s="224" t="inlineStr">
        <is>
          <t>Release &amp; Deployment Manager</t>
        </is>
      </c>
      <c r="F23" s="224" t="inlineStr">
        <is>
          <t>Ampol Retail &amp; Z</t>
        </is>
      </c>
      <c r="G23" s="318" t="inlineStr">
        <is>
          <t>Ampol Retail</t>
        </is>
      </c>
      <c r="H23" s="224" t="inlineStr">
        <is>
          <t>Ampol Retail, Technology</t>
        </is>
      </c>
      <c r="I23" s="224" t="inlineStr">
        <is>
          <t>Retail</t>
        </is>
      </c>
      <c r="J23" s="318" t="inlineStr">
        <is>
          <t>Store Operations</t>
        </is>
      </c>
      <c r="K23" s="270" t="inlineStr">
        <is>
          <t>Deployment</t>
        </is>
      </c>
      <c r="L23" s="318" t="n"/>
      <c r="M23" s="319" t="inlineStr">
        <is>
          <t>Australia</t>
        </is>
      </c>
      <c r="N23" s="320" t="inlineStr">
        <is>
          <t>CIB</t>
        </is>
      </c>
      <c r="O23" s="320" t="n">
        <v>1</v>
      </c>
      <c r="P23" s="320" t="n"/>
      <c r="Q23" s="320" t="inlineStr">
        <is>
          <t>Permanent - Full Time</t>
        </is>
      </c>
      <c r="R23" s="322" t="n"/>
      <c r="S23" s="322" t="n"/>
      <c r="T23" s="322" t="n">
        <v>153920</v>
      </c>
      <c r="U23" s="705" t="n">
        <v>153920</v>
      </c>
      <c r="V23" s="325" t="n">
        <v>0.12</v>
      </c>
      <c r="W23" s="702" t="n">
        <v>0.055</v>
      </c>
      <c r="X23" s="702" t="n">
        <v>0.12</v>
      </c>
      <c r="Y23" s="703" t="n"/>
      <c r="Z23" s="702" t="n">
        <v>0.04</v>
      </c>
      <c r="AA23" s="701">
        <f>U23*(1+V23+W23+X23+Y23+Z23)</f>
        <v>205483.19999999998</v>
      </c>
      <c r="AC23" t="inlineStr">
        <is>
          <t>Ampol Retail</t>
        </is>
      </c>
      <c r="AD23" t="inlineStr">
        <is>
          <t>Store Operations</t>
        </is>
      </c>
      <c r="AE23" t="inlineStr">
        <is>
          <t>Deployment</t>
        </is>
      </c>
      <c r="AF23" t="inlineStr">
        <is>
          <t>Squad</t>
        </is>
      </c>
      <c r="AG23" t="inlineStr">
        <is>
          <t>Filled</t>
        </is>
      </c>
    </row>
    <row r="24" hidden="1" ht="18" customHeight="1" s="506">
      <c r="A24" s="259" t="n">
        <v>4259</v>
      </c>
      <c r="B24" s="224" t="inlineStr">
        <is>
          <t>Ephraim Adan</t>
        </is>
      </c>
      <c r="C24" s="317" t="inlineStr">
        <is>
          <t>Manager - AU Retail Operations</t>
        </is>
      </c>
      <c r="D24" s="224" t="inlineStr">
        <is>
          <t>Vedran Jukic</t>
        </is>
      </c>
      <c r="E24" s="224" t="inlineStr">
        <is>
          <t>Technology Manager, Retail</t>
        </is>
      </c>
      <c r="F24" s="224" t="inlineStr">
        <is>
          <t>Ampol Retail &amp; Z</t>
        </is>
      </c>
      <c r="G24" s="318" t="inlineStr">
        <is>
          <t>Ampol Retail</t>
        </is>
      </c>
      <c r="H24" s="224" t="inlineStr">
        <is>
          <t>Ampol Retail, Technology</t>
        </is>
      </c>
      <c r="I24" s="224" t="inlineStr">
        <is>
          <t>Retail</t>
        </is>
      </c>
      <c r="J24" s="318" t="inlineStr">
        <is>
          <t>Store Operations</t>
        </is>
      </c>
      <c r="K24" s="224" t="inlineStr">
        <is>
          <t>Retail Operations</t>
        </is>
      </c>
      <c r="L24" s="318" t="n"/>
      <c r="M24" s="319" t="inlineStr">
        <is>
          <t>Australia</t>
        </is>
      </c>
      <c r="N24" s="322" t="inlineStr">
        <is>
          <t>CIC</t>
        </is>
      </c>
      <c r="O24" s="322" t="n">
        <v>1</v>
      </c>
      <c r="P24" s="322" t="n"/>
      <c r="Q24" s="322" t="inlineStr">
        <is>
          <t>Permanent - Full Time</t>
        </is>
      </c>
      <c r="R24" s="322" t="n"/>
      <c r="S24" s="322" t="n"/>
      <c r="T24" s="322" t="n">
        <v>177320</v>
      </c>
      <c r="U24" s="705" t="n">
        <v>177320</v>
      </c>
      <c r="V24" s="325" t="n">
        <v>0.12</v>
      </c>
      <c r="W24" s="702" t="n">
        <v>0.055</v>
      </c>
      <c r="X24" s="702" t="n">
        <v>0.12</v>
      </c>
      <c r="Y24" s="703" t="n"/>
      <c r="Z24" s="702" t="n">
        <v>0.04</v>
      </c>
      <c r="AA24" s="701">
        <f>U24*(1+V24+W24+X24+Y24+Z24)</f>
        <v>236722.19999999998</v>
      </c>
      <c r="AC24" t="inlineStr">
        <is>
          <t>Ampol Retail</t>
        </is>
      </c>
      <c r="AD24" t="inlineStr">
        <is>
          <t>Store Operations</t>
        </is>
      </c>
      <c r="AE24" t="inlineStr">
        <is>
          <t>Retail Operations</t>
        </is>
      </c>
      <c r="AF24" t="inlineStr">
        <is>
          <t>Unmapped</t>
        </is>
      </c>
      <c r="AG24" t="inlineStr">
        <is>
          <t>Filled</t>
        </is>
      </c>
    </row>
    <row r="25" hidden="1" ht="18" customHeight="1" s="506">
      <c r="A25" s="259" t="n">
        <v>99999102110</v>
      </c>
      <c r="B25" s="224" t="inlineStr">
        <is>
          <t>Eugene Yeo</t>
        </is>
      </c>
      <c r="C25" s="317" t="inlineStr">
        <is>
          <t>Engineer - DevOps</t>
        </is>
      </c>
      <c r="D25" s="224" t="inlineStr">
        <is>
          <t>Vacant</t>
        </is>
      </c>
      <c r="E25" s="224" t="inlineStr">
        <is>
          <t>Technology Manager, Engineering</t>
        </is>
      </c>
      <c r="F25" s="224" t="inlineStr">
        <is>
          <t>Ampol Retail &amp; Z</t>
        </is>
      </c>
      <c r="G25" s="318" t="inlineStr">
        <is>
          <t>Z &amp; Group Retail</t>
        </is>
      </c>
      <c r="H25" s="224" t="inlineStr">
        <is>
          <t>Z &amp; Group Retail, Engineering</t>
        </is>
      </c>
      <c r="I25" s="224" t="inlineStr">
        <is>
          <t>Z</t>
        </is>
      </c>
      <c r="J25" s="318" t="inlineStr">
        <is>
          <t>Z Supply</t>
        </is>
      </c>
      <c r="K25" s="224" t="inlineStr">
        <is>
          <t>Z Supply</t>
        </is>
      </c>
      <c r="L25" s="318" t="n"/>
      <c r="M25" s="319" t="inlineStr">
        <is>
          <t>NZ</t>
        </is>
      </c>
      <c r="N25" s="320" t="inlineStr">
        <is>
          <t>CDA</t>
        </is>
      </c>
      <c r="O25" s="321" t="n">
        <v>1</v>
      </c>
      <c r="P25" s="320" t="n"/>
      <c r="Q25" s="321" t="inlineStr">
        <is>
          <t>Permanent - Full Time</t>
        </is>
      </c>
      <c r="R25" s="322" t="n"/>
      <c r="S25" s="322" t="n"/>
      <c r="T25" s="322" t="n">
        <v>68900</v>
      </c>
      <c r="U25" s="705" t="n">
        <v>63388</v>
      </c>
      <c r="V25" s="324" t="n">
        <v>0.1</v>
      </c>
      <c r="W25" s="321" t="n"/>
      <c r="X25" s="325" t="n">
        <v>0.05</v>
      </c>
      <c r="Y25" s="700" t="n">
        <v>2910</v>
      </c>
      <c r="Z25" s="325" t="n">
        <v>0.03</v>
      </c>
      <c r="AA25" s="701">
        <f>U25*(1+V25+X25+Z25)+Y25</f>
        <v>77707.84000000001</v>
      </c>
      <c r="AB25" t="n">
        <v>116998</v>
      </c>
      <c r="AC25" t="inlineStr">
        <is>
          <t>Z Retail</t>
        </is>
      </c>
      <c r="AD25" t="inlineStr">
        <is>
          <t>Z Supply</t>
        </is>
      </c>
      <c r="AE25" t="inlineStr">
        <is>
          <t>Z Supply</t>
        </is>
      </c>
      <c r="AF25" t="inlineStr">
        <is>
          <t>Squad</t>
        </is>
      </c>
      <c r="AG25" t="inlineStr">
        <is>
          <t>Filled</t>
        </is>
      </c>
    </row>
    <row r="26" hidden="1" ht="18" customHeight="1" s="506">
      <c r="A26" s="337" t="n">
        <v>99999102111</v>
      </c>
      <c r="B26" s="224" t="inlineStr">
        <is>
          <t>Gayan Liyana Arachchige</t>
        </is>
      </c>
      <c r="C26" s="317" t="inlineStr">
        <is>
          <t>Engineer - DevOps</t>
        </is>
      </c>
      <c r="D26" s="224" t="inlineStr">
        <is>
          <t>Vacant</t>
        </is>
      </c>
      <c r="E26" s="224" t="inlineStr">
        <is>
          <t>Technology Manager, Engineering</t>
        </is>
      </c>
      <c r="F26" s="224" t="inlineStr">
        <is>
          <t>Ampol Retail &amp; Z</t>
        </is>
      </c>
      <c r="G26" s="318" t="inlineStr">
        <is>
          <t>Z &amp; Group Retail</t>
        </is>
      </c>
      <c r="H26" s="224" t="inlineStr">
        <is>
          <t>Z &amp; Group Retail, Engineering</t>
        </is>
      </c>
      <c r="I26" s="224" t="inlineStr">
        <is>
          <t>Z</t>
        </is>
      </c>
      <c r="J26" s="318" t="inlineStr">
        <is>
          <t>Z Supply</t>
        </is>
      </c>
      <c r="K26" s="224" t="inlineStr">
        <is>
          <t>Z Supply</t>
        </is>
      </c>
      <c r="L26" s="318" t="n"/>
      <c r="M26" s="319" t="inlineStr">
        <is>
          <t>NZ</t>
        </is>
      </c>
      <c r="N26" s="320" t="inlineStr">
        <is>
          <t>CDB</t>
        </is>
      </c>
      <c r="O26" s="321" t="n">
        <v>1</v>
      </c>
      <c r="P26" s="320" t="n"/>
      <c r="Q26" s="321" t="inlineStr">
        <is>
          <t>Permanent - Full Time</t>
        </is>
      </c>
      <c r="R26" s="322" t="n"/>
      <c r="S26" s="322" t="n"/>
      <c r="T26" s="322" t="n">
        <v>105000</v>
      </c>
      <c r="U26" s="705" t="n">
        <v>96600</v>
      </c>
      <c r="V26" s="324" t="n">
        <v>0.1</v>
      </c>
      <c r="W26" s="321" t="n"/>
      <c r="X26" s="325" t="n">
        <v>0.05</v>
      </c>
      <c r="Y26" s="700" t="n">
        <v>2910</v>
      </c>
      <c r="Z26" s="325" t="n">
        <v>0.03</v>
      </c>
      <c r="AA26" s="701">
        <f>U26*(1+V26+X26+Z26)+Y26</f>
        <v>116898.00000000001</v>
      </c>
      <c r="AB26" t="n">
        <v>115819</v>
      </c>
      <c r="AC26" t="inlineStr">
        <is>
          <t>Z Retail</t>
        </is>
      </c>
      <c r="AD26" t="inlineStr">
        <is>
          <t>Z Supply</t>
        </is>
      </c>
      <c r="AE26" t="inlineStr">
        <is>
          <t>Z Supply</t>
        </is>
      </c>
      <c r="AF26" t="inlineStr">
        <is>
          <t>Squad</t>
        </is>
      </c>
      <c r="AG26" t="inlineStr">
        <is>
          <t>Filled</t>
        </is>
      </c>
    </row>
    <row r="27" hidden="1" ht="18" customHeight="1" s="506">
      <c r="A27" s="259" t="n">
        <v>8445</v>
      </c>
      <c r="B27" s="224" t="inlineStr">
        <is>
          <t>Geoff Goddard</t>
        </is>
      </c>
      <c r="C27" s="317" t="inlineStr">
        <is>
          <t>Field Systems Operations Lead - VIC</t>
        </is>
      </c>
      <c r="D27" s="224" t="inlineStr">
        <is>
          <t>Ephraim Adan</t>
        </is>
      </c>
      <c r="E27" s="224" t="inlineStr">
        <is>
          <t>Manager, AU Retail Operations</t>
        </is>
      </c>
      <c r="F27" s="224" t="inlineStr">
        <is>
          <t>Ampol Retail &amp; Z</t>
        </is>
      </c>
      <c r="G27" s="318" t="inlineStr">
        <is>
          <t>Ampol Retail</t>
        </is>
      </c>
      <c r="H27" s="224" t="inlineStr">
        <is>
          <t>Ampol Retail, Technology</t>
        </is>
      </c>
      <c r="I27" s="224" t="inlineStr">
        <is>
          <t>Retail</t>
        </is>
      </c>
      <c r="J27" s="318" t="inlineStr">
        <is>
          <t>Store Operations</t>
        </is>
      </c>
      <c r="K27" s="224" t="inlineStr">
        <is>
          <t>Retail Operations</t>
        </is>
      </c>
      <c r="L27" s="318" t="n"/>
      <c r="M27" s="319" t="inlineStr">
        <is>
          <t>Australia</t>
        </is>
      </c>
      <c r="N27" s="322" t="inlineStr">
        <is>
          <t>CIA</t>
        </is>
      </c>
      <c r="O27" s="322" t="n">
        <v>1</v>
      </c>
      <c r="P27" s="322" t="n"/>
      <c r="Q27" s="322" t="inlineStr">
        <is>
          <t>Permanent - Full Time</t>
        </is>
      </c>
      <c r="R27" s="322" t="n"/>
      <c r="S27" s="322" t="n"/>
      <c r="T27" s="322" t="n">
        <v>132710</v>
      </c>
      <c r="U27" s="705" t="n">
        <v>132710</v>
      </c>
      <c r="V27" s="325" t="n">
        <v>0.1</v>
      </c>
      <c r="W27" s="702" t="n">
        <v>0.055</v>
      </c>
      <c r="X27" s="702" t="n">
        <v>0.12</v>
      </c>
      <c r="Y27" s="703" t="n"/>
      <c r="Z27" s="702" t="n">
        <v>0.04</v>
      </c>
      <c r="AA27" s="701">
        <f>U27*(1+V27+W27+X27+Y27+Z27)</f>
        <v>174513.65</v>
      </c>
      <c r="AC27" t="inlineStr">
        <is>
          <t>Ampol Retail</t>
        </is>
      </c>
      <c r="AD27" t="inlineStr">
        <is>
          <t>Store Operations</t>
        </is>
      </c>
      <c r="AE27" t="inlineStr">
        <is>
          <t>Retail Operations</t>
        </is>
      </c>
      <c r="AF27" t="inlineStr">
        <is>
          <t>Unmapped</t>
        </is>
      </c>
      <c r="AG27" t="inlineStr">
        <is>
          <t>Filled</t>
        </is>
      </c>
    </row>
    <row r="28" hidden="1" ht="18" customHeight="1" s="506">
      <c r="A28" s="259" t="n">
        <v>109974</v>
      </c>
      <c r="B28" s="224" t="inlineStr">
        <is>
          <t>Gerald Aguas</t>
        </is>
      </c>
      <c r="C28" s="317" t="inlineStr">
        <is>
          <t>Field Systems Operations Lead - NSW</t>
        </is>
      </c>
      <c r="D28" s="224" t="inlineStr">
        <is>
          <t>Ephraim Adan</t>
        </is>
      </c>
      <c r="E28" s="224" t="inlineStr">
        <is>
          <t>Manager, AU Retail Operations</t>
        </is>
      </c>
      <c r="F28" s="224" t="inlineStr">
        <is>
          <t>Ampol Retail &amp; Z</t>
        </is>
      </c>
      <c r="G28" s="318" t="inlineStr">
        <is>
          <t>Ampol Retail</t>
        </is>
      </c>
      <c r="H28" s="224" t="inlineStr">
        <is>
          <t>Ampol Retail, Technology</t>
        </is>
      </c>
      <c r="I28" s="224" t="inlineStr">
        <is>
          <t>Retail</t>
        </is>
      </c>
      <c r="J28" s="318" t="inlineStr">
        <is>
          <t>Store Operations</t>
        </is>
      </c>
      <c r="K28" s="224" t="inlineStr">
        <is>
          <t>Retail Operations</t>
        </is>
      </c>
      <c r="L28" s="318" t="n"/>
      <c r="M28" s="319" t="inlineStr">
        <is>
          <t>Australia</t>
        </is>
      </c>
      <c r="N28" s="320" t="inlineStr">
        <is>
          <t>CIA</t>
        </is>
      </c>
      <c r="O28" s="320" t="n">
        <v>1</v>
      </c>
      <c r="P28" s="320" t="n"/>
      <c r="Q28" s="320" t="inlineStr">
        <is>
          <t>Permanent - Full Time</t>
        </is>
      </c>
      <c r="R28" s="322" t="n"/>
      <c r="S28" s="322" t="n"/>
      <c r="T28" s="322" t="n">
        <v>127270</v>
      </c>
      <c r="U28" s="705" t="n">
        <v>127270</v>
      </c>
      <c r="V28" s="325" t="n">
        <v>0.1</v>
      </c>
      <c r="W28" s="702" t="n">
        <v>0.055</v>
      </c>
      <c r="X28" s="702" t="n">
        <v>0.12</v>
      </c>
      <c r="Y28" s="703" t="n"/>
      <c r="Z28" s="702" t="n">
        <v>0.04</v>
      </c>
      <c r="AA28" s="701">
        <f>U28*(1+V28+W28+X28+Y28+Z28)</f>
        <v>167360.05</v>
      </c>
      <c r="AC28" t="inlineStr">
        <is>
          <t>Ampol Retail</t>
        </is>
      </c>
      <c r="AD28" t="inlineStr">
        <is>
          <t>Store Operations</t>
        </is>
      </c>
      <c r="AE28" t="inlineStr">
        <is>
          <t>Retail Operations</t>
        </is>
      </c>
      <c r="AF28" t="inlineStr">
        <is>
          <t>Unmapped</t>
        </is>
      </c>
      <c r="AG28" t="inlineStr">
        <is>
          <t>Filled</t>
        </is>
      </c>
    </row>
    <row r="29" hidden="1" ht="18" customHeight="1" s="506">
      <c r="A29" s="259" t="n">
        <v>99999100699</v>
      </c>
      <c r="B29" s="224" t="inlineStr">
        <is>
          <t>Helen Jones</t>
        </is>
      </c>
      <c r="C29" s="317" t="inlineStr">
        <is>
          <t>Delivery Lead</t>
        </is>
      </c>
      <c r="D29" s="318" t="inlineStr">
        <is>
          <t>Vacant</t>
        </is>
      </c>
      <c r="E29" s="224" t="inlineStr">
        <is>
          <t>Delivery Manager, Z and Retail Data</t>
        </is>
      </c>
      <c r="F29" s="224" t="inlineStr">
        <is>
          <t>Ampol Retail &amp; Z</t>
        </is>
      </c>
      <c r="G29" s="318" t="inlineStr">
        <is>
          <t>Z &amp; Group Retail</t>
        </is>
      </c>
      <c r="H29" s="224" t="inlineStr">
        <is>
          <t>Z &amp; Group Retail, Delivery</t>
        </is>
      </c>
      <c r="I29" s="224" t="inlineStr">
        <is>
          <t>Z</t>
        </is>
      </c>
      <c r="J29" s="318" t="inlineStr">
        <is>
          <t>Z Supply</t>
        </is>
      </c>
      <c r="K29" s="224" t="inlineStr">
        <is>
          <t>Z Supply</t>
        </is>
      </c>
      <c r="L29" s="318" t="n"/>
      <c r="M29" s="319" t="inlineStr">
        <is>
          <t>NZ</t>
        </is>
      </c>
      <c r="N29" s="320" t="inlineStr">
        <is>
          <t>CIC</t>
        </is>
      </c>
      <c r="O29" s="321" t="n">
        <v>1</v>
      </c>
      <c r="P29" s="320" t="n"/>
      <c r="Q29" s="321" t="inlineStr">
        <is>
          <t>Permanent - Full Time</t>
        </is>
      </c>
      <c r="R29" s="322" t="n"/>
      <c r="S29" s="322" t="n"/>
      <c r="T29" s="322" t="n">
        <v>165470</v>
      </c>
      <c r="U29" s="705" t="n">
        <v>152232.4</v>
      </c>
      <c r="V29" s="324" t="n">
        <v>0.15</v>
      </c>
      <c r="W29" s="321" t="n"/>
      <c r="X29" s="325" t="n">
        <v>0.05</v>
      </c>
      <c r="Y29" s="700" t="n">
        <v>2910</v>
      </c>
      <c r="Z29" s="325" t="n">
        <v>0.03</v>
      </c>
      <c r="AA29" s="701">
        <f>U29*(1+V29+X29+Z29)+Y29</f>
        <v>190155.85199999998</v>
      </c>
      <c r="AB29" t="n">
        <v>113545</v>
      </c>
      <c r="AC29" t="inlineStr">
        <is>
          <t>Z Retail</t>
        </is>
      </c>
      <c r="AD29" t="inlineStr">
        <is>
          <t>Z Supply</t>
        </is>
      </c>
      <c r="AE29" t="inlineStr">
        <is>
          <t>Z Supply</t>
        </is>
      </c>
      <c r="AF29" t="inlineStr">
        <is>
          <t>Squad</t>
        </is>
      </c>
      <c r="AG29" t="inlineStr">
        <is>
          <t>Filled</t>
        </is>
      </c>
    </row>
    <row r="30" hidden="1" ht="18" customHeight="1" s="506">
      <c r="A30" s="259" t="n">
        <v>110704</v>
      </c>
      <c r="B30" s="224" t="inlineStr">
        <is>
          <t>Irfan Zavahir</t>
        </is>
      </c>
      <c r="C30" s="317" t="inlineStr">
        <is>
          <t>Delivery Lead</t>
        </is>
      </c>
      <c r="D30" s="224" t="inlineStr">
        <is>
          <t>Vanessa Allen</t>
        </is>
      </c>
      <c r="E30" s="224" t="inlineStr">
        <is>
          <t>Delivery Manager, Ampol Retail</t>
        </is>
      </c>
      <c r="F30" s="224" t="inlineStr">
        <is>
          <t>Ampol Retail &amp; Z</t>
        </is>
      </c>
      <c r="G30" s="318" t="inlineStr">
        <is>
          <t>Ampol Retail</t>
        </is>
      </c>
      <c r="H30" s="224" t="inlineStr">
        <is>
          <t>Ampol Retail, Delivery</t>
        </is>
      </c>
      <c r="I30" s="224" t="inlineStr">
        <is>
          <t>Retail</t>
        </is>
      </c>
      <c r="J30" s="318" t="inlineStr">
        <is>
          <t>AMPOS</t>
        </is>
      </c>
      <c r="K30" s="224" t="inlineStr">
        <is>
          <t>Ampos</t>
        </is>
      </c>
      <c r="L30" s="318" t="n"/>
      <c r="M30" s="319" t="inlineStr">
        <is>
          <t>Australia</t>
        </is>
      </c>
      <c r="N30" s="320" t="inlineStr">
        <is>
          <t>CIC</t>
        </is>
      </c>
      <c r="O30" s="320" t="n">
        <v>1</v>
      </c>
      <c r="P30" s="320" t="n"/>
      <c r="Q30" s="320" t="inlineStr">
        <is>
          <t>Permanent - Full Time</t>
        </is>
      </c>
      <c r="R30" s="322" t="n"/>
      <c r="S30" s="322" t="n"/>
      <c r="T30" s="322" t="n">
        <v>179340</v>
      </c>
      <c r="U30" s="705" t="n">
        <v>179340</v>
      </c>
      <c r="V30" s="325" t="n">
        <v>0.12</v>
      </c>
      <c r="W30" s="702" t="n">
        <v>0.055</v>
      </c>
      <c r="X30" s="702" t="n">
        <v>0.12</v>
      </c>
      <c r="Y30" s="703" t="n"/>
      <c r="Z30" s="702" t="n">
        <v>0.04</v>
      </c>
      <c r="AA30" s="701">
        <f>U30*(1+V30+W30+X30+Y30+Z30)</f>
        <v>239418.9</v>
      </c>
      <c r="AC30" t="inlineStr">
        <is>
          <t>Ampol Retail</t>
        </is>
      </c>
      <c r="AD30" t="inlineStr">
        <is>
          <t>AmPOS</t>
        </is>
      </c>
      <c r="AE30" t="inlineStr">
        <is>
          <t>AmPOS</t>
        </is>
      </c>
      <c r="AF30" t="inlineStr">
        <is>
          <t>Strategic Program</t>
        </is>
      </c>
      <c r="AG30" t="inlineStr">
        <is>
          <t>Filled</t>
        </is>
      </c>
    </row>
    <row r="31" hidden="1" ht="18" customHeight="1" s="506">
      <c r="A31" s="259" t="n">
        <v>99999102104</v>
      </c>
      <c r="B31" s="224" t="inlineStr">
        <is>
          <t>Isuru Herath</t>
        </is>
      </c>
      <c r="C31" s="317" t="inlineStr">
        <is>
          <t>Senior Engineer - Software</t>
        </is>
      </c>
      <c r="D31" s="224" t="inlineStr">
        <is>
          <t>Vacant</t>
        </is>
      </c>
      <c r="E31" s="224" t="inlineStr">
        <is>
          <t>Technology Manager, Engineering</t>
        </is>
      </c>
      <c r="F31" s="224" t="inlineStr">
        <is>
          <t>Ampol Retail &amp; Z</t>
        </is>
      </c>
      <c r="G31" s="318" t="inlineStr">
        <is>
          <t>Z &amp; Group Retail</t>
        </is>
      </c>
      <c r="H31" s="224" t="inlineStr">
        <is>
          <t>Z &amp; Group Retail, Engineering</t>
        </is>
      </c>
      <c r="I31" s="224" t="inlineStr">
        <is>
          <t>Z</t>
        </is>
      </c>
      <c r="J31" s="318" t="inlineStr">
        <is>
          <t>Z Supply</t>
        </is>
      </c>
      <c r="K31" s="224" t="inlineStr">
        <is>
          <t>Z Supply</t>
        </is>
      </c>
      <c r="L31" s="318" t="n"/>
      <c r="M31" s="319" t="inlineStr">
        <is>
          <t>NZ</t>
        </is>
      </c>
      <c r="N31" s="320" t="inlineStr">
        <is>
          <t>CIB</t>
        </is>
      </c>
      <c r="O31" s="321" t="n">
        <v>1</v>
      </c>
      <c r="P31" s="320" t="n"/>
      <c r="Q31" s="321" t="inlineStr">
        <is>
          <t>Permanent - Full Time</t>
        </is>
      </c>
      <c r="R31" s="322" t="n"/>
      <c r="S31" s="322" t="n"/>
      <c r="T31" s="322" t="n">
        <v>140000</v>
      </c>
      <c r="U31" s="705" t="n">
        <v>128800</v>
      </c>
      <c r="V31" s="324" t="n">
        <v>0.15</v>
      </c>
      <c r="W31" s="321" t="n"/>
      <c r="X31" s="325" t="n">
        <v>0.05</v>
      </c>
      <c r="Y31" s="700" t="n">
        <v>2910</v>
      </c>
      <c r="Z31" s="325" t="n">
        <v>0.03</v>
      </c>
      <c r="AA31" s="701">
        <f>U31*(1+V31+X31+Z31)+Y31</f>
        <v>161334.0</v>
      </c>
      <c r="AB31" t="n">
        <v>115813</v>
      </c>
      <c r="AC31" t="inlineStr">
        <is>
          <t>Z Retail</t>
        </is>
      </c>
      <c r="AD31" t="inlineStr">
        <is>
          <t>Z Supply</t>
        </is>
      </c>
      <c r="AE31" t="inlineStr">
        <is>
          <t>Z Supply</t>
        </is>
      </c>
      <c r="AF31" t="inlineStr">
        <is>
          <t>Squad</t>
        </is>
      </c>
      <c r="AG31" t="inlineStr">
        <is>
          <t>Filled</t>
        </is>
      </c>
    </row>
    <row r="32" hidden="1" ht="18" customHeight="1" s="506">
      <c r="A32" s="259" t="n">
        <v>91356</v>
      </c>
      <c r="B32" s="224" t="inlineStr">
        <is>
          <t>Javier Aguirre Castellanos</t>
        </is>
      </c>
      <c r="C32" s="317" t="inlineStr">
        <is>
          <t>Solution Architect</t>
        </is>
      </c>
      <c r="D32" s="224" t="inlineStr">
        <is>
          <t>Vedran Jukic</t>
        </is>
      </c>
      <c r="E32" s="224" t="inlineStr">
        <is>
          <t>Technology Manager, Retail</t>
        </is>
      </c>
      <c r="F32" s="224" t="inlineStr">
        <is>
          <t>Ampol Retail &amp; Z</t>
        </is>
      </c>
      <c r="G32" s="318" t="inlineStr">
        <is>
          <t>Ampol Retail</t>
        </is>
      </c>
      <c r="H32" s="224" t="inlineStr">
        <is>
          <t>Ampol Retail, Technology</t>
        </is>
      </c>
      <c r="I32" s="224" t="inlineStr">
        <is>
          <t>Retail</t>
        </is>
      </c>
      <c r="J32" s="318" t="inlineStr">
        <is>
          <t>Network/QSR</t>
        </is>
      </c>
      <c r="K32" s="224" t="inlineStr">
        <is>
          <t>Network &amp; QSR</t>
        </is>
      </c>
      <c r="L32" s="318" t="n"/>
      <c r="M32" s="319" t="inlineStr">
        <is>
          <t>Australia</t>
        </is>
      </c>
      <c r="N32" s="320" t="inlineStr">
        <is>
          <t>CIB</t>
        </is>
      </c>
      <c r="O32" s="320" t="n">
        <v>1</v>
      </c>
      <c r="P32" s="320" t="n"/>
      <c r="Q32" s="320" t="inlineStr">
        <is>
          <t>Permanent - Full Time</t>
        </is>
      </c>
      <c r="R32" s="322" t="n"/>
      <c r="S32" s="322" t="n"/>
      <c r="T32" s="322" t="n">
        <v>168160</v>
      </c>
      <c r="U32" s="705" t="n">
        <v>168160</v>
      </c>
      <c r="V32" s="325" t="n">
        <v>0.12</v>
      </c>
      <c r="W32" s="702" t="n">
        <v>0.055</v>
      </c>
      <c r="X32" s="702" t="n">
        <v>0.12</v>
      </c>
      <c r="Y32" s="703" t="n"/>
      <c r="Z32" s="702" t="n">
        <v>0.04</v>
      </c>
      <c r="AA32" s="701">
        <f>U32*(1+V32+W32+X32+Y32+Z32)</f>
        <v>224493.6</v>
      </c>
      <c r="AC32" t="inlineStr">
        <is>
          <t>Ampol Retail</t>
        </is>
      </c>
      <c r="AD32" t="inlineStr">
        <is>
          <t>Network / QSR</t>
        </is>
      </c>
      <c r="AE32" t="inlineStr">
        <is>
          <t>Network / QSR</t>
        </is>
      </c>
      <c r="AF32" t="inlineStr">
        <is>
          <t>Squad</t>
        </is>
      </c>
      <c r="AG32" t="inlineStr">
        <is>
          <t>Filled</t>
        </is>
      </c>
    </row>
    <row r="33" hidden="1" ht="18" customHeight="1" s="506">
      <c r="A33" s="259" t="n">
        <v>99999102123</v>
      </c>
      <c r="B33" s="224" t="inlineStr">
        <is>
          <t>Jodie Marquez</t>
        </is>
      </c>
      <c r="C33" s="317" t="inlineStr">
        <is>
          <t>Data Analyst</t>
        </is>
      </c>
      <c r="D33" s="318" t="inlineStr">
        <is>
          <t>Vacant</t>
        </is>
      </c>
      <c r="E33" s="224" t="inlineStr">
        <is>
          <t>Technology Manager, Data</t>
        </is>
      </c>
      <c r="F33" s="224" t="inlineStr">
        <is>
          <t>Ampol Retail &amp; Z</t>
        </is>
      </c>
      <c r="G33" s="318" t="inlineStr">
        <is>
          <t>Z &amp; Group Retail</t>
        </is>
      </c>
      <c r="H33" s="224" t="inlineStr">
        <is>
          <t>Z &amp; Group Retail, Data</t>
        </is>
      </c>
      <c r="I33" s="224" t="inlineStr">
        <is>
          <t>Z</t>
        </is>
      </c>
      <c r="J33" s="318" t="inlineStr">
        <is>
          <t>Z Customer &amp; Z Supply</t>
        </is>
      </c>
      <c r="K33" s="224" t="inlineStr">
        <is>
          <t>Data - NZ</t>
        </is>
      </c>
      <c r="L33" s="318" t="n"/>
      <c r="M33" s="319" t="inlineStr">
        <is>
          <t>NZ</t>
        </is>
      </c>
      <c r="N33" s="320" t="inlineStr">
        <is>
          <t>CIA</t>
        </is>
      </c>
      <c r="O33" s="321" t="n">
        <v>1</v>
      </c>
      <c r="P33" s="320" t="n"/>
      <c r="Q33" s="321" t="inlineStr">
        <is>
          <t>Permanent - Full Time</t>
        </is>
      </c>
      <c r="R33" s="322" t="n"/>
      <c r="S33" s="322" t="n"/>
      <c r="T33" s="322" t="n">
        <v>115000</v>
      </c>
      <c r="U33" s="705" t="n">
        <v>105800</v>
      </c>
      <c r="V33" s="324" t="n">
        <v>0.15</v>
      </c>
      <c r="W33" s="321" t="n"/>
      <c r="X33" s="325" t="n">
        <v>0.05</v>
      </c>
      <c r="Y33" s="700" t="n">
        <v>2910</v>
      </c>
      <c r="Z33" s="325" t="n">
        <v>0.03</v>
      </c>
      <c r="AA33" s="701">
        <f>U33*(1+V33+X33+Z33)+Y33</f>
        <v>133044.0</v>
      </c>
      <c r="AB33" t="n">
        <v>115821</v>
      </c>
      <c r="AC33" t="inlineStr">
        <is>
          <t>Z Retail</t>
        </is>
      </c>
      <c r="AD33" t="inlineStr">
        <is>
          <t>-</t>
        </is>
      </c>
      <c r="AE33" t="inlineStr">
        <is>
          <t>Data NZ</t>
        </is>
      </c>
      <c r="AF33" t="inlineStr">
        <is>
          <t>Unmapped</t>
        </is>
      </c>
      <c r="AG33" t="inlineStr">
        <is>
          <t>Filled</t>
        </is>
      </c>
    </row>
    <row r="34" hidden="1" ht="18" customHeight="1" s="506">
      <c r="A34" s="259" t="n">
        <v>99999101542</v>
      </c>
      <c r="B34" s="224" t="inlineStr">
        <is>
          <t>Joe Kuttikkatt</t>
        </is>
      </c>
      <c r="C34" s="317" t="inlineStr">
        <is>
          <t>Senior Quality Assurance</t>
        </is>
      </c>
      <c r="D34" s="224" t="inlineStr">
        <is>
          <t>Vacant</t>
        </is>
      </c>
      <c r="E34" s="224" t="inlineStr">
        <is>
          <t>Technology Manager, Engineering</t>
        </is>
      </c>
      <c r="F34" s="224" t="inlineStr">
        <is>
          <t>Ampol Retail &amp; Z</t>
        </is>
      </c>
      <c r="G34" s="318" t="inlineStr">
        <is>
          <t>Z &amp; Group Retail</t>
        </is>
      </c>
      <c r="H34" s="224" t="inlineStr">
        <is>
          <t>Z &amp; Group Retail, Engineering</t>
        </is>
      </c>
      <c r="I34" s="224" t="inlineStr">
        <is>
          <t>Z</t>
        </is>
      </c>
      <c r="J34" s="318" t="inlineStr">
        <is>
          <t>Z Supply</t>
        </is>
      </c>
      <c r="K34" s="224" t="inlineStr">
        <is>
          <t>Z Supply</t>
        </is>
      </c>
      <c r="L34" s="318" t="n"/>
      <c r="M34" s="319" t="inlineStr">
        <is>
          <t>NZ</t>
        </is>
      </c>
      <c r="N34" s="320" t="inlineStr">
        <is>
          <t>CIA</t>
        </is>
      </c>
      <c r="O34" s="321" t="n">
        <v>1</v>
      </c>
      <c r="P34" s="320" t="n"/>
      <c r="Q34" s="321" t="inlineStr">
        <is>
          <t>Permanent - Full Time</t>
        </is>
      </c>
      <c r="R34" s="322" t="n"/>
      <c r="S34" s="322" t="n"/>
      <c r="T34" s="322" t="n">
        <v>125250</v>
      </c>
      <c r="U34" s="705" t="n">
        <v>115230</v>
      </c>
      <c r="V34" s="324" t="n">
        <v>0.15</v>
      </c>
      <c r="W34" s="321" t="n"/>
      <c r="X34" s="325" t="n">
        <v>0.05</v>
      </c>
      <c r="Y34" s="700" t="n">
        <v>2910</v>
      </c>
      <c r="Z34" s="325" t="n">
        <v>0.03</v>
      </c>
      <c r="AA34" s="701">
        <f>U34*(1+V34+X34+Z34)+Y34</f>
        <v>144642.9</v>
      </c>
      <c r="AB34" t="n">
        <v>113556</v>
      </c>
      <c r="AC34" t="inlineStr">
        <is>
          <t>Z Retail</t>
        </is>
      </c>
      <c r="AD34" t="inlineStr">
        <is>
          <t>Z Supply</t>
        </is>
      </c>
      <c r="AE34" t="inlineStr">
        <is>
          <t>Z Supply</t>
        </is>
      </c>
      <c r="AF34" t="inlineStr">
        <is>
          <t>Squad</t>
        </is>
      </c>
      <c r="AG34" t="inlineStr">
        <is>
          <t>Filled</t>
        </is>
      </c>
    </row>
    <row r="35" hidden="1" ht="18" customHeight="1" s="506">
      <c r="A35" s="259" t="n">
        <v>99999101620</v>
      </c>
      <c r="B35" s="224" t="inlineStr">
        <is>
          <t>Johanah Gloria</t>
        </is>
      </c>
      <c r="C35" s="317" t="inlineStr">
        <is>
          <t>Engineer - Software</t>
        </is>
      </c>
      <c r="D35" s="224" t="inlineStr">
        <is>
          <t>Vacant</t>
        </is>
      </c>
      <c r="E35" s="224" t="inlineStr">
        <is>
          <t>Technology Manager, Engineering</t>
        </is>
      </c>
      <c r="F35" s="224" t="inlineStr">
        <is>
          <t>Ampol Retail &amp; Z</t>
        </is>
      </c>
      <c r="G35" s="318" t="inlineStr">
        <is>
          <t>Z &amp; Group Retail</t>
        </is>
      </c>
      <c r="H35" s="224" t="inlineStr">
        <is>
          <t>Z &amp; Group Retail, Engineering</t>
        </is>
      </c>
      <c r="I35" s="224" t="inlineStr">
        <is>
          <t>Z</t>
        </is>
      </c>
      <c r="J35" s="318" t="inlineStr">
        <is>
          <t>Z Supply</t>
        </is>
      </c>
      <c r="K35" s="224" t="inlineStr">
        <is>
          <t>Z Supply</t>
        </is>
      </c>
      <c r="L35" s="318" t="n"/>
      <c r="M35" s="319" t="inlineStr">
        <is>
          <t>NZ</t>
        </is>
      </c>
      <c r="N35" s="320" t="inlineStr">
        <is>
          <t>CDB</t>
        </is>
      </c>
      <c r="O35" s="321" t="n">
        <v>1</v>
      </c>
      <c r="P35" s="320" t="n"/>
      <c r="Q35" s="321" t="inlineStr">
        <is>
          <t>Permanent - Full Time</t>
        </is>
      </c>
      <c r="R35" s="322" t="n"/>
      <c r="S35" s="322" t="n"/>
      <c r="T35" s="322" t="n">
        <v>93640</v>
      </c>
      <c r="U35" s="705" t="n">
        <v>86148.8</v>
      </c>
      <c r="V35" s="324" t="n">
        <v>0.1</v>
      </c>
      <c r="W35" s="321" t="n"/>
      <c r="X35" s="325" t="n">
        <v>0.05</v>
      </c>
      <c r="Y35" s="700" t="n">
        <v>2910</v>
      </c>
      <c r="Z35" s="325" t="n">
        <v>0.03</v>
      </c>
      <c r="AA35" s="701">
        <f>U35*(1+V35+X35+Z35)+Y35</f>
        <v>104565.58400000002</v>
      </c>
      <c r="AB35" t="n">
        <v>113558</v>
      </c>
      <c r="AC35" t="inlineStr">
        <is>
          <t>Z Retail</t>
        </is>
      </c>
      <c r="AD35" t="inlineStr">
        <is>
          <t>Z Supply</t>
        </is>
      </c>
      <c r="AE35" t="inlineStr">
        <is>
          <t>Z Supply</t>
        </is>
      </c>
      <c r="AF35" t="inlineStr">
        <is>
          <t>Squad</t>
        </is>
      </c>
      <c r="AG35" t="inlineStr">
        <is>
          <t>Filled</t>
        </is>
      </c>
    </row>
    <row r="36" hidden="1" ht="18" customHeight="1" s="506">
      <c r="A36" s="259" t="n">
        <v>7001</v>
      </c>
      <c r="B36" s="224" t="inlineStr">
        <is>
          <t>Joseph Maroun</t>
        </is>
      </c>
      <c r="C36" s="338" t="inlineStr">
        <is>
          <t>Delivery Lead, Integrations</t>
        </is>
      </c>
      <c r="D36" s="224" t="inlineStr">
        <is>
          <t>Tracy Lee Reaper</t>
        </is>
      </c>
      <c r="E36" s="224" t="inlineStr">
        <is>
          <t>Tech Manager, Merchandising &amp; WFM</t>
        </is>
      </c>
      <c r="F36" s="224" t="inlineStr">
        <is>
          <t>Ampol Retail &amp; Z</t>
        </is>
      </c>
      <c r="G36" s="318" t="inlineStr">
        <is>
          <t>Ampol Retail</t>
        </is>
      </c>
      <c r="H36" s="224" t="inlineStr">
        <is>
          <t>Ampol Retail, Merch &amp; RTA</t>
        </is>
      </c>
      <c r="I36" s="224" t="inlineStr">
        <is>
          <t>Retail</t>
        </is>
      </c>
      <c r="J36" s="318" t="inlineStr">
        <is>
          <t>Merch / Supply Chain</t>
        </is>
      </c>
      <c r="K36" s="224" t="inlineStr">
        <is>
          <t>Merchandising &amp; Supply Chain</t>
        </is>
      </c>
      <c r="L36" s="318" t="n"/>
      <c r="M36" s="319" t="inlineStr">
        <is>
          <t>Australia</t>
        </is>
      </c>
      <c r="N36" s="322" t="inlineStr">
        <is>
          <t>CIB</t>
        </is>
      </c>
      <c r="O36" s="322" t="n">
        <v>1</v>
      </c>
      <c r="P36" s="322" t="n"/>
      <c r="Q36" s="322" t="inlineStr">
        <is>
          <t>Permanent - Full Time</t>
        </is>
      </c>
      <c r="R36" s="322" t="n"/>
      <c r="S36" s="322" t="n"/>
      <c r="T36" s="322" t="n">
        <v>142360</v>
      </c>
      <c r="U36" s="705" t="n">
        <v>142360</v>
      </c>
      <c r="V36" s="325" t="n">
        <v>0.12</v>
      </c>
      <c r="W36" s="702" t="n">
        <v>0.055</v>
      </c>
      <c r="X36" s="702" t="n">
        <v>0.12</v>
      </c>
      <c r="Y36" s="703" t="n"/>
      <c r="Z36" s="702" t="n">
        <v>0.04</v>
      </c>
      <c r="AA36" s="701">
        <f>U36*(1+V36+W36+X36+Y36+Z36)</f>
        <v>190050.6</v>
      </c>
      <c r="AC36" t="inlineStr">
        <is>
          <t>Ampol Retail</t>
        </is>
      </c>
      <c r="AD36" t="inlineStr">
        <is>
          <t>Above Store</t>
        </is>
      </c>
      <c r="AE36" t="inlineStr">
        <is>
          <t>Above Store</t>
        </is>
      </c>
      <c r="AF36" t="inlineStr">
        <is>
          <t>Squad</t>
        </is>
      </c>
      <c r="AG36" t="inlineStr">
        <is>
          <t>Filled</t>
        </is>
      </c>
    </row>
    <row r="37" hidden="1" ht="18" customHeight="1" s="506">
      <c r="A37" s="259" t="inlineStr">
        <is>
          <t>C</t>
        </is>
      </c>
      <c r="B37" s="224" t="inlineStr">
        <is>
          <t>Kanti Hirani</t>
        </is>
      </c>
      <c r="C37" s="317" t="inlineStr">
        <is>
          <t>Business Analyst (PEP13 UK)</t>
        </is>
      </c>
      <c r="D37" s="224" t="inlineStr">
        <is>
          <t>Vanessa Allen</t>
        </is>
      </c>
      <c r="E37" s="224" t="inlineStr">
        <is>
          <t>Delivery Manager, Ampol Retail</t>
        </is>
      </c>
      <c r="F37" s="224" t="inlineStr">
        <is>
          <t>Ampol Retail &amp; Z</t>
        </is>
      </c>
      <c r="G37" s="318" t="inlineStr">
        <is>
          <t>Ampol Retail</t>
        </is>
      </c>
      <c r="H37" s="224" t="inlineStr">
        <is>
          <t>Ampol Retail, Delivery</t>
        </is>
      </c>
      <c r="I37" s="224" t="inlineStr">
        <is>
          <t>EGI Integration</t>
        </is>
      </c>
      <c r="J37" s="318" t="inlineStr">
        <is>
          <t>EGI</t>
        </is>
      </c>
      <c r="K37" s="224" t="inlineStr">
        <is>
          <t>EGI</t>
        </is>
      </c>
      <c r="L37" s="318" t="n"/>
      <c r="M37" s="319" t="inlineStr">
        <is>
          <t>Australia</t>
        </is>
      </c>
      <c r="N37" s="322" t="inlineStr">
        <is>
          <t>NA</t>
        </is>
      </c>
      <c r="O37" s="320" t="n">
        <v>1</v>
      </c>
      <c r="P37" s="322" t="n"/>
      <c r="Q37" s="322" t="inlineStr">
        <is>
          <t>cxc</t>
        </is>
      </c>
      <c r="R37" s="331" t="inlineStr">
        <is>
          <t>Daily</t>
        </is>
      </c>
      <c r="S37" s="322" t="n">
        <v>952</v>
      </c>
      <c r="T37" s="322" t="n">
        <v>0</v>
      </c>
      <c r="U37" s="334" t="n"/>
      <c r="V37" s="318" t="n"/>
      <c r="W37" s="318" t="n"/>
      <c r="X37" s="318" t="n"/>
      <c r="Y37" s="318" t="n"/>
      <c r="Z37" s="318" t="n"/>
      <c r="AA37" s="704">
        <f>S37*222</f>
        <v>211344.0</v>
      </c>
      <c r="AC37" t="inlineStr">
        <is>
          <t>EGI</t>
        </is>
      </c>
      <c r="AD37" t="inlineStr">
        <is>
          <t>EGI</t>
        </is>
      </c>
      <c r="AE37" t="inlineStr">
        <is>
          <t>EGI (unassigned)</t>
        </is>
      </c>
      <c r="AF37" t="inlineStr">
        <is>
          <t>Unmapped</t>
        </is>
      </c>
      <c r="AG37" t="inlineStr">
        <is>
          <t>Filled</t>
        </is>
      </c>
    </row>
    <row r="38" hidden="1" ht="18" customHeight="1" s="506">
      <c r="A38" s="259" t="n">
        <v>84413</v>
      </c>
      <c r="B38" s="224" t="inlineStr">
        <is>
          <t>Karthick Sathiyamoorthy</t>
        </is>
      </c>
      <c r="C38" s="317" t="inlineStr">
        <is>
          <t>Quality Assurance</t>
        </is>
      </c>
      <c r="D38" s="318" t="inlineStr">
        <is>
          <t>Vacant</t>
        </is>
      </c>
      <c r="E38" s="224" t="inlineStr">
        <is>
          <t>Lead Quality Assurance</t>
        </is>
      </c>
      <c r="F38" s="224" t="inlineStr">
        <is>
          <t>Ampol Retail &amp; Z</t>
        </is>
      </c>
      <c r="G38" s="318" t="inlineStr">
        <is>
          <t>Ampol Retail</t>
        </is>
      </c>
      <c r="H38" s="224" t="inlineStr">
        <is>
          <t>Ampol Retail, Store Platforms</t>
        </is>
      </c>
      <c r="I38" s="224" t="inlineStr">
        <is>
          <t>Retail</t>
        </is>
      </c>
      <c r="J38" s="318" t="inlineStr">
        <is>
          <t>AMPOS</t>
        </is>
      </c>
      <c r="K38" s="224" t="inlineStr">
        <is>
          <t>AmPos</t>
        </is>
      </c>
      <c r="L38" s="318" t="n"/>
      <c r="M38" s="319" t="inlineStr">
        <is>
          <t>Australia</t>
        </is>
      </c>
      <c r="N38" s="322" t="inlineStr">
        <is>
          <t>CIA</t>
        </is>
      </c>
      <c r="O38" s="322" t="n">
        <v>1</v>
      </c>
      <c r="P38" s="322" t="n"/>
      <c r="Q38" s="322" t="inlineStr">
        <is>
          <t>Permanent - Full Time</t>
        </is>
      </c>
      <c r="R38" s="322" t="n"/>
      <c r="S38" s="322" t="n"/>
      <c r="T38" s="322" t="n">
        <v>134270</v>
      </c>
      <c r="U38" s="705" t="n">
        <v>134270</v>
      </c>
      <c r="V38" s="325" t="n">
        <v>0.1</v>
      </c>
      <c r="W38" s="702" t="n">
        <v>0.055</v>
      </c>
      <c r="X38" s="702" t="n">
        <v>0.12</v>
      </c>
      <c r="Y38" s="703" t="n"/>
      <c r="Z38" s="702" t="n">
        <v>0.04</v>
      </c>
      <c r="AA38" s="701">
        <f>U38*(1+V38+W38+X38+Y38+Z38)</f>
        <v>176565.05</v>
      </c>
      <c r="AC38" t="inlineStr">
        <is>
          <t>Ampol Retail</t>
        </is>
      </c>
      <c r="AD38" t="inlineStr">
        <is>
          <t>AmPOS</t>
        </is>
      </c>
      <c r="AE38" t="inlineStr">
        <is>
          <t>AmPOS</t>
        </is>
      </c>
      <c r="AF38" t="inlineStr">
        <is>
          <t>Strategic Program</t>
        </is>
      </c>
      <c r="AG38" t="inlineStr">
        <is>
          <t>Filled</t>
        </is>
      </c>
    </row>
    <row r="39" hidden="1" ht="18" customHeight="1" s="506">
      <c r="A39" s="259" t="n">
        <v>85321</v>
      </c>
      <c r="B39" s="224" t="inlineStr">
        <is>
          <t>Karthikeyan Kuppan</t>
        </is>
      </c>
      <c r="C39" s="317" t="inlineStr">
        <is>
          <t>Lead - AU Retail Operations</t>
        </is>
      </c>
      <c r="D39" s="224" t="inlineStr">
        <is>
          <t>Vaishnavi Viswanathan</t>
        </is>
      </c>
      <c r="E39" s="224" t="inlineStr">
        <is>
          <t>Technology Manager, Store Platform</t>
        </is>
      </c>
      <c r="F39" s="224" t="inlineStr">
        <is>
          <t>Ampol Retail &amp; Z</t>
        </is>
      </c>
      <c r="G39" s="318" t="inlineStr">
        <is>
          <t>Ampol Retail</t>
        </is>
      </c>
      <c r="H39" s="224" t="inlineStr">
        <is>
          <t>Ampol Retail, Store Platforms</t>
        </is>
      </c>
      <c r="I39" s="224" t="inlineStr">
        <is>
          <t>Retail</t>
        </is>
      </c>
      <c r="J39" s="318" t="inlineStr">
        <is>
          <t>Store Operations</t>
        </is>
      </c>
      <c r="K39" s="224" t="inlineStr">
        <is>
          <t>Retail Operations</t>
        </is>
      </c>
      <c r="L39" s="318" t="n"/>
      <c r="M39" s="319" t="inlineStr">
        <is>
          <t>Australia</t>
        </is>
      </c>
      <c r="N39" s="322" t="inlineStr">
        <is>
          <t>CIB</t>
        </is>
      </c>
      <c r="O39" s="322" t="n">
        <v>1</v>
      </c>
      <c r="P39" s="322" t="n"/>
      <c r="Q39" s="322" t="inlineStr">
        <is>
          <t>Permanent - Full Time</t>
        </is>
      </c>
      <c r="R39" s="322" t="n"/>
      <c r="S39" s="322" t="n"/>
      <c r="T39" s="322" t="n">
        <v>145340</v>
      </c>
      <c r="U39" s="705" t="n">
        <v>145340</v>
      </c>
      <c r="V39" s="325" t="n">
        <v>0.12</v>
      </c>
      <c r="W39" s="702" t="n">
        <v>0.055</v>
      </c>
      <c r="X39" s="702" t="n">
        <v>0.12</v>
      </c>
      <c r="Y39" s="703" t="n"/>
      <c r="Z39" s="702" t="n">
        <v>0.04</v>
      </c>
      <c r="AA39" s="701">
        <f>U39*(1+V39+W39+X39+Y39+Z39)</f>
        <v>194028.9</v>
      </c>
      <c r="AC39" t="inlineStr">
        <is>
          <t>Ampol Retail</t>
        </is>
      </c>
      <c r="AD39" t="inlineStr">
        <is>
          <t>Store Operations</t>
        </is>
      </c>
      <c r="AE39" t="inlineStr">
        <is>
          <t>Retail Operations</t>
        </is>
      </c>
      <c r="AF39" t="inlineStr">
        <is>
          <t>Unmapped</t>
        </is>
      </c>
      <c r="AG39" t="inlineStr">
        <is>
          <t>Filled</t>
        </is>
      </c>
    </row>
    <row r="40" hidden="1" ht="18" customHeight="1" s="506">
      <c r="A40" s="259" t="n">
        <v>99999101804</v>
      </c>
      <c r="B40" s="335" t="inlineStr">
        <is>
          <t>Kate Johnstone</t>
        </is>
      </c>
      <c r="C40" s="336" t="inlineStr">
        <is>
          <t>Program Manager POS</t>
        </is>
      </c>
      <c r="D40" s="224" t="inlineStr">
        <is>
          <t>Vance Anderson</t>
        </is>
      </c>
      <c r="E40" s="318" t="inlineStr">
        <is>
          <t>GM TDD, Ampol Retail &amp; Z</t>
        </is>
      </c>
      <c r="F40" s="224" t="inlineStr">
        <is>
          <t>Ampol Retail &amp; Z</t>
        </is>
      </c>
      <c r="G40" s="318" t="inlineStr">
        <is>
          <t>Program Management</t>
        </is>
      </c>
      <c r="H40" s="224" t="n"/>
      <c r="I40" s="224" t="inlineStr">
        <is>
          <t>Retail</t>
        </is>
      </c>
      <c r="J40" s="318" t="inlineStr">
        <is>
          <t>AMPOS</t>
        </is>
      </c>
      <c r="K40" s="318" t="inlineStr">
        <is>
          <t>Leadership</t>
        </is>
      </c>
      <c r="L40" s="318" t="n"/>
      <c r="M40" s="319" t="inlineStr">
        <is>
          <t>NZ</t>
        </is>
      </c>
      <c r="N40" s="320" t="inlineStr">
        <is>
          <t>CSB</t>
        </is>
      </c>
      <c r="O40" s="321" t="n">
        <v>1</v>
      </c>
      <c r="P40" s="320" t="n"/>
      <c r="Q40" s="321" t="inlineStr">
        <is>
          <t>Permanent - Full Time</t>
        </is>
      </c>
      <c r="R40" s="322" t="n"/>
      <c r="S40" s="322" t="n"/>
      <c r="T40" s="322" t="n">
        <v>212110</v>
      </c>
      <c r="U40" s="705" t="n">
        <v>195141.2</v>
      </c>
      <c r="V40" s="324" t="n">
        <v>0.15</v>
      </c>
      <c r="W40" s="321" t="n"/>
      <c r="X40" s="325" t="n">
        <v>0.05</v>
      </c>
      <c r="Y40" s="700" t="n">
        <v>2910</v>
      </c>
      <c r="Z40" s="325" t="n">
        <v>0.03</v>
      </c>
      <c r="AA40" s="701">
        <f>U40*(1+V40+X40+Z40)+Y40</f>
        <v>242933.676</v>
      </c>
      <c r="AB40" t="n">
        <v>110283</v>
      </c>
      <c r="AC40" t="inlineStr">
        <is>
          <t>Ampol Retail</t>
        </is>
      </c>
      <c r="AD40" t="inlineStr">
        <is>
          <t>Leadership</t>
        </is>
      </c>
      <c r="AE40" t="inlineStr">
        <is>
          <t>Leadership</t>
        </is>
      </c>
      <c r="AF40" t="inlineStr">
        <is>
          <t>Leadership</t>
        </is>
      </c>
      <c r="AG40" t="inlineStr">
        <is>
          <t>Filled</t>
        </is>
      </c>
    </row>
    <row r="41" hidden="1" ht="18" customHeight="1" s="506">
      <c r="A41" s="259" t="n">
        <v>99999100476</v>
      </c>
      <c r="B41" s="224" t="inlineStr">
        <is>
          <t>Kelly Russell</t>
        </is>
      </c>
      <c r="C41" s="317" t="inlineStr">
        <is>
          <t>Lead Quality Assurance</t>
        </is>
      </c>
      <c r="D41" s="224" t="inlineStr">
        <is>
          <t>Callan McLaughlin</t>
        </is>
      </c>
      <c r="E41" s="224" t="inlineStr">
        <is>
          <t>Technology Manager,  Site Systems</t>
        </is>
      </c>
      <c r="F41" s="224" t="inlineStr">
        <is>
          <t>Ampol Retail &amp; Z</t>
        </is>
      </c>
      <c r="G41" s="318" t="inlineStr">
        <is>
          <t>Z &amp; Group Retail</t>
        </is>
      </c>
      <c r="H41" s="224" t="inlineStr">
        <is>
          <t>Z &amp; Group Retail, Site Systems</t>
        </is>
      </c>
      <c r="I41" s="224" t="inlineStr">
        <is>
          <t>Z</t>
        </is>
      </c>
      <c r="J41" s="318" t="inlineStr">
        <is>
          <t>Z Customer</t>
        </is>
      </c>
      <c r="K41" s="224" t="inlineStr">
        <is>
          <t>Site Systems</t>
        </is>
      </c>
      <c r="L41" s="318" t="n"/>
      <c r="M41" s="319" t="inlineStr">
        <is>
          <t>NZ</t>
        </is>
      </c>
      <c r="N41" s="320" t="inlineStr">
        <is>
          <t>CIC</t>
        </is>
      </c>
      <c r="O41" s="321" t="n">
        <v>1</v>
      </c>
      <c r="P41" s="320" t="n"/>
      <c r="Q41" s="321" t="inlineStr">
        <is>
          <t>Permanent - Full Time</t>
        </is>
      </c>
      <c r="R41" s="322" t="n"/>
      <c r="S41" s="322" t="n"/>
      <c r="T41" s="322" t="n">
        <v>175960</v>
      </c>
      <c r="U41" s="705" t="n">
        <v>161883.2</v>
      </c>
      <c r="V41" s="324" t="n">
        <v>0.15</v>
      </c>
      <c r="W41" s="321" t="n"/>
      <c r="X41" s="325" t="n">
        <v>0.05</v>
      </c>
      <c r="Y41" s="700" t="n">
        <v>2910</v>
      </c>
      <c r="Z41" s="325" t="n">
        <v>0.03</v>
      </c>
      <c r="AA41" s="701">
        <f>U41*(1+V41+X41+Z41)+Y41</f>
        <v>202026.336</v>
      </c>
      <c r="AB41" t="n">
        <v>113566</v>
      </c>
      <c r="AC41" t="inlineStr">
        <is>
          <t>Z Retail</t>
        </is>
      </c>
      <c r="AD41" t="inlineStr">
        <is>
          <t>Z Customer</t>
        </is>
      </c>
      <c r="AE41" t="inlineStr">
        <is>
          <t>Site Systems</t>
        </is>
      </c>
      <c r="AF41" t="inlineStr">
        <is>
          <t>Squad</t>
        </is>
      </c>
      <c r="AG41" t="inlineStr">
        <is>
          <t>Filled</t>
        </is>
      </c>
    </row>
    <row r="42" hidden="1" ht="18" customHeight="1" s="506">
      <c r="A42" s="259" t="n">
        <v>99999102028</v>
      </c>
      <c r="B42" s="224" t="inlineStr">
        <is>
          <t>Lauren Lancaster</t>
        </is>
      </c>
      <c r="C42" s="317" t="inlineStr">
        <is>
          <t>Associate Engineer - Software</t>
        </is>
      </c>
      <c r="D42" s="224" t="inlineStr">
        <is>
          <t>Vacant</t>
        </is>
      </c>
      <c r="E42" s="224" t="inlineStr">
        <is>
          <t>Technology Manager, Engineering</t>
        </is>
      </c>
      <c r="F42" s="224" t="inlineStr">
        <is>
          <t>Ampol Retail &amp; Z</t>
        </is>
      </c>
      <c r="G42" s="224" t="inlineStr">
        <is>
          <t>Z &amp; Group Retail</t>
        </is>
      </c>
      <c r="H42" s="224" t="inlineStr">
        <is>
          <t>Z &amp; Group Retail, Engineering</t>
        </is>
      </c>
      <c r="I42" s="224" t="inlineStr">
        <is>
          <t>Z</t>
        </is>
      </c>
      <c r="J42" s="224" t="inlineStr">
        <is>
          <t>Z Customer</t>
        </is>
      </c>
      <c r="K42" s="224" t="inlineStr">
        <is>
          <t xml:space="preserve">Z Retail Backend </t>
        </is>
      </c>
      <c r="L42" s="318" t="n"/>
      <c r="M42" s="319" t="inlineStr">
        <is>
          <t>NZ</t>
        </is>
      </c>
      <c r="N42" s="320" t="inlineStr">
        <is>
          <t>CDA</t>
        </is>
      </c>
      <c r="O42" s="321" t="n">
        <v>1</v>
      </c>
      <c r="P42" s="320" t="n"/>
      <c r="Q42" s="321" t="inlineStr">
        <is>
          <t>Permanent - Full Time</t>
        </is>
      </c>
      <c r="R42" s="322" t="n"/>
      <c r="S42" s="322" t="n"/>
      <c r="T42" s="334" t="n">
        <v>72000</v>
      </c>
      <c r="U42" s="705" t="n">
        <v>66240</v>
      </c>
      <c r="V42" s="324" t="n">
        <v>0.1</v>
      </c>
      <c r="W42" s="322" t="n"/>
      <c r="X42" s="325" t="n">
        <v>0.05</v>
      </c>
      <c r="Y42" s="700" t="n">
        <v>2910</v>
      </c>
      <c r="Z42" s="325" t="n">
        <v>0.03</v>
      </c>
      <c r="AA42" s="701">
        <f>U42*(1+V42+X42+Z42)+Y42</f>
        <v>81073.20000000001</v>
      </c>
      <c r="AB42" t="n">
        <v>115816</v>
      </c>
      <c r="AC42" t="inlineStr">
        <is>
          <t>Z Retail</t>
        </is>
      </c>
      <c r="AD42" t="inlineStr">
        <is>
          <t>Z Customer</t>
        </is>
      </c>
      <c r="AE42" t="inlineStr">
        <is>
          <t>Z Retail Backend</t>
        </is>
      </c>
      <c r="AF42" t="inlineStr">
        <is>
          <t>Squad</t>
        </is>
      </c>
      <c r="AG42" t="inlineStr">
        <is>
          <t>Filled</t>
        </is>
      </c>
    </row>
    <row r="43" hidden="1" ht="18" customHeight="1" s="506">
      <c r="A43" s="259" t="n">
        <v>110852</v>
      </c>
      <c r="B43" s="224" t="inlineStr">
        <is>
          <t>Madan Murthy</t>
        </is>
      </c>
      <c r="C43" s="317" t="inlineStr">
        <is>
          <t>Head of Technology, AU Retail</t>
        </is>
      </c>
      <c r="D43" s="224" t="inlineStr">
        <is>
          <t>Vance Anderson</t>
        </is>
      </c>
      <c r="E43" s="318" t="inlineStr">
        <is>
          <t>GM TDD, Ampol Retail &amp; Z</t>
        </is>
      </c>
      <c r="F43" s="224" t="inlineStr">
        <is>
          <t>Ampol Retail &amp; Z</t>
        </is>
      </c>
      <c r="G43" s="318" t="inlineStr">
        <is>
          <t>Ampol Retail</t>
        </is>
      </c>
      <c r="H43" s="224" t="inlineStr">
        <is>
          <t>na</t>
        </is>
      </c>
      <c r="I43" s="224" t="inlineStr">
        <is>
          <t>Retail</t>
        </is>
      </c>
      <c r="J43" s="224" t="inlineStr">
        <is>
          <t>(All Retail)</t>
        </is>
      </c>
      <c r="K43" s="318" t="inlineStr">
        <is>
          <t>Leadership</t>
        </is>
      </c>
      <c r="L43" s="318" t="n"/>
      <c r="M43" s="319" t="inlineStr">
        <is>
          <t>Australia</t>
        </is>
      </c>
      <c r="N43" s="320" t="inlineStr">
        <is>
          <t>CSC</t>
        </is>
      </c>
      <c r="O43" s="320" t="n">
        <v>1</v>
      </c>
      <c r="P43" s="320" t="n"/>
      <c r="Q43" s="320" t="inlineStr">
        <is>
          <t>Permanent - Full Time</t>
        </is>
      </c>
      <c r="R43" s="322" t="n"/>
      <c r="S43" s="322" t="n"/>
      <c r="T43" s="334" t="n">
        <v>310000</v>
      </c>
      <c r="U43" s="705" t="n">
        <v>310000</v>
      </c>
      <c r="V43" s="325" t="n">
        <v>0.2</v>
      </c>
      <c r="W43" s="702" t="n">
        <v>0.055</v>
      </c>
      <c r="X43" s="702" t="n">
        <v>0.12</v>
      </c>
      <c r="Y43" s="703" t="n"/>
      <c r="Z43" s="702" t="n">
        <v>0.04</v>
      </c>
      <c r="AA43" s="701">
        <f>U43*(1+V43+W43+X43+Y43+Z43)</f>
        <v>438650.0</v>
      </c>
      <c r="AC43" t="inlineStr">
        <is>
          <t>Ampol Retail</t>
        </is>
      </c>
      <c r="AD43" t="inlineStr">
        <is>
          <t>Leadership</t>
        </is>
      </c>
      <c r="AE43" t="inlineStr">
        <is>
          <t>Leadership</t>
        </is>
      </c>
      <c r="AF43" t="inlineStr">
        <is>
          <t>Leadership</t>
        </is>
      </c>
      <c r="AG43" t="inlineStr">
        <is>
          <t>Filled</t>
        </is>
      </c>
    </row>
    <row r="44" hidden="1" ht="18" customHeight="1" s="506">
      <c r="A44" s="259" t="n">
        <v>86743</v>
      </c>
      <c r="B44" s="224" t="inlineStr">
        <is>
          <t>Majdi Abedi</t>
        </is>
      </c>
      <c r="C44" s="317" t="inlineStr">
        <is>
          <t>Systems Analyst</t>
        </is>
      </c>
      <c r="D44" s="224" t="inlineStr">
        <is>
          <t>Tracy Lee Reaper</t>
        </is>
      </c>
      <c r="E44" s="224" t="inlineStr">
        <is>
          <t>Tech Manager, Merchandising &amp; WFM</t>
        </is>
      </c>
      <c r="F44" s="224" t="inlineStr">
        <is>
          <t>Ampol Retail &amp; Z</t>
        </is>
      </c>
      <c r="G44" s="318" t="inlineStr">
        <is>
          <t>Ampol Retail</t>
        </is>
      </c>
      <c r="H44" s="224" t="inlineStr">
        <is>
          <t>Ampol Retail, Merch &amp; RTA</t>
        </is>
      </c>
      <c r="I44" s="224" t="inlineStr">
        <is>
          <t>Retail</t>
        </is>
      </c>
      <c r="J44" s="339" t="inlineStr">
        <is>
          <t>Pricing / WFM</t>
        </is>
      </c>
      <c r="K44" s="270" t="inlineStr">
        <is>
          <t>Pricing &amp; WFM</t>
        </is>
      </c>
      <c r="L44" s="318" t="n"/>
      <c r="M44" s="319" t="inlineStr">
        <is>
          <t>Australia</t>
        </is>
      </c>
      <c r="N44" s="322" t="inlineStr">
        <is>
          <t>CIB</t>
        </is>
      </c>
      <c r="O44" s="322" t="n">
        <v>1</v>
      </c>
      <c r="P44" s="322" t="n"/>
      <c r="Q44" s="322" t="inlineStr">
        <is>
          <t>Permanent - Full Time</t>
        </is>
      </c>
      <c r="R44" s="322" t="n"/>
      <c r="S44" s="322" t="n"/>
      <c r="T44" s="334" t="n">
        <v>139350</v>
      </c>
      <c r="U44" s="705" t="n">
        <v>139350</v>
      </c>
      <c r="V44" s="325" t="n">
        <v>0.12</v>
      </c>
      <c r="W44" s="702" t="n">
        <v>0.055</v>
      </c>
      <c r="X44" s="702" t="n">
        <v>0.12</v>
      </c>
      <c r="Y44" s="703" t="n"/>
      <c r="Z44" s="702" t="n">
        <v>0.04</v>
      </c>
      <c r="AA44" s="701">
        <f>U44*(1+V44+W44+X44+Y44+Z44)</f>
        <v>186032.25</v>
      </c>
      <c r="AC44" t="inlineStr">
        <is>
          <t>Ampol Retail</t>
        </is>
      </c>
      <c r="AD44" t="inlineStr">
        <is>
          <t>Above Store</t>
        </is>
      </c>
      <c r="AE44" t="inlineStr">
        <is>
          <t>Above Store</t>
        </is>
      </c>
      <c r="AF44" t="inlineStr">
        <is>
          <t>Squad</t>
        </is>
      </c>
      <c r="AG44" t="inlineStr">
        <is>
          <t>Filled</t>
        </is>
      </c>
    </row>
    <row r="45" hidden="1" ht="18" customHeight="1" s="506">
      <c r="A45" s="259" t="n">
        <v>99999101222</v>
      </c>
      <c r="B45" s="224" t="inlineStr">
        <is>
          <t>Malachi Ah Hoi</t>
        </is>
      </c>
      <c r="C45" s="317" t="inlineStr">
        <is>
          <t>Senior Quality Assurance</t>
        </is>
      </c>
      <c r="D45" s="224" t="inlineStr">
        <is>
          <t>Vacant</t>
        </is>
      </c>
      <c r="E45" s="224" t="inlineStr">
        <is>
          <t>Technology Manager, Engineering</t>
        </is>
      </c>
      <c r="F45" s="224" t="inlineStr">
        <is>
          <t>Ampol Retail &amp; Z</t>
        </is>
      </c>
      <c r="G45" s="224" t="inlineStr">
        <is>
          <t>Z &amp; Group Retail</t>
        </is>
      </c>
      <c r="H45" s="224" t="inlineStr">
        <is>
          <t>Z &amp; Group Retail, Engineering</t>
        </is>
      </c>
      <c r="I45" s="224" t="inlineStr">
        <is>
          <t>Z</t>
        </is>
      </c>
      <c r="J45" s="224" t="inlineStr">
        <is>
          <t>Z Customer</t>
        </is>
      </c>
      <c r="K45" s="224" t="inlineStr">
        <is>
          <t xml:space="preserve">Z Retail Backend </t>
        </is>
      </c>
      <c r="L45" s="318" t="n"/>
      <c r="M45" s="319" t="inlineStr">
        <is>
          <t>NZ</t>
        </is>
      </c>
      <c r="N45" s="320" t="inlineStr">
        <is>
          <t>CIA</t>
        </is>
      </c>
      <c r="O45" s="321" t="n">
        <v>1</v>
      </c>
      <c r="P45" s="320" t="n"/>
      <c r="Q45" s="321" t="inlineStr">
        <is>
          <t>Permanent - Full Time</t>
        </is>
      </c>
      <c r="R45" s="322" t="n"/>
      <c r="S45" s="322" t="n"/>
      <c r="T45" s="334" t="n">
        <v>116170</v>
      </c>
      <c r="U45" s="705" t="n">
        <v>106876.4</v>
      </c>
      <c r="V45" s="324" t="n">
        <v>0.15</v>
      </c>
      <c r="W45" s="322" t="n"/>
      <c r="X45" s="325" t="n">
        <v>0.05</v>
      </c>
      <c r="Y45" s="700" t="n">
        <v>2910</v>
      </c>
      <c r="Z45" s="325" t="n">
        <v>0.03</v>
      </c>
      <c r="AA45" s="701">
        <f>U45*(1+V45+X45+Z45)+Y45</f>
        <v>134367.97199999998</v>
      </c>
      <c r="AB45" t="n">
        <v>113584</v>
      </c>
      <c r="AC45" t="inlineStr">
        <is>
          <t>Z Retail</t>
        </is>
      </c>
      <c r="AD45" t="inlineStr">
        <is>
          <t>Z Customer</t>
        </is>
      </c>
      <c r="AE45" t="inlineStr">
        <is>
          <t>Z Retail Backend</t>
        </is>
      </c>
      <c r="AF45" t="inlineStr">
        <is>
          <t>Squad</t>
        </is>
      </c>
      <c r="AG45" t="inlineStr">
        <is>
          <t>Filled</t>
        </is>
      </c>
    </row>
    <row r="46" hidden="1" ht="18" customHeight="1" s="506">
      <c r="A46" s="259" t="n">
        <v>99999170431</v>
      </c>
      <c r="B46" s="224" t="inlineStr">
        <is>
          <t>Mark Dickson</t>
        </is>
      </c>
      <c r="C46" s="317" t="inlineStr">
        <is>
          <t>Delivery Lead</t>
        </is>
      </c>
      <c r="D46" s="318" t="inlineStr">
        <is>
          <t>Vacant</t>
        </is>
      </c>
      <c r="E46" s="224" t="inlineStr">
        <is>
          <t>Delivery Manager, Z and Retail Data</t>
        </is>
      </c>
      <c r="F46" s="224" t="inlineStr">
        <is>
          <t>Ampol Retail &amp; Z</t>
        </is>
      </c>
      <c r="G46" s="318" t="inlineStr">
        <is>
          <t>Z &amp; Group Retail</t>
        </is>
      </c>
      <c r="H46" s="224" t="inlineStr">
        <is>
          <t>Z &amp; Group Retail, Delivery</t>
        </is>
      </c>
      <c r="I46" s="224" t="inlineStr">
        <is>
          <t>Z</t>
        </is>
      </c>
      <c r="J46" s="224" t="inlineStr">
        <is>
          <t>Z Customer</t>
        </is>
      </c>
      <c r="K46" s="224" t="inlineStr">
        <is>
          <t xml:space="preserve">Z Retail Backend </t>
        </is>
      </c>
      <c r="L46" s="318" t="n"/>
      <c r="M46" s="319" t="inlineStr">
        <is>
          <t>NZ</t>
        </is>
      </c>
      <c r="N46" s="320" t="inlineStr">
        <is>
          <t>CIC</t>
        </is>
      </c>
      <c r="O46" s="321" t="n">
        <v>1</v>
      </c>
      <c r="P46" s="320" t="n"/>
      <c r="Q46" s="321" t="inlineStr">
        <is>
          <t>Permanent - Full Time</t>
        </is>
      </c>
      <c r="R46" s="322" t="n"/>
      <c r="S46" s="322" t="n"/>
      <c r="T46" s="334" t="n">
        <v>173620</v>
      </c>
      <c r="U46" s="705" t="n">
        <v>159730.4</v>
      </c>
      <c r="V46" s="324" t="n">
        <v>0.15</v>
      </c>
      <c r="W46" s="340" t="n"/>
      <c r="X46" s="325" t="n">
        <v>0.05</v>
      </c>
      <c r="Y46" s="700" t="n">
        <v>2910</v>
      </c>
      <c r="Z46" s="325" t="n">
        <v>0.03</v>
      </c>
      <c r="AA46" s="701">
        <f>U46*(1+V46+X46+Z46)+Y46</f>
        <v>199378.392</v>
      </c>
      <c r="AB46" t="n">
        <v>113586</v>
      </c>
      <c r="AC46" t="inlineStr">
        <is>
          <t>Z Retail</t>
        </is>
      </c>
      <c r="AD46" t="inlineStr">
        <is>
          <t>Z Customer</t>
        </is>
      </c>
      <c r="AE46" t="inlineStr">
        <is>
          <t>Z Retail Backend</t>
        </is>
      </c>
      <c r="AF46" t="inlineStr">
        <is>
          <t>Squad</t>
        </is>
      </c>
      <c r="AG46" t="inlineStr">
        <is>
          <t>Filled</t>
        </is>
      </c>
    </row>
    <row r="47" hidden="1" ht="18" customHeight="1" s="506">
      <c r="A47" s="259" t="n">
        <v>114616</v>
      </c>
      <c r="B47" s="224" t="inlineStr">
        <is>
          <t>Marty O'Shea</t>
        </is>
      </c>
      <c r="C47" s="317" t="inlineStr">
        <is>
          <t>Systems Analyst</t>
        </is>
      </c>
      <c r="D47" s="224" t="inlineStr">
        <is>
          <t>Vedran Jukic</t>
        </is>
      </c>
      <c r="E47" s="224" t="inlineStr">
        <is>
          <t>Technology Manager, Retail</t>
        </is>
      </c>
      <c r="F47" s="224" t="inlineStr">
        <is>
          <t>Ampol Retail &amp; Z</t>
        </is>
      </c>
      <c r="G47" s="318" t="inlineStr">
        <is>
          <t>Ampol Retail</t>
        </is>
      </c>
      <c r="H47" s="224" t="inlineStr">
        <is>
          <t>Ampol Retail, Technology</t>
        </is>
      </c>
      <c r="I47" s="224" t="inlineStr">
        <is>
          <t>EGI Integration</t>
        </is>
      </c>
      <c r="J47" s="318" t="inlineStr">
        <is>
          <t>EGI</t>
        </is>
      </c>
      <c r="K47" s="224" t="inlineStr">
        <is>
          <t>EGI Retail</t>
        </is>
      </c>
      <c r="L47" s="318" t="n"/>
      <c r="M47" s="319" t="inlineStr">
        <is>
          <t>Australia</t>
        </is>
      </c>
      <c r="N47" s="320" t="inlineStr">
        <is>
          <t>CIB</t>
        </is>
      </c>
      <c r="O47" s="320" t="n">
        <v>1</v>
      </c>
      <c r="P47" s="320" t="n"/>
      <c r="Q47" s="320" t="inlineStr">
        <is>
          <t>Permanent - Full Time</t>
        </is>
      </c>
      <c r="R47" s="322" t="n"/>
      <c r="S47" s="322" t="n"/>
      <c r="T47" s="334" t="n">
        <v>135000</v>
      </c>
      <c r="U47" s="705" t="n">
        <v>135000</v>
      </c>
      <c r="V47" s="325" t="n">
        <v>0.12</v>
      </c>
      <c r="W47" s="702" t="n">
        <v>0.055</v>
      </c>
      <c r="X47" s="702" t="n">
        <v>0.12</v>
      </c>
      <c r="Y47" s="703" t="n"/>
      <c r="Z47" s="702" t="n">
        <v>0.04</v>
      </c>
      <c r="AA47" s="701">
        <f>U47*(1+V47+W47+X47+Y47+Z47)</f>
        <v>180225.0</v>
      </c>
      <c r="AC47" t="inlineStr">
        <is>
          <t>Ampol Retail</t>
        </is>
      </c>
      <c r="AD47" t="inlineStr">
        <is>
          <t>EGI Retail</t>
        </is>
      </c>
      <c r="AE47" t="inlineStr">
        <is>
          <t>EGI Retail</t>
        </is>
      </c>
      <c r="AF47" t="inlineStr">
        <is>
          <t>Strategic Program</t>
        </is>
      </c>
      <c r="AG47" t="inlineStr">
        <is>
          <t>Filled</t>
        </is>
      </c>
    </row>
    <row r="48" hidden="1" ht="18" customHeight="1" s="506">
      <c r="A48" s="259" t="n">
        <v>111835</v>
      </c>
      <c r="B48" s="224" t="inlineStr">
        <is>
          <t>Matthew Patane</t>
        </is>
      </c>
      <c r="C48" s="317" t="inlineStr">
        <is>
          <t>Release &amp; Deployment Manager</t>
        </is>
      </c>
      <c r="D48" s="224" t="inlineStr">
        <is>
          <t>Vedran Jukic</t>
        </is>
      </c>
      <c r="E48" s="224" t="inlineStr">
        <is>
          <t>Technology Manager, Retail</t>
        </is>
      </c>
      <c r="F48" s="224" t="inlineStr">
        <is>
          <t>Ampol Retail &amp; Z</t>
        </is>
      </c>
      <c r="G48" s="318" t="inlineStr">
        <is>
          <t>Ampol Retail</t>
        </is>
      </c>
      <c r="H48" s="224" t="inlineStr">
        <is>
          <t>Ampol Retail, Technology</t>
        </is>
      </c>
      <c r="I48" s="224" t="inlineStr">
        <is>
          <t>Retail</t>
        </is>
      </c>
      <c r="J48" s="318" t="inlineStr">
        <is>
          <t>Store Operations</t>
        </is>
      </c>
      <c r="K48" s="224" t="inlineStr">
        <is>
          <t>Deployment</t>
        </is>
      </c>
      <c r="L48" s="318" t="n"/>
      <c r="M48" s="319" t="inlineStr">
        <is>
          <t>Australia</t>
        </is>
      </c>
      <c r="N48" s="320" t="inlineStr">
        <is>
          <t>CIC</t>
        </is>
      </c>
      <c r="O48" s="320" t="n">
        <v>1</v>
      </c>
      <c r="P48" s="320" t="n"/>
      <c r="Q48" s="320" t="inlineStr">
        <is>
          <t>Permanent - Full Time</t>
        </is>
      </c>
      <c r="R48" s="322" t="n"/>
      <c r="S48" s="322" t="n"/>
      <c r="T48" s="334" t="n">
        <v>185140</v>
      </c>
      <c r="U48" s="705" t="n">
        <v>185140</v>
      </c>
      <c r="V48" s="325" t="n">
        <v>0.12</v>
      </c>
      <c r="W48" s="702" t="n">
        <v>0.055</v>
      </c>
      <c r="X48" s="702" t="n">
        <v>0.12</v>
      </c>
      <c r="Y48" s="703" t="n"/>
      <c r="Z48" s="702" t="n">
        <v>0.04</v>
      </c>
      <c r="AA48" s="701">
        <f>U48*(1+V48+W48+X48+Y48+Z48)</f>
        <v>247161.9</v>
      </c>
      <c r="AC48" t="inlineStr">
        <is>
          <t>Ampol Retail</t>
        </is>
      </c>
      <c r="AD48" t="inlineStr">
        <is>
          <t>Store Operations</t>
        </is>
      </c>
      <c r="AE48" t="inlineStr">
        <is>
          <t>Deployment</t>
        </is>
      </c>
      <c r="AF48" t="inlineStr">
        <is>
          <t>Squad</t>
        </is>
      </c>
      <c r="AG48" t="inlineStr">
        <is>
          <t>Filled</t>
        </is>
      </c>
    </row>
    <row r="49" hidden="1" ht="18" customHeight="1" s="506">
      <c r="A49" s="259" t="n">
        <v>99999101668</v>
      </c>
      <c r="B49" s="224" t="inlineStr">
        <is>
          <t>McKenzie Tournquist</t>
        </is>
      </c>
      <c r="C49" s="317" t="inlineStr">
        <is>
          <t>Data Analyst</t>
        </is>
      </c>
      <c r="D49" s="318" t="inlineStr">
        <is>
          <t>Vacant</t>
        </is>
      </c>
      <c r="E49" s="224" t="inlineStr">
        <is>
          <t>Technology Manager, Data</t>
        </is>
      </c>
      <c r="F49" s="224" t="inlineStr">
        <is>
          <t>Ampol Retail &amp; Z</t>
        </is>
      </c>
      <c r="G49" s="318" t="inlineStr">
        <is>
          <t>Z &amp; Group Retail</t>
        </is>
      </c>
      <c r="H49" s="224" t="inlineStr">
        <is>
          <t>Z &amp; Group Retail, Data</t>
        </is>
      </c>
      <c r="I49" s="224" t="inlineStr">
        <is>
          <t>Z</t>
        </is>
      </c>
      <c r="J49" s="318" t="inlineStr">
        <is>
          <t>Z Customer &amp; Z Supply</t>
        </is>
      </c>
      <c r="K49" s="224" t="inlineStr">
        <is>
          <t>Data - NZ</t>
        </is>
      </c>
      <c r="L49" s="318" t="n"/>
      <c r="M49" s="319" t="inlineStr">
        <is>
          <t>NZ</t>
        </is>
      </c>
      <c r="N49" s="320" t="inlineStr">
        <is>
          <t>CIA</t>
        </is>
      </c>
      <c r="O49" s="321" t="n">
        <v>1</v>
      </c>
      <c r="P49" s="320" t="n"/>
      <c r="Q49" s="321" t="inlineStr">
        <is>
          <t>Permanent - Full Time</t>
        </is>
      </c>
      <c r="R49" s="322" t="n"/>
      <c r="S49" s="322" t="n"/>
      <c r="T49" s="334" t="n">
        <v>118020</v>
      </c>
      <c r="U49" s="705" t="n">
        <v>108578.4</v>
      </c>
      <c r="V49" s="324" t="n">
        <v>0.15</v>
      </c>
      <c r="W49" s="322" t="n"/>
      <c r="X49" s="325" t="n">
        <v>0.05</v>
      </c>
      <c r="Y49" s="700" t="n">
        <v>2910</v>
      </c>
      <c r="Z49" s="325" t="n">
        <v>0.03</v>
      </c>
      <c r="AA49" s="701">
        <f>U49*(1+V49+X49+Z49)+Y49</f>
        <v>136461.432</v>
      </c>
      <c r="AB49" t="n">
        <v>113589</v>
      </c>
      <c r="AC49" t="inlineStr">
        <is>
          <t>Z Retail</t>
        </is>
      </c>
      <c r="AD49" t="inlineStr">
        <is>
          <t>-</t>
        </is>
      </c>
      <c r="AE49" t="inlineStr">
        <is>
          <t>Data NZ</t>
        </is>
      </c>
      <c r="AF49" t="inlineStr">
        <is>
          <t>Unmapped</t>
        </is>
      </c>
      <c r="AG49" t="inlineStr">
        <is>
          <t>Filled</t>
        </is>
      </c>
    </row>
    <row r="50" hidden="1" ht="18" customHeight="1" s="506">
      <c r="A50" s="259" t="n">
        <v>99999101623</v>
      </c>
      <c r="B50" s="224" t="inlineStr">
        <is>
          <t>Michael Dasan</t>
        </is>
      </c>
      <c r="C50" s="317" t="inlineStr">
        <is>
          <t>Engineer - Data</t>
        </is>
      </c>
      <c r="D50" s="318" t="inlineStr">
        <is>
          <t>Vacant</t>
        </is>
      </c>
      <c r="E50" s="224" t="inlineStr">
        <is>
          <t>Technology Manager, Data</t>
        </is>
      </c>
      <c r="F50" s="224" t="inlineStr">
        <is>
          <t>Ampol Retail &amp; Z</t>
        </is>
      </c>
      <c r="G50" s="318" t="inlineStr">
        <is>
          <t>Z &amp; Group Retail</t>
        </is>
      </c>
      <c r="H50" s="224" t="inlineStr">
        <is>
          <t>Z &amp; Group Retail, Data</t>
        </is>
      </c>
      <c r="I50" s="224" t="inlineStr">
        <is>
          <t>Z</t>
        </is>
      </c>
      <c r="J50" s="318" t="inlineStr">
        <is>
          <t>Z Customer &amp; Z Supply</t>
        </is>
      </c>
      <c r="K50" s="224" t="inlineStr">
        <is>
          <t>Data - NZ</t>
        </is>
      </c>
      <c r="L50" s="318" t="n"/>
      <c r="M50" s="319" t="inlineStr">
        <is>
          <t>NZ</t>
        </is>
      </c>
      <c r="N50" s="320" t="inlineStr">
        <is>
          <t>CDB</t>
        </is>
      </c>
      <c r="O50" s="321" t="n">
        <v>1</v>
      </c>
      <c r="P50" s="320" t="n"/>
      <c r="Q50" s="321" t="inlineStr">
        <is>
          <t>Permanent - Full Time</t>
        </is>
      </c>
      <c r="R50" s="322" t="n"/>
      <c r="S50" s="322" t="n"/>
      <c r="T50" s="334" t="n">
        <v>81890</v>
      </c>
      <c r="U50" s="705" t="n">
        <v>75338.8</v>
      </c>
      <c r="V50" s="324" t="n">
        <v>0.1</v>
      </c>
      <c r="W50" s="322" t="n"/>
      <c r="X50" s="325" t="n">
        <v>0.05</v>
      </c>
      <c r="Y50" s="700" t="n">
        <v>2910</v>
      </c>
      <c r="Z50" s="325" t="n">
        <v>0.03</v>
      </c>
      <c r="AA50" s="701">
        <f>U50*(1+V50+X50+Z50)+Y50</f>
        <v>91809.78400000001</v>
      </c>
      <c r="AB50" t="n">
        <v>113591</v>
      </c>
      <c r="AC50" t="inlineStr">
        <is>
          <t>Z Retail</t>
        </is>
      </c>
      <c r="AD50" t="inlineStr">
        <is>
          <t>-</t>
        </is>
      </c>
      <c r="AE50" t="inlineStr">
        <is>
          <t>Data NZ</t>
        </is>
      </c>
      <c r="AF50" t="inlineStr">
        <is>
          <t>Unmapped</t>
        </is>
      </c>
      <c r="AG50" t="inlineStr">
        <is>
          <t>Filled</t>
        </is>
      </c>
    </row>
    <row r="51" hidden="1" ht="18" customHeight="1" s="506">
      <c r="A51" s="259" t="n">
        <v>85137</v>
      </c>
      <c r="B51" s="224" t="inlineStr">
        <is>
          <t>Mick Standen</t>
        </is>
      </c>
      <c r="C51" s="317" t="inlineStr">
        <is>
          <t>Systems Analyst</t>
        </is>
      </c>
      <c r="D51" s="224" t="inlineStr">
        <is>
          <t>Vaishnavi Viswanathan</t>
        </is>
      </c>
      <c r="E51" s="224" t="inlineStr">
        <is>
          <t>Technology Manager, Store Platform</t>
        </is>
      </c>
      <c r="F51" s="224" t="inlineStr">
        <is>
          <t>Ampol Retail &amp; Z</t>
        </is>
      </c>
      <c r="G51" s="318" t="inlineStr">
        <is>
          <t>Ampol Retail</t>
        </is>
      </c>
      <c r="H51" s="224" t="inlineStr">
        <is>
          <t>Ampol Retail, Store Platforms</t>
        </is>
      </c>
      <c r="I51" s="224" t="inlineStr">
        <is>
          <t>Retail</t>
        </is>
      </c>
      <c r="J51" s="318" t="inlineStr">
        <is>
          <t>AMPOS</t>
        </is>
      </c>
      <c r="K51" s="224" t="inlineStr">
        <is>
          <t>AmPos</t>
        </is>
      </c>
      <c r="L51" s="318" t="n"/>
      <c r="M51" s="319" t="inlineStr">
        <is>
          <t>Australia</t>
        </is>
      </c>
      <c r="N51" s="322" t="inlineStr">
        <is>
          <t>CIB</t>
        </is>
      </c>
      <c r="O51" s="322" t="n">
        <v>1</v>
      </c>
      <c r="P51" s="322" t="n"/>
      <c r="Q51" s="322" t="inlineStr">
        <is>
          <t>Permanent - Full Time</t>
        </is>
      </c>
      <c r="R51" s="322" t="n"/>
      <c r="S51" s="322" t="n"/>
      <c r="T51" s="334" t="n">
        <v>159010</v>
      </c>
      <c r="U51" s="705" t="n">
        <v>159010</v>
      </c>
      <c r="V51" s="325" t="n">
        <v>0.12</v>
      </c>
      <c r="W51" s="702" t="n">
        <v>0.055</v>
      </c>
      <c r="X51" s="702" t="n">
        <v>0.12</v>
      </c>
      <c r="Y51" s="703" t="n"/>
      <c r="Z51" s="702" t="n">
        <v>0.04</v>
      </c>
      <c r="AA51" s="701">
        <f>U51*(1+V51+W51+X51+Y51+Z51)</f>
        <v>212278.35</v>
      </c>
      <c r="AC51" t="inlineStr">
        <is>
          <t>Ampol Retail</t>
        </is>
      </c>
      <c r="AD51" t="inlineStr">
        <is>
          <t>AmPOS</t>
        </is>
      </c>
      <c r="AE51" t="inlineStr">
        <is>
          <t>AmPOS</t>
        </is>
      </c>
      <c r="AF51" t="inlineStr">
        <is>
          <t>Strategic Program</t>
        </is>
      </c>
      <c r="AG51" t="inlineStr">
        <is>
          <t>Filled</t>
        </is>
      </c>
    </row>
    <row r="52" hidden="1" ht="18" customHeight="1" s="506">
      <c r="A52" s="259" t="n">
        <v>95286</v>
      </c>
      <c r="B52" s="224" t="inlineStr">
        <is>
          <t>Navneet Singh</t>
        </is>
      </c>
      <c r="C52" s="317" t="inlineStr">
        <is>
          <t>Solution Architect</t>
        </is>
      </c>
      <c r="D52" s="224" t="inlineStr">
        <is>
          <t>Vedran Jukic</t>
        </is>
      </c>
      <c r="E52" s="224" t="inlineStr">
        <is>
          <t>Technology Manager, Retail</t>
        </is>
      </c>
      <c r="F52" s="224" t="inlineStr">
        <is>
          <t>Ampol Retail &amp; Z</t>
        </is>
      </c>
      <c r="G52" s="318" t="inlineStr">
        <is>
          <t>Ampol Retail</t>
        </is>
      </c>
      <c r="H52" s="224" t="inlineStr">
        <is>
          <t>Ampol Retail, Technology</t>
        </is>
      </c>
      <c r="I52" s="224" t="inlineStr">
        <is>
          <t>EGI Integration</t>
        </is>
      </c>
      <c r="J52" s="318" t="inlineStr">
        <is>
          <t>EGI</t>
        </is>
      </c>
      <c r="K52" s="224" t="inlineStr">
        <is>
          <t>EGI Retail</t>
        </is>
      </c>
      <c r="L52" s="318" t="n"/>
      <c r="M52" s="319" t="inlineStr">
        <is>
          <t>Australia</t>
        </is>
      </c>
      <c r="N52" s="320" t="inlineStr">
        <is>
          <t>CIC</t>
        </is>
      </c>
      <c r="O52" s="320" t="n">
        <v>1</v>
      </c>
      <c r="P52" s="320" t="n"/>
      <c r="Q52" s="320" t="inlineStr">
        <is>
          <t>Permanent - Full Time</t>
        </is>
      </c>
      <c r="R52" s="322" t="n"/>
      <c r="S52" s="322" t="n"/>
      <c r="T52" s="341" t="n">
        <v>196740</v>
      </c>
      <c r="U52" s="705" t="n">
        <v>196740</v>
      </c>
      <c r="V52" s="325" t="n">
        <v>0.12</v>
      </c>
      <c r="W52" s="702" t="n">
        <v>0.055</v>
      </c>
      <c r="X52" s="702" t="n">
        <v>0.12</v>
      </c>
      <c r="Y52" s="703" t="n"/>
      <c r="Z52" s="702" t="n">
        <v>0.04</v>
      </c>
      <c r="AA52" s="701">
        <f>U52*(1+V52+W52+X52+Y52+Z52)</f>
        <v>262647.89999999997</v>
      </c>
      <c r="AC52" t="inlineStr">
        <is>
          <t>Ampol Retail</t>
        </is>
      </c>
      <c r="AD52" t="inlineStr">
        <is>
          <t>EGI Retail</t>
        </is>
      </c>
      <c r="AE52" t="inlineStr">
        <is>
          <t>EGI Retail</t>
        </is>
      </c>
      <c r="AF52" t="inlineStr">
        <is>
          <t>Strategic Program</t>
        </is>
      </c>
      <c r="AG52" t="inlineStr">
        <is>
          <t>Filled</t>
        </is>
      </c>
    </row>
    <row r="53" hidden="1" ht="18" customHeight="1" s="506">
      <c r="A53" s="259" t="n">
        <v>108357</v>
      </c>
      <c r="B53" s="224" t="inlineStr">
        <is>
          <t>Pahul Oberoi</t>
        </is>
      </c>
      <c r="C53" s="317" t="inlineStr">
        <is>
          <t>Systems Analyst</t>
        </is>
      </c>
      <c r="D53" s="224" t="inlineStr">
        <is>
          <t>Tracy Lee Reaper</t>
        </is>
      </c>
      <c r="E53" s="224" t="inlineStr">
        <is>
          <t>Tech Manager, Merchandising &amp; WFM</t>
        </is>
      </c>
      <c r="F53" s="224" t="inlineStr">
        <is>
          <t>Ampol Retail &amp; Z</t>
        </is>
      </c>
      <c r="G53" s="318" t="inlineStr">
        <is>
          <t>Ampol Retail</t>
        </is>
      </c>
      <c r="H53" s="224" t="inlineStr">
        <is>
          <t>Ampol Retail, Merch &amp; RTA</t>
        </is>
      </c>
      <c r="I53" s="224" t="inlineStr">
        <is>
          <t>Retail</t>
        </is>
      </c>
      <c r="J53" s="318" t="inlineStr">
        <is>
          <t>Merch / Supply Chain</t>
        </is>
      </c>
      <c r="K53" s="224" t="inlineStr">
        <is>
          <t>Merchandising &amp; Supply Chain</t>
        </is>
      </c>
      <c r="L53" s="318" t="n"/>
      <c r="M53" s="319" t="inlineStr">
        <is>
          <t>Australia</t>
        </is>
      </c>
      <c r="N53" s="320" t="inlineStr">
        <is>
          <t>CIB</t>
        </is>
      </c>
      <c r="O53" s="320" t="n">
        <v>1</v>
      </c>
      <c r="P53" s="320" t="n"/>
      <c r="Q53" s="320" t="inlineStr">
        <is>
          <t>Permanent - Full Time</t>
        </is>
      </c>
      <c r="R53" s="322" t="n"/>
      <c r="S53" s="322" t="n"/>
      <c r="T53" s="334" t="n">
        <v>100000</v>
      </c>
      <c r="U53" s="705" t="n">
        <v>100000</v>
      </c>
      <c r="V53" s="325" t="n">
        <v>0.12</v>
      </c>
      <c r="W53" s="702" t="n">
        <v>0.055</v>
      </c>
      <c r="X53" s="702" t="n">
        <v>0.12</v>
      </c>
      <c r="Y53" s="703" t="n"/>
      <c r="Z53" s="702" t="n">
        <v>0.04</v>
      </c>
      <c r="AA53" s="701">
        <f>U53*(1+V53+W53+X53+Y53+Z53)</f>
        <v>133500.0</v>
      </c>
      <c r="AC53" t="inlineStr">
        <is>
          <t>Ampol Retail</t>
        </is>
      </c>
      <c r="AD53" t="inlineStr">
        <is>
          <t>Above Store</t>
        </is>
      </c>
      <c r="AE53" t="inlineStr">
        <is>
          <t>Above Store</t>
        </is>
      </c>
      <c r="AF53" t="inlineStr">
        <is>
          <t>Squad</t>
        </is>
      </c>
      <c r="AG53" t="inlineStr">
        <is>
          <t>Filled</t>
        </is>
      </c>
    </row>
    <row r="54" hidden="1" ht="18" customHeight="1" s="506">
      <c r="A54" s="259" t="n">
        <v>90097</v>
      </c>
      <c r="B54" s="224" t="inlineStr">
        <is>
          <t>Patrick Ericson Nario</t>
        </is>
      </c>
      <c r="C54" s="317" t="inlineStr">
        <is>
          <t>Support Analyst - Field Operations</t>
        </is>
      </c>
      <c r="D54" s="224" t="inlineStr">
        <is>
          <t>Ephriam Adan</t>
        </is>
      </c>
      <c r="E54" s="224" t="inlineStr">
        <is>
          <t>Manager, AU Retail Operations</t>
        </is>
      </c>
      <c r="F54" s="224" t="inlineStr">
        <is>
          <t>Ampol Retail &amp; Z</t>
        </is>
      </c>
      <c r="G54" s="318" t="inlineStr">
        <is>
          <t>Ampol Retail</t>
        </is>
      </c>
      <c r="H54" s="224" t="inlineStr">
        <is>
          <t>Ampol Retail, Technology</t>
        </is>
      </c>
      <c r="I54" s="224" t="inlineStr">
        <is>
          <t>Retail</t>
        </is>
      </c>
      <c r="J54" s="318" t="inlineStr">
        <is>
          <t>Store Operations</t>
        </is>
      </c>
      <c r="K54" s="224" t="inlineStr">
        <is>
          <t>Retail Operations</t>
        </is>
      </c>
      <c r="L54" s="318" t="n"/>
      <c r="M54" s="319" t="inlineStr">
        <is>
          <t>Australia</t>
        </is>
      </c>
      <c r="N54" s="320" t="inlineStr">
        <is>
          <t>CIA</t>
        </is>
      </c>
      <c r="O54" s="320" t="n">
        <v>1</v>
      </c>
      <c r="P54" s="320" t="n"/>
      <c r="Q54" s="320" t="inlineStr">
        <is>
          <t>Permanent - Full Time</t>
        </is>
      </c>
      <c r="R54" s="322" t="n"/>
      <c r="S54" s="322" t="n"/>
      <c r="T54" s="334" t="n">
        <v>123240</v>
      </c>
      <c r="U54" s="705" t="n">
        <v>123240</v>
      </c>
      <c r="V54" s="325" t="n">
        <v>0.1</v>
      </c>
      <c r="W54" s="702" t="n">
        <v>0.055</v>
      </c>
      <c r="X54" s="702" t="n">
        <v>0.12</v>
      </c>
      <c r="Y54" s="703" t="n"/>
      <c r="Z54" s="702" t="n">
        <v>0.04</v>
      </c>
      <c r="AA54" s="701">
        <f>U54*(1+V54+W54+X54+Y54+Z54)</f>
        <v>162060.6</v>
      </c>
      <c r="AC54" t="inlineStr">
        <is>
          <t>Ampol Retail</t>
        </is>
      </c>
      <c r="AD54" t="inlineStr">
        <is>
          <t>Store Operations</t>
        </is>
      </c>
      <c r="AE54" t="inlineStr">
        <is>
          <t>Retail Operations</t>
        </is>
      </c>
      <c r="AF54" t="inlineStr">
        <is>
          <t>Unmapped</t>
        </is>
      </c>
      <c r="AG54" t="inlineStr">
        <is>
          <t>Filled</t>
        </is>
      </c>
    </row>
    <row r="55" hidden="1" ht="18" customHeight="1" s="506">
      <c r="A55" s="259" t="n">
        <v>94420</v>
      </c>
      <c r="B55" s="224" t="inlineStr">
        <is>
          <t>Peter Nicolopoulos</t>
        </is>
      </c>
      <c r="C55" s="317" t="inlineStr">
        <is>
          <t>Systems Analyst</t>
        </is>
      </c>
      <c r="D55" s="224" t="inlineStr">
        <is>
          <t>Vaishnavi Viswanathan</t>
        </is>
      </c>
      <c r="E55" s="224" t="inlineStr">
        <is>
          <t>Technology Manager, Store Platform</t>
        </is>
      </c>
      <c r="F55" s="224" t="inlineStr">
        <is>
          <t>Ampol Retail &amp; Z</t>
        </is>
      </c>
      <c r="G55" s="318" t="inlineStr">
        <is>
          <t>Ampol Retail</t>
        </is>
      </c>
      <c r="H55" s="224" t="inlineStr">
        <is>
          <t>Ampol Retail, Store Platforms</t>
        </is>
      </c>
      <c r="I55" s="224" t="inlineStr">
        <is>
          <t>Retail</t>
        </is>
      </c>
      <c r="J55" s="318" t="inlineStr">
        <is>
          <t>AMPOS</t>
        </is>
      </c>
      <c r="K55" s="224" t="inlineStr">
        <is>
          <t>AmPos</t>
        </is>
      </c>
      <c r="L55" s="318" t="n"/>
      <c r="M55" s="319" t="inlineStr">
        <is>
          <t>Australia</t>
        </is>
      </c>
      <c r="N55" s="320" t="inlineStr">
        <is>
          <t>CIB</t>
        </is>
      </c>
      <c r="O55" s="320" t="n">
        <v>1</v>
      </c>
      <c r="P55" s="320" t="n"/>
      <c r="Q55" s="320" t="inlineStr">
        <is>
          <t>Permanent - Full Time</t>
        </is>
      </c>
      <c r="R55" s="322" t="n"/>
      <c r="S55" s="322" t="n"/>
      <c r="T55" s="334" t="n">
        <v>160460</v>
      </c>
      <c r="U55" s="705" t="n">
        <v>160460</v>
      </c>
      <c r="V55" s="325" t="n">
        <v>0.12</v>
      </c>
      <c r="W55" s="702" t="n">
        <v>0.055</v>
      </c>
      <c r="X55" s="702" t="n">
        <v>0.12</v>
      </c>
      <c r="Y55" s="703" t="n"/>
      <c r="Z55" s="702" t="n">
        <v>0.04</v>
      </c>
      <c r="AA55" s="701">
        <f>U55*(1+V55+W55+X55+Y55+Z55)</f>
        <v>214214.1</v>
      </c>
      <c r="AC55" t="inlineStr">
        <is>
          <t>Ampol Retail</t>
        </is>
      </c>
      <c r="AD55" t="inlineStr">
        <is>
          <t>AmPOS</t>
        </is>
      </c>
      <c r="AE55" t="inlineStr">
        <is>
          <t>AmPOS</t>
        </is>
      </c>
      <c r="AF55" t="inlineStr">
        <is>
          <t>Strategic Program</t>
        </is>
      </c>
      <c r="AG55" t="inlineStr">
        <is>
          <t>Filled</t>
        </is>
      </c>
    </row>
    <row r="56" hidden="1" ht="18" customHeight="1" s="506">
      <c r="A56" s="259" t="n">
        <v>99999101650</v>
      </c>
      <c r="B56" s="224" t="inlineStr">
        <is>
          <t>Sakshi Sachdeva</t>
        </is>
      </c>
      <c r="C56" s="317" t="inlineStr">
        <is>
          <t xml:space="preserve">Senior Quality Assurance </t>
        </is>
      </c>
      <c r="D56" s="224" t="inlineStr">
        <is>
          <t>Callan McLaughlin</t>
        </is>
      </c>
      <c r="E56" s="224" t="inlineStr">
        <is>
          <t>Technology Manager,  Site Systems</t>
        </is>
      </c>
      <c r="F56" s="224" t="inlineStr">
        <is>
          <t>Ampol Retail &amp; Z</t>
        </is>
      </c>
      <c r="G56" s="318" t="inlineStr">
        <is>
          <t>Z &amp; Group Retail</t>
        </is>
      </c>
      <c r="H56" s="224" t="inlineStr">
        <is>
          <t>Z &amp; Group Retail, Site Systems</t>
        </is>
      </c>
      <c r="I56" s="224" t="inlineStr">
        <is>
          <t>Z</t>
        </is>
      </c>
      <c r="J56" s="318" t="inlineStr">
        <is>
          <t>Z Customer</t>
        </is>
      </c>
      <c r="K56" s="224" t="inlineStr">
        <is>
          <t>Site Systems</t>
        </is>
      </c>
      <c r="L56" s="318" t="n"/>
      <c r="M56" s="319" t="inlineStr">
        <is>
          <t>NZ</t>
        </is>
      </c>
      <c r="N56" s="320" t="inlineStr">
        <is>
          <t>CIA</t>
        </is>
      </c>
      <c r="O56" s="321" t="n">
        <v>1</v>
      </c>
      <c r="P56" s="320" t="n"/>
      <c r="Q56" s="321" t="inlineStr">
        <is>
          <t>Permanent - Full Time</t>
        </is>
      </c>
      <c r="R56" s="322" t="n"/>
      <c r="S56" s="322" t="n"/>
      <c r="T56" s="334" t="n">
        <v>127740</v>
      </c>
      <c r="U56" s="705" t="n">
        <v>117520.8</v>
      </c>
      <c r="V56" s="324" t="n">
        <v>0.15</v>
      </c>
      <c r="W56" s="322" t="n"/>
      <c r="X56" s="325" t="n">
        <v>0.05</v>
      </c>
      <c r="Y56" s="700" t="n">
        <v>2910</v>
      </c>
      <c r="Z56" s="325" t="n">
        <v>0.03</v>
      </c>
      <c r="AA56" s="701">
        <f>U56*(1+V56+X56+Z56)+Y56</f>
        <v>147460.584</v>
      </c>
      <c r="AB56" t="n">
        <v>113608</v>
      </c>
      <c r="AC56" t="inlineStr">
        <is>
          <t>Z Retail</t>
        </is>
      </c>
      <c r="AD56" t="inlineStr">
        <is>
          <t>Z Customer</t>
        </is>
      </c>
      <c r="AE56" t="inlineStr">
        <is>
          <t>Site Systems</t>
        </is>
      </c>
      <c r="AF56" t="inlineStr">
        <is>
          <t>Squad</t>
        </is>
      </c>
      <c r="AG56" t="inlineStr">
        <is>
          <t>Filled</t>
        </is>
      </c>
    </row>
    <row r="57" hidden="1" ht="18" customHeight="1" s="506">
      <c r="A57" s="259" t="n">
        <v>107164</v>
      </c>
      <c r="B57" s="224" t="inlineStr">
        <is>
          <t>Santiago Hernandez Arevalo</t>
        </is>
      </c>
      <c r="C57" s="317" t="inlineStr">
        <is>
          <t>Systems Analyst</t>
        </is>
      </c>
      <c r="D57" s="224" t="inlineStr">
        <is>
          <t>Vedran Jukic</t>
        </is>
      </c>
      <c r="E57" s="224" t="inlineStr">
        <is>
          <t>Technology Manager, Retail</t>
        </is>
      </c>
      <c r="F57" s="224" t="inlineStr">
        <is>
          <t>Ampol Retail &amp; Z</t>
        </is>
      </c>
      <c r="G57" s="318" t="inlineStr">
        <is>
          <t>Ampol Retail</t>
        </is>
      </c>
      <c r="H57" s="224" t="inlineStr">
        <is>
          <t>Ampol Retail, Technology</t>
        </is>
      </c>
      <c r="I57" s="224" t="inlineStr">
        <is>
          <t>Retail</t>
        </is>
      </c>
      <c r="J57" s="318" t="inlineStr">
        <is>
          <t>Network/QSR</t>
        </is>
      </c>
      <c r="K57" s="224" t="inlineStr">
        <is>
          <t>Network &amp; QSR</t>
        </is>
      </c>
      <c r="L57" s="318" t="n"/>
      <c r="M57" s="319" t="inlineStr">
        <is>
          <t>Australia</t>
        </is>
      </c>
      <c r="N57" s="320" t="inlineStr">
        <is>
          <t>CIA</t>
        </is>
      </c>
      <c r="O57" s="320" t="n">
        <v>1</v>
      </c>
      <c r="P57" s="320" t="n"/>
      <c r="Q57" s="320" t="inlineStr">
        <is>
          <t>Permanent - Full Time</t>
        </is>
      </c>
      <c r="R57" s="322" t="n"/>
      <c r="S57" s="322" t="n"/>
      <c r="T57" s="334" t="n">
        <v>133110</v>
      </c>
      <c r="U57" s="705" t="n">
        <v>133110</v>
      </c>
      <c r="V57" s="325" t="n">
        <v>0.1</v>
      </c>
      <c r="W57" s="702" t="n">
        <v>0.055</v>
      </c>
      <c r="X57" s="702" t="n">
        <v>0.12</v>
      </c>
      <c r="Y57" s="703" t="n"/>
      <c r="Z57" s="702" t="n">
        <v>0.04</v>
      </c>
      <c r="AA57" s="701">
        <f>U57*(1+V57+W57+X57+Y57+Z57)</f>
        <v>175039.65</v>
      </c>
      <c r="AC57" t="inlineStr">
        <is>
          <t>Ampol Retail</t>
        </is>
      </c>
      <c r="AD57" t="inlineStr">
        <is>
          <t>Network / QSR</t>
        </is>
      </c>
      <c r="AE57" t="inlineStr">
        <is>
          <t>Network / QSR</t>
        </is>
      </c>
      <c r="AF57" t="inlineStr">
        <is>
          <t>Squad</t>
        </is>
      </c>
      <c r="AG57" t="inlineStr">
        <is>
          <t>Filled</t>
        </is>
      </c>
    </row>
    <row r="58" hidden="1" ht="18" customHeight="1" s="506">
      <c r="A58" s="259" t="n">
        <v>11424</v>
      </c>
      <c r="B58" s="224" t="inlineStr">
        <is>
          <t>Sao Keawprasit</t>
        </is>
      </c>
      <c r="C58" s="317" t="inlineStr">
        <is>
          <t>Systems Analyst</t>
        </is>
      </c>
      <c r="D58" s="224" t="inlineStr">
        <is>
          <t>Tracy Lee Reaper</t>
        </is>
      </c>
      <c r="E58" s="224" t="inlineStr">
        <is>
          <t>Tech Manager, Merchandising &amp; WFM</t>
        </is>
      </c>
      <c r="F58" s="224" t="inlineStr">
        <is>
          <t>Ampol Retail &amp; Z</t>
        </is>
      </c>
      <c r="G58" s="318" t="inlineStr">
        <is>
          <t>Ampol Retail</t>
        </is>
      </c>
      <c r="H58" s="224" t="inlineStr">
        <is>
          <t>Ampol Retail, Merch &amp; RTA</t>
        </is>
      </c>
      <c r="I58" s="224" t="inlineStr">
        <is>
          <t>Retail</t>
        </is>
      </c>
      <c r="J58" s="318" t="inlineStr">
        <is>
          <t>Merch / Supply Chain</t>
        </is>
      </c>
      <c r="K58" s="224" t="inlineStr">
        <is>
          <t>Merchandising &amp; Supply Chain</t>
        </is>
      </c>
      <c r="L58" s="318" t="n"/>
      <c r="M58" s="319" t="inlineStr">
        <is>
          <t>Australia</t>
        </is>
      </c>
      <c r="N58" s="322" t="inlineStr">
        <is>
          <t>CIB</t>
        </is>
      </c>
      <c r="O58" s="322" t="n">
        <v>1</v>
      </c>
      <c r="P58" s="322" t="n"/>
      <c r="Q58" s="322" t="inlineStr">
        <is>
          <t>Permanent - Full Time</t>
        </is>
      </c>
      <c r="R58" s="322" t="n"/>
      <c r="S58" s="322" t="n"/>
      <c r="T58" s="334" t="n">
        <v>154420</v>
      </c>
      <c r="U58" s="705" t="n">
        <v>154420</v>
      </c>
      <c r="V58" s="325" t="n">
        <v>0.12</v>
      </c>
      <c r="W58" s="702" t="n">
        <v>0.055</v>
      </c>
      <c r="X58" s="702" t="n">
        <v>0.12</v>
      </c>
      <c r="Y58" s="703" t="n"/>
      <c r="Z58" s="702" t="n">
        <v>0.04</v>
      </c>
      <c r="AA58" s="701">
        <f>U58*(1+V58+W58+X58+Y58+Z58)</f>
        <v>206150.69999999998</v>
      </c>
      <c r="AC58" t="inlineStr">
        <is>
          <t>Ampol Retail</t>
        </is>
      </c>
      <c r="AD58" t="inlineStr">
        <is>
          <t>Above Store</t>
        </is>
      </c>
      <c r="AE58" t="inlineStr">
        <is>
          <t>Above Store</t>
        </is>
      </c>
      <c r="AF58" t="inlineStr">
        <is>
          <t>Squad</t>
        </is>
      </c>
      <c r="AG58" t="inlineStr">
        <is>
          <t>Filled</t>
        </is>
      </c>
    </row>
    <row r="59" hidden="1" ht="18" customHeight="1" s="506">
      <c r="A59" s="259" t="n">
        <v>114003</v>
      </c>
      <c r="B59" s="224" t="inlineStr">
        <is>
          <t>Sayan Kar</t>
        </is>
      </c>
      <c r="C59" s="317" t="inlineStr">
        <is>
          <t>Systems Analyst</t>
        </is>
      </c>
      <c r="D59" s="224" t="inlineStr">
        <is>
          <t>Vaishnavi Viswanathan</t>
        </is>
      </c>
      <c r="E59" s="224" t="inlineStr">
        <is>
          <t>Technology Manager, Store Platform</t>
        </is>
      </c>
      <c r="F59" s="224" t="inlineStr">
        <is>
          <t>Ampol Retail &amp; Z</t>
        </is>
      </c>
      <c r="G59" s="318" t="inlineStr">
        <is>
          <t>Ampol Retail</t>
        </is>
      </c>
      <c r="H59" s="224" t="inlineStr">
        <is>
          <t>Ampol Retail, Store Platforms</t>
        </is>
      </c>
      <c r="I59" s="224" t="inlineStr">
        <is>
          <t>Retail</t>
        </is>
      </c>
      <c r="J59" s="318" t="inlineStr">
        <is>
          <t>Store Operations</t>
        </is>
      </c>
      <c r="K59" s="224" t="inlineStr">
        <is>
          <t>Payments</t>
        </is>
      </c>
      <c r="L59" s="318" t="n"/>
      <c r="M59" s="319" t="inlineStr">
        <is>
          <t>Australia</t>
        </is>
      </c>
      <c r="N59" s="320" t="inlineStr">
        <is>
          <t>CIB</t>
        </is>
      </c>
      <c r="O59" s="320" t="n">
        <v>1</v>
      </c>
      <c r="P59" s="320" t="n"/>
      <c r="Q59" s="320" t="inlineStr">
        <is>
          <t>Permanent - Full Time</t>
        </is>
      </c>
      <c r="R59" s="322" t="n"/>
      <c r="S59" s="322" t="n"/>
      <c r="T59" s="334" t="n">
        <v>152220</v>
      </c>
      <c r="U59" s="705" t="n">
        <v>152220</v>
      </c>
      <c r="V59" s="325" t="n">
        <v>0.12</v>
      </c>
      <c r="W59" s="702" t="n">
        <v>0.055</v>
      </c>
      <c r="X59" s="702" t="n">
        <v>0.12</v>
      </c>
      <c r="Y59" s="703" t="n"/>
      <c r="Z59" s="702" t="n">
        <v>0.04</v>
      </c>
      <c r="AA59" s="701">
        <f>U59*(1+V59+W59+X59+Y59+Z59)</f>
        <v>203213.69999999998</v>
      </c>
      <c r="AC59" t="inlineStr">
        <is>
          <t>Ampol Retail</t>
        </is>
      </c>
      <c r="AD59" t="inlineStr">
        <is>
          <t>Store Operations</t>
        </is>
      </c>
      <c r="AE59" t="inlineStr">
        <is>
          <t>Payments</t>
        </is>
      </c>
      <c r="AF59" t="inlineStr">
        <is>
          <t>Squad</t>
        </is>
      </c>
      <c r="AG59" t="inlineStr">
        <is>
          <t>Filled</t>
        </is>
      </c>
    </row>
    <row r="60" hidden="1" ht="18" customHeight="1" s="506">
      <c r="A60" s="259" t="n">
        <v>98007</v>
      </c>
      <c r="B60" s="224" t="inlineStr">
        <is>
          <t>Sendhil Vinayagam (75% EGI)</t>
        </is>
      </c>
      <c r="C60" s="317" t="inlineStr">
        <is>
          <t>Solution Architect</t>
        </is>
      </c>
      <c r="D60" s="224" t="inlineStr">
        <is>
          <t>Vedran Jukic</t>
        </is>
      </c>
      <c r="E60" s="224" t="inlineStr">
        <is>
          <t>Technology Manager, Retail</t>
        </is>
      </c>
      <c r="F60" s="224" t="inlineStr">
        <is>
          <t>Ampol Retail &amp; Z</t>
        </is>
      </c>
      <c r="G60" s="318" t="inlineStr">
        <is>
          <t>Ampol Retail</t>
        </is>
      </c>
      <c r="H60" s="224" t="inlineStr">
        <is>
          <t>Ampol Retail, Technology</t>
        </is>
      </c>
      <c r="I60" s="224" t="inlineStr">
        <is>
          <t>EGI Integration</t>
        </is>
      </c>
      <c r="J60" s="318" t="inlineStr">
        <is>
          <t>EGI</t>
        </is>
      </c>
      <c r="K60" s="224" t="inlineStr">
        <is>
          <t>EGI Retail</t>
        </is>
      </c>
      <c r="L60" s="318" t="n"/>
      <c r="M60" s="319" t="inlineStr">
        <is>
          <t>Australia</t>
        </is>
      </c>
      <c r="N60" s="320" t="inlineStr">
        <is>
          <t>CIC</t>
        </is>
      </c>
      <c r="O60" s="320" t="n">
        <v>1</v>
      </c>
      <c r="P60" s="320" t="n"/>
      <c r="Q60" s="320" t="inlineStr">
        <is>
          <t>Permanent - Full Time</t>
        </is>
      </c>
      <c r="R60" s="322" t="n"/>
      <c r="S60" s="322" t="n"/>
      <c r="T60" s="334" t="n">
        <v>194190</v>
      </c>
      <c r="U60" s="705" t="n">
        <v>194190</v>
      </c>
      <c r="V60" s="325" t="n">
        <v>0.12</v>
      </c>
      <c r="W60" s="702" t="n">
        <v>0.055</v>
      </c>
      <c r="X60" s="702" t="n">
        <v>0.12</v>
      </c>
      <c r="Y60" s="703" t="n"/>
      <c r="Z60" s="702" t="n">
        <v>0.04</v>
      </c>
      <c r="AA60" s="701">
        <f>U60*(1+V60+W60+X60+Y60+Z60)</f>
        <v>259243.65</v>
      </c>
      <c r="AC60" t="inlineStr">
        <is>
          <t>Ampol Retail</t>
        </is>
      </c>
      <c r="AD60" t="inlineStr">
        <is>
          <t>EGI Retail</t>
        </is>
      </c>
      <c r="AE60" t="inlineStr">
        <is>
          <t>EGI Retail</t>
        </is>
      </c>
      <c r="AF60" t="inlineStr">
        <is>
          <t>Strategic Program</t>
        </is>
      </c>
      <c r="AG60" t="inlineStr">
        <is>
          <t>Filled</t>
        </is>
      </c>
    </row>
    <row r="61" hidden="1" ht="18" customHeight="1" s="506">
      <c r="A61" s="259" t="n">
        <v>95017</v>
      </c>
      <c r="B61" s="335" t="inlineStr">
        <is>
          <t>Sjoerd Van Sluijs</t>
        </is>
      </c>
      <c r="C61" s="317" t="inlineStr">
        <is>
          <t>Senior PM PEP1, PEP18</t>
        </is>
      </c>
      <c r="D61" s="318" t="inlineStr">
        <is>
          <t>Greg Cassis</t>
        </is>
      </c>
      <c r="E61" s="318" t="inlineStr">
        <is>
          <t>GM TDD, EGI</t>
        </is>
      </c>
      <c r="F61" s="224" t="inlineStr">
        <is>
          <t>Ampol Retail &amp; Z</t>
        </is>
      </c>
      <c r="G61" s="318" t="inlineStr">
        <is>
          <t>EGI</t>
        </is>
      </c>
      <c r="H61" s="318" t="inlineStr">
        <is>
          <t>EGI</t>
        </is>
      </c>
      <c r="I61" s="224" t="inlineStr">
        <is>
          <t>EGI Integration</t>
        </is>
      </c>
      <c r="J61" s="318" t="inlineStr">
        <is>
          <t>EGI</t>
        </is>
      </c>
      <c r="K61" s="318" t="inlineStr">
        <is>
          <t>EGI Retail</t>
        </is>
      </c>
      <c r="L61" s="318" t="n"/>
      <c r="M61" s="319" t="inlineStr">
        <is>
          <t>Australia</t>
        </is>
      </c>
      <c r="N61" s="320" t="inlineStr">
        <is>
          <t>CIC</t>
        </is>
      </c>
      <c r="O61" s="320" t="n">
        <v>1</v>
      </c>
      <c r="P61" s="320" t="n"/>
      <c r="Q61" s="320" t="inlineStr">
        <is>
          <t>Permanent - Full Time</t>
        </is>
      </c>
      <c r="R61" s="322" t="n"/>
      <c r="S61" s="322" t="n"/>
      <c r="T61" s="334" t="n">
        <v>200410</v>
      </c>
      <c r="U61" s="705" t="n">
        <v>200410</v>
      </c>
      <c r="V61" s="325" t="n">
        <v>0.12</v>
      </c>
      <c r="W61" s="702" t="n">
        <v>0.055</v>
      </c>
      <c r="X61" s="702" t="n">
        <v>0.12</v>
      </c>
      <c r="Y61" s="703" t="n"/>
      <c r="Z61" s="702" t="n">
        <v>0.04</v>
      </c>
      <c r="AA61" s="701">
        <f>U61*(1+V61+W61+X61+Y61+Z61)</f>
        <v>267547.35</v>
      </c>
      <c r="AC61" t="inlineStr">
        <is>
          <t>Ampol Retail</t>
        </is>
      </c>
      <c r="AD61" t="inlineStr">
        <is>
          <t>EGI Retail</t>
        </is>
      </c>
      <c r="AE61" t="inlineStr">
        <is>
          <t>EGI Retail</t>
        </is>
      </c>
      <c r="AF61" t="inlineStr">
        <is>
          <t>Strategic Program</t>
        </is>
      </c>
      <c r="AG61" t="inlineStr">
        <is>
          <t>Filled</t>
        </is>
      </c>
    </row>
    <row r="62" hidden="1" ht="18" customHeight="1" s="506">
      <c r="A62" s="259" t="n">
        <v>113783</v>
      </c>
      <c r="B62" s="224" t="inlineStr">
        <is>
          <t>Tabitha Raharadjo</t>
        </is>
      </c>
      <c r="C62" s="317" t="inlineStr">
        <is>
          <t>Project Coordinator</t>
        </is>
      </c>
      <c r="D62" s="224" t="inlineStr">
        <is>
          <t>Vanessa Allen</t>
        </is>
      </c>
      <c r="E62" s="224" t="inlineStr">
        <is>
          <t>Delivery Manager, Ampol Retail</t>
        </is>
      </c>
      <c r="F62" s="224" t="inlineStr">
        <is>
          <t>Ampol Retail &amp; Z</t>
        </is>
      </c>
      <c r="G62" s="318" t="inlineStr">
        <is>
          <t>Ampol Retail</t>
        </is>
      </c>
      <c r="H62" s="224" t="inlineStr">
        <is>
          <t>Ampol Retail, Delivery</t>
        </is>
      </c>
      <c r="I62" s="224" t="inlineStr">
        <is>
          <t>Retail</t>
        </is>
      </c>
      <c r="J62" s="318" t="inlineStr">
        <is>
          <t>AMPOS</t>
        </is>
      </c>
      <c r="K62" s="224" t="inlineStr">
        <is>
          <t>Ampos</t>
        </is>
      </c>
      <c r="L62" s="318" t="n"/>
      <c r="M62" s="319" t="inlineStr">
        <is>
          <t>Australia</t>
        </is>
      </c>
      <c r="N62" s="320" t="inlineStr">
        <is>
          <t>CDC</t>
        </is>
      </c>
      <c r="O62" s="320" t="n">
        <v>1</v>
      </c>
      <c r="P62" s="320" t="n"/>
      <c r="Q62" s="320" t="inlineStr">
        <is>
          <t>Permanent - Full Time</t>
        </is>
      </c>
      <c r="R62" s="322" t="n"/>
      <c r="S62" s="322" t="n"/>
      <c r="T62" s="334" t="n">
        <v>118280</v>
      </c>
      <c r="U62" s="705" t="n">
        <v>118280</v>
      </c>
      <c r="V62" s="325" t="n">
        <v>0.1</v>
      </c>
      <c r="W62" s="702" t="n">
        <v>0.055</v>
      </c>
      <c r="X62" s="702" t="n">
        <v>0.12</v>
      </c>
      <c r="Y62" s="703" t="n"/>
      <c r="Z62" s="702" t="n">
        <v>0.04</v>
      </c>
      <c r="AA62" s="701">
        <f>U62*(1+V62+W62+X62+Y62+Z62)</f>
        <v>155538.19999999998</v>
      </c>
      <c r="AC62" t="inlineStr">
        <is>
          <t>Ampol Retail</t>
        </is>
      </c>
      <c r="AD62" t="inlineStr">
        <is>
          <t>AmPOS</t>
        </is>
      </c>
      <c r="AE62" t="inlineStr">
        <is>
          <t>AmPOS</t>
        </is>
      </c>
      <c r="AF62" t="inlineStr">
        <is>
          <t>Strategic Program</t>
        </is>
      </c>
      <c r="AG62" t="inlineStr">
        <is>
          <t>Filled</t>
        </is>
      </c>
    </row>
    <row r="63" hidden="1" ht="18" customHeight="1" s="506">
      <c r="A63" s="259" t="n">
        <v>9999922690</v>
      </c>
      <c r="B63" s="224" t="inlineStr">
        <is>
          <t>Tim Gurnsey</t>
        </is>
      </c>
      <c r="C63" s="317" t="inlineStr">
        <is>
          <t>Delivery Lead</t>
        </is>
      </c>
      <c r="D63" s="318" t="inlineStr">
        <is>
          <t>Vacant</t>
        </is>
      </c>
      <c r="E63" s="224" t="inlineStr">
        <is>
          <t>Delivery Manager, Z and Retail Data</t>
        </is>
      </c>
      <c r="F63" s="224" t="inlineStr">
        <is>
          <t>Ampol Retail &amp; Z</t>
        </is>
      </c>
      <c r="G63" s="318" t="inlineStr">
        <is>
          <t>Z &amp; Group Retail</t>
        </is>
      </c>
      <c r="H63" s="224" t="inlineStr">
        <is>
          <t>Z &amp; Group Retail, Delivery</t>
        </is>
      </c>
      <c r="I63" s="224" t="inlineStr">
        <is>
          <t>Z</t>
        </is>
      </c>
      <c r="J63" s="318" t="inlineStr">
        <is>
          <t>Z Customer</t>
        </is>
      </c>
      <c r="K63" s="224" t="inlineStr">
        <is>
          <t>Site Systems</t>
        </is>
      </c>
      <c r="L63" s="318" t="n"/>
      <c r="M63" s="319" t="inlineStr">
        <is>
          <t>NZ</t>
        </is>
      </c>
      <c r="N63" s="320" t="inlineStr">
        <is>
          <t>CIC</t>
        </is>
      </c>
      <c r="O63" s="321" t="n">
        <v>1</v>
      </c>
      <c r="P63" s="320" t="n"/>
      <c r="Q63" s="321" t="inlineStr">
        <is>
          <t>Permanent - Full Time</t>
        </is>
      </c>
      <c r="R63" s="322" t="n"/>
      <c r="S63" s="322" t="n"/>
      <c r="T63" s="334" t="n">
        <v>173230</v>
      </c>
      <c r="U63" s="705" t="n">
        <v>159371.6</v>
      </c>
      <c r="V63" s="324" t="n">
        <v>0.15</v>
      </c>
      <c r="W63" s="322" t="n"/>
      <c r="X63" s="325" t="n">
        <v>0.05</v>
      </c>
      <c r="Y63" s="700" t="n">
        <v>2910</v>
      </c>
      <c r="Z63" s="325" t="n">
        <v>0.03</v>
      </c>
      <c r="AA63" s="701">
        <f>U63*(1+V63+X63+Z63)+Y63</f>
        <v>198937.068</v>
      </c>
      <c r="AB63" t="n">
        <v>113619</v>
      </c>
      <c r="AC63" t="inlineStr">
        <is>
          <t>Z Retail</t>
        </is>
      </c>
      <c r="AD63" t="inlineStr">
        <is>
          <t>Z Customer</t>
        </is>
      </c>
      <c r="AE63" t="inlineStr">
        <is>
          <t>Site Systems</t>
        </is>
      </c>
      <c r="AF63" t="inlineStr">
        <is>
          <t>Squad</t>
        </is>
      </c>
      <c r="AG63" t="inlineStr">
        <is>
          <t>Filled</t>
        </is>
      </c>
    </row>
    <row r="64" hidden="1" ht="18" customHeight="1" s="506">
      <c r="A64" s="259" t="n">
        <v>95285</v>
      </c>
      <c r="B64" s="224" t="inlineStr">
        <is>
          <t>Tracy Lee Reaper</t>
        </is>
      </c>
      <c r="C64" s="317" t="inlineStr">
        <is>
          <t>Technology Manager, Merchandising &amp; WFM</t>
        </is>
      </c>
      <c r="D64" s="318" t="inlineStr">
        <is>
          <t>Madan Murthy</t>
        </is>
      </c>
      <c r="E64" s="224" t="inlineStr">
        <is>
          <t>Head of Technology,  Ampol Retail</t>
        </is>
      </c>
      <c r="F64" s="224" t="inlineStr">
        <is>
          <t>Ampol Retail &amp; Z</t>
        </is>
      </c>
      <c r="G64" s="318" t="inlineStr">
        <is>
          <t>Ampol Retail</t>
        </is>
      </c>
      <c r="H64" s="224" t="inlineStr">
        <is>
          <t>Ampol Retail, Merch &amp; RTA</t>
        </is>
      </c>
      <c r="I64" s="224" t="inlineStr">
        <is>
          <t>Retail</t>
        </is>
      </c>
      <c r="J64" s="224" t="inlineStr">
        <is>
          <t>Merch / Supply Chain</t>
        </is>
      </c>
      <c r="K64" s="318" t="inlineStr">
        <is>
          <t>Leadership</t>
        </is>
      </c>
      <c r="L64" s="318" t="n"/>
      <c r="M64" s="319" t="inlineStr">
        <is>
          <t>Australia</t>
        </is>
      </c>
      <c r="N64" s="320" t="inlineStr">
        <is>
          <t>CSB</t>
        </is>
      </c>
      <c r="O64" s="320" t="n">
        <v>1</v>
      </c>
      <c r="P64" s="320" t="n"/>
      <c r="Q64" s="320" t="inlineStr">
        <is>
          <t>Permanent - Full Time</t>
        </is>
      </c>
      <c r="R64" s="322" t="n"/>
      <c r="S64" s="322" t="n"/>
      <c r="T64" s="334" t="n">
        <v>189604</v>
      </c>
      <c r="U64" s="705" t="n">
        <v>189604</v>
      </c>
      <c r="V64" s="325" t="n">
        <v>0.14</v>
      </c>
      <c r="W64" s="702" t="n">
        <v>0.055</v>
      </c>
      <c r="X64" s="702" t="n">
        <v>0.12</v>
      </c>
      <c r="Y64" s="703" t="n"/>
      <c r="Z64" s="702" t="n">
        <v>0.04</v>
      </c>
      <c r="AA64" s="701">
        <f>U64*(1+V64+W64+X64+Y64+Z64)</f>
        <v>256913.41999999998</v>
      </c>
      <c r="AC64" t="inlineStr">
        <is>
          <t>Ampol Retail</t>
        </is>
      </c>
      <c r="AD64" t="inlineStr">
        <is>
          <t>Leadership</t>
        </is>
      </c>
      <c r="AE64" t="inlineStr">
        <is>
          <t>Leadership</t>
        </is>
      </c>
      <c r="AF64" t="inlineStr">
        <is>
          <t>Leadership</t>
        </is>
      </c>
      <c r="AG64" t="inlineStr">
        <is>
          <t>Filled</t>
        </is>
      </c>
    </row>
    <row r="65" hidden="1" ht="18" customHeight="1" s="506">
      <c r="A65" s="259" t="n">
        <v>99999101426</v>
      </c>
      <c r="B65" s="224" t="inlineStr">
        <is>
          <t>Trevor Weaver</t>
        </is>
      </c>
      <c r="C65" s="317" t="inlineStr">
        <is>
          <t>Lead  Engineer - Software</t>
        </is>
      </c>
      <c r="D65" s="224" t="inlineStr">
        <is>
          <t>Vacant</t>
        </is>
      </c>
      <c r="E65" s="224" t="inlineStr">
        <is>
          <t>Technology Manager, Engineering</t>
        </is>
      </c>
      <c r="F65" s="224" t="inlineStr">
        <is>
          <t>Ampol Retail &amp; Z</t>
        </is>
      </c>
      <c r="G65" s="224" t="inlineStr">
        <is>
          <t>Z &amp; Group Retail</t>
        </is>
      </c>
      <c r="H65" s="224" t="inlineStr">
        <is>
          <t>Z &amp; Group Retail, Engineering</t>
        </is>
      </c>
      <c r="I65" s="224" t="inlineStr">
        <is>
          <t>Z</t>
        </is>
      </c>
      <c r="J65" s="224" t="inlineStr">
        <is>
          <t>Z Customer</t>
        </is>
      </c>
      <c r="K65" s="224" t="inlineStr">
        <is>
          <t xml:space="preserve">Z Retail Backend </t>
        </is>
      </c>
      <c r="L65" s="318" t="n"/>
      <c r="M65" s="319" t="inlineStr">
        <is>
          <t>NZ</t>
        </is>
      </c>
      <c r="N65" s="320" t="inlineStr">
        <is>
          <t>CIC</t>
        </is>
      </c>
      <c r="O65" s="321" t="n">
        <v>1</v>
      </c>
      <c r="P65" s="320" t="n"/>
      <c r="Q65" s="321" t="inlineStr">
        <is>
          <t>Permanent - Full Time</t>
        </is>
      </c>
      <c r="R65" s="322" t="n"/>
      <c r="S65" s="322" t="n"/>
      <c r="T65" s="334" t="n">
        <v>195680</v>
      </c>
      <c r="U65" s="705" t="n">
        <v>180025.6</v>
      </c>
      <c r="V65" s="324" t="n">
        <v>0.15</v>
      </c>
      <c r="W65" s="322" t="n"/>
      <c r="X65" s="325" t="n">
        <v>0.05</v>
      </c>
      <c r="Y65" s="700" t="n">
        <v>2910</v>
      </c>
      <c r="Z65" s="325" t="n">
        <v>0.03</v>
      </c>
      <c r="AA65" s="701">
        <f>U65*(1+V65+X65+Z65)+Y65</f>
        <v>224341.488</v>
      </c>
      <c r="AB65" t="n">
        <v>113620</v>
      </c>
      <c r="AC65" t="inlineStr">
        <is>
          <t>Z Retail</t>
        </is>
      </c>
      <c r="AD65" t="inlineStr">
        <is>
          <t>Z Customer</t>
        </is>
      </c>
      <c r="AE65" t="inlineStr">
        <is>
          <t>Z Retail Backend</t>
        </is>
      </c>
      <c r="AF65" t="inlineStr">
        <is>
          <t>Squad</t>
        </is>
      </c>
      <c r="AG65" t="inlineStr">
        <is>
          <t>Filled</t>
        </is>
      </c>
    </row>
    <row r="66" hidden="1" ht="18" customFormat="1" customHeight="1" s="342">
      <c r="A66" s="259" t="n">
        <v>85136</v>
      </c>
      <c r="B66" s="224" t="inlineStr">
        <is>
          <t>Tuan Edwards</t>
        </is>
      </c>
      <c r="C66" s="317" t="inlineStr">
        <is>
          <t>Field Systems Operations Lead - QLD</t>
        </is>
      </c>
      <c r="D66" s="224" t="inlineStr">
        <is>
          <t>Ephraim Adan</t>
        </is>
      </c>
      <c r="E66" s="224" t="inlineStr">
        <is>
          <t>Manager, AU Retail Operations</t>
        </is>
      </c>
      <c r="F66" s="224" t="inlineStr">
        <is>
          <t>Ampol Retail &amp; Z</t>
        </is>
      </c>
      <c r="G66" s="318" t="inlineStr">
        <is>
          <t>Ampol Retail</t>
        </is>
      </c>
      <c r="H66" s="224" t="inlineStr">
        <is>
          <t>Ampol Retail, Technology</t>
        </is>
      </c>
      <c r="I66" s="224" t="inlineStr">
        <is>
          <t>Retail</t>
        </is>
      </c>
      <c r="J66" s="318" t="inlineStr">
        <is>
          <t>Store Operations</t>
        </is>
      </c>
      <c r="K66" s="224" t="inlineStr">
        <is>
          <t>Retail Operations</t>
        </is>
      </c>
      <c r="L66" s="318" t="n"/>
      <c r="M66" s="319" t="inlineStr">
        <is>
          <t>Australia</t>
        </is>
      </c>
      <c r="N66" s="322" t="inlineStr">
        <is>
          <t>CIA</t>
        </is>
      </c>
      <c r="O66" s="322" t="n">
        <v>1</v>
      </c>
      <c r="P66" s="322" t="n"/>
      <c r="Q66" s="322" t="inlineStr">
        <is>
          <t>Permanent - Full Time</t>
        </is>
      </c>
      <c r="R66" s="322" t="n"/>
      <c r="S66" s="322" t="n"/>
      <c r="T66" s="334" t="n">
        <v>133300</v>
      </c>
      <c r="U66" s="705" t="n">
        <v>133300</v>
      </c>
      <c r="V66" s="325" t="n">
        <v>0.1</v>
      </c>
      <c r="W66" s="702" t="n">
        <v>0.055</v>
      </c>
      <c r="X66" s="702" t="n">
        <v>0.12</v>
      </c>
      <c r="Y66" s="703" t="n"/>
      <c r="Z66" s="702" t="n">
        <v>0.04</v>
      </c>
      <c r="AA66" s="701">
        <f>U66*(1+V66+W66+X66+Y66+Z66)</f>
        <v>175289.5</v>
      </c>
      <c r="AB66" s="328" t="n"/>
      <c r="AC66" s="328" t="inlineStr">
        <is>
          <t>Ampol Retail</t>
        </is>
      </c>
      <c r="AD66" t="inlineStr">
        <is>
          <t>Store Operations</t>
        </is>
      </c>
      <c r="AE66" t="inlineStr">
        <is>
          <t>Retail Operations</t>
        </is>
      </c>
      <c r="AF66" t="inlineStr">
        <is>
          <t>Unmapped</t>
        </is>
      </c>
      <c r="AG66" t="inlineStr">
        <is>
          <t>Filled</t>
        </is>
      </c>
    </row>
    <row r="67" hidden="1" ht="18" customHeight="1" s="506">
      <c r="A67" s="259" t="inlineStr">
        <is>
          <t>V</t>
        </is>
      </c>
      <c r="B67" s="224" t="inlineStr">
        <is>
          <t>Vacant</t>
        </is>
      </c>
      <c r="C67" s="317" t="inlineStr">
        <is>
          <t>Engineer - Integration</t>
        </is>
      </c>
      <c r="D67" s="224" t="inlineStr">
        <is>
          <t>Tracy Lee Reaper</t>
        </is>
      </c>
      <c r="E67" s="224" t="inlineStr">
        <is>
          <t>Tech Manager, Merchandising &amp; WFM</t>
        </is>
      </c>
      <c r="F67" s="224" t="inlineStr">
        <is>
          <t>Ampol Retail &amp; Z</t>
        </is>
      </c>
      <c r="G67" s="318" t="inlineStr">
        <is>
          <t>Ampol Retail</t>
        </is>
      </c>
      <c r="H67" s="224" t="inlineStr">
        <is>
          <t>Ampol Retail, Merch &amp; RTA</t>
        </is>
      </c>
      <c r="I67" s="224" t="inlineStr">
        <is>
          <t>Retail</t>
        </is>
      </c>
      <c r="J67" s="318" t="inlineStr">
        <is>
          <t>Merch / Supply Chain</t>
        </is>
      </c>
      <c r="K67" s="224" t="inlineStr">
        <is>
          <t>Merchandising &amp; Supply Chain</t>
        </is>
      </c>
      <c r="L67" s="318" t="n"/>
      <c r="M67" s="319" t="inlineStr">
        <is>
          <t>Australia</t>
        </is>
      </c>
      <c r="N67" s="320" t="inlineStr">
        <is>
          <t>CIB</t>
        </is>
      </c>
      <c r="O67" s="320" t="n">
        <v>1</v>
      </c>
      <c r="P67" s="320" t="n"/>
      <c r="Q67" s="320" t="inlineStr">
        <is>
          <t>V</t>
        </is>
      </c>
      <c r="R67" s="322" t="n"/>
      <c r="S67" s="322" t="n"/>
      <c r="T67" s="334" t="n">
        <v>151950</v>
      </c>
      <c r="U67" s="705" t="n">
        <v>151950</v>
      </c>
      <c r="V67" s="325" t="n">
        <v>0.12</v>
      </c>
      <c r="W67" s="702" t="n">
        <v>0.055</v>
      </c>
      <c r="X67" s="702" t="n">
        <v>0.12</v>
      </c>
      <c r="Y67" s="703" t="n"/>
      <c r="Z67" s="702" t="n">
        <v>0.04</v>
      </c>
      <c r="AA67" s="701">
        <f>U67*(1+V67+W67+X67+Y67+Z67)</f>
        <v>202853.25</v>
      </c>
      <c r="AC67" t="inlineStr">
        <is>
          <t>Ampol Retail</t>
        </is>
      </c>
      <c r="AD67" t="inlineStr">
        <is>
          <t>Above Store</t>
        </is>
      </c>
      <c r="AE67" t="inlineStr">
        <is>
          <t>Above Store</t>
        </is>
      </c>
      <c r="AF67" t="inlineStr">
        <is>
          <t>Squad</t>
        </is>
      </c>
      <c r="AG67" t="inlineStr">
        <is>
          <t>Vacant</t>
        </is>
      </c>
    </row>
    <row r="68" hidden="1" ht="18" customHeight="1" s="506">
      <c r="A68" s="259" t="inlineStr">
        <is>
          <t>V</t>
        </is>
      </c>
      <c r="B68" s="224" t="inlineStr">
        <is>
          <t>vacant</t>
        </is>
      </c>
      <c r="C68" s="317" t="inlineStr">
        <is>
          <t>Quality Assurance</t>
        </is>
      </c>
      <c r="D68" s="224" t="inlineStr">
        <is>
          <t>Tracy Lee Reaper</t>
        </is>
      </c>
      <c r="E68" s="224" t="inlineStr">
        <is>
          <t>Tech Manager, Merchandising &amp; WFM</t>
        </is>
      </c>
      <c r="F68" s="224" t="inlineStr">
        <is>
          <t>Ampol Retail &amp; Z</t>
        </is>
      </c>
      <c r="G68" s="318" t="inlineStr">
        <is>
          <t>Ampol Retail</t>
        </is>
      </c>
      <c r="H68" s="224" t="inlineStr">
        <is>
          <t>Ampol Retail, Merch &amp; RTA</t>
        </is>
      </c>
      <c r="I68" s="224" t="inlineStr">
        <is>
          <t>Retail</t>
        </is>
      </c>
      <c r="J68" s="318" t="inlineStr">
        <is>
          <t>Merch / Supply Chain</t>
        </is>
      </c>
      <c r="K68" s="224" t="inlineStr">
        <is>
          <t>Merchandising &amp; Supply Chain</t>
        </is>
      </c>
      <c r="L68" s="318" t="n"/>
      <c r="M68" s="319" t="inlineStr">
        <is>
          <t>Australia</t>
        </is>
      </c>
      <c r="N68" s="320" t="inlineStr">
        <is>
          <t>CIA</t>
        </is>
      </c>
      <c r="O68" s="320" t="n">
        <v>1</v>
      </c>
      <c r="P68" s="320" t="n"/>
      <c r="Q68" s="320" t="inlineStr">
        <is>
          <t>v</t>
        </is>
      </c>
      <c r="R68" s="322" t="n"/>
      <c r="S68" s="322" t="n"/>
      <c r="T68" s="334" t="n">
        <v>129650</v>
      </c>
      <c r="U68" s="705" t="n">
        <v>129650</v>
      </c>
      <c r="V68" s="325" t="n">
        <v>0.1</v>
      </c>
      <c r="W68" s="702" t="n">
        <v>0.055</v>
      </c>
      <c r="X68" s="702" t="n">
        <v>0.12</v>
      </c>
      <c r="Y68" s="703" t="n"/>
      <c r="Z68" s="702" t="n">
        <v>0.04</v>
      </c>
      <c r="AA68" s="701">
        <f>U68*(1+V68+W68+X68+Y68+Z68)</f>
        <v>170489.75</v>
      </c>
      <c r="AC68" t="inlineStr">
        <is>
          <t>Ampol Retail</t>
        </is>
      </c>
      <c r="AD68" t="inlineStr">
        <is>
          <t>Above Store</t>
        </is>
      </c>
      <c r="AE68" t="inlineStr">
        <is>
          <t>Above Store</t>
        </is>
      </c>
      <c r="AF68" t="inlineStr">
        <is>
          <t>Squad</t>
        </is>
      </c>
      <c r="AG68" t="inlineStr">
        <is>
          <t>Vacant</t>
        </is>
      </c>
    </row>
    <row r="69" hidden="1" ht="18" customHeight="1" s="506">
      <c r="A69" s="259" t="inlineStr">
        <is>
          <t>V</t>
        </is>
      </c>
      <c r="B69" s="224" t="inlineStr">
        <is>
          <t>vacant</t>
        </is>
      </c>
      <c r="C69" s="317" t="inlineStr">
        <is>
          <t>Quality Assurance</t>
        </is>
      </c>
      <c r="D69" s="224" t="inlineStr">
        <is>
          <t>Tracy Lee Reaper</t>
        </is>
      </c>
      <c r="E69" s="224" t="inlineStr">
        <is>
          <t>Tech Manager, Merchandising &amp; WFM</t>
        </is>
      </c>
      <c r="F69" s="224" t="inlineStr">
        <is>
          <t>Ampol Retail &amp; Z</t>
        </is>
      </c>
      <c r="G69" s="318" t="inlineStr">
        <is>
          <t>Ampol Retail</t>
        </is>
      </c>
      <c r="H69" s="224" t="inlineStr">
        <is>
          <t>Ampol Retail, Merch &amp; RTA</t>
        </is>
      </c>
      <c r="I69" s="224" t="inlineStr">
        <is>
          <t>Retail</t>
        </is>
      </c>
      <c r="J69" s="318" t="inlineStr">
        <is>
          <t>Pricing / WFM</t>
        </is>
      </c>
      <c r="K69" s="224" t="inlineStr">
        <is>
          <t>Pricing &amp; WFM</t>
        </is>
      </c>
      <c r="L69" s="318" t="n"/>
      <c r="M69" s="319" t="inlineStr">
        <is>
          <t>Australia</t>
        </is>
      </c>
      <c r="N69" s="320" t="inlineStr">
        <is>
          <t>CIA</t>
        </is>
      </c>
      <c r="O69" s="320" t="n">
        <v>1</v>
      </c>
      <c r="P69" s="320" t="n"/>
      <c r="Q69" s="320" t="inlineStr">
        <is>
          <t>v</t>
        </is>
      </c>
      <c r="R69" s="322" t="n"/>
      <c r="S69" s="322" t="n"/>
      <c r="T69" s="334" t="n">
        <v>129650</v>
      </c>
      <c r="U69" s="705" t="n">
        <v>129650</v>
      </c>
      <c r="V69" s="325" t="n">
        <v>0.1</v>
      </c>
      <c r="W69" s="702" t="n">
        <v>0.055</v>
      </c>
      <c r="X69" s="702" t="n">
        <v>0.12</v>
      </c>
      <c r="Y69" s="703" t="n"/>
      <c r="Z69" s="702" t="n">
        <v>0.04</v>
      </c>
      <c r="AA69" s="701">
        <f>U69*(1+V69+W69+X69+Y69+Z69)</f>
        <v>170489.75</v>
      </c>
      <c r="AC69" t="inlineStr">
        <is>
          <t>Ampol Retail</t>
        </is>
      </c>
      <c r="AD69" t="inlineStr">
        <is>
          <t>Above Store</t>
        </is>
      </c>
      <c r="AE69" t="inlineStr">
        <is>
          <t>Above Store</t>
        </is>
      </c>
      <c r="AF69" t="inlineStr">
        <is>
          <t>Squad</t>
        </is>
      </c>
      <c r="AG69" t="inlineStr">
        <is>
          <t>Vacant</t>
        </is>
      </c>
    </row>
    <row r="70" hidden="1" ht="18" customHeight="1" s="506">
      <c r="A70" s="259" t="inlineStr">
        <is>
          <t>V</t>
        </is>
      </c>
      <c r="B70" s="224" t="inlineStr">
        <is>
          <t>Vacant</t>
        </is>
      </c>
      <c r="C70" s="317" t="inlineStr">
        <is>
          <t>Systems Analyst</t>
        </is>
      </c>
      <c r="D70" s="224" t="inlineStr">
        <is>
          <t>Tracy Lee Reaper</t>
        </is>
      </c>
      <c r="E70" s="224" t="inlineStr">
        <is>
          <t>Tech Manager, Merchandising &amp; WFM</t>
        </is>
      </c>
      <c r="F70" s="224" t="inlineStr">
        <is>
          <t>Ampol Retail &amp; Z</t>
        </is>
      </c>
      <c r="G70" s="318" t="inlineStr">
        <is>
          <t>Ampol Retail</t>
        </is>
      </c>
      <c r="H70" s="224" t="inlineStr">
        <is>
          <t>Ampol Retail, Merch &amp; RTA</t>
        </is>
      </c>
      <c r="I70" t="inlineStr">
        <is>
          <t>Retail</t>
        </is>
      </c>
      <c r="J70" s="318" t="inlineStr">
        <is>
          <t>Merch / Supply Chain</t>
        </is>
      </c>
      <c r="K70" t="inlineStr">
        <is>
          <t>Merchandising &amp; Supply Chain</t>
        </is>
      </c>
      <c r="L70" s="318" t="n"/>
      <c r="M70" s="319" t="inlineStr">
        <is>
          <t>Australia</t>
        </is>
      </c>
      <c r="N70" s="320" t="inlineStr">
        <is>
          <t>CIA</t>
        </is>
      </c>
      <c r="O70" s="320" t="n">
        <v>1</v>
      </c>
      <c r="P70" s="320" t="n"/>
      <c r="Q70" s="320" t="inlineStr">
        <is>
          <t>v</t>
        </is>
      </c>
      <c r="R70" s="322" t="n"/>
      <c r="S70" s="322" t="n"/>
      <c r="T70" s="334" t="n">
        <v>129659</v>
      </c>
      <c r="U70" s="705" t="n">
        <v>129659</v>
      </c>
      <c r="V70" s="325" t="n">
        <v>0.1</v>
      </c>
      <c r="W70" s="702" t="n">
        <v>0.055</v>
      </c>
      <c r="X70" s="702" t="n">
        <v>0.12</v>
      </c>
      <c r="Y70" s="703" t="n"/>
      <c r="Z70" s="702" t="n">
        <v>0.04</v>
      </c>
      <c r="AA70" s="701">
        <f>U70*(1+V70+W70+X70+Y70+Z70)</f>
        <v>170501.585</v>
      </c>
      <c r="AC70" t="inlineStr">
        <is>
          <t>Ampol Retail</t>
        </is>
      </c>
      <c r="AD70" t="inlineStr">
        <is>
          <t>Above Store</t>
        </is>
      </c>
      <c r="AE70" t="inlineStr">
        <is>
          <t>Above Store</t>
        </is>
      </c>
      <c r="AF70" t="inlineStr">
        <is>
          <t>Squad</t>
        </is>
      </c>
      <c r="AG70" t="inlineStr">
        <is>
          <t>Vacant</t>
        </is>
      </c>
    </row>
    <row r="71" hidden="1" ht="18" customHeight="1" s="506">
      <c r="A71" s="259" t="inlineStr">
        <is>
          <t>V</t>
        </is>
      </c>
      <c r="B71" s="224" t="inlineStr">
        <is>
          <t>Vacant</t>
        </is>
      </c>
      <c r="C71" s="317" t="inlineStr">
        <is>
          <t>Systems Analyst</t>
        </is>
      </c>
      <c r="D71" s="224" t="inlineStr">
        <is>
          <t>Tracy Lee Reaper</t>
        </is>
      </c>
      <c r="E71" s="224" t="inlineStr">
        <is>
          <t>Tech Manager, Merchandising &amp; WFM</t>
        </is>
      </c>
      <c r="F71" s="224" t="inlineStr">
        <is>
          <t>Ampol Retail &amp; Z</t>
        </is>
      </c>
      <c r="G71" s="318" t="inlineStr">
        <is>
          <t>Ampol Retail</t>
        </is>
      </c>
      <c r="H71" s="224" t="inlineStr">
        <is>
          <t>Ampol Retail, Merch &amp; RTA</t>
        </is>
      </c>
      <c r="I71" s="224" t="inlineStr">
        <is>
          <t>Retail</t>
        </is>
      </c>
      <c r="J71" s="318" t="inlineStr">
        <is>
          <t>Pricing / WFM</t>
        </is>
      </c>
      <c r="K71" s="224" t="inlineStr">
        <is>
          <t>Pricing &amp; WFM</t>
        </is>
      </c>
      <c r="L71" s="318" t="n"/>
      <c r="M71" s="319" t="inlineStr">
        <is>
          <t>Australia</t>
        </is>
      </c>
      <c r="N71" s="320" t="inlineStr">
        <is>
          <t>CIA</t>
        </is>
      </c>
      <c r="O71" s="320" t="n">
        <v>1</v>
      </c>
      <c r="P71" s="320" t="n"/>
      <c r="Q71" s="320" t="inlineStr">
        <is>
          <t>v</t>
        </is>
      </c>
      <c r="R71" s="322" t="n"/>
      <c r="S71" s="322" t="n"/>
      <c r="T71" s="334" t="n">
        <v>129659</v>
      </c>
      <c r="U71" s="705" t="n">
        <v>129659</v>
      </c>
      <c r="V71" s="325" t="n">
        <v>0.1</v>
      </c>
      <c r="W71" s="702" t="n">
        <v>0.055</v>
      </c>
      <c r="X71" s="702" t="n">
        <v>0.12</v>
      </c>
      <c r="Y71" s="703" t="n"/>
      <c r="Z71" s="702" t="n">
        <v>0.04</v>
      </c>
      <c r="AA71" s="701">
        <f>U71*(1+V71+W71+X71+Y71+Z71)</f>
        <v>170501.585</v>
      </c>
      <c r="AC71" t="inlineStr">
        <is>
          <t>Ampol Retail</t>
        </is>
      </c>
      <c r="AD71" t="inlineStr">
        <is>
          <t>Above Store</t>
        </is>
      </c>
      <c r="AE71" t="inlineStr">
        <is>
          <t>Above Store</t>
        </is>
      </c>
      <c r="AF71" t="inlineStr">
        <is>
          <t>Squad</t>
        </is>
      </c>
      <c r="AG71" t="inlineStr">
        <is>
          <t>Vacant</t>
        </is>
      </c>
    </row>
    <row r="72" hidden="1" ht="18" customHeight="1" s="506">
      <c r="A72" s="259" t="inlineStr">
        <is>
          <t>V</t>
        </is>
      </c>
      <c r="B72" s="224" t="inlineStr">
        <is>
          <t>Vacant</t>
        </is>
      </c>
      <c r="C72" s="317" t="inlineStr">
        <is>
          <t>Data Analyst</t>
        </is>
      </c>
      <c r="D72" s="318" t="inlineStr">
        <is>
          <t>Vacant</t>
        </is>
      </c>
      <c r="E72" s="224" t="inlineStr">
        <is>
          <t>Technology Manager, Data</t>
        </is>
      </c>
      <c r="F72" s="224" t="inlineStr">
        <is>
          <t>Ampol Retail &amp; Z</t>
        </is>
      </c>
      <c r="G72" s="318" t="inlineStr">
        <is>
          <t>Z &amp; Group Retail</t>
        </is>
      </c>
      <c r="H72" s="224" t="inlineStr">
        <is>
          <t>Z &amp; Group Retail, Data</t>
        </is>
      </c>
      <c r="I72" s="224" t="inlineStr">
        <is>
          <t>Retail</t>
        </is>
      </c>
      <c r="J72" s="318" t="inlineStr">
        <is>
          <t>(All Retail)</t>
        </is>
      </c>
      <c r="K72" s="224" t="inlineStr">
        <is>
          <t>Data - AU</t>
        </is>
      </c>
      <c r="L72" s="318" t="n"/>
      <c r="M72" s="319" t="inlineStr">
        <is>
          <t>Australia</t>
        </is>
      </c>
      <c r="N72" s="320" t="inlineStr">
        <is>
          <t>CIB</t>
        </is>
      </c>
      <c r="O72" s="320" t="n">
        <v>1</v>
      </c>
      <c r="P72" s="320" t="n"/>
      <c r="Q72" s="320" t="inlineStr">
        <is>
          <t>V</t>
        </is>
      </c>
      <c r="R72" s="322" t="n"/>
      <c r="S72" s="322" t="n"/>
      <c r="T72" s="334" t="n">
        <v>151000</v>
      </c>
      <c r="U72" s="705" t="n">
        <v>151000</v>
      </c>
      <c r="V72" s="325" t="n">
        <v>0.12</v>
      </c>
      <c r="W72" s="702" t="n">
        <v>0.055</v>
      </c>
      <c r="X72" s="702" t="n">
        <v>0.12</v>
      </c>
      <c r="Y72" s="703" t="n"/>
      <c r="Z72" s="702" t="n">
        <v>0.04</v>
      </c>
      <c r="AA72" s="701">
        <f>U72*(1+V72+W72+X72+Y72+Z72)</f>
        <v>201585.0</v>
      </c>
      <c r="AC72" t="inlineStr">
        <is>
          <t>Ampol Retail</t>
        </is>
      </c>
      <c r="AD72" t="inlineStr">
        <is>
          <t>Data AU</t>
        </is>
      </c>
      <c r="AE72" t="inlineStr">
        <is>
          <t>Data AU</t>
        </is>
      </c>
      <c r="AF72" t="inlineStr">
        <is>
          <t>Squad</t>
        </is>
      </c>
      <c r="AG72" t="inlineStr">
        <is>
          <t>Vacant</t>
        </is>
      </c>
    </row>
    <row r="73" hidden="1" ht="18" customHeight="1" s="506">
      <c r="A73" s="259" t="inlineStr">
        <is>
          <t>V</t>
        </is>
      </c>
      <c r="B73" s="224" t="inlineStr">
        <is>
          <t>Vacant</t>
        </is>
      </c>
      <c r="C73" s="317" t="inlineStr">
        <is>
          <t>Data Analyst</t>
        </is>
      </c>
      <c r="D73" s="318" t="inlineStr">
        <is>
          <t>Vacant</t>
        </is>
      </c>
      <c r="E73" s="224" t="inlineStr">
        <is>
          <t>Technology Manager, Data</t>
        </is>
      </c>
      <c r="F73" s="224" t="inlineStr">
        <is>
          <t>Ampol Retail &amp; Z</t>
        </is>
      </c>
      <c r="G73" s="318" t="inlineStr">
        <is>
          <t>Z &amp; Group Retail</t>
        </is>
      </c>
      <c r="H73" s="224" t="inlineStr">
        <is>
          <t>Z &amp; Group Retail, Data</t>
        </is>
      </c>
      <c r="I73" s="224" t="inlineStr">
        <is>
          <t>Retail</t>
        </is>
      </c>
      <c r="J73" s="318" t="inlineStr">
        <is>
          <t>(All Retail)</t>
        </is>
      </c>
      <c r="K73" s="224" t="inlineStr">
        <is>
          <t>Data - AU</t>
        </is>
      </c>
      <c r="L73" s="318" t="n"/>
      <c r="M73" s="319" t="inlineStr">
        <is>
          <t>Australia</t>
        </is>
      </c>
      <c r="N73" s="320" t="inlineStr">
        <is>
          <t>CIB</t>
        </is>
      </c>
      <c r="O73" s="320" t="n">
        <v>1</v>
      </c>
      <c r="P73" s="320" t="n"/>
      <c r="Q73" s="320" t="inlineStr">
        <is>
          <t>V</t>
        </is>
      </c>
      <c r="R73" s="322" t="n"/>
      <c r="S73" s="322" t="n"/>
      <c r="T73" s="334" t="n">
        <v>151000</v>
      </c>
      <c r="U73" s="705" t="n">
        <v>151000</v>
      </c>
      <c r="V73" s="325" t="n">
        <v>0.12</v>
      </c>
      <c r="W73" s="702" t="n">
        <v>0.055</v>
      </c>
      <c r="X73" s="702" t="n">
        <v>0.12</v>
      </c>
      <c r="Y73" s="703" t="n"/>
      <c r="Z73" s="702" t="n">
        <v>0.04</v>
      </c>
      <c r="AA73" s="701">
        <f>U73*(1+V73+W73+X73+Y73+Z73)</f>
        <v>201585.0</v>
      </c>
      <c r="AC73" t="inlineStr">
        <is>
          <t>Ampol Retail</t>
        </is>
      </c>
      <c r="AD73" t="inlineStr">
        <is>
          <t>Data AU</t>
        </is>
      </c>
      <c r="AE73" t="inlineStr">
        <is>
          <t>Data AU</t>
        </is>
      </c>
      <c r="AF73" t="inlineStr">
        <is>
          <t>Squad</t>
        </is>
      </c>
      <c r="AG73" t="inlineStr">
        <is>
          <t>Vacant</t>
        </is>
      </c>
    </row>
    <row r="74" hidden="1" ht="18" customHeight="1" s="506">
      <c r="A74" s="259" t="inlineStr">
        <is>
          <t>V</t>
        </is>
      </c>
      <c r="B74" s="224" t="inlineStr">
        <is>
          <t>Vacant</t>
        </is>
      </c>
      <c r="C74" s="317" t="inlineStr">
        <is>
          <t>Delivery Lead</t>
        </is>
      </c>
      <c r="D74" s="318" t="inlineStr">
        <is>
          <t>Vacant</t>
        </is>
      </c>
      <c r="E74" s="224" t="inlineStr">
        <is>
          <t>Delivery Manager, Z and Retail Data</t>
        </is>
      </c>
      <c r="F74" s="224" t="inlineStr">
        <is>
          <t>Ampol Retail &amp; Z</t>
        </is>
      </c>
      <c r="G74" s="318" t="inlineStr">
        <is>
          <t>Z &amp; Group Retail</t>
        </is>
      </c>
      <c r="H74" s="224" t="inlineStr">
        <is>
          <t>Z &amp; Group Retail, Delivery</t>
        </is>
      </c>
      <c r="I74" s="224" t="inlineStr">
        <is>
          <t>Retail</t>
        </is>
      </c>
      <c r="J74" s="318" t="inlineStr">
        <is>
          <t>(All Retail)</t>
        </is>
      </c>
      <c r="K74" s="224" t="inlineStr">
        <is>
          <t>Data - AU</t>
        </is>
      </c>
      <c r="L74" s="318" t="n"/>
      <c r="M74" s="319" t="inlineStr">
        <is>
          <t>Australia</t>
        </is>
      </c>
      <c r="N74" s="320" t="inlineStr">
        <is>
          <t>CIC</t>
        </is>
      </c>
      <c r="O74" s="320" t="n">
        <v>1</v>
      </c>
      <c r="P74" s="320" t="n"/>
      <c r="Q74" s="320" t="inlineStr">
        <is>
          <t>V</t>
        </is>
      </c>
      <c r="R74" s="322" t="n"/>
      <c r="S74" s="322" t="n"/>
      <c r="T74" s="334" t="n">
        <v>173550</v>
      </c>
      <c r="U74" s="705" t="n">
        <v>173550</v>
      </c>
      <c r="V74" s="325" t="n">
        <v>0.12</v>
      </c>
      <c r="W74" s="702" t="n">
        <v>0.055</v>
      </c>
      <c r="X74" s="702" t="n">
        <v>0.12</v>
      </c>
      <c r="Y74" s="703" t="n"/>
      <c r="Z74" s="702" t="n">
        <v>0.04</v>
      </c>
      <c r="AA74" s="701">
        <f>U74*(1+V74+W74+X74+Y74+Z74)</f>
        <v>231689.25</v>
      </c>
      <c r="AC74" t="inlineStr">
        <is>
          <t>Ampol Retail</t>
        </is>
      </c>
      <c r="AD74" t="inlineStr">
        <is>
          <t>Data AU</t>
        </is>
      </c>
      <c r="AE74" t="inlineStr">
        <is>
          <t>Data AU</t>
        </is>
      </c>
      <c r="AF74" t="inlineStr">
        <is>
          <t>Squad</t>
        </is>
      </c>
      <c r="AG74" t="inlineStr">
        <is>
          <t>Vacant</t>
        </is>
      </c>
    </row>
    <row r="75" hidden="1" ht="18" customHeight="1" s="506">
      <c r="A75" s="259" t="inlineStr">
        <is>
          <t>V</t>
        </is>
      </c>
      <c r="B75" s="224" t="inlineStr">
        <is>
          <t>Vacant</t>
        </is>
      </c>
      <c r="C75" s="317" t="inlineStr">
        <is>
          <t>Engineer - Data</t>
        </is>
      </c>
      <c r="D75" s="318" t="inlineStr">
        <is>
          <t>Vacant</t>
        </is>
      </c>
      <c r="E75" s="224" t="inlineStr">
        <is>
          <t>Technology Manager, Data</t>
        </is>
      </c>
      <c r="F75" s="224" t="inlineStr">
        <is>
          <t>Ampol Retail &amp; Z</t>
        </is>
      </c>
      <c r="G75" s="318" t="inlineStr">
        <is>
          <t>Z &amp; Group Retail</t>
        </is>
      </c>
      <c r="H75" s="224" t="inlineStr">
        <is>
          <t>Z &amp; Group Retail, Data</t>
        </is>
      </c>
      <c r="I75" s="224" t="inlineStr">
        <is>
          <t>Retail</t>
        </is>
      </c>
      <c r="J75" s="318" t="inlineStr">
        <is>
          <t>(All Retail)</t>
        </is>
      </c>
      <c r="K75" s="224" t="inlineStr">
        <is>
          <t>Data - AU</t>
        </is>
      </c>
      <c r="L75" s="318" t="n"/>
      <c r="M75" s="319" t="inlineStr">
        <is>
          <t>Australia</t>
        </is>
      </c>
      <c r="N75" s="320" t="inlineStr">
        <is>
          <t>CIB</t>
        </is>
      </c>
      <c r="O75" s="320" t="n">
        <v>1</v>
      </c>
      <c r="P75" s="320" t="n"/>
      <c r="Q75" s="320" t="inlineStr">
        <is>
          <t>V</t>
        </is>
      </c>
      <c r="R75" s="322" t="n"/>
      <c r="S75" s="322" t="n"/>
      <c r="T75" s="334" t="n">
        <v>151950</v>
      </c>
      <c r="U75" s="705" t="n">
        <v>151950</v>
      </c>
      <c r="V75" s="325" t="n">
        <v>0.12</v>
      </c>
      <c r="W75" s="702" t="n">
        <v>0.055</v>
      </c>
      <c r="X75" s="702" t="n">
        <v>0.12</v>
      </c>
      <c r="Y75" s="703" t="n"/>
      <c r="Z75" s="702" t="n">
        <v>0.04</v>
      </c>
      <c r="AA75" s="701">
        <f>U75*(1+V75+W75+X75+Y75+Z75)</f>
        <v>202853.25</v>
      </c>
      <c r="AC75" t="inlineStr">
        <is>
          <t>Ampol Retail</t>
        </is>
      </c>
      <c r="AD75" t="inlineStr">
        <is>
          <t>Data AU</t>
        </is>
      </c>
      <c r="AE75" t="inlineStr">
        <is>
          <t>Data AU</t>
        </is>
      </c>
      <c r="AF75" t="inlineStr">
        <is>
          <t>Squad</t>
        </is>
      </c>
      <c r="AG75" t="inlineStr">
        <is>
          <t>Vacant</t>
        </is>
      </c>
    </row>
    <row r="76" hidden="1" ht="18" customHeight="1" s="506">
      <c r="A76" s="259" t="inlineStr">
        <is>
          <t>V</t>
        </is>
      </c>
      <c r="B76" s="224" t="inlineStr">
        <is>
          <t>Vacant</t>
        </is>
      </c>
      <c r="C76" s="317" t="inlineStr">
        <is>
          <t>Engineer - Data</t>
        </is>
      </c>
      <c r="D76" s="318" t="inlineStr">
        <is>
          <t>Vacant</t>
        </is>
      </c>
      <c r="E76" s="224" t="inlineStr">
        <is>
          <t>Technology Manager, Data</t>
        </is>
      </c>
      <c r="F76" s="224" t="inlineStr">
        <is>
          <t>Ampol Retail &amp; Z</t>
        </is>
      </c>
      <c r="G76" s="318" t="inlineStr">
        <is>
          <t>Z &amp; Group Retail</t>
        </is>
      </c>
      <c r="H76" s="224" t="inlineStr">
        <is>
          <t>Z &amp; Group Retail, Data</t>
        </is>
      </c>
      <c r="I76" s="224" t="inlineStr">
        <is>
          <t>Retail</t>
        </is>
      </c>
      <c r="J76" s="318" t="inlineStr">
        <is>
          <t>(All Retail)</t>
        </is>
      </c>
      <c r="K76" s="224" t="inlineStr">
        <is>
          <t>Data - AU</t>
        </is>
      </c>
      <c r="L76" s="318" t="n"/>
      <c r="M76" s="319" t="inlineStr">
        <is>
          <t>Australia</t>
        </is>
      </c>
      <c r="N76" s="320" t="inlineStr">
        <is>
          <t>CIB</t>
        </is>
      </c>
      <c r="O76" s="320" t="n">
        <v>1</v>
      </c>
      <c r="P76" s="320" t="n"/>
      <c r="Q76" s="320" t="inlineStr">
        <is>
          <t>V</t>
        </is>
      </c>
      <c r="R76" s="322" t="n"/>
      <c r="S76" s="322" t="n"/>
      <c r="T76" s="334" t="n">
        <v>151950</v>
      </c>
      <c r="U76" s="705" t="n">
        <v>151950</v>
      </c>
      <c r="V76" s="325" t="n">
        <v>0.12</v>
      </c>
      <c r="W76" s="702" t="n">
        <v>0.055</v>
      </c>
      <c r="X76" s="702" t="n">
        <v>0.12</v>
      </c>
      <c r="Y76" s="703" t="n"/>
      <c r="Z76" s="702" t="n">
        <v>0.04</v>
      </c>
      <c r="AA76" s="701">
        <f>U76*(1+V76+W76+X76+Y76+Z76)</f>
        <v>202853.25</v>
      </c>
      <c r="AC76" t="inlineStr">
        <is>
          <t>Ampol Retail</t>
        </is>
      </c>
      <c r="AD76" t="inlineStr">
        <is>
          <t>Data AU</t>
        </is>
      </c>
      <c r="AE76" t="inlineStr">
        <is>
          <t>Data AU</t>
        </is>
      </c>
      <c r="AF76" t="inlineStr">
        <is>
          <t>Squad</t>
        </is>
      </c>
      <c r="AG76" t="inlineStr">
        <is>
          <t>Vacant</t>
        </is>
      </c>
    </row>
    <row r="77" hidden="1" ht="18" customHeight="1" s="506">
      <c r="A77" s="259" t="inlineStr">
        <is>
          <t>V</t>
        </is>
      </c>
      <c r="B77" s="224" t="inlineStr">
        <is>
          <t>Vacant</t>
        </is>
      </c>
      <c r="C77" s="317" t="inlineStr">
        <is>
          <t>Engineer - Data</t>
        </is>
      </c>
      <c r="D77" s="318" t="inlineStr">
        <is>
          <t>Vacant</t>
        </is>
      </c>
      <c r="E77" s="224" t="inlineStr">
        <is>
          <t>Technology Manager, Data</t>
        </is>
      </c>
      <c r="F77" s="224" t="inlineStr">
        <is>
          <t>Ampol Retail &amp; Z</t>
        </is>
      </c>
      <c r="G77" s="318" t="inlineStr">
        <is>
          <t>Z &amp; Group Retail</t>
        </is>
      </c>
      <c r="H77" s="224" t="inlineStr">
        <is>
          <t>Z &amp; Group Retail, Data</t>
        </is>
      </c>
      <c r="I77" s="224" t="inlineStr">
        <is>
          <t>Retail</t>
        </is>
      </c>
      <c r="J77" s="318" t="inlineStr">
        <is>
          <t>(All Retail)</t>
        </is>
      </c>
      <c r="K77" s="224" t="inlineStr">
        <is>
          <t>Data - AU</t>
        </is>
      </c>
      <c r="L77" s="318" t="n"/>
      <c r="M77" s="319" t="inlineStr">
        <is>
          <t>Australia</t>
        </is>
      </c>
      <c r="N77" s="320" t="inlineStr">
        <is>
          <t>CIB</t>
        </is>
      </c>
      <c r="O77" s="320" t="n">
        <v>1</v>
      </c>
      <c r="P77" s="320" t="n"/>
      <c r="Q77" s="320" t="inlineStr">
        <is>
          <t>V</t>
        </is>
      </c>
      <c r="R77" s="322" t="n"/>
      <c r="S77" s="322" t="n"/>
      <c r="T77" s="334" t="n">
        <v>151950</v>
      </c>
      <c r="U77" s="705" t="n">
        <v>151950</v>
      </c>
      <c r="V77" s="325" t="n">
        <v>0.12</v>
      </c>
      <c r="W77" s="702" t="n">
        <v>0.055</v>
      </c>
      <c r="X77" s="702" t="n">
        <v>0.12</v>
      </c>
      <c r="Y77" s="703" t="n"/>
      <c r="Z77" s="702" t="n">
        <v>0.04</v>
      </c>
      <c r="AA77" s="701">
        <f>U77*(1+V77+W77+X77+Y77+Z77)</f>
        <v>202853.25</v>
      </c>
      <c r="AC77" t="inlineStr">
        <is>
          <t>Ampol Retail</t>
        </is>
      </c>
      <c r="AD77" t="inlineStr">
        <is>
          <t>Data AU</t>
        </is>
      </c>
      <c r="AE77" t="inlineStr">
        <is>
          <t>Data AU</t>
        </is>
      </c>
      <c r="AF77" t="inlineStr">
        <is>
          <t>Squad</t>
        </is>
      </c>
      <c r="AG77" t="inlineStr">
        <is>
          <t>Vacant</t>
        </is>
      </c>
    </row>
    <row r="78" hidden="1" ht="18" customHeight="1" s="506">
      <c r="A78" s="259" t="inlineStr">
        <is>
          <t>V</t>
        </is>
      </c>
      <c r="B78" s="224" t="inlineStr">
        <is>
          <t>Vacant</t>
        </is>
      </c>
      <c r="C78" s="317" t="inlineStr">
        <is>
          <t>Quality Assurance</t>
        </is>
      </c>
      <c r="D78" s="318" t="inlineStr">
        <is>
          <t>Vacant</t>
        </is>
      </c>
      <c r="E78" s="224" t="inlineStr">
        <is>
          <t>Lead Quality Assurance</t>
        </is>
      </c>
      <c r="F78" s="224" t="inlineStr">
        <is>
          <t>Ampol Retail &amp; Z</t>
        </is>
      </c>
      <c r="G78" s="318" t="inlineStr">
        <is>
          <t>Ampol Retail</t>
        </is>
      </c>
      <c r="H78" s="224" t="inlineStr">
        <is>
          <t>Ampol Retail, Store Platforms</t>
        </is>
      </c>
      <c r="I78" s="224" t="inlineStr">
        <is>
          <t>Retail</t>
        </is>
      </c>
      <c r="J78" s="318" t="inlineStr">
        <is>
          <t>AMPOS</t>
        </is>
      </c>
      <c r="K78" s="224" t="inlineStr">
        <is>
          <t>AmPos</t>
        </is>
      </c>
      <c r="L78" s="318" t="n"/>
      <c r="M78" s="319" t="inlineStr">
        <is>
          <t>Australia</t>
        </is>
      </c>
      <c r="N78" s="320" t="inlineStr">
        <is>
          <t>CIA</t>
        </is>
      </c>
      <c r="O78" s="320" t="n">
        <v>1</v>
      </c>
      <c r="P78" s="320" t="n"/>
      <c r="Q78" s="320" t="inlineStr">
        <is>
          <t>v</t>
        </is>
      </c>
      <c r="R78" s="322" t="n"/>
      <c r="S78" s="322" t="n"/>
      <c r="T78" s="334" t="n">
        <v>129650</v>
      </c>
      <c r="U78" s="705" t="n">
        <v>129650</v>
      </c>
      <c r="V78" s="325" t="n">
        <v>0.1</v>
      </c>
      <c r="W78" s="702" t="n">
        <v>0.055</v>
      </c>
      <c r="X78" s="702" t="n">
        <v>0.12</v>
      </c>
      <c r="Y78" s="703" t="n"/>
      <c r="Z78" s="702" t="n">
        <v>0.04</v>
      </c>
      <c r="AA78" s="701">
        <f>U78*(1+V78+W78+X78+Y78+Z78)</f>
        <v>170489.75</v>
      </c>
      <c r="AC78" t="inlineStr">
        <is>
          <t>Ampol Retail</t>
        </is>
      </c>
      <c r="AD78" t="inlineStr">
        <is>
          <t>AmPOS</t>
        </is>
      </c>
      <c r="AE78" t="inlineStr">
        <is>
          <t>AmPOS</t>
        </is>
      </c>
      <c r="AF78" t="inlineStr">
        <is>
          <t>Strategic Program</t>
        </is>
      </c>
      <c r="AG78" t="inlineStr">
        <is>
          <t>Vacant</t>
        </is>
      </c>
    </row>
    <row r="79" hidden="1" ht="18" customHeight="1" s="506">
      <c r="A79" s="259" t="inlineStr">
        <is>
          <t>V</t>
        </is>
      </c>
      <c r="B79" s="224" t="inlineStr">
        <is>
          <t>Vacant</t>
        </is>
      </c>
      <c r="C79" s="317" t="inlineStr">
        <is>
          <t>Quality Assurance</t>
        </is>
      </c>
      <c r="D79" s="318" t="inlineStr">
        <is>
          <t>Vacant</t>
        </is>
      </c>
      <c r="E79" s="224" t="inlineStr">
        <is>
          <t>Lead Quality Assurance</t>
        </is>
      </c>
      <c r="F79" s="224" t="inlineStr">
        <is>
          <t>Ampol Retail &amp; Z</t>
        </is>
      </c>
      <c r="G79" s="318" t="inlineStr">
        <is>
          <t>Ampol Retail</t>
        </is>
      </c>
      <c r="H79" s="224" t="inlineStr">
        <is>
          <t>Ampol Retail, Store Platforms</t>
        </is>
      </c>
      <c r="I79" s="224" t="inlineStr">
        <is>
          <t>Retail</t>
        </is>
      </c>
      <c r="J79" s="318" t="inlineStr">
        <is>
          <t>AMPOS</t>
        </is>
      </c>
      <c r="K79" s="224" t="inlineStr">
        <is>
          <t>AmPos</t>
        </is>
      </c>
      <c r="L79" s="318" t="n"/>
      <c r="M79" s="319" t="inlineStr">
        <is>
          <t>Australia</t>
        </is>
      </c>
      <c r="N79" s="320" t="inlineStr">
        <is>
          <t>CIA</t>
        </is>
      </c>
      <c r="O79" s="320" t="n">
        <v>1</v>
      </c>
      <c r="P79" s="320" t="n"/>
      <c r="Q79" s="320" t="inlineStr">
        <is>
          <t>v</t>
        </is>
      </c>
      <c r="R79" s="322" t="n"/>
      <c r="S79" s="322" t="n"/>
      <c r="T79" s="334" t="n">
        <v>129650</v>
      </c>
      <c r="U79" s="705" t="n">
        <v>129650</v>
      </c>
      <c r="V79" s="325" t="n">
        <v>0.1</v>
      </c>
      <c r="W79" s="702" t="n">
        <v>0.055</v>
      </c>
      <c r="X79" s="702" t="n">
        <v>0.12</v>
      </c>
      <c r="Y79" s="703" t="n"/>
      <c r="Z79" s="702" t="n">
        <v>0.04</v>
      </c>
      <c r="AA79" s="701">
        <f>U79*(1+V79+W79+X79+Y79+Z79)</f>
        <v>170489.75</v>
      </c>
      <c r="AC79" t="inlineStr">
        <is>
          <t>Ampol Retail</t>
        </is>
      </c>
      <c r="AD79" t="inlineStr">
        <is>
          <t>AmPOS</t>
        </is>
      </c>
      <c r="AE79" t="inlineStr">
        <is>
          <t>AmPOS</t>
        </is>
      </c>
      <c r="AF79" t="inlineStr">
        <is>
          <t>Strategic Program</t>
        </is>
      </c>
      <c r="AG79" t="inlineStr">
        <is>
          <t>Vacant</t>
        </is>
      </c>
    </row>
    <row r="80" hidden="1" ht="18" customHeight="1" s="506">
      <c r="A80" s="259" t="inlineStr">
        <is>
          <t>V</t>
        </is>
      </c>
      <c r="B80" s="224" t="inlineStr">
        <is>
          <t>Vacant</t>
        </is>
      </c>
      <c r="C80" s="317" t="inlineStr">
        <is>
          <t>Quality Assurance</t>
        </is>
      </c>
      <c r="D80" s="318" t="inlineStr">
        <is>
          <t>Vacant</t>
        </is>
      </c>
      <c r="E80" s="224" t="inlineStr">
        <is>
          <t>Lead Quality Assurance</t>
        </is>
      </c>
      <c r="F80" s="224" t="inlineStr">
        <is>
          <t>Ampol Retail &amp; Z</t>
        </is>
      </c>
      <c r="G80" s="318" t="inlineStr">
        <is>
          <t>Ampol Retail</t>
        </is>
      </c>
      <c r="H80" s="224" t="inlineStr">
        <is>
          <t>Ampol Retail, Store Platforms</t>
        </is>
      </c>
      <c r="I80" s="224" t="inlineStr">
        <is>
          <t>Retail</t>
        </is>
      </c>
      <c r="J80" s="318" t="inlineStr">
        <is>
          <t>AMPOS</t>
        </is>
      </c>
      <c r="K80" s="224" t="inlineStr">
        <is>
          <t>AmPos</t>
        </is>
      </c>
      <c r="L80" s="318" t="n"/>
      <c r="M80" s="319" t="inlineStr">
        <is>
          <t>Australia</t>
        </is>
      </c>
      <c r="N80" s="320" t="inlineStr">
        <is>
          <t>CIA</t>
        </is>
      </c>
      <c r="O80" s="320" t="n">
        <v>1</v>
      </c>
      <c r="P80" s="320" t="n"/>
      <c r="Q80" s="320" t="inlineStr">
        <is>
          <t>v</t>
        </is>
      </c>
      <c r="R80" s="322" t="n"/>
      <c r="S80" s="322" t="n"/>
      <c r="T80" s="334" t="n">
        <v>129650</v>
      </c>
      <c r="U80" s="705" t="n">
        <v>129650</v>
      </c>
      <c r="V80" s="325" t="n">
        <v>0.1</v>
      </c>
      <c r="W80" s="702" t="n">
        <v>0.055</v>
      </c>
      <c r="X80" s="702" t="n">
        <v>0.12</v>
      </c>
      <c r="Y80" s="703" t="n"/>
      <c r="Z80" s="702" t="n">
        <v>0.04</v>
      </c>
      <c r="AA80" s="701">
        <f>U80*(1+V80+W80+X80+Y80+Z80)</f>
        <v>170489.75</v>
      </c>
      <c r="AC80" t="inlineStr">
        <is>
          <t>Ampol Retail</t>
        </is>
      </c>
      <c r="AD80" t="inlineStr">
        <is>
          <t>AmPOS</t>
        </is>
      </c>
      <c r="AE80" t="inlineStr">
        <is>
          <t>AmPOS</t>
        </is>
      </c>
      <c r="AF80" t="inlineStr">
        <is>
          <t>Strategic Program</t>
        </is>
      </c>
      <c r="AG80" t="inlineStr">
        <is>
          <t>Vacant</t>
        </is>
      </c>
    </row>
    <row r="81" hidden="1" ht="18" customHeight="1" s="506">
      <c r="A81" s="259" t="inlineStr">
        <is>
          <t>V</t>
        </is>
      </c>
      <c r="B81" s="224" t="inlineStr">
        <is>
          <t>Vacant</t>
        </is>
      </c>
      <c r="C81" s="317" t="inlineStr">
        <is>
          <t>Release &amp; Environments Manager</t>
        </is>
      </c>
      <c r="D81" s="318" t="inlineStr">
        <is>
          <t>Vacant</t>
        </is>
      </c>
      <c r="E81" s="224" t="inlineStr">
        <is>
          <t>Lead Quality Assurance</t>
        </is>
      </c>
      <c r="F81" s="224" t="inlineStr">
        <is>
          <t>Ampol Retail &amp; Z</t>
        </is>
      </c>
      <c r="G81" s="318" t="inlineStr">
        <is>
          <t>Ampol Retail</t>
        </is>
      </c>
      <c r="H81" s="224" t="inlineStr">
        <is>
          <t>Ampol Retail, Store Platforms</t>
        </is>
      </c>
      <c r="I81" s="224" t="inlineStr">
        <is>
          <t>Retail</t>
        </is>
      </c>
      <c r="J81" s="318" t="inlineStr">
        <is>
          <t>AMPOS</t>
        </is>
      </c>
      <c r="K81" s="224" t="inlineStr">
        <is>
          <t>AmPos</t>
        </is>
      </c>
      <c r="L81" s="318" t="n"/>
      <c r="M81" s="319" t="inlineStr">
        <is>
          <t>Australia</t>
        </is>
      </c>
      <c r="N81" s="320" t="inlineStr">
        <is>
          <t>CIB</t>
        </is>
      </c>
      <c r="O81" s="320" t="n">
        <v>1</v>
      </c>
      <c r="P81" s="320" t="n"/>
      <c r="Q81" s="320" t="inlineStr">
        <is>
          <t>v</t>
        </is>
      </c>
      <c r="R81" s="322" t="n"/>
      <c r="S81" s="322" t="n"/>
      <c r="T81" s="334" t="n">
        <v>151950</v>
      </c>
      <c r="U81" s="705" t="n">
        <v>151950</v>
      </c>
      <c r="V81" s="325" t="n">
        <v>0.12</v>
      </c>
      <c r="W81" s="702" t="n">
        <v>0.055</v>
      </c>
      <c r="X81" s="702" t="n">
        <v>0.12</v>
      </c>
      <c r="Y81" s="703" t="n"/>
      <c r="Z81" s="702" t="n">
        <v>0.04</v>
      </c>
      <c r="AA81" s="701">
        <f>U81*(1+V81+W81+X81+Y81+Z81)</f>
        <v>202853.25</v>
      </c>
      <c r="AC81" t="inlineStr">
        <is>
          <t>Ampol Retail</t>
        </is>
      </c>
      <c r="AD81" t="inlineStr">
        <is>
          <t>AmPOS</t>
        </is>
      </c>
      <c r="AE81" t="inlineStr">
        <is>
          <t>AmPOS</t>
        </is>
      </c>
      <c r="AF81" t="inlineStr">
        <is>
          <t>Strategic Program</t>
        </is>
      </c>
      <c r="AG81" t="inlineStr">
        <is>
          <t>Vacant</t>
        </is>
      </c>
    </row>
    <row r="82" hidden="1" ht="18" customHeight="1" s="506">
      <c r="A82" s="259" t="inlineStr">
        <is>
          <t>V</t>
        </is>
      </c>
      <c r="B82" s="224" t="inlineStr">
        <is>
          <t>Vacant</t>
        </is>
      </c>
      <c r="C82" s="317" t="inlineStr">
        <is>
          <t>Engineer Integration</t>
        </is>
      </c>
      <c r="D82" s="224" t="inlineStr">
        <is>
          <t>Vaishnavi Viswanathan</t>
        </is>
      </c>
      <c r="E82" s="224" t="inlineStr">
        <is>
          <t>Technology Manager, Store Platform</t>
        </is>
      </c>
      <c r="F82" s="224" t="inlineStr">
        <is>
          <t>Ampol Retail &amp; Z</t>
        </is>
      </c>
      <c r="G82" s="318" t="inlineStr">
        <is>
          <t>Ampol Retail</t>
        </is>
      </c>
      <c r="H82" s="224" t="inlineStr">
        <is>
          <t>Ampol Retail, Store Platforms</t>
        </is>
      </c>
      <c r="I82" s="224" t="inlineStr">
        <is>
          <t>Retail</t>
        </is>
      </c>
      <c r="J82" s="318" t="inlineStr">
        <is>
          <t>Store Operations</t>
        </is>
      </c>
      <c r="K82" s="224" t="inlineStr">
        <is>
          <t>POS, Payments</t>
        </is>
      </c>
      <c r="L82" s="318" t="n"/>
      <c r="M82" s="319" t="inlineStr">
        <is>
          <t>Australia</t>
        </is>
      </c>
      <c r="N82" s="320" t="inlineStr">
        <is>
          <t>CIB</t>
        </is>
      </c>
      <c r="O82" s="320" t="n">
        <v>1</v>
      </c>
      <c r="P82" s="320" t="n"/>
      <c r="Q82" s="320" t="inlineStr">
        <is>
          <t>V</t>
        </is>
      </c>
      <c r="R82" s="322" t="n"/>
      <c r="S82" s="322" t="n"/>
      <c r="T82" s="334" t="n">
        <v>151950</v>
      </c>
      <c r="U82" s="705" t="n">
        <v>151950</v>
      </c>
      <c r="V82" s="325" t="n">
        <v>0.12</v>
      </c>
      <c r="W82" s="702" t="n">
        <v>0.055</v>
      </c>
      <c r="X82" s="702" t="n">
        <v>0.12</v>
      </c>
      <c r="Y82" s="703" t="n"/>
      <c r="Z82" s="702" t="n">
        <v>0.04</v>
      </c>
      <c r="AA82" s="701">
        <f>U82*(1+V82+W82+X82+Y82+Z82)</f>
        <v>202853.25</v>
      </c>
      <c r="AC82" t="inlineStr">
        <is>
          <t>Ampol Retail</t>
        </is>
      </c>
      <c r="AD82" t="inlineStr">
        <is>
          <t>Store Operations</t>
        </is>
      </c>
      <c r="AE82" t="inlineStr">
        <is>
          <t>POS, Payments</t>
        </is>
      </c>
      <c r="AF82" t="inlineStr">
        <is>
          <t>Unmapped</t>
        </is>
      </c>
      <c r="AG82" t="inlineStr">
        <is>
          <t>Vacant</t>
        </is>
      </c>
    </row>
    <row r="83" hidden="1" ht="18" customHeight="1" s="506">
      <c r="A83" s="259" t="inlineStr">
        <is>
          <t>V</t>
        </is>
      </c>
      <c r="B83" s="224" t="inlineStr">
        <is>
          <t>Vacant</t>
        </is>
      </c>
      <c r="C83" s="317" t="inlineStr">
        <is>
          <t>Lead Quality Assurance</t>
        </is>
      </c>
      <c r="D83" s="224" t="inlineStr">
        <is>
          <t>Vaishnavi Viswanathan</t>
        </is>
      </c>
      <c r="E83" s="224" t="inlineStr">
        <is>
          <t>Technology Manager, Store Platform</t>
        </is>
      </c>
      <c r="F83" s="224" t="inlineStr">
        <is>
          <t>Ampol Retail &amp; Z</t>
        </is>
      </c>
      <c r="G83" s="318" t="inlineStr">
        <is>
          <t>Ampol Retail</t>
        </is>
      </c>
      <c r="H83" s="224" t="inlineStr">
        <is>
          <t>Ampol Retail, Store Platforms</t>
        </is>
      </c>
      <c r="I83" s="224" t="inlineStr">
        <is>
          <t>Retail</t>
        </is>
      </c>
      <c r="J83" s="318" t="inlineStr">
        <is>
          <t>Store Operations</t>
        </is>
      </c>
      <c r="K83" s="224" t="inlineStr">
        <is>
          <t>POS</t>
        </is>
      </c>
      <c r="L83" s="318" t="n"/>
      <c r="M83" s="319" t="inlineStr">
        <is>
          <t>Australia</t>
        </is>
      </c>
      <c r="N83" s="320" t="inlineStr">
        <is>
          <t>CIC</t>
        </is>
      </c>
      <c r="O83" s="320" t="n">
        <v>1</v>
      </c>
      <c r="P83" s="320" t="n"/>
      <c r="Q83" s="320" t="inlineStr">
        <is>
          <t>v</t>
        </is>
      </c>
      <c r="R83" s="322" t="n"/>
      <c r="S83" s="322" t="n"/>
      <c r="T83" s="334" t="n">
        <v>173550</v>
      </c>
      <c r="U83" s="705" t="n">
        <v>173550</v>
      </c>
      <c r="V83" s="325" t="n">
        <v>0.12</v>
      </c>
      <c r="W83" s="702" t="n">
        <v>0.055</v>
      </c>
      <c r="X83" s="702" t="n">
        <v>0.12</v>
      </c>
      <c r="Y83" s="703" t="n"/>
      <c r="Z83" s="702" t="n">
        <v>0.04</v>
      </c>
      <c r="AA83" s="701">
        <f>U83*(1+V83+W83+X83+Y83+Z83)</f>
        <v>231689.25</v>
      </c>
      <c r="AC83" t="inlineStr">
        <is>
          <t>Ampol Retail</t>
        </is>
      </c>
      <c r="AD83" t="inlineStr">
        <is>
          <t>Store Operations</t>
        </is>
      </c>
      <c r="AE83" t="inlineStr">
        <is>
          <t>POS</t>
        </is>
      </c>
      <c r="AF83" t="inlineStr">
        <is>
          <t>Squad</t>
        </is>
      </c>
      <c r="AG83" t="inlineStr">
        <is>
          <t>Vacant</t>
        </is>
      </c>
    </row>
    <row r="84" hidden="1" ht="18" customHeight="1" s="506">
      <c r="A84" s="259" t="inlineStr">
        <is>
          <t>V</t>
        </is>
      </c>
      <c r="B84" s="224" t="inlineStr">
        <is>
          <t>Vacant</t>
        </is>
      </c>
      <c r="C84" s="317" t="inlineStr">
        <is>
          <t>Support Analyst -Retail</t>
        </is>
      </c>
      <c r="D84" s="224" t="inlineStr">
        <is>
          <t>Vaishnavi Viswanathan</t>
        </is>
      </c>
      <c r="E84" s="224" t="inlineStr">
        <is>
          <t>Technology Manager, Store Platform</t>
        </is>
      </c>
      <c r="F84" s="224" t="inlineStr">
        <is>
          <t>Ampol Retail &amp; Z</t>
        </is>
      </c>
      <c r="G84" s="318" t="inlineStr">
        <is>
          <t>Ampol Retail</t>
        </is>
      </c>
      <c r="H84" s="224" t="inlineStr">
        <is>
          <t>Ampol Retail, Store Platforms</t>
        </is>
      </c>
      <c r="I84" s="224" t="inlineStr">
        <is>
          <t>Retail</t>
        </is>
      </c>
      <c r="J84" s="318" t="inlineStr">
        <is>
          <t>Store Operations</t>
        </is>
      </c>
      <c r="K84" s="224" t="inlineStr">
        <is>
          <t>Retail Operations</t>
        </is>
      </c>
      <c r="L84" s="318" t="n"/>
      <c r="M84" s="319" t="inlineStr">
        <is>
          <t>Australia</t>
        </is>
      </c>
      <c r="N84" s="320" t="inlineStr">
        <is>
          <t>CIB</t>
        </is>
      </c>
      <c r="O84" s="320" t="n">
        <v>1</v>
      </c>
      <c r="P84" s="320" t="n"/>
      <c r="Q84" s="320" t="inlineStr">
        <is>
          <t>v</t>
        </is>
      </c>
      <c r="R84" s="322" t="n"/>
      <c r="S84" s="322" t="n"/>
      <c r="T84" s="334" t="n">
        <v>168160</v>
      </c>
      <c r="U84" s="705" t="n">
        <v>168160</v>
      </c>
      <c r="V84" s="325" t="n">
        <v>0.12</v>
      </c>
      <c r="W84" s="702" t="n">
        <v>0.055</v>
      </c>
      <c r="X84" s="702" t="n">
        <v>0.12</v>
      </c>
      <c r="Y84" s="703" t="n"/>
      <c r="Z84" s="702" t="n">
        <v>0.04</v>
      </c>
      <c r="AA84" s="701">
        <f>U84*(1+V84+W84+X84+Y84+Z84)</f>
        <v>224493.6</v>
      </c>
      <c r="AC84" t="inlineStr">
        <is>
          <t>Ampol Retail</t>
        </is>
      </c>
      <c r="AD84" t="inlineStr">
        <is>
          <t>Store Operations</t>
        </is>
      </c>
      <c r="AE84" t="inlineStr">
        <is>
          <t>Retail Operations</t>
        </is>
      </c>
      <c r="AF84" t="inlineStr">
        <is>
          <t>Unmapped</t>
        </is>
      </c>
      <c r="AG84" t="inlineStr">
        <is>
          <t>Vacant</t>
        </is>
      </c>
    </row>
    <row r="85" hidden="1" ht="18" customHeight="1" s="506">
      <c r="A85" s="259" t="inlineStr">
        <is>
          <t>V</t>
        </is>
      </c>
      <c r="B85" s="224" t="inlineStr">
        <is>
          <t>Vacant</t>
        </is>
      </c>
      <c r="C85" s="317" t="inlineStr">
        <is>
          <t>Systems Analyst</t>
        </is>
      </c>
      <c r="D85" s="224" t="inlineStr">
        <is>
          <t>Vaishnavi Viswanathan</t>
        </is>
      </c>
      <c r="E85" s="224" t="inlineStr">
        <is>
          <t>Technology Manager, Store Platform</t>
        </is>
      </c>
      <c r="F85" s="224" t="inlineStr">
        <is>
          <t>Ampol Retail &amp; Z</t>
        </is>
      </c>
      <c r="G85" s="318" t="inlineStr">
        <is>
          <t>Ampol Retail</t>
        </is>
      </c>
      <c r="H85" s="224" t="inlineStr">
        <is>
          <t>Ampol Retail, Store Platforms</t>
        </is>
      </c>
      <c r="I85" s="224" t="inlineStr">
        <is>
          <t>Retail</t>
        </is>
      </c>
      <c r="J85" s="318" t="inlineStr">
        <is>
          <t>Store Operations</t>
        </is>
      </c>
      <c r="K85" s="224" t="inlineStr">
        <is>
          <t>Payments</t>
        </is>
      </c>
      <c r="L85" s="318" t="n"/>
      <c r="M85" s="319" t="inlineStr">
        <is>
          <t>Australia</t>
        </is>
      </c>
      <c r="N85" s="320" t="inlineStr">
        <is>
          <t>CIA</t>
        </is>
      </c>
      <c r="O85" s="320" t="n">
        <v>1</v>
      </c>
      <c r="P85" s="320" t="n"/>
      <c r="Q85" s="343" t="inlineStr">
        <is>
          <t>v</t>
        </is>
      </c>
      <c r="R85" s="322" t="n"/>
      <c r="S85" s="322" t="n"/>
      <c r="T85" s="334" t="n">
        <v>129659</v>
      </c>
      <c r="U85" s="705" t="n">
        <v>129659</v>
      </c>
      <c r="V85" s="325" t="n">
        <v>0.1</v>
      </c>
      <c r="W85" s="702" t="n">
        <v>0.055</v>
      </c>
      <c r="X85" s="702" t="n">
        <v>0.12</v>
      </c>
      <c r="Y85" s="703" t="n"/>
      <c r="Z85" s="702" t="n">
        <v>0.04</v>
      </c>
      <c r="AA85" s="701">
        <f>U85*(1+V85+W85+X85+Y85+Z85)</f>
        <v>170501.585</v>
      </c>
      <c r="AC85" t="inlineStr">
        <is>
          <t>Ampol Retail</t>
        </is>
      </c>
      <c r="AD85" t="inlineStr">
        <is>
          <t>Store Operations</t>
        </is>
      </c>
      <c r="AE85" t="inlineStr">
        <is>
          <t>Payments</t>
        </is>
      </c>
      <c r="AF85" t="inlineStr">
        <is>
          <t>Squad</t>
        </is>
      </c>
      <c r="AG85" t="inlineStr">
        <is>
          <t>Vacant</t>
        </is>
      </c>
    </row>
    <row r="86" hidden="1" ht="18" customHeight="1" s="506">
      <c r="A86" s="259" t="inlineStr">
        <is>
          <t>V</t>
        </is>
      </c>
      <c r="B86" s="224" t="inlineStr">
        <is>
          <t>Vacant</t>
        </is>
      </c>
      <c r="C86" s="317" t="inlineStr">
        <is>
          <t>Systems Analyst</t>
        </is>
      </c>
      <c r="D86" s="224" t="inlineStr">
        <is>
          <t>Vaishnavi Viswanathan</t>
        </is>
      </c>
      <c r="E86" s="224" t="inlineStr">
        <is>
          <t>Technology Manager, Store Platform</t>
        </is>
      </c>
      <c r="F86" s="224" t="inlineStr">
        <is>
          <t>Ampol Retail &amp; Z</t>
        </is>
      </c>
      <c r="G86" s="318" t="inlineStr">
        <is>
          <t>Ampol Retail</t>
        </is>
      </c>
      <c r="H86" s="224" t="inlineStr">
        <is>
          <t>Ampol Retail, Store Platforms</t>
        </is>
      </c>
      <c r="I86" s="224" t="inlineStr">
        <is>
          <t>Retail</t>
        </is>
      </c>
      <c r="J86" s="318" t="inlineStr">
        <is>
          <t>Store Operations</t>
        </is>
      </c>
      <c r="K86" s="224" t="inlineStr">
        <is>
          <t>POS</t>
        </is>
      </c>
      <c r="L86" s="318" t="n"/>
      <c r="M86" s="319" t="inlineStr">
        <is>
          <t>Australia</t>
        </is>
      </c>
      <c r="N86" s="320" t="inlineStr">
        <is>
          <t>CIA</t>
        </is>
      </c>
      <c r="O86" s="320" t="n">
        <v>1</v>
      </c>
      <c r="P86" s="320" t="n"/>
      <c r="Q86" s="343" t="inlineStr">
        <is>
          <t>v</t>
        </is>
      </c>
      <c r="R86" s="322" t="n"/>
      <c r="S86" s="322" t="n"/>
      <c r="T86" s="334" t="n">
        <v>129659</v>
      </c>
      <c r="U86" s="705" t="n">
        <v>129659</v>
      </c>
      <c r="V86" s="325" t="n">
        <v>0.1</v>
      </c>
      <c r="W86" s="702" t="n">
        <v>0.055</v>
      </c>
      <c r="X86" s="702" t="n">
        <v>0.12</v>
      </c>
      <c r="Y86" s="703" t="n"/>
      <c r="Z86" s="702" t="n">
        <v>0.04</v>
      </c>
      <c r="AA86" s="701">
        <f>U86*(1+V86+W86+X86+Y86+Z86)</f>
        <v>170501.585</v>
      </c>
      <c r="AC86" t="inlineStr">
        <is>
          <t>Ampol Retail</t>
        </is>
      </c>
      <c r="AD86" t="inlineStr">
        <is>
          <t>Store Operations</t>
        </is>
      </c>
      <c r="AE86" t="inlineStr">
        <is>
          <t>POS</t>
        </is>
      </c>
      <c r="AF86" t="inlineStr">
        <is>
          <t>Squad</t>
        </is>
      </c>
      <c r="AG86" t="inlineStr">
        <is>
          <t>Vacant</t>
        </is>
      </c>
    </row>
    <row r="87" hidden="1" ht="18" customHeight="1" s="506">
      <c r="A87" s="259" t="inlineStr">
        <is>
          <t>V</t>
        </is>
      </c>
      <c r="B87" s="224" t="inlineStr">
        <is>
          <t>Vacant</t>
        </is>
      </c>
      <c r="C87" s="317" t="inlineStr">
        <is>
          <t>Business Analyst</t>
        </is>
      </c>
      <c r="D87" s="224" t="inlineStr">
        <is>
          <t>Vanessa Allen</t>
        </is>
      </c>
      <c r="E87" s="224" t="inlineStr">
        <is>
          <t>Delivery Manager, Ampol Retail</t>
        </is>
      </c>
      <c r="F87" s="224" t="inlineStr">
        <is>
          <t>Ampol Retail &amp; Z</t>
        </is>
      </c>
      <c r="G87" s="318" t="inlineStr">
        <is>
          <t>Ampol Retail</t>
        </is>
      </c>
      <c r="H87" s="224" t="inlineStr">
        <is>
          <t>Ampol Retail, Delivery</t>
        </is>
      </c>
      <c r="I87" s="224" t="inlineStr">
        <is>
          <t>Retail</t>
        </is>
      </c>
      <c r="J87" s="318" t="inlineStr">
        <is>
          <t>Merch / Supply Chain</t>
        </is>
      </c>
      <c r="K87" s="224" t="inlineStr">
        <is>
          <t>Merchandising &amp; Supply Chain</t>
        </is>
      </c>
      <c r="L87" s="318" t="n"/>
      <c r="M87" s="319" t="inlineStr">
        <is>
          <t>Australia</t>
        </is>
      </c>
      <c r="N87" s="320" t="inlineStr">
        <is>
          <t>CIB</t>
        </is>
      </c>
      <c r="O87" s="320" t="n">
        <v>1</v>
      </c>
      <c r="P87" s="320" t="n"/>
      <c r="Q87" s="343" t="inlineStr">
        <is>
          <t>V</t>
        </is>
      </c>
      <c r="R87" s="322" t="n"/>
      <c r="S87" s="322" t="n"/>
      <c r="T87" s="334" t="n">
        <v>151950</v>
      </c>
      <c r="U87" s="705" t="n">
        <v>151950</v>
      </c>
      <c r="V87" s="325" t="n">
        <v>0.12</v>
      </c>
      <c r="W87" s="702" t="n">
        <v>0.055</v>
      </c>
      <c r="X87" s="702" t="n">
        <v>0.12</v>
      </c>
      <c r="Y87" s="703" t="n"/>
      <c r="Z87" s="702" t="n">
        <v>0.04</v>
      </c>
      <c r="AA87" s="701">
        <f>U87*(1+V87+W87+X87+Y87+Z87)</f>
        <v>202853.25</v>
      </c>
      <c r="AC87" t="inlineStr">
        <is>
          <t>COE</t>
        </is>
      </c>
      <c r="AD87" t="inlineStr">
        <is>
          <t>COE - Strategy Architecture</t>
        </is>
      </c>
      <c r="AE87" t="inlineStr">
        <is>
          <t>COE - Strategy Architecture</t>
        </is>
      </c>
      <c r="AF87" t="inlineStr">
        <is>
          <t>COE</t>
        </is>
      </c>
      <c r="AG87" t="inlineStr">
        <is>
          <t>Vacant</t>
        </is>
      </c>
    </row>
    <row r="88" hidden="1" ht="18" customHeight="1" s="506">
      <c r="A88" s="259" t="inlineStr">
        <is>
          <t>V</t>
        </is>
      </c>
      <c r="B88" s="224" t="inlineStr">
        <is>
          <t>Vacant</t>
        </is>
      </c>
      <c r="C88" s="317" t="inlineStr">
        <is>
          <t>Business Analyst</t>
        </is>
      </c>
      <c r="D88" s="224" t="inlineStr">
        <is>
          <t>Vanessa Allen</t>
        </is>
      </c>
      <c r="E88" s="224" t="inlineStr">
        <is>
          <t>Delivery Manager, Ampol Retail</t>
        </is>
      </c>
      <c r="F88" s="224" t="inlineStr">
        <is>
          <t>Ampol Retail &amp; Z</t>
        </is>
      </c>
      <c r="G88" s="318" t="inlineStr">
        <is>
          <t>Ampol Retail</t>
        </is>
      </c>
      <c r="H88" s="224" t="inlineStr">
        <is>
          <t>Ampol Retail, Delivery</t>
        </is>
      </c>
      <c r="I88" s="224" t="inlineStr">
        <is>
          <t>Retail</t>
        </is>
      </c>
      <c r="J88" s="318" t="inlineStr">
        <is>
          <t>Network/QSR</t>
        </is>
      </c>
      <c r="K88" s="224" t="inlineStr">
        <is>
          <t>Network &amp; QSR</t>
        </is>
      </c>
      <c r="L88" s="318" t="n"/>
      <c r="M88" s="319" t="inlineStr">
        <is>
          <t>Australia</t>
        </is>
      </c>
      <c r="N88" s="320" t="inlineStr">
        <is>
          <t>CIB</t>
        </is>
      </c>
      <c r="O88" s="320" t="n">
        <v>1</v>
      </c>
      <c r="P88" s="320" t="n"/>
      <c r="Q88" s="343" t="inlineStr">
        <is>
          <t>V</t>
        </is>
      </c>
      <c r="R88" s="322" t="n"/>
      <c r="S88" s="322" t="n"/>
      <c r="T88" s="334" t="n">
        <v>151950</v>
      </c>
      <c r="U88" s="705" t="n">
        <v>151950</v>
      </c>
      <c r="V88" s="325" t="n">
        <v>0.12</v>
      </c>
      <c r="W88" s="702" t="n">
        <v>0.055</v>
      </c>
      <c r="X88" s="702" t="n">
        <v>0.12</v>
      </c>
      <c r="Y88" s="703" t="n"/>
      <c r="Z88" s="702" t="n">
        <v>0.04</v>
      </c>
      <c r="AA88" s="701">
        <f>U88*(1+V88+W88+X88+Y88+Z88)</f>
        <v>202853.25</v>
      </c>
      <c r="AC88" t="inlineStr">
        <is>
          <t>COE</t>
        </is>
      </c>
      <c r="AD88" t="inlineStr">
        <is>
          <t>COE - Strategy Architecture</t>
        </is>
      </c>
      <c r="AE88" t="inlineStr">
        <is>
          <t>COE - Strategy Architecture</t>
        </is>
      </c>
      <c r="AF88" t="inlineStr">
        <is>
          <t>COE</t>
        </is>
      </c>
      <c r="AG88" t="inlineStr">
        <is>
          <t>Vacant</t>
        </is>
      </c>
    </row>
    <row r="89" hidden="1" ht="18" customHeight="1" s="506">
      <c r="A89" s="259" t="inlineStr">
        <is>
          <t>V</t>
        </is>
      </c>
      <c r="B89" s="224" t="inlineStr">
        <is>
          <t>Vacant</t>
        </is>
      </c>
      <c r="C89" s="317" t="inlineStr">
        <is>
          <t>Business Analyst</t>
        </is>
      </c>
      <c r="D89" s="224" t="inlineStr">
        <is>
          <t>Vanessa Allen</t>
        </is>
      </c>
      <c r="E89" s="224" t="inlineStr">
        <is>
          <t>Delivery Manager, Ampol Retail</t>
        </is>
      </c>
      <c r="F89" s="224" t="inlineStr">
        <is>
          <t>Ampol Retail &amp; Z</t>
        </is>
      </c>
      <c r="G89" s="318" t="inlineStr">
        <is>
          <t>Ampol Retail</t>
        </is>
      </c>
      <c r="H89" s="224" t="inlineStr">
        <is>
          <t>Ampol Retail, Delivery</t>
        </is>
      </c>
      <c r="I89" s="224" t="inlineStr">
        <is>
          <t>Retail</t>
        </is>
      </c>
      <c r="J89" s="318" t="inlineStr">
        <is>
          <t>Store Operations</t>
        </is>
      </c>
      <c r="K89" s="224" t="inlineStr">
        <is>
          <t>POS</t>
        </is>
      </c>
      <c r="L89" s="318" t="n"/>
      <c r="M89" s="319" t="inlineStr">
        <is>
          <t>Australia</t>
        </is>
      </c>
      <c r="N89" s="320" t="inlineStr">
        <is>
          <t>CIB</t>
        </is>
      </c>
      <c r="O89" s="320" t="n">
        <v>1</v>
      </c>
      <c r="P89" s="320" t="n"/>
      <c r="Q89" s="343" t="inlineStr">
        <is>
          <t>V</t>
        </is>
      </c>
      <c r="R89" s="322" t="n"/>
      <c r="S89" s="322" t="n"/>
      <c r="T89" s="334" t="n">
        <v>151950</v>
      </c>
      <c r="U89" s="705" t="n">
        <v>151950</v>
      </c>
      <c r="V89" s="325" t="n">
        <v>0.12</v>
      </c>
      <c r="W89" s="702" t="n">
        <v>0.055</v>
      </c>
      <c r="X89" s="702" t="n">
        <v>0.12</v>
      </c>
      <c r="Y89" s="703" t="n"/>
      <c r="Z89" s="702" t="n">
        <v>0.04</v>
      </c>
      <c r="AA89" s="701">
        <f>U89*(1+V89+W89+X89+Y89+Z89)</f>
        <v>202853.25</v>
      </c>
      <c r="AC89" t="inlineStr">
        <is>
          <t>COE</t>
        </is>
      </c>
      <c r="AD89" t="inlineStr">
        <is>
          <t>COE - Strategy Architecture</t>
        </is>
      </c>
      <c r="AE89" t="inlineStr">
        <is>
          <t>COE - Strategy Architecture</t>
        </is>
      </c>
      <c r="AF89" t="inlineStr">
        <is>
          <t>COE</t>
        </is>
      </c>
      <c r="AG89" t="inlineStr">
        <is>
          <t>Vacant</t>
        </is>
      </c>
    </row>
    <row r="90" hidden="1" ht="18" customHeight="1" s="506">
      <c r="A90" s="259" t="inlineStr">
        <is>
          <t>V</t>
        </is>
      </c>
      <c r="B90" s="224" t="inlineStr">
        <is>
          <t>Vacant</t>
        </is>
      </c>
      <c r="C90" s="317" t="inlineStr">
        <is>
          <t>Business Analyst</t>
        </is>
      </c>
      <c r="D90" s="224" t="inlineStr">
        <is>
          <t>Vanessa Allen</t>
        </is>
      </c>
      <c r="E90" s="224" t="inlineStr">
        <is>
          <t>Delivery Manager, Ampol Retail</t>
        </is>
      </c>
      <c r="F90" s="224" t="inlineStr">
        <is>
          <t>Ampol Retail &amp; Z</t>
        </is>
      </c>
      <c r="G90" s="318" t="inlineStr">
        <is>
          <t>Ampol Retail</t>
        </is>
      </c>
      <c r="H90" s="224" t="inlineStr">
        <is>
          <t>Ampol Retail, Delivery</t>
        </is>
      </c>
      <c r="I90" s="224" t="inlineStr">
        <is>
          <t>Retail</t>
        </is>
      </c>
      <c r="J90" s="318" t="inlineStr">
        <is>
          <t>Pricing / WFM</t>
        </is>
      </c>
      <c r="K90" s="224" t="inlineStr">
        <is>
          <t>Pricing &amp; WFM</t>
        </is>
      </c>
      <c r="L90" s="318" t="n"/>
      <c r="M90" s="319" t="inlineStr">
        <is>
          <t>Australia</t>
        </is>
      </c>
      <c r="N90" s="320" t="inlineStr">
        <is>
          <t>CIB</t>
        </is>
      </c>
      <c r="O90" s="320" t="n">
        <v>1</v>
      </c>
      <c r="P90" s="320" t="n"/>
      <c r="Q90" s="343" t="inlineStr">
        <is>
          <t>V</t>
        </is>
      </c>
      <c r="R90" s="322" t="n"/>
      <c r="S90" s="322" t="n"/>
      <c r="T90" s="334" t="n">
        <v>151950</v>
      </c>
      <c r="U90" s="705" t="n">
        <v>151950</v>
      </c>
      <c r="V90" s="325" t="n">
        <v>0.12</v>
      </c>
      <c r="W90" s="702" t="n">
        <v>0.055</v>
      </c>
      <c r="X90" s="702" t="n">
        <v>0.12</v>
      </c>
      <c r="Y90" s="703" t="n"/>
      <c r="Z90" s="702" t="n">
        <v>0.04</v>
      </c>
      <c r="AA90" s="701">
        <f>U90*(1+V90+W90+X90+Y90+Z90)</f>
        <v>202853.25</v>
      </c>
      <c r="AC90" t="inlineStr">
        <is>
          <t>COE</t>
        </is>
      </c>
      <c r="AD90" t="inlineStr">
        <is>
          <t>COE - Strategy Architecture</t>
        </is>
      </c>
      <c r="AE90" t="inlineStr">
        <is>
          <t>COE - Strategy Architecture</t>
        </is>
      </c>
      <c r="AF90" t="inlineStr">
        <is>
          <t>COE</t>
        </is>
      </c>
      <c r="AG90" t="inlineStr">
        <is>
          <t>Vacant</t>
        </is>
      </c>
    </row>
    <row r="91" hidden="1" ht="18" customHeight="1" s="506">
      <c r="A91" s="259" t="inlineStr">
        <is>
          <t>V</t>
        </is>
      </c>
      <c r="B91" s="224" t="inlineStr">
        <is>
          <t>Vacant</t>
        </is>
      </c>
      <c r="C91" s="317" t="inlineStr">
        <is>
          <t>Delivery Lead</t>
        </is>
      </c>
      <c r="D91" s="224" t="inlineStr">
        <is>
          <t>Vanessa Allen</t>
        </is>
      </c>
      <c r="E91" s="224" t="inlineStr">
        <is>
          <t>Delivery Manager, Ampol Retail</t>
        </is>
      </c>
      <c r="F91" s="224" t="inlineStr">
        <is>
          <t>Ampol Retail &amp; Z</t>
        </is>
      </c>
      <c r="G91" s="318" t="inlineStr">
        <is>
          <t>Ampol Retail</t>
        </is>
      </c>
      <c r="H91" s="224" t="inlineStr">
        <is>
          <t>Ampol Retail, Delivery</t>
        </is>
      </c>
      <c r="I91" s="224" t="inlineStr">
        <is>
          <t>Retail</t>
        </is>
      </c>
      <c r="J91" s="318" t="inlineStr">
        <is>
          <t>Pricing / WFM</t>
        </is>
      </c>
      <c r="K91" s="224" t="inlineStr">
        <is>
          <t>Pricing &amp; WFM</t>
        </is>
      </c>
      <c r="L91" s="318" t="n"/>
      <c r="M91" s="319" t="inlineStr">
        <is>
          <t>Australia</t>
        </is>
      </c>
      <c r="N91" s="320" t="inlineStr">
        <is>
          <t>CIC</t>
        </is>
      </c>
      <c r="O91" s="320" t="n">
        <v>1</v>
      </c>
      <c r="P91" s="320" t="n"/>
      <c r="Q91" s="343" t="inlineStr">
        <is>
          <t>V</t>
        </is>
      </c>
      <c r="R91" s="322" t="n"/>
      <c r="S91" s="322" t="n"/>
      <c r="T91" s="334" t="n">
        <v>173550</v>
      </c>
      <c r="U91" s="705" t="n">
        <v>173550</v>
      </c>
      <c r="V91" s="325" t="n">
        <v>0.12</v>
      </c>
      <c r="W91" s="702" t="n">
        <v>0.055</v>
      </c>
      <c r="X91" s="702" t="n">
        <v>0.12</v>
      </c>
      <c r="Y91" s="703" t="n"/>
      <c r="Z91" s="702" t="n">
        <v>0.04</v>
      </c>
      <c r="AA91" s="701">
        <f>U91*(1+V91+W91+X91+Y91+Z91)</f>
        <v>231689.25</v>
      </c>
      <c r="AC91" t="inlineStr">
        <is>
          <t>Ampol Retail</t>
        </is>
      </c>
      <c r="AD91" t="inlineStr">
        <is>
          <t>Above Store</t>
        </is>
      </c>
      <c r="AE91" t="inlineStr">
        <is>
          <t>Above Store</t>
        </is>
      </c>
      <c r="AF91" t="inlineStr">
        <is>
          <t>Squad</t>
        </is>
      </c>
      <c r="AG91" t="inlineStr">
        <is>
          <t>Vacant</t>
        </is>
      </c>
    </row>
    <row r="92" hidden="1" ht="18" customFormat="1" customHeight="1" s="342">
      <c r="A92" s="259" t="inlineStr">
        <is>
          <t>V</t>
        </is>
      </c>
      <c r="B92" s="224" t="inlineStr">
        <is>
          <t>Vacant</t>
        </is>
      </c>
      <c r="C92" s="317" t="inlineStr">
        <is>
          <t>Engineer - Integration</t>
        </is>
      </c>
      <c r="D92" s="224" t="inlineStr">
        <is>
          <t>Vedran Jukic</t>
        </is>
      </c>
      <c r="E92" s="224" t="inlineStr">
        <is>
          <t>Technology Manager, Retail</t>
        </is>
      </c>
      <c r="F92" s="224" t="inlineStr">
        <is>
          <t>Ampol Retail &amp; Z</t>
        </is>
      </c>
      <c r="G92" s="318" t="inlineStr">
        <is>
          <t>Ampol Retail</t>
        </is>
      </c>
      <c r="H92" s="224" t="inlineStr">
        <is>
          <t>Ampol Retail, Technology</t>
        </is>
      </c>
      <c r="I92" s="224" t="inlineStr">
        <is>
          <t>Retail</t>
        </is>
      </c>
      <c r="J92" s="318" t="inlineStr">
        <is>
          <t>Network/QSR</t>
        </is>
      </c>
      <c r="K92" s="224" t="inlineStr">
        <is>
          <t>Network &amp; QSR</t>
        </is>
      </c>
      <c r="L92" s="318" t="n"/>
      <c r="M92" s="319" t="inlineStr">
        <is>
          <t>Australia</t>
        </is>
      </c>
      <c r="N92" s="320" t="inlineStr">
        <is>
          <t>CIB</t>
        </is>
      </c>
      <c r="O92" s="320" t="n">
        <v>1</v>
      </c>
      <c r="P92" s="320" t="n"/>
      <c r="Q92" s="343" t="inlineStr">
        <is>
          <t>V</t>
        </is>
      </c>
      <c r="R92" s="322" t="n"/>
      <c r="S92" s="322" t="n"/>
      <c r="T92" s="334" t="n">
        <v>151950</v>
      </c>
      <c r="U92" s="705" t="n">
        <v>151950</v>
      </c>
      <c r="V92" s="325" t="n">
        <v>0.12</v>
      </c>
      <c r="W92" s="702" t="n">
        <v>0.055</v>
      </c>
      <c r="X92" s="702" t="n">
        <v>0.12</v>
      </c>
      <c r="Y92" s="703" t="n"/>
      <c r="Z92" s="702" t="n">
        <v>0.04</v>
      </c>
      <c r="AA92" s="701">
        <f>U92*(1+V92+W92+X92+Y92+Z92)</f>
        <v>202853.25</v>
      </c>
      <c r="AB92" s="328" t="n"/>
      <c r="AC92" s="328" t="inlineStr">
        <is>
          <t>Ampol Retail</t>
        </is>
      </c>
      <c r="AD92" t="inlineStr">
        <is>
          <t>Network / QSR</t>
        </is>
      </c>
      <c r="AE92" t="inlineStr">
        <is>
          <t>Network / QSR</t>
        </is>
      </c>
      <c r="AF92" t="inlineStr">
        <is>
          <t>Squad</t>
        </is>
      </c>
      <c r="AG92" t="inlineStr">
        <is>
          <t>Vacant</t>
        </is>
      </c>
    </row>
    <row r="93" hidden="1" ht="18" customHeight="1" s="506">
      <c r="A93" s="259" t="inlineStr">
        <is>
          <t>V</t>
        </is>
      </c>
      <c r="B93" s="224" t="inlineStr">
        <is>
          <t>Vacant</t>
        </is>
      </c>
      <c r="C93" s="317" t="inlineStr">
        <is>
          <t>Systems Analyst</t>
        </is>
      </c>
      <c r="D93" s="224" t="inlineStr">
        <is>
          <t>Vedran Jukic</t>
        </is>
      </c>
      <c r="E93" s="224" t="inlineStr">
        <is>
          <t>Technology Manager, Retail</t>
        </is>
      </c>
      <c r="F93" s="224" t="inlineStr">
        <is>
          <t>Ampol Retail &amp; Z</t>
        </is>
      </c>
      <c r="G93" s="318" t="inlineStr">
        <is>
          <t>Ampol Retail</t>
        </is>
      </c>
      <c r="H93" s="224" t="inlineStr">
        <is>
          <t>Ampol Retail, Technology</t>
        </is>
      </c>
      <c r="I93" s="224" t="inlineStr">
        <is>
          <t>Retail</t>
        </is>
      </c>
      <c r="J93" s="318" t="inlineStr">
        <is>
          <t>Network/QSR</t>
        </is>
      </c>
      <c r="K93" s="224" t="inlineStr">
        <is>
          <t>Network &amp; QSR</t>
        </is>
      </c>
      <c r="L93" s="318" t="n"/>
      <c r="M93" s="319" t="inlineStr">
        <is>
          <t>Australia</t>
        </is>
      </c>
      <c r="N93" s="320" t="inlineStr">
        <is>
          <t>CIA</t>
        </is>
      </c>
      <c r="O93" s="320" t="n">
        <v>1</v>
      </c>
      <c r="P93" s="320" t="n"/>
      <c r="Q93" s="343" t="inlineStr">
        <is>
          <t>v</t>
        </is>
      </c>
      <c r="R93" s="322" t="n"/>
      <c r="S93" s="322" t="n"/>
      <c r="T93" s="334" t="n">
        <v>129659</v>
      </c>
      <c r="U93" s="705" t="n">
        <v>129659</v>
      </c>
      <c r="V93" s="325" t="n">
        <v>0.1</v>
      </c>
      <c r="W93" s="702" t="n">
        <v>0.055</v>
      </c>
      <c r="X93" s="702" t="n">
        <v>0.12</v>
      </c>
      <c r="Y93" s="703" t="n"/>
      <c r="Z93" s="702" t="n">
        <v>0.04</v>
      </c>
      <c r="AA93" s="701">
        <f>U93*(1+V93+W93+X93+Y93+Z93)</f>
        <v>170501.585</v>
      </c>
      <c r="AC93" t="inlineStr">
        <is>
          <t>Ampol Retail</t>
        </is>
      </c>
      <c r="AD93" t="inlineStr">
        <is>
          <t>Network / QSR</t>
        </is>
      </c>
      <c r="AE93" t="inlineStr">
        <is>
          <t>Network / QSR</t>
        </is>
      </c>
      <c r="AF93" t="inlineStr">
        <is>
          <t>Squad</t>
        </is>
      </c>
      <c r="AG93" t="inlineStr">
        <is>
          <t>Vacant</t>
        </is>
      </c>
    </row>
    <row r="94" hidden="1" ht="18" customFormat="1" customHeight="1" s="342">
      <c r="A94" s="259" t="inlineStr">
        <is>
          <t>V</t>
        </is>
      </c>
      <c r="B94" s="224" t="inlineStr">
        <is>
          <t>Vacant</t>
        </is>
      </c>
      <c r="C94" s="317" t="inlineStr">
        <is>
          <t>Delivery Lead</t>
        </is>
      </c>
      <c r="D94" s="318" t="inlineStr">
        <is>
          <t>Vacant</t>
        </is>
      </c>
      <c r="E94" s="224" t="inlineStr">
        <is>
          <t>Delivery Manager, Z and Retail Data</t>
        </is>
      </c>
      <c r="F94" s="224" t="inlineStr">
        <is>
          <t>Ampol Retail &amp; Z</t>
        </is>
      </c>
      <c r="G94" s="318" t="inlineStr">
        <is>
          <t>Z &amp; Group Retail</t>
        </is>
      </c>
      <c r="H94" s="224" t="inlineStr">
        <is>
          <t>Z &amp; Group Retail, Delivery</t>
        </is>
      </c>
      <c r="I94" s="224" t="inlineStr">
        <is>
          <t>Z</t>
        </is>
      </c>
      <c r="J94" s="318" t="inlineStr">
        <is>
          <t>Z Customer &amp; Z Supply</t>
        </is>
      </c>
      <c r="K94" s="224" t="inlineStr">
        <is>
          <t>Data - NZ</t>
        </is>
      </c>
      <c r="L94" s="318" t="n"/>
      <c r="M94" s="319" t="inlineStr">
        <is>
          <t>Australia</t>
        </is>
      </c>
      <c r="N94" s="320" t="inlineStr">
        <is>
          <t>CIC</t>
        </is>
      </c>
      <c r="O94" s="320" t="n">
        <v>1</v>
      </c>
      <c r="P94" s="320" t="n"/>
      <c r="Q94" s="343" t="inlineStr">
        <is>
          <t>V</t>
        </is>
      </c>
      <c r="R94" s="322" t="n"/>
      <c r="S94" s="322" t="n"/>
      <c r="T94" s="334" t="n">
        <v>173550</v>
      </c>
      <c r="U94" s="705" t="n">
        <v>173550</v>
      </c>
      <c r="V94" s="325" t="n">
        <v>0.12</v>
      </c>
      <c r="W94" s="702" t="n">
        <v>0.055</v>
      </c>
      <c r="X94" s="702" t="n">
        <v>0.12</v>
      </c>
      <c r="Y94" s="703" t="n"/>
      <c r="Z94" s="702" t="n">
        <v>0.04</v>
      </c>
      <c r="AA94" s="701">
        <f>U94*(1+V94+W94+X94+Y94+Z94)</f>
        <v>231689.25</v>
      </c>
      <c r="AB94" s="328" t="n"/>
      <c r="AC94" s="328" t="inlineStr">
        <is>
          <t>Z Retail</t>
        </is>
      </c>
      <c r="AD94" t="inlineStr">
        <is>
          <t>-</t>
        </is>
      </c>
      <c r="AE94" t="inlineStr">
        <is>
          <t>Data NZ</t>
        </is>
      </c>
      <c r="AF94" t="inlineStr">
        <is>
          <t>Unmapped</t>
        </is>
      </c>
      <c r="AG94" t="inlineStr">
        <is>
          <t>Vacant</t>
        </is>
      </c>
    </row>
    <row r="95" hidden="1" ht="18" customHeight="1" s="506">
      <c r="A95" s="259" t="inlineStr">
        <is>
          <t>V</t>
        </is>
      </c>
      <c r="B95" s="224" t="inlineStr">
        <is>
          <t>Vacant</t>
        </is>
      </c>
      <c r="C95" s="317" t="inlineStr">
        <is>
          <t>Delivery Manager</t>
        </is>
      </c>
      <c r="D95" s="318" t="inlineStr">
        <is>
          <t>Vacant</t>
        </is>
      </c>
      <c r="E95" s="224" t="inlineStr">
        <is>
          <t>Head of Technology, Z and Group Retail Platforms</t>
        </is>
      </c>
      <c r="F95" s="224" t="inlineStr">
        <is>
          <t>Ampol Retail &amp; Z</t>
        </is>
      </c>
      <c r="G95" s="318" t="inlineStr">
        <is>
          <t>Z &amp; Group Retail</t>
        </is>
      </c>
      <c r="H95" s="318" t="inlineStr">
        <is>
          <t>Z &amp; Group Retail, Delivery</t>
        </is>
      </c>
      <c r="I95" s="318" t="inlineStr">
        <is>
          <t>Z</t>
        </is>
      </c>
      <c r="J95" s="224" t="inlineStr">
        <is>
          <t>Z Customer &amp; Z Supply</t>
        </is>
      </c>
      <c r="K95" s="318" t="inlineStr">
        <is>
          <t>Leadership</t>
        </is>
      </c>
      <c r="L95" s="318" t="n"/>
      <c r="M95" s="319" t="inlineStr">
        <is>
          <t>Australia</t>
        </is>
      </c>
      <c r="N95" s="320" t="inlineStr">
        <is>
          <t>CSB</t>
        </is>
      </c>
      <c r="O95" s="320" t="n">
        <v>1</v>
      </c>
      <c r="P95" s="320" t="n"/>
      <c r="Q95" s="343" t="inlineStr">
        <is>
          <t>V</t>
        </is>
      </c>
      <c r="R95" s="322" t="n"/>
      <c r="S95" s="322" t="n"/>
      <c r="T95" s="334" t="n">
        <v>203550</v>
      </c>
      <c r="U95" s="705" t="n">
        <v>203550</v>
      </c>
      <c r="V95" s="325" t="n">
        <v>0.14</v>
      </c>
      <c r="W95" s="702" t="n">
        <v>0.055</v>
      </c>
      <c r="X95" s="702" t="n">
        <v>0.12</v>
      </c>
      <c r="Y95" s="703" t="n"/>
      <c r="Z95" s="702" t="n">
        <v>0.04</v>
      </c>
      <c r="AA95" s="701">
        <f>U95*(1+V95+W95+X95+Y95+Z95)</f>
        <v>275810.25</v>
      </c>
      <c r="AC95" t="inlineStr">
        <is>
          <t>Z Retail</t>
        </is>
      </c>
      <c r="AD95" t="inlineStr">
        <is>
          <t>Leadership</t>
        </is>
      </c>
      <c r="AE95" t="inlineStr">
        <is>
          <t>Leadership</t>
        </is>
      </c>
      <c r="AF95" t="inlineStr">
        <is>
          <t>Leadership</t>
        </is>
      </c>
      <c r="AG95" t="inlineStr">
        <is>
          <t>Vacant</t>
        </is>
      </c>
    </row>
    <row r="96" hidden="1" ht="18" customHeight="1" s="506">
      <c r="A96" s="259" t="inlineStr">
        <is>
          <t>V</t>
        </is>
      </c>
      <c r="B96" s="224" t="inlineStr">
        <is>
          <t>Vacant</t>
        </is>
      </c>
      <c r="C96" s="317" t="inlineStr">
        <is>
          <t>Engineer - Data</t>
        </is>
      </c>
      <c r="D96" s="318" t="inlineStr">
        <is>
          <t>Vacant</t>
        </is>
      </c>
      <c r="E96" s="224" t="inlineStr">
        <is>
          <t>Technology Manager, Data</t>
        </is>
      </c>
      <c r="F96" s="224" t="inlineStr">
        <is>
          <t>Ampol Retail &amp; Z</t>
        </is>
      </c>
      <c r="G96" s="318" t="inlineStr">
        <is>
          <t>Z &amp; Group Retail</t>
        </is>
      </c>
      <c r="H96" s="224" t="inlineStr">
        <is>
          <t>Z &amp; Group Retail, Data</t>
        </is>
      </c>
      <c r="I96" s="224" t="inlineStr">
        <is>
          <t>Z</t>
        </is>
      </c>
      <c r="J96" s="318" t="inlineStr">
        <is>
          <t>Z Customer &amp; Z Supply</t>
        </is>
      </c>
      <c r="K96" s="224" t="inlineStr">
        <is>
          <t>Data - NZ</t>
        </is>
      </c>
      <c r="L96" s="318" t="n"/>
      <c r="M96" s="319" t="inlineStr">
        <is>
          <t>Australia</t>
        </is>
      </c>
      <c r="N96" s="320" t="inlineStr">
        <is>
          <t>CIB</t>
        </is>
      </c>
      <c r="O96" s="320" t="n">
        <v>1</v>
      </c>
      <c r="P96" s="320" t="n"/>
      <c r="Q96" s="343" t="inlineStr">
        <is>
          <t>V</t>
        </is>
      </c>
      <c r="R96" s="322" t="n"/>
      <c r="S96" s="322" t="n"/>
      <c r="T96" s="334" t="n">
        <v>151950</v>
      </c>
      <c r="U96" s="705" t="n">
        <v>151950</v>
      </c>
      <c r="V96" s="325" t="n">
        <v>0.12</v>
      </c>
      <c r="W96" s="702" t="n">
        <v>0.055</v>
      </c>
      <c r="X96" s="702" t="n">
        <v>0.12</v>
      </c>
      <c r="Y96" s="703" t="n"/>
      <c r="Z96" s="702" t="n">
        <v>0.04</v>
      </c>
      <c r="AA96" s="701">
        <f>U96*(1+V96+W96+X96+Y96+Z96)</f>
        <v>202853.25</v>
      </c>
      <c r="AC96" t="inlineStr">
        <is>
          <t>Z Retail</t>
        </is>
      </c>
      <c r="AD96" t="inlineStr">
        <is>
          <t>-</t>
        </is>
      </c>
      <c r="AE96" t="inlineStr">
        <is>
          <t>Data NZ</t>
        </is>
      </c>
      <c r="AF96" t="inlineStr">
        <is>
          <t>Unmapped</t>
        </is>
      </c>
      <c r="AG96" t="inlineStr">
        <is>
          <t>Vacant</t>
        </is>
      </c>
    </row>
    <row r="97" hidden="1" ht="18" customHeight="1" s="506">
      <c r="A97" s="259" t="inlineStr">
        <is>
          <t>V</t>
        </is>
      </c>
      <c r="B97" s="224" t="inlineStr">
        <is>
          <t>Vacant</t>
        </is>
      </c>
      <c r="C97" s="317" t="inlineStr">
        <is>
          <t>Engineer - Software</t>
        </is>
      </c>
      <c r="D97" s="224" t="inlineStr">
        <is>
          <t>Vacant</t>
        </is>
      </c>
      <c r="E97" s="224" t="inlineStr">
        <is>
          <t>Technology Manager, Engineering</t>
        </is>
      </c>
      <c r="F97" s="224" t="inlineStr">
        <is>
          <t>Ampol Retail &amp; Z</t>
        </is>
      </c>
      <c r="G97" s="318" t="inlineStr">
        <is>
          <t>Z &amp; Group Retail</t>
        </is>
      </c>
      <c r="H97" s="224" t="inlineStr">
        <is>
          <t>Z &amp; Group Retail, Engineering</t>
        </is>
      </c>
      <c r="I97" s="224" t="inlineStr">
        <is>
          <t>Z</t>
        </is>
      </c>
      <c r="J97" s="224" t="inlineStr">
        <is>
          <t>Z Customer</t>
        </is>
      </c>
      <c r="K97" s="224" t="inlineStr">
        <is>
          <t xml:space="preserve">Z Retail Backend </t>
        </is>
      </c>
      <c r="L97" s="318" t="n"/>
      <c r="M97" s="319" t="inlineStr">
        <is>
          <t>australia</t>
        </is>
      </c>
      <c r="N97" s="320" t="inlineStr">
        <is>
          <t>cib</t>
        </is>
      </c>
      <c r="O97" s="320" t="n">
        <v>1</v>
      </c>
      <c r="P97" s="320" t="n"/>
      <c r="Q97" s="343" t="inlineStr">
        <is>
          <t>V</t>
        </is>
      </c>
      <c r="R97" s="322" t="n"/>
      <c r="S97" s="322" t="n"/>
      <c r="T97" s="334" t="n">
        <v>151950</v>
      </c>
      <c r="U97" s="705" t="n">
        <v>151950</v>
      </c>
      <c r="V97" s="325" t="n">
        <v>0.12</v>
      </c>
      <c r="W97" s="702" t="n">
        <v>0.055</v>
      </c>
      <c r="X97" s="702" t="n">
        <v>0.12</v>
      </c>
      <c r="Y97" s="703" t="n"/>
      <c r="Z97" s="702" t="n">
        <v>0.04</v>
      </c>
      <c r="AA97" s="701">
        <f>U97*(1+V97+W97+X97+Y97+Z97)</f>
        <v>202853.25</v>
      </c>
      <c r="AC97" t="inlineStr">
        <is>
          <t>Z Retail</t>
        </is>
      </c>
      <c r="AD97" t="inlineStr">
        <is>
          <t>Z Customer</t>
        </is>
      </c>
      <c r="AE97" t="inlineStr">
        <is>
          <t>Z Retail Backend</t>
        </is>
      </c>
      <c r="AF97" t="inlineStr">
        <is>
          <t>Squad</t>
        </is>
      </c>
      <c r="AG97" t="inlineStr">
        <is>
          <t>Vacant</t>
        </is>
      </c>
    </row>
    <row r="98" hidden="1" ht="18" customHeight="1" s="506">
      <c r="A98" s="259" t="inlineStr">
        <is>
          <t>V</t>
        </is>
      </c>
      <c r="B98" s="224" t="inlineStr">
        <is>
          <t>Vacant</t>
        </is>
      </c>
      <c r="C98" s="317" t="inlineStr">
        <is>
          <t>Lead Quality Assurance</t>
        </is>
      </c>
      <c r="D98" s="224" t="inlineStr">
        <is>
          <t>Vacant</t>
        </is>
      </c>
      <c r="E98" s="224" t="inlineStr">
        <is>
          <t>Technology Manager, Engineering</t>
        </is>
      </c>
      <c r="F98" s="224" t="inlineStr">
        <is>
          <t>Ampol Retail &amp; Z</t>
        </is>
      </c>
      <c r="G98" s="318" t="inlineStr">
        <is>
          <t>Z &amp; Group Retail</t>
        </is>
      </c>
      <c r="H98" s="224" t="inlineStr">
        <is>
          <t>Z &amp; Group Retail, Engineering</t>
        </is>
      </c>
      <c r="I98" s="224" t="inlineStr">
        <is>
          <t>Z</t>
        </is>
      </c>
      <c r="J98" s="224" t="inlineStr">
        <is>
          <t>Z Customer</t>
        </is>
      </c>
      <c r="K98" s="224" t="inlineStr">
        <is>
          <t xml:space="preserve">Z Retail Backend </t>
        </is>
      </c>
      <c r="L98" s="318" t="n"/>
      <c r="M98" s="319" t="inlineStr">
        <is>
          <t>Australia</t>
        </is>
      </c>
      <c r="N98" s="320" t="inlineStr">
        <is>
          <t>CIC</t>
        </is>
      </c>
      <c r="O98" s="320" t="n">
        <v>1</v>
      </c>
      <c r="P98" s="320" t="n"/>
      <c r="Q98" s="343" t="inlineStr">
        <is>
          <t>v</t>
        </is>
      </c>
      <c r="R98" s="322" t="n"/>
      <c r="S98" s="322" t="n"/>
      <c r="T98" s="334" t="n">
        <v>173550</v>
      </c>
      <c r="U98" s="705" t="n">
        <v>173550</v>
      </c>
      <c r="V98" s="325" t="n">
        <v>0.12</v>
      </c>
      <c r="W98" s="702" t="n">
        <v>0.055</v>
      </c>
      <c r="X98" s="702" t="n">
        <v>0.12</v>
      </c>
      <c r="Y98" s="703" t="n"/>
      <c r="Z98" s="702" t="n">
        <v>0.04</v>
      </c>
      <c r="AA98" s="701">
        <f>U98*(1+V98+W98+X98+Y98+Z98)</f>
        <v>231689.25</v>
      </c>
      <c r="AC98" t="inlineStr">
        <is>
          <t>Z Retail</t>
        </is>
      </c>
      <c r="AD98" t="inlineStr">
        <is>
          <t>Z Customer</t>
        </is>
      </c>
      <c r="AE98" t="inlineStr">
        <is>
          <t>Z Retail Backend</t>
        </is>
      </c>
      <c r="AF98" t="inlineStr">
        <is>
          <t>Squad</t>
        </is>
      </c>
      <c r="AG98" t="inlineStr">
        <is>
          <t>Vacant</t>
        </is>
      </c>
    </row>
    <row r="99" hidden="1" ht="18" customHeight="1" s="506">
      <c r="A99" s="259" t="inlineStr">
        <is>
          <t>V</t>
        </is>
      </c>
      <c r="B99" s="224" t="inlineStr">
        <is>
          <t>Vacant</t>
        </is>
      </c>
      <c r="C99" s="317" t="inlineStr">
        <is>
          <t>Quality Assurance</t>
        </is>
      </c>
      <c r="D99" s="224" t="inlineStr">
        <is>
          <t>Vacant</t>
        </is>
      </c>
      <c r="E99" s="224" t="inlineStr">
        <is>
          <t>Technology Manager, Engineering</t>
        </is>
      </c>
      <c r="F99" s="224" t="inlineStr">
        <is>
          <t>Ampol Retail &amp; Z</t>
        </is>
      </c>
      <c r="G99" s="318" t="inlineStr">
        <is>
          <t>Z &amp; Group Retail</t>
        </is>
      </c>
      <c r="H99" s="224" t="inlineStr">
        <is>
          <t>Z &amp; Group Retail, Engineering</t>
        </is>
      </c>
      <c r="I99" s="224" t="inlineStr">
        <is>
          <t>Z</t>
        </is>
      </c>
      <c r="J99" s="318" t="inlineStr">
        <is>
          <t>Z Supply</t>
        </is>
      </c>
      <c r="K99" s="224" t="inlineStr">
        <is>
          <t>Z Supply</t>
        </is>
      </c>
      <c r="L99" s="318" t="n"/>
      <c r="M99" s="319" t="inlineStr">
        <is>
          <t>Australia</t>
        </is>
      </c>
      <c r="N99" s="320" t="inlineStr">
        <is>
          <t>CIA</t>
        </is>
      </c>
      <c r="O99" s="320" t="n">
        <v>1</v>
      </c>
      <c r="P99" s="320" t="n"/>
      <c r="Q99" s="343" t="inlineStr">
        <is>
          <t>v</t>
        </is>
      </c>
      <c r="R99" s="322" t="n"/>
      <c r="S99" s="322" t="n"/>
      <c r="T99" s="334" t="n">
        <v>129650</v>
      </c>
      <c r="U99" s="705" t="n">
        <v>129650</v>
      </c>
      <c r="V99" s="325" t="n">
        <v>0.1</v>
      </c>
      <c r="W99" s="702" t="n">
        <v>0.055</v>
      </c>
      <c r="X99" s="702" t="n">
        <v>0.12</v>
      </c>
      <c r="Y99" s="703" t="n"/>
      <c r="Z99" s="702" t="n">
        <v>0.04</v>
      </c>
      <c r="AA99" s="701">
        <f>U99*(1+V99+W99+X99+Y99+Z99)</f>
        <v>170489.75</v>
      </c>
      <c r="AC99" t="inlineStr">
        <is>
          <t>Z Retail</t>
        </is>
      </c>
      <c r="AD99" t="inlineStr">
        <is>
          <t>Z Supply</t>
        </is>
      </c>
      <c r="AE99" t="inlineStr">
        <is>
          <t>Z Supply</t>
        </is>
      </c>
      <c r="AF99" t="inlineStr">
        <is>
          <t>Squad</t>
        </is>
      </c>
      <c r="AG99" t="inlineStr">
        <is>
          <t>Vacant</t>
        </is>
      </c>
    </row>
    <row r="100" hidden="1" ht="18" customHeight="1" s="506">
      <c r="A100" s="259" t="inlineStr">
        <is>
          <t>V</t>
        </is>
      </c>
      <c r="B100" s="224" t="inlineStr">
        <is>
          <t>Vacant</t>
        </is>
      </c>
      <c r="C100" s="317" t="inlineStr">
        <is>
          <t>Technology Manager, Data</t>
        </is>
      </c>
      <c r="D100" s="318" t="inlineStr">
        <is>
          <t>Vacant</t>
        </is>
      </c>
      <c r="E100" s="224" t="inlineStr">
        <is>
          <t>Head of Technology, Z and Group Retail Platforms</t>
        </is>
      </c>
      <c r="F100" s="224" t="inlineStr">
        <is>
          <t>Ampol Retail &amp; Z</t>
        </is>
      </c>
      <c r="G100" s="318" t="inlineStr">
        <is>
          <t>Z &amp; Group Retail</t>
        </is>
      </c>
      <c r="H100" s="224" t="inlineStr">
        <is>
          <t>Z &amp; Group Retail, Data</t>
        </is>
      </c>
      <c r="I100" s="224" t="inlineStr">
        <is>
          <t>Z</t>
        </is>
      </c>
      <c r="J100" s="224" t="inlineStr">
        <is>
          <t>Z Customer &amp; Z Supply</t>
        </is>
      </c>
      <c r="K100" s="318" t="inlineStr">
        <is>
          <t>Leadership</t>
        </is>
      </c>
      <c r="L100" s="318" t="n"/>
      <c r="M100" s="319" t="inlineStr">
        <is>
          <t>Australia</t>
        </is>
      </c>
      <c r="N100" s="320" t="inlineStr">
        <is>
          <t>CSB</t>
        </is>
      </c>
      <c r="O100" s="320" t="n">
        <v>1</v>
      </c>
      <c r="P100" s="320" t="n"/>
      <c r="Q100" s="343" t="inlineStr">
        <is>
          <t>v</t>
        </is>
      </c>
      <c r="R100" s="322" t="n"/>
      <c r="S100" s="322" t="n"/>
      <c r="T100" s="334" t="n">
        <v>203550</v>
      </c>
      <c r="U100" s="705" t="n">
        <v>203550</v>
      </c>
      <c r="V100" s="325" t="n">
        <v>0.14</v>
      </c>
      <c r="W100" s="702" t="n">
        <v>0.055</v>
      </c>
      <c r="X100" s="702" t="n">
        <v>0.12</v>
      </c>
      <c r="Y100" s="703" t="n"/>
      <c r="Z100" s="702" t="n">
        <v>0.04</v>
      </c>
      <c r="AA100" s="701">
        <f>U100*(1+V100+W100+X100+Y100+Z100)</f>
        <v>275810.25</v>
      </c>
      <c r="AC100" t="inlineStr">
        <is>
          <t>Z Retail</t>
        </is>
      </c>
      <c r="AD100" t="inlineStr">
        <is>
          <t>Leadership</t>
        </is>
      </c>
      <c r="AE100" t="inlineStr">
        <is>
          <t>Leadership</t>
        </is>
      </c>
      <c r="AF100" t="inlineStr">
        <is>
          <t>Leadership</t>
        </is>
      </c>
      <c r="AG100" t="inlineStr">
        <is>
          <t>Vacant</t>
        </is>
      </c>
    </row>
    <row r="101" hidden="1" ht="18" customHeight="1" s="506">
      <c r="A101" s="259" t="inlineStr">
        <is>
          <t>V</t>
        </is>
      </c>
      <c r="B101" s="224" t="inlineStr">
        <is>
          <t>Vacant</t>
        </is>
      </c>
      <c r="C101" s="317" t="inlineStr">
        <is>
          <t>Technology Manager, Engineering</t>
        </is>
      </c>
      <c r="D101" s="318" t="inlineStr">
        <is>
          <t>Vacant</t>
        </is>
      </c>
      <c r="E101" s="224" t="inlineStr">
        <is>
          <t>Head of Technology, Z and Group Retail Platforms</t>
        </is>
      </c>
      <c r="F101" s="224" t="inlineStr">
        <is>
          <t>Ampol Retail &amp; Z</t>
        </is>
      </c>
      <c r="G101" s="318" t="inlineStr">
        <is>
          <t>Z &amp; Group Retail</t>
        </is>
      </c>
      <c r="H101" s="344" t="inlineStr">
        <is>
          <t>Technology, CF Engineering</t>
        </is>
      </c>
      <c r="I101" s="224" t="inlineStr">
        <is>
          <t>Z</t>
        </is>
      </c>
      <c r="J101" s="224" t="inlineStr">
        <is>
          <t>Leadership</t>
        </is>
      </c>
      <c r="K101" s="318" t="inlineStr">
        <is>
          <t>Leadership</t>
        </is>
      </c>
      <c r="L101" s="318" t="n"/>
      <c r="M101" s="319" t="inlineStr">
        <is>
          <t>Australia</t>
        </is>
      </c>
      <c r="N101" s="320" t="inlineStr">
        <is>
          <t>CSB</t>
        </is>
      </c>
      <c r="O101" s="320" t="n">
        <v>1</v>
      </c>
      <c r="P101" s="320" t="n"/>
      <c r="Q101" s="343" t="inlineStr">
        <is>
          <t>v</t>
        </is>
      </c>
      <c r="R101" s="322" t="n"/>
      <c r="S101" s="322" t="n"/>
      <c r="T101" s="334" t="n">
        <v>203550</v>
      </c>
      <c r="U101" s="705" t="n">
        <v>203550</v>
      </c>
      <c r="V101" s="325" t="n">
        <v>0.14</v>
      </c>
      <c r="W101" s="702" t="n">
        <v>0.055</v>
      </c>
      <c r="X101" s="702" t="n">
        <v>0.12</v>
      </c>
      <c r="Y101" s="703" t="n"/>
      <c r="Z101" s="702" t="n">
        <v>0.04</v>
      </c>
      <c r="AA101" s="701">
        <f>U101*(1+V101+W101+X101+Y101+Z101)</f>
        <v>275810.25</v>
      </c>
      <c r="AC101" s="342" t="inlineStr">
        <is>
          <t>Z Retail</t>
        </is>
      </c>
      <c r="AD101" t="inlineStr">
        <is>
          <t>Leadership</t>
        </is>
      </c>
      <c r="AE101" t="inlineStr">
        <is>
          <t>Leadership</t>
        </is>
      </c>
      <c r="AF101" t="inlineStr">
        <is>
          <t>Leadership</t>
        </is>
      </c>
      <c r="AG101" t="inlineStr">
        <is>
          <t>Vacant</t>
        </is>
      </c>
    </row>
    <row r="102" hidden="1" ht="18" customHeight="1" s="506">
      <c r="A102" s="259" t="inlineStr">
        <is>
          <t>V</t>
        </is>
      </c>
      <c r="B102" s="224" t="inlineStr">
        <is>
          <t>Vacant</t>
        </is>
      </c>
      <c r="C102" s="317" t="inlineStr">
        <is>
          <t>Head of Technology, Z and Group Retail Platforms</t>
        </is>
      </c>
      <c r="D102" s="224" t="inlineStr">
        <is>
          <t>Vance Anderson</t>
        </is>
      </c>
      <c r="E102" s="318" t="inlineStr">
        <is>
          <t>GM TDD, Ampol Retail &amp; Z</t>
        </is>
      </c>
      <c r="F102" s="224" t="inlineStr">
        <is>
          <t>Ampol Retail &amp; Z</t>
        </is>
      </c>
      <c r="G102" s="318" t="inlineStr">
        <is>
          <t>Z &amp; Group Retail</t>
        </is>
      </c>
      <c r="H102" s="224" t="inlineStr">
        <is>
          <t>na</t>
        </is>
      </c>
      <c r="I102" s="224" t="inlineStr">
        <is>
          <t>Z</t>
        </is>
      </c>
      <c r="J102" s="224" t="inlineStr">
        <is>
          <t>Z Customer &amp; Z Supply</t>
        </is>
      </c>
      <c r="K102" s="318" t="inlineStr">
        <is>
          <t>Leadership</t>
        </is>
      </c>
      <c r="L102" s="318" t="n"/>
      <c r="M102" s="319" t="inlineStr">
        <is>
          <t>NZ</t>
        </is>
      </c>
      <c r="N102" s="320" t="inlineStr">
        <is>
          <t>CSC</t>
        </is>
      </c>
      <c r="O102" s="320" t="n">
        <v>1</v>
      </c>
      <c r="P102" s="320" t="n"/>
      <c r="Q102" s="343" t="inlineStr">
        <is>
          <t>v</t>
        </is>
      </c>
      <c r="R102" s="322" t="n"/>
      <c r="S102" s="322" t="n"/>
      <c r="T102" s="334" t="n">
        <v>245000</v>
      </c>
      <c r="U102" s="705" t="n">
        <v>225400</v>
      </c>
      <c r="V102" s="324" t="n">
        <v>0.2</v>
      </c>
      <c r="W102" s="322" t="n"/>
      <c r="X102" s="325" t="n">
        <v>0.05</v>
      </c>
      <c r="Y102" s="700" t="n">
        <v>2910</v>
      </c>
      <c r="Z102" s="325" t="n">
        <v>0.03</v>
      </c>
      <c r="AA102" s="701">
        <f>U102*(1+V102+X102+Z102)+Y102</f>
        <v>291422.0</v>
      </c>
      <c r="AC102" t="inlineStr">
        <is>
          <t>Z Retail</t>
        </is>
      </c>
      <c r="AD102" t="inlineStr">
        <is>
          <t>Leadership</t>
        </is>
      </c>
      <c r="AE102" t="inlineStr">
        <is>
          <t>Leadership</t>
        </is>
      </c>
      <c r="AF102" t="inlineStr">
        <is>
          <t>Leadership</t>
        </is>
      </c>
      <c r="AG102" t="inlineStr">
        <is>
          <t>Vacant</t>
        </is>
      </c>
    </row>
    <row r="103" hidden="1" ht="18" customHeight="1" s="506">
      <c r="A103" s="259" t="n">
        <v>98379</v>
      </c>
      <c r="B103" s="224" t="inlineStr">
        <is>
          <t>Vaishnavi Viswanathan</t>
        </is>
      </c>
      <c r="C103" s="317" t="inlineStr">
        <is>
          <t>Technology Manager, Store Platform</t>
        </is>
      </c>
      <c r="D103" s="318" t="inlineStr">
        <is>
          <t>Vacant</t>
        </is>
      </c>
      <c r="E103" s="224" t="inlineStr">
        <is>
          <t>Head of Technology,  Ampol Retail</t>
        </is>
      </c>
      <c r="F103" s="224" t="inlineStr">
        <is>
          <t>Ampol Retail &amp; Z</t>
        </is>
      </c>
      <c r="G103" s="318" t="inlineStr">
        <is>
          <t>Ampol Retail</t>
        </is>
      </c>
      <c r="H103" s="224" t="inlineStr">
        <is>
          <t>Ampol Retail, Store Platforms</t>
        </is>
      </c>
      <c r="I103" s="224" t="inlineStr">
        <is>
          <t>Retail</t>
        </is>
      </c>
      <c r="J103" s="224" t="inlineStr">
        <is>
          <t>Store Operations, Payments, POS</t>
        </is>
      </c>
      <c r="K103" s="318" t="inlineStr">
        <is>
          <t>Leadership</t>
        </is>
      </c>
      <c r="L103" s="318" t="n"/>
      <c r="M103" s="319" t="inlineStr">
        <is>
          <t>Australia</t>
        </is>
      </c>
      <c r="N103" s="320" t="inlineStr">
        <is>
          <t>CSB</t>
        </is>
      </c>
      <c r="O103" s="320" t="n">
        <v>1</v>
      </c>
      <c r="P103" s="320" t="n"/>
      <c r="Q103" s="343" t="inlineStr">
        <is>
          <t>Permanent - Full Time</t>
        </is>
      </c>
      <c r="R103" s="322" t="n"/>
      <c r="S103" s="322" t="n"/>
      <c r="T103" s="334" t="n">
        <v>190225</v>
      </c>
      <c r="U103" s="705" t="n">
        <v>190225</v>
      </c>
      <c r="V103" s="325" t="n">
        <v>0.14</v>
      </c>
      <c r="W103" s="702" t="n">
        <v>0.055</v>
      </c>
      <c r="X103" s="702" t="n">
        <v>0.12</v>
      </c>
      <c r="Y103" s="703" t="n"/>
      <c r="Z103" s="702" t="n">
        <v>0.04</v>
      </c>
      <c r="AA103" s="701">
        <f>U103*(1+V103+W103+X103+Y103+Z103)</f>
        <v>257754.875</v>
      </c>
      <c r="AC103" t="inlineStr">
        <is>
          <t>Ampol Retail</t>
        </is>
      </c>
      <c r="AD103" t="inlineStr">
        <is>
          <t>Leadership</t>
        </is>
      </c>
      <c r="AE103" t="inlineStr">
        <is>
          <t>Leadership</t>
        </is>
      </c>
      <c r="AF103" t="inlineStr">
        <is>
          <t>Leadership</t>
        </is>
      </c>
      <c r="AG103" t="inlineStr">
        <is>
          <t>Filled</t>
        </is>
      </c>
    </row>
    <row r="104" hidden="1" ht="18" customHeight="1" s="506">
      <c r="A104" s="259" t="n">
        <v>86604</v>
      </c>
      <c r="B104" s="224" t="inlineStr">
        <is>
          <t>Vanessa Allen</t>
        </is>
      </c>
      <c r="C104" s="317" t="inlineStr">
        <is>
          <t>Delivery Manager</t>
        </is>
      </c>
      <c r="D104" s="318" t="inlineStr">
        <is>
          <t>Madan Murthy</t>
        </is>
      </c>
      <c r="E104" s="224" t="inlineStr">
        <is>
          <t>Head of Technology,  Ampol Retail</t>
        </is>
      </c>
      <c r="F104" s="224" t="inlineStr">
        <is>
          <t>Ampol Retail &amp; Z</t>
        </is>
      </c>
      <c r="G104" s="318" t="inlineStr">
        <is>
          <t>Ampol Retail</t>
        </is>
      </c>
      <c r="H104" s="224" t="inlineStr">
        <is>
          <t>Ampol Retail, Delivery</t>
        </is>
      </c>
      <c r="I104" s="224" t="inlineStr">
        <is>
          <t>Retail</t>
        </is>
      </c>
      <c r="J104" s="224" t="inlineStr">
        <is>
          <t>(All Retail)</t>
        </is>
      </c>
      <c r="K104" s="318" t="inlineStr">
        <is>
          <t>Leadership</t>
        </is>
      </c>
      <c r="L104" s="318" t="n"/>
      <c r="M104" s="319" t="inlineStr">
        <is>
          <t>Australia</t>
        </is>
      </c>
      <c r="N104" s="322" t="inlineStr">
        <is>
          <t>CSB</t>
        </is>
      </c>
      <c r="O104" s="322" t="n">
        <v>0.7</v>
      </c>
      <c r="P104" s="322" t="n"/>
      <c r="Q104" s="341" t="inlineStr">
        <is>
          <t>Permanent - Part Time</t>
        </is>
      </c>
      <c r="R104" s="322" t="n"/>
      <c r="S104" s="322" t="n"/>
      <c r="T104" s="334" t="n">
        <v>223570</v>
      </c>
      <c r="U104" s="705" t="n">
        <v>223570</v>
      </c>
      <c r="V104" s="325" t="n">
        <v>0.14</v>
      </c>
      <c r="W104" s="702" t="n">
        <v>0.055</v>
      </c>
      <c r="X104" s="702" t="n">
        <v>0.12</v>
      </c>
      <c r="Y104" s="703" t="n"/>
      <c r="Z104" s="702" t="n">
        <v>0.04</v>
      </c>
      <c r="AA104" s="701">
        <f>U104*(1+V104+W104+X104+Y104+Z104)</f>
        <v>302937.35</v>
      </c>
      <c r="AC104" t="inlineStr">
        <is>
          <t>Ampol Retail</t>
        </is>
      </c>
      <c r="AD104" t="inlineStr">
        <is>
          <t>Leadership</t>
        </is>
      </c>
      <c r="AE104" t="inlineStr">
        <is>
          <t>Leadership</t>
        </is>
      </c>
      <c r="AF104" t="inlineStr">
        <is>
          <t>Leadership</t>
        </is>
      </c>
      <c r="AG104" t="inlineStr">
        <is>
          <t>Filled</t>
        </is>
      </c>
    </row>
    <row r="105" hidden="1" ht="18" customHeight="1" s="506">
      <c r="A105" s="259" t="n">
        <v>99999100432</v>
      </c>
      <c r="B105" s="224" t="inlineStr">
        <is>
          <t>Vanessa King</t>
        </is>
      </c>
      <c r="C105" s="317" t="inlineStr">
        <is>
          <t>Lead Quality Assurance</t>
        </is>
      </c>
      <c r="D105" s="224" t="inlineStr">
        <is>
          <t>Callan McLaughlin</t>
        </is>
      </c>
      <c r="E105" s="224" t="inlineStr">
        <is>
          <t>Technology Manager,  Site Systems</t>
        </is>
      </c>
      <c r="F105" s="224" t="inlineStr">
        <is>
          <t>Ampol Retail &amp; Z</t>
        </is>
      </c>
      <c r="G105" s="318" t="inlineStr">
        <is>
          <t>Z &amp; Group Retail</t>
        </is>
      </c>
      <c r="H105" s="224" t="inlineStr">
        <is>
          <t>Z &amp; Group Retail, Site Systems</t>
        </is>
      </c>
      <c r="I105" s="224" t="inlineStr">
        <is>
          <t>Z</t>
        </is>
      </c>
      <c r="J105" s="318" t="inlineStr">
        <is>
          <t>Z Customer</t>
        </is>
      </c>
      <c r="K105" s="224" t="inlineStr">
        <is>
          <t>Site Systems</t>
        </is>
      </c>
      <c r="L105" s="318" t="n"/>
      <c r="M105" s="319" t="inlineStr">
        <is>
          <t>NZ</t>
        </is>
      </c>
      <c r="N105" s="320" t="inlineStr">
        <is>
          <t>CIC</t>
        </is>
      </c>
      <c r="O105" s="321" t="n">
        <v>1</v>
      </c>
      <c r="P105" s="320" t="n"/>
      <c r="Q105" s="345" t="inlineStr">
        <is>
          <t>Permanent - Full Time</t>
        </is>
      </c>
      <c r="R105" s="322" t="n"/>
      <c r="S105" s="322" t="n"/>
      <c r="T105" s="334" t="n">
        <v>174080</v>
      </c>
      <c r="U105" s="705" t="n">
        <v>160153.6</v>
      </c>
      <c r="V105" s="324" t="n">
        <v>0.15</v>
      </c>
      <c r="W105" s="322" t="n"/>
      <c r="X105" s="325" t="n">
        <v>0.05</v>
      </c>
      <c r="Y105" s="700" t="n">
        <v>2910</v>
      </c>
      <c r="Z105" s="325" t="n">
        <v>0.03</v>
      </c>
      <c r="AA105" s="701">
        <f>U105*(1+V105+X105+Z105)+Y105</f>
        <v>199898.928</v>
      </c>
      <c r="AB105" t="n">
        <v>113622</v>
      </c>
      <c r="AC105" t="inlineStr">
        <is>
          <t>Z Retail</t>
        </is>
      </c>
      <c r="AD105" t="inlineStr">
        <is>
          <t>Z Customer</t>
        </is>
      </c>
      <c r="AE105" t="inlineStr">
        <is>
          <t>Site Systems</t>
        </is>
      </c>
      <c r="AF105" t="inlineStr">
        <is>
          <t>Squad</t>
        </is>
      </c>
      <c r="AG105" t="inlineStr">
        <is>
          <t>Filled</t>
        </is>
      </c>
    </row>
    <row r="106" hidden="1" ht="18" customFormat="1" customHeight="1" s="346">
      <c r="A106" s="259" t="n">
        <v>98158</v>
      </c>
      <c r="B106" s="224" t="inlineStr">
        <is>
          <t>Vanessa Trujillo Munoz</t>
        </is>
      </c>
      <c r="C106" s="317" t="inlineStr">
        <is>
          <t>Delivery Lead</t>
        </is>
      </c>
      <c r="D106" s="224" t="inlineStr">
        <is>
          <t>Vanessa Allen</t>
        </is>
      </c>
      <c r="E106" s="224" t="inlineStr">
        <is>
          <t>Delivery Manager, Ampol Retail</t>
        </is>
      </c>
      <c r="F106" s="224" t="inlineStr">
        <is>
          <t>Ampol Retail &amp; Z</t>
        </is>
      </c>
      <c r="G106" s="318" t="inlineStr">
        <is>
          <t>Ampol Retail</t>
        </is>
      </c>
      <c r="H106" s="224" t="inlineStr">
        <is>
          <t>Ampol Retail, Delivery</t>
        </is>
      </c>
      <c r="I106" s="224" t="inlineStr">
        <is>
          <t>Retail</t>
        </is>
      </c>
      <c r="J106" s="318" t="inlineStr">
        <is>
          <t>Network/QSR</t>
        </is>
      </c>
      <c r="K106" s="224" t="inlineStr">
        <is>
          <t>Network &amp; QSR</t>
        </is>
      </c>
      <c r="L106" s="318" t="n"/>
      <c r="M106" s="319" t="inlineStr">
        <is>
          <t>Australia</t>
        </is>
      </c>
      <c r="N106" s="320" t="inlineStr">
        <is>
          <t>CIB</t>
        </is>
      </c>
      <c r="O106" s="320" t="n">
        <v>1</v>
      </c>
      <c r="P106" s="320" t="n"/>
      <c r="Q106" s="343" t="inlineStr">
        <is>
          <t>Permanent - Full Time</t>
        </is>
      </c>
      <c r="R106" s="322" t="n"/>
      <c r="S106" s="322" t="n"/>
      <c r="T106" s="334" t="n">
        <v>136670</v>
      </c>
      <c r="U106" s="705" t="n">
        <v>136670</v>
      </c>
      <c r="V106" s="325" t="n">
        <v>0.12</v>
      </c>
      <c r="W106" s="702" t="n">
        <v>0.055</v>
      </c>
      <c r="X106" s="702" t="n">
        <v>0.12</v>
      </c>
      <c r="Y106" s="703" t="n"/>
      <c r="Z106" s="702" t="n">
        <v>0.04</v>
      </c>
      <c r="AA106" s="701">
        <f>U106*(1+V106+W106+X106+Y106+Z106)</f>
        <v>182454.44999999998</v>
      </c>
      <c r="AB106" s="328" t="n"/>
      <c r="AC106" s="328" t="inlineStr">
        <is>
          <t>Ampol Retail</t>
        </is>
      </c>
      <c r="AD106" t="inlineStr">
        <is>
          <t>Network / QSR</t>
        </is>
      </c>
      <c r="AE106" t="inlineStr">
        <is>
          <t>Network / QSR</t>
        </is>
      </c>
      <c r="AF106" t="inlineStr">
        <is>
          <t>Squad</t>
        </is>
      </c>
      <c r="AG106" t="inlineStr">
        <is>
          <t>Filled</t>
        </is>
      </c>
    </row>
    <row r="107" hidden="1" ht="18" customHeight="1" s="506">
      <c r="A107" s="259" t="n">
        <v>8904</v>
      </c>
      <c r="B107" s="224" t="inlineStr">
        <is>
          <t>Vedran Jukic</t>
        </is>
      </c>
      <c r="C107" s="317" t="inlineStr">
        <is>
          <t>Technology Manager, Retail</t>
        </is>
      </c>
      <c r="D107" s="318" t="inlineStr">
        <is>
          <t>Madan Murthy</t>
        </is>
      </c>
      <c r="E107" s="224" t="inlineStr">
        <is>
          <t>Head of Technology,  Ampol Retail</t>
        </is>
      </c>
      <c r="F107" s="224" t="inlineStr">
        <is>
          <t>Ampol Retail &amp; Z</t>
        </is>
      </c>
      <c r="G107" s="318" t="inlineStr">
        <is>
          <t>Ampol Retail</t>
        </is>
      </c>
      <c r="H107" s="224" t="inlineStr">
        <is>
          <t>Ampol Retail, Technology</t>
        </is>
      </c>
      <c r="I107" s="224" t="inlineStr">
        <is>
          <t>Retail</t>
        </is>
      </c>
      <c r="J107" s="224" t="inlineStr">
        <is>
          <t>Store Operations, Network &amp; QSR, Deployment</t>
        </is>
      </c>
      <c r="K107" s="318" t="inlineStr">
        <is>
          <t>Leadership</t>
        </is>
      </c>
      <c r="L107" s="318" t="n"/>
      <c r="M107" s="319" t="inlineStr">
        <is>
          <t>Australia</t>
        </is>
      </c>
      <c r="N107" s="322" t="inlineStr">
        <is>
          <t>CSB</t>
        </is>
      </c>
      <c r="O107" s="322" t="n">
        <v>1</v>
      </c>
      <c r="P107" s="322" t="n"/>
      <c r="Q107" s="341" t="inlineStr">
        <is>
          <t>Permanent - Full Time</t>
        </is>
      </c>
      <c r="R107" s="322" t="n"/>
      <c r="S107" s="322" t="n"/>
      <c r="T107" s="334" t="n">
        <v>210000</v>
      </c>
      <c r="U107" s="705" t="n">
        <v>210000</v>
      </c>
      <c r="V107" s="325" t="n">
        <v>0.14</v>
      </c>
      <c r="W107" s="702" t="n">
        <v>0.055</v>
      </c>
      <c r="X107" s="702" t="n">
        <v>0.12</v>
      </c>
      <c r="Y107" s="703" t="n"/>
      <c r="Z107" s="702" t="n">
        <v>0.04</v>
      </c>
      <c r="AA107" s="701">
        <f>U107*(1+V107+W107+X107+Y107+Z107)</f>
        <v>284550.0</v>
      </c>
      <c r="AC107" t="inlineStr">
        <is>
          <t>Ampol Retail</t>
        </is>
      </c>
      <c r="AD107" t="inlineStr">
        <is>
          <t>Leadership</t>
        </is>
      </c>
      <c r="AE107" t="inlineStr">
        <is>
          <t>Leadership</t>
        </is>
      </c>
      <c r="AF107" t="inlineStr">
        <is>
          <t>Leadership</t>
        </is>
      </c>
      <c r="AG107" t="inlineStr">
        <is>
          <t>Filled</t>
        </is>
      </c>
    </row>
    <row r="108" hidden="1" ht="18" customHeight="1" s="506">
      <c r="A108" s="259" t="n">
        <v>115831</v>
      </c>
      <c r="B108" s="224" t="inlineStr">
        <is>
          <t>Venkat Kedharanathan</t>
        </is>
      </c>
      <c r="C108" s="317" t="inlineStr">
        <is>
          <t>Senior Business Analyst</t>
        </is>
      </c>
      <c r="D108" s="224" t="inlineStr">
        <is>
          <t>Vanessa Allen</t>
        </is>
      </c>
      <c r="E108" s="224" t="inlineStr">
        <is>
          <t>Delivery Manager, Ampol Retail</t>
        </is>
      </c>
      <c r="F108" s="224" t="inlineStr">
        <is>
          <t>Ampol Retail &amp; Z</t>
        </is>
      </c>
      <c r="G108" s="318" t="inlineStr">
        <is>
          <t>Ampol Retail</t>
        </is>
      </c>
      <c r="H108" s="224" t="inlineStr">
        <is>
          <t>Ampol Retail, Delivery</t>
        </is>
      </c>
      <c r="I108" s="224" t="inlineStr">
        <is>
          <t>Retail</t>
        </is>
      </c>
      <c r="J108" s="318" t="inlineStr">
        <is>
          <t>Store Operations</t>
        </is>
      </c>
      <c r="K108" s="224" t="inlineStr">
        <is>
          <t>Payments</t>
        </is>
      </c>
      <c r="L108" s="318" t="n"/>
      <c r="M108" s="319" t="inlineStr">
        <is>
          <t>Australia</t>
        </is>
      </c>
      <c r="N108" s="320" t="inlineStr">
        <is>
          <t>CIB</t>
        </is>
      </c>
      <c r="O108" s="320" t="n">
        <v>1</v>
      </c>
      <c r="P108" s="320" t="n"/>
      <c r="Q108" s="343" t="inlineStr">
        <is>
          <t>Permanent - Full Time</t>
        </is>
      </c>
      <c r="R108" s="322" t="n"/>
      <c r="S108" s="322" t="n"/>
      <c r="T108" s="334" t="n">
        <v>160000</v>
      </c>
      <c r="U108" s="705" t="n">
        <v>160000</v>
      </c>
      <c r="V108" s="325" t="n">
        <v>0.12</v>
      </c>
      <c r="W108" s="702" t="n">
        <v>0.055</v>
      </c>
      <c r="X108" s="702" t="n">
        <v>0.12</v>
      </c>
      <c r="Y108" s="703" t="n"/>
      <c r="Z108" s="702" t="n">
        <v>0.04</v>
      </c>
      <c r="AA108" s="701">
        <f>U108*(1+V108+W108+X108+Y108+Z108)</f>
        <v>213600.0</v>
      </c>
      <c r="AC108" t="inlineStr">
        <is>
          <t>Ampol Retail</t>
        </is>
      </c>
      <c r="AD108" t="inlineStr">
        <is>
          <t>Store Operations</t>
        </is>
      </c>
      <c r="AE108" t="inlineStr">
        <is>
          <t>Payments</t>
        </is>
      </c>
      <c r="AF108" t="inlineStr">
        <is>
          <t>Squad</t>
        </is>
      </c>
      <c r="AG108" t="inlineStr">
        <is>
          <t>Filled</t>
        </is>
      </c>
    </row>
    <row r="109" hidden="1" ht="18" customHeight="1" s="506">
      <c r="A109" s="259" t="n">
        <v>117167</v>
      </c>
      <c r="B109" s="224" t="inlineStr">
        <is>
          <t>Vijay Patel</t>
        </is>
      </c>
      <c r="C109" s="317" t="inlineStr">
        <is>
          <t>Systems Analyst</t>
        </is>
      </c>
      <c r="D109" s="224" t="inlineStr">
        <is>
          <t>Tracy Lee Reaper</t>
        </is>
      </c>
      <c r="E109" s="224" t="inlineStr">
        <is>
          <t>Tech Manager, Merchandising &amp; WFM</t>
        </is>
      </c>
      <c r="F109" s="224" t="inlineStr">
        <is>
          <t>Ampol Retail &amp; Z</t>
        </is>
      </c>
      <c r="G109" s="318" t="inlineStr">
        <is>
          <t>Ampol Retail</t>
        </is>
      </c>
      <c r="H109" s="224" t="inlineStr">
        <is>
          <t>Ampol Retail, Merch &amp; RTA</t>
        </is>
      </c>
      <c r="I109" s="224" t="inlineStr">
        <is>
          <t>Retail</t>
        </is>
      </c>
      <c r="J109" s="339" t="inlineStr">
        <is>
          <t>Pricing / WFM</t>
        </is>
      </c>
      <c r="K109" s="270" t="inlineStr">
        <is>
          <t>Pricing &amp; WFM</t>
        </is>
      </c>
      <c r="L109" s="318" t="n"/>
      <c r="M109" s="319" t="inlineStr">
        <is>
          <t>Australia</t>
        </is>
      </c>
      <c r="N109" s="320" t="inlineStr">
        <is>
          <t>CIB</t>
        </is>
      </c>
      <c r="O109" s="320" t="n">
        <v>1</v>
      </c>
      <c r="P109" s="320" t="n"/>
      <c r="Q109" s="343" t="inlineStr">
        <is>
          <t>Permanent - Full Time</t>
        </is>
      </c>
      <c r="R109" s="322" t="n"/>
      <c r="S109" s="322" t="n"/>
      <c r="T109" s="334" t="n">
        <v>145000</v>
      </c>
      <c r="U109" s="705" t="n">
        <v>145000</v>
      </c>
      <c r="V109" s="325" t="n">
        <v>0.12</v>
      </c>
      <c r="W109" s="702" t="n">
        <v>0.055</v>
      </c>
      <c r="X109" s="702" t="n">
        <v>0.12</v>
      </c>
      <c r="Y109" s="703" t="n"/>
      <c r="Z109" s="702" t="n">
        <v>0.04</v>
      </c>
      <c r="AA109" s="701">
        <f>U109*(1+V109+W109+X109+Y109+Z109)</f>
        <v>193575.0</v>
      </c>
      <c r="AC109" t="inlineStr">
        <is>
          <t>Ampol Retail</t>
        </is>
      </c>
      <c r="AD109" t="inlineStr">
        <is>
          <t>Above Store</t>
        </is>
      </c>
      <c r="AE109" t="inlineStr">
        <is>
          <t>Above Store</t>
        </is>
      </c>
      <c r="AF109" t="inlineStr">
        <is>
          <t>Squad</t>
        </is>
      </c>
      <c r="AG109" t="inlineStr">
        <is>
          <t>Filled</t>
        </is>
      </c>
    </row>
    <row r="110" hidden="1" ht="18" customHeight="1" s="506">
      <c r="A110" s="259" t="n">
        <v>104050</v>
      </c>
      <c r="B110" s="224" t="inlineStr">
        <is>
          <t>Violeta Trajkovski</t>
        </is>
      </c>
      <c r="C110" s="317" t="inlineStr">
        <is>
          <t>Deployment Coordinator</t>
        </is>
      </c>
      <c r="D110" s="224" t="inlineStr">
        <is>
          <t>Matthew Patane</t>
        </is>
      </c>
      <c r="E110" s="224" t="inlineStr">
        <is>
          <t>Release &amp; Deployment Manager</t>
        </is>
      </c>
      <c r="F110" s="224" t="inlineStr">
        <is>
          <t>Ampol Retail &amp; Z</t>
        </is>
      </c>
      <c r="G110" s="318" t="inlineStr">
        <is>
          <t>Ampol Retail</t>
        </is>
      </c>
      <c r="H110" s="224" t="inlineStr">
        <is>
          <t>Ampol Retail, Technology</t>
        </is>
      </c>
      <c r="I110" s="224" t="inlineStr">
        <is>
          <t>Retail</t>
        </is>
      </c>
      <c r="J110" s="318" t="inlineStr">
        <is>
          <t>Store Operations</t>
        </is>
      </c>
      <c r="K110" s="270" t="inlineStr">
        <is>
          <t>Deployment</t>
        </is>
      </c>
      <c r="L110" s="318" t="n"/>
      <c r="M110" s="319" t="inlineStr">
        <is>
          <t>Australia</t>
        </is>
      </c>
      <c r="N110" s="320" t="inlineStr">
        <is>
          <t>CDC</t>
        </is>
      </c>
      <c r="O110" s="320" t="n">
        <v>1</v>
      </c>
      <c r="P110" s="320" t="n"/>
      <c r="Q110" s="343" t="inlineStr">
        <is>
          <t>Permanent - Full Time</t>
        </is>
      </c>
      <c r="R110" s="322" t="n"/>
      <c r="S110" s="322" t="n"/>
      <c r="T110" s="334" t="n">
        <v>110700</v>
      </c>
      <c r="U110" s="705" t="n">
        <v>110700</v>
      </c>
      <c r="V110" s="325" t="n">
        <v>0.1</v>
      </c>
      <c r="W110" s="702" t="n">
        <v>0.055</v>
      </c>
      <c r="X110" s="702" t="n">
        <v>0.12</v>
      </c>
      <c r="Y110" s="703" t="n"/>
      <c r="Z110" s="702" t="n">
        <v>0.04</v>
      </c>
      <c r="AA110" s="701">
        <f>U110*(1+V110+W110+X110+Y110+Z110)</f>
        <v>145570.5</v>
      </c>
      <c r="AC110" t="inlineStr">
        <is>
          <t>Ampol Retail</t>
        </is>
      </c>
      <c r="AD110" t="inlineStr">
        <is>
          <t>Store Operations</t>
        </is>
      </c>
      <c r="AE110" t="inlineStr">
        <is>
          <t>Deployment</t>
        </is>
      </c>
      <c r="AF110" t="inlineStr">
        <is>
          <t>Squad</t>
        </is>
      </c>
      <c r="AG110" t="inlineStr">
        <is>
          <t>Filled</t>
        </is>
      </c>
    </row>
    <row r="111" hidden="1" ht="18" customHeight="1" s="506">
      <c r="A111" s="259" t="inlineStr">
        <is>
          <t>C</t>
        </is>
      </c>
      <c r="B111" s="224" t="inlineStr">
        <is>
          <t>Viren Khatri</t>
        </is>
      </c>
      <c r="C111" s="317" t="inlineStr">
        <is>
          <t>Data Migration Lead</t>
        </is>
      </c>
      <c r="D111" s="318" t="inlineStr">
        <is>
          <t>Vacant</t>
        </is>
      </c>
      <c r="E111" s="224" t="inlineStr">
        <is>
          <t>Technology Manager, Data</t>
        </is>
      </c>
      <c r="F111" s="224" t="inlineStr">
        <is>
          <t>Ampol Retail &amp; Z</t>
        </is>
      </c>
      <c r="G111" s="318" t="inlineStr">
        <is>
          <t>Z &amp; Group Retail</t>
        </is>
      </c>
      <c r="H111" s="224" t="inlineStr">
        <is>
          <t>Z &amp; Group Retail, Data</t>
        </is>
      </c>
      <c r="I111" s="224" t="inlineStr">
        <is>
          <t>EGI Integration</t>
        </is>
      </c>
      <c r="J111" s="318" t="inlineStr">
        <is>
          <t>EGI</t>
        </is>
      </c>
      <c r="K111" s="224" t="inlineStr">
        <is>
          <t>EGI TDD</t>
        </is>
      </c>
      <c r="L111" s="318" t="n"/>
      <c r="M111" s="319" t="inlineStr">
        <is>
          <t>Australia</t>
        </is>
      </c>
      <c r="N111" s="322" t="inlineStr">
        <is>
          <t>NA</t>
        </is>
      </c>
      <c r="O111" s="320" t="n">
        <v>1</v>
      </c>
      <c r="P111" s="322" t="n"/>
      <c r="Q111" s="341" t="inlineStr">
        <is>
          <t>cxc</t>
        </is>
      </c>
      <c r="R111" s="331" t="inlineStr">
        <is>
          <t>Daily</t>
        </is>
      </c>
      <c r="S111" s="322" t="n">
        <v>1350</v>
      </c>
      <c r="T111" s="334" t="n">
        <v>0</v>
      </c>
      <c r="U111" s="334" t="n"/>
      <c r="V111" s="318" t="n"/>
      <c r="W111" s="318" t="n"/>
      <c r="X111" s="318" t="n"/>
      <c r="Y111" s="318" t="n"/>
      <c r="Z111" s="318" t="n"/>
      <c r="AA111" s="704">
        <f>S111*222</f>
        <v>299700.0</v>
      </c>
      <c r="AC111" t="inlineStr">
        <is>
          <t>TDD Group Functions</t>
        </is>
      </c>
      <c r="AD111" t="inlineStr">
        <is>
          <t>EGI TDD</t>
        </is>
      </c>
      <c r="AE111" t="inlineStr">
        <is>
          <t>EGI TDD</t>
        </is>
      </c>
      <c r="AF111" t="inlineStr">
        <is>
          <t>Strategic Program</t>
        </is>
      </c>
      <c r="AG111" t="inlineStr">
        <is>
          <t>Filled</t>
        </is>
      </c>
    </row>
    <row r="112" hidden="1" ht="18" customHeight="1" s="506">
      <c r="A112" s="259" t="n">
        <v>99999100977</v>
      </c>
      <c r="B112" s="224" t="inlineStr">
        <is>
          <t>Warren Grieve</t>
        </is>
      </c>
      <c r="C112" s="317" t="inlineStr">
        <is>
          <t>Senior Site Systems Analyst</t>
        </is>
      </c>
      <c r="D112" s="224" t="inlineStr">
        <is>
          <t>Callan McLaughlin</t>
        </is>
      </c>
      <c r="E112" s="224" t="inlineStr">
        <is>
          <t>Technology Manager,  Site Systems</t>
        </is>
      </c>
      <c r="F112" s="224" t="inlineStr">
        <is>
          <t>Ampol Retail &amp; Z</t>
        </is>
      </c>
      <c r="G112" s="318" t="inlineStr">
        <is>
          <t>Z &amp; Group Retail</t>
        </is>
      </c>
      <c r="H112" s="224" t="inlineStr">
        <is>
          <t>Z &amp; Group Retail, Site Systems</t>
        </is>
      </c>
      <c r="I112" s="224" t="inlineStr">
        <is>
          <t>Z</t>
        </is>
      </c>
      <c r="J112" s="318" t="inlineStr">
        <is>
          <t>Z Customer</t>
        </is>
      </c>
      <c r="K112" s="224" t="inlineStr">
        <is>
          <t>Site Systems</t>
        </is>
      </c>
      <c r="L112" s="318" t="n"/>
      <c r="M112" s="319" t="inlineStr">
        <is>
          <t>NZ</t>
        </is>
      </c>
      <c r="N112" s="320" t="inlineStr">
        <is>
          <t>CIA</t>
        </is>
      </c>
      <c r="O112" s="321" t="n">
        <v>1</v>
      </c>
      <c r="P112" s="320" t="n"/>
      <c r="Q112" s="345" t="inlineStr">
        <is>
          <t>Permanent - Full Time</t>
        </is>
      </c>
      <c r="R112" s="322" t="n"/>
      <c r="S112" s="322" t="n"/>
      <c r="T112" s="334" t="n">
        <v>116710</v>
      </c>
      <c r="U112" s="705" t="n">
        <v>107373.2</v>
      </c>
      <c r="V112" s="324" t="n">
        <v>0.15</v>
      </c>
      <c r="W112" s="322" t="n"/>
      <c r="X112" s="325" t="n">
        <v>0.05</v>
      </c>
      <c r="Y112" s="700" t="n">
        <v>2910</v>
      </c>
      <c r="Z112" s="325" t="n">
        <v>0.03</v>
      </c>
      <c r="AA112" s="701">
        <f>U112*(1+V112+X112+Z112)+Y112</f>
        <v>134979.036</v>
      </c>
      <c r="AB112" t="n">
        <v>113624</v>
      </c>
      <c r="AC112" t="inlineStr">
        <is>
          <t>Z Retail</t>
        </is>
      </c>
      <c r="AD112" t="inlineStr">
        <is>
          <t>Z Customer</t>
        </is>
      </c>
      <c r="AE112" t="inlineStr">
        <is>
          <t>Site Systems</t>
        </is>
      </c>
      <c r="AF112" t="inlineStr">
        <is>
          <t>Squad</t>
        </is>
      </c>
      <c r="AG112" t="inlineStr">
        <is>
          <t>Filled</t>
        </is>
      </c>
    </row>
    <row r="113" hidden="1" ht="18" customHeight="1" s="506">
      <c r="A113" s="259" t="n">
        <v>114990</v>
      </c>
      <c r="B113" s="224" t="inlineStr">
        <is>
          <t>Zhan Zhang</t>
        </is>
      </c>
      <c r="C113" s="317" t="inlineStr">
        <is>
          <t>Solution Architect</t>
        </is>
      </c>
      <c r="D113" s="224" t="inlineStr">
        <is>
          <t>Vedran Jukic</t>
        </is>
      </c>
      <c r="E113" s="224" t="inlineStr">
        <is>
          <t>Technology Manager, Retail</t>
        </is>
      </c>
      <c r="F113" s="224" t="inlineStr">
        <is>
          <t>Ampol Retail &amp; Z</t>
        </is>
      </c>
      <c r="G113" s="318" t="inlineStr">
        <is>
          <t>Ampol Retail</t>
        </is>
      </c>
      <c r="H113" s="224" t="inlineStr">
        <is>
          <t>Ampol Retail, Technology</t>
        </is>
      </c>
      <c r="I113" s="224" t="inlineStr">
        <is>
          <t>Retail</t>
        </is>
      </c>
      <c r="J113" s="318" t="inlineStr">
        <is>
          <t>Merch / Supply Chain</t>
        </is>
      </c>
      <c r="K113" s="224" t="inlineStr">
        <is>
          <t>Merchandising &amp; Supply Chain</t>
        </is>
      </c>
      <c r="L113" s="318" t="n"/>
      <c r="M113" s="319" t="inlineStr">
        <is>
          <t>Australia</t>
        </is>
      </c>
      <c r="N113" s="320" t="inlineStr">
        <is>
          <t>CIC</t>
        </is>
      </c>
      <c r="O113" s="320" t="n">
        <v>1</v>
      </c>
      <c r="P113" s="320" t="n"/>
      <c r="Q113" s="343" t="inlineStr">
        <is>
          <t>Permanent - Full Time</t>
        </is>
      </c>
      <c r="R113" s="322" t="n"/>
      <c r="S113" s="322" t="n"/>
      <c r="T113" s="334" t="n">
        <v>182500</v>
      </c>
      <c r="U113" s="705" t="n">
        <v>182500</v>
      </c>
      <c r="V113" s="325" t="n">
        <v>0.12</v>
      </c>
      <c r="W113" s="702" t="n">
        <v>0.055</v>
      </c>
      <c r="X113" s="702" t="n">
        <v>0.12</v>
      </c>
      <c r="Y113" s="703" t="n"/>
      <c r="Z113" s="702" t="n">
        <v>0.04</v>
      </c>
      <c r="AA113" s="701">
        <f>U113*(1+V113+W113+X113+Y113+Z113)</f>
        <v>243637.5</v>
      </c>
      <c r="AC113" t="inlineStr">
        <is>
          <t>Ampol Retail</t>
        </is>
      </c>
      <c r="AD113" t="inlineStr">
        <is>
          <t>Above Store</t>
        </is>
      </c>
      <c r="AE113" t="inlineStr">
        <is>
          <t>Above Store</t>
        </is>
      </c>
      <c r="AF113" t="inlineStr">
        <is>
          <t>Squad</t>
        </is>
      </c>
      <c r="AG113" t="inlineStr">
        <is>
          <t>Filled</t>
        </is>
      </c>
    </row>
    <row r="114" hidden="1" ht="18" customHeight="1" s="506">
      <c r="A114" s="259" t="n">
        <v>114829</v>
      </c>
      <c r="B114" s="224" t="inlineStr">
        <is>
          <t>Zuan Zheng</t>
        </is>
      </c>
      <c r="C114" s="317" t="inlineStr">
        <is>
          <t>Systems Analyst</t>
        </is>
      </c>
      <c r="D114" s="224" t="inlineStr">
        <is>
          <t>Tracy Lee Reaper</t>
        </is>
      </c>
      <c r="E114" s="224" t="inlineStr">
        <is>
          <t>Tech Manager, Merchandising &amp; WFM</t>
        </is>
      </c>
      <c r="F114" s="224" t="inlineStr">
        <is>
          <t>Ampol Retail &amp; Z</t>
        </is>
      </c>
      <c r="G114" s="318" t="inlineStr">
        <is>
          <t>Ampol Retail</t>
        </is>
      </c>
      <c r="H114" s="224" t="inlineStr">
        <is>
          <t>Ampol Retail, Merch &amp; RTA</t>
        </is>
      </c>
      <c r="I114" s="224" t="inlineStr">
        <is>
          <t>Retail</t>
        </is>
      </c>
      <c r="J114" s="318" t="inlineStr">
        <is>
          <t>Merch / Supply Chain</t>
        </is>
      </c>
      <c r="K114" s="224" t="inlineStr">
        <is>
          <t>Merchandising &amp; Supply Chain</t>
        </is>
      </c>
      <c r="L114" s="318" t="n"/>
      <c r="M114" s="319" t="inlineStr">
        <is>
          <t>Singapore</t>
        </is>
      </c>
      <c r="N114" s="320" t="inlineStr">
        <is>
          <t>CIB</t>
        </is>
      </c>
      <c r="O114" s="320" t="n">
        <v>1</v>
      </c>
      <c r="P114" s="320" t="n"/>
      <c r="Q114" s="343" t="inlineStr">
        <is>
          <t>Permanent - Full Time</t>
        </is>
      </c>
      <c r="R114" s="322" t="n"/>
      <c r="S114" s="322" t="n"/>
      <c r="T114" s="334" t="n">
        <v>133000</v>
      </c>
      <c r="U114" s="705" t="n">
        <v>160930</v>
      </c>
      <c r="V114" s="325" t="n">
        <v>0.25</v>
      </c>
      <c r="W114" s="322" t="n"/>
      <c r="X114" s="325" t="n">
        <v>0.17</v>
      </c>
      <c r="Y114" s="700" t="n">
        <v>3310</v>
      </c>
      <c r="Z114" s="347" t="n">
        <v>0.045</v>
      </c>
      <c r="AA114" s="701">
        <f>U114*(1+V114+X114+Z114)+Y114</f>
        <v>239072.44999999998</v>
      </c>
      <c r="AC114" t="inlineStr">
        <is>
          <t>Ampol Retail</t>
        </is>
      </c>
      <c r="AD114" t="inlineStr">
        <is>
          <t>Above Store</t>
        </is>
      </c>
      <c r="AE114" t="inlineStr">
        <is>
          <t>Above Store</t>
        </is>
      </c>
      <c r="AF114" t="inlineStr">
        <is>
          <t>Squad</t>
        </is>
      </c>
      <c r="AG114" t="inlineStr">
        <is>
          <t>Filled</t>
        </is>
      </c>
    </row>
    <row r="115" hidden="1" ht="18" customHeight="1" s="506">
      <c r="A115" s="259" t="n">
        <v>113463</v>
      </c>
      <c r="B115" s="224" t="inlineStr">
        <is>
          <t>Alisha Allport</t>
        </is>
      </c>
      <c r="C115" s="317" t="inlineStr">
        <is>
          <t>Principal Experience Designer</t>
        </is>
      </c>
      <c r="D115" s="224" t="inlineStr">
        <is>
          <t>Byron Thornhill</t>
        </is>
      </c>
      <c r="E115" s="224" t="inlineStr">
        <is>
          <t>Design Manager</t>
        </is>
      </c>
      <c r="F115" s="224" t="inlineStr">
        <is>
          <t>Customer</t>
        </is>
      </c>
      <c r="G115" s="318" t="inlineStr">
        <is>
          <t>Digital</t>
        </is>
      </c>
      <c r="H115" s="318" t="inlineStr">
        <is>
          <t>Digital, Design</t>
        </is>
      </c>
      <c r="I115" s="318" t="inlineStr">
        <is>
          <t>Customer</t>
        </is>
      </c>
      <c r="J115" s="224" t="inlineStr">
        <is>
          <t>Ampol Digital</t>
        </is>
      </c>
      <c r="K115" s="224" t="inlineStr">
        <is>
          <t>Ampol App</t>
        </is>
      </c>
      <c r="L115" s="318" t="n"/>
      <c r="M115" s="319" t="inlineStr">
        <is>
          <t>Australia</t>
        </is>
      </c>
      <c r="N115" s="320" t="inlineStr">
        <is>
          <t>CIC</t>
        </is>
      </c>
      <c r="O115" s="320" t="n">
        <v>1</v>
      </c>
      <c r="P115" s="320" t="n"/>
      <c r="Q115" s="343" t="inlineStr">
        <is>
          <t>Permanent - Full Time</t>
        </is>
      </c>
      <c r="R115" s="322" t="n"/>
      <c r="S115" s="322" t="n"/>
      <c r="T115" s="334" t="n">
        <v>176280</v>
      </c>
      <c r="U115" s="705" t="n">
        <v>176280</v>
      </c>
      <c r="V115" s="325" t="n">
        <v>0.12</v>
      </c>
      <c r="W115" s="702" t="n">
        <v>0.055</v>
      </c>
      <c r="X115" s="702" t="n">
        <v>0.12</v>
      </c>
      <c r="Y115" s="703" t="n"/>
      <c r="Z115" s="702" t="n">
        <v>0.04</v>
      </c>
      <c r="AA115" s="701">
        <f>U115*(1+V115+W115+X115+Y115+Z115)</f>
        <v>235333.8</v>
      </c>
      <c r="AC115" t="inlineStr">
        <is>
          <t>Customer</t>
        </is>
      </c>
      <c r="AD115" t="inlineStr">
        <is>
          <t>Ampol Digital</t>
        </is>
      </c>
      <c r="AE115" t="inlineStr">
        <is>
          <t>Ampol App</t>
        </is>
      </c>
      <c r="AF115" t="inlineStr">
        <is>
          <t>Squad</t>
        </is>
      </c>
      <c r="AG115" t="inlineStr">
        <is>
          <t>Filled</t>
        </is>
      </c>
    </row>
    <row r="116" hidden="1" ht="18" customHeight="1" s="506">
      <c r="A116" s="259" t="inlineStr">
        <is>
          <t>C</t>
        </is>
      </c>
      <c r="B116" s="224" t="inlineStr">
        <is>
          <t>Annabel Phu</t>
        </is>
      </c>
      <c r="C116" s="317" t="inlineStr">
        <is>
          <t>Engineer - Mobile</t>
        </is>
      </c>
      <c r="D116" s="224" t="inlineStr">
        <is>
          <t>Mitesh Shah</t>
        </is>
      </c>
      <c r="E116" s="224" t="inlineStr">
        <is>
          <t>Technology Manager, Digitial</t>
        </is>
      </c>
      <c r="F116" s="224" t="inlineStr">
        <is>
          <t>Customer</t>
        </is>
      </c>
      <c r="G116" s="318" t="inlineStr">
        <is>
          <t>Digital</t>
        </is>
      </c>
      <c r="H116" s="224" t="inlineStr">
        <is>
          <t>Digital, Tech</t>
        </is>
      </c>
      <c r="I116" s="318" t="inlineStr">
        <is>
          <t>Customer</t>
        </is>
      </c>
      <c r="J116" s="224" t="inlineStr">
        <is>
          <t>Ampol Digital</t>
        </is>
      </c>
      <c r="K116" s="224" t="inlineStr">
        <is>
          <t>Ampol App</t>
        </is>
      </c>
      <c r="L116" s="318" t="n"/>
      <c r="M116" s="319" t="inlineStr">
        <is>
          <t>Australia</t>
        </is>
      </c>
      <c r="N116" s="322" t="inlineStr">
        <is>
          <t>NA</t>
        </is>
      </c>
      <c r="O116" s="320" t="n">
        <v>1</v>
      </c>
      <c r="P116" s="322" t="n"/>
      <c r="Q116" s="348" t="inlineStr">
        <is>
          <t>Contractor</t>
        </is>
      </c>
      <c r="R116" s="331" t="inlineStr">
        <is>
          <t>?</t>
        </is>
      </c>
      <c r="S116" s="349" t="n">
        <v>1200</v>
      </c>
      <c r="T116" s="334" t="n">
        <v>0</v>
      </c>
      <c r="U116" s="334" t="n"/>
      <c r="V116" s="318" t="n"/>
      <c r="W116" s="318" t="n"/>
      <c r="X116" s="318" t="n"/>
      <c r="Y116" s="318" t="n"/>
      <c r="Z116" s="318" t="n"/>
      <c r="AA116" s="704">
        <f>S116*222</f>
        <v>266400.0</v>
      </c>
      <c r="AC116" t="inlineStr">
        <is>
          <t>Customer</t>
        </is>
      </c>
      <c r="AD116" t="inlineStr">
        <is>
          <t>Ampol Digital</t>
        </is>
      </c>
      <c r="AE116" t="inlineStr">
        <is>
          <t>Ampol App</t>
        </is>
      </c>
      <c r="AF116" t="inlineStr">
        <is>
          <t>Squad</t>
        </is>
      </c>
      <c r="AG116" t="inlineStr">
        <is>
          <t>Filled</t>
        </is>
      </c>
    </row>
    <row r="117" hidden="1" ht="18" customHeight="1" s="506">
      <c r="A117" s="259" t="inlineStr">
        <is>
          <t>C</t>
        </is>
      </c>
      <c r="B117" s="224" t="inlineStr">
        <is>
          <t>Anup Antony</t>
        </is>
      </c>
      <c r="C117" s="317" t="inlineStr">
        <is>
          <t>Engineer - BE</t>
        </is>
      </c>
      <c r="D117" s="224" t="inlineStr">
        <is>
          <t>Vacant</t>
        </is>
      </c>
      <c r="E117" s="224" t="inlineStr">
        <is>
          <t>Technology Manager, Digital Engineering</t>
        </is>
      </c>
      <c r="F117" s="224" t="inlineStr">
        <is>
          <t>Customer</t>
        </is>
      </c>
      <c r="G117" s="318" t="inlineStr">
        <is>
          <t>Digital</t>
        </is>
      </c>
      <c r="H117" s="318" t="inlineStr">
        <is>
          <t>Tech, Digital Engineering</t>
        </is>
      </c>
      <c r="I117" s="318" t="inlineStr">
        <is>
          <t>Customer</t>
        </is>
      </c>
      <c r="J117" s="224" t="inlineStr">
        <is>
          <t>Ampol Digital</t>
        </is>
      </c>
      <c r="K117" s="224" t="inlineStr">
        <is>
          <t>Ampol App</t>
        </is>
      </c>
      <c r="L117" s="318" t="n"/>
      <c r="M117" s="319" t="inlineStr">
        <is>
          <t>Australia</t>
        </is>
      </c>
      <c r="N117" s="322" t="inlineStr">
        <is>
          <t>NA</t>
        </is>
      </c>
      <c r="O117" s="320" t="n">
        <v>1</v>
      </c>
      <c r="P117" s="322" t="n"/>
      <c r="Q117" s="341" t="inlineStr">
        <is>
          <t>cxc</t>
        </is>
      </c>
      <c r="R117" s="331" t="inlineStr">
        <is>
          <t>Daily</t>
        </is>
      </c>
      <c r="S117" s="322" t="n">
        <v>1064.26</v>
      </c>
      <c r="T117" s="334" t="n">
        <v>0</v>
      </c>
      <c r="U117" s="334" t="n"/>
      <c r="V117" s="318" t="n"/>
      <c r="W117" s="318" t="n"/>
      <c r="X117" s="318" t="n"/>
      <c r="Y117" s="318" t="n"/>
      <c r="Z117" s="318" t="n"/>
      <c r="AA117" s="704">
        <f>S117*222</f>
        <v>236265.72</v>
      </c>
      <c r="AC117" t="inlineStr">
        <is>
          <t>Customer</t>
        </is>
      </c>
      <c r="AD117" t="inlineStr">
        <is>
          <t>Ampol Digital</t>
        </is>
      </c>
      <c r="AE117" t="inlineStr">
        <is>
          <t>Ampol App</t>
        </is>
      </c>
      <c r="AF117" t="inlineStr">
        <is>
          <t>Squad</t>
        </is>
      </c>
      <c r="AG117" t="inlineStr">
        <is>
          <t>Filled</t>
        </is>
      </c>
    </row>
    <row r="118" hidden="1" ht="18" customHeight="1" s="506">
      <c r="A118" s="259" t="n">
        <v>108287</v>
      </c>
      <c r="B118" s="224" t="inlineStr">
        <is>
          <t>Binumon Mathai</t>
        </is>
      </c>
      <c r="C118" s="317" t="inlineStr">
        <is>
          <t>Senior Quality Assurance</t>
        </is>
      </c>
      <c r="D118" s="224" t="inlineStr">
        <is>
          <t>Mitesh Shah</t>
        </is>
      </c>
      <c r="E118" s="224" t="inlineStr">
        <is>
          <t>Technology Manager, Digitial</t>
        </is>
      </c>
      <c r="F118" s="224" t="inlineStr">
        <is>
          <t>Customer</t>
        </is>
      </c>
      <c r="G118" s="318" t="inlineStr">
        <is>
          <t>Digital</t>
        </is>
      </c>
      <c r="H118" s="224" t="inlineStr">
        <is>
          <t>Digital, Tech</t>
        </is>
      </c>
      <c r="I118" s="318" t="inlineStr">
        <is>
          <t>Customer</t>
        </is>
      </c>
      <c r="J118" s="224" t="inlineStr">
        <is>
          <t>Ampol Digital</t>
        </is>
      </c>
      <c r="K118" s="224" t="inlineStr">
        <is>
          <t>Ampol App</t>
        </is>
      </c>
      <c r="L118" s="318" t="n"/>
      <c r="M118" s="319" t="inlineStr">
        <is>
          <t>Australia</t>
        </is>
      </c>
      <c r="N118" s="320" t="inlineStr">
        <is>
          <t>CIB</t>
        </is>
      </c>
      <c r="O118" s="320" t="n">
        <v>1</v>
      </c>
      <c r="P118" s="320" t="n"/>
      <c r="Q118" s="343" t="inlineStr">
        <is>
          <t>Permanent - Full Time</t>
        </is>
      </c>
      <c r="R118" s="322" t="n"/>
      <c r="S118" s="322" t="n"/>
      <c r="T118" s="334" t="n">
        <v>163310</v>
      </c>
      <c r="U118" s="705" t="n">
        <v>163310</v>
      </c>
      <c r="V118" s="325" t="n">
        <v>0.12</v>
      </c>
      <c r="W118" s="702" t="n">
        <v>0.055</v>
      </c>
      <c r="X118" s="702" t="n">
        <v>0.12</v>
      </c>
      <c r="Y118" s="703" t="n"/>
      <c r="Z118" s="702" t="n">
        <v>0.04</v>
      </c>
      <c r="AA118" s="701">
        <f>U118*(1+V118+W118+X118+Y118+Z118)</f>
        <v>218018.85</v>
      </c>
      <c r="AC118" t="inlineStr">
        <is>
          <t>Customer</t>
        </is>
      </c>
      <c r="AD118" t="inlineStr">
        <is>
          <t>Ampol Digital</t>
        </is>
      </c>
      <c r="AE118" t="inlineStr">
        <is>
          <t>Ampol App</t>
        </is>
      </c>
      <c r="AF118" t="inlineStr">
        <is>
          <t>Squad</t>
        </is>
      </c>
      <c r="AG118" t="inlineStr">
        <is>
          <t>Filled</t>
        </is>
      </c>
    </row>
    <row r="119" hidden="1" ht="18" customHeight="1" s="506">
      <c r="A119" s="259" t="n">
        <v>114411</v>
      </c>
      <c r="B119" s="224" t="inlineStr">
        <is>
          <t>Edwin Justin</t>
        </is>
      </c>
      <c r="C119" s="317" t="inlineStr">
        <is>
          <t>Senior Engineer - BE</t>
        </is>
      </c>
      <c r="D119" s="224" t="inlineStr">
        <is>
          <t>Khalid Mahmud</t>
        </is>
      </c>
      <c r="E119" s="224" t="inlineStr">
        <is>
          <t>Lead Engineer - BE</t>
        </is>
      </c>
      <c r="F119" s="224" t="inlineStr">
        <is>
          <t>Customer</t>
        </is>
      </c>
      <c r="G119" s="318" t="inlineStr">
        <is>
          <t>Digital</t>
        </is>
      </c>
      <c r="H119" s="318" t="inlineStr">
        <is>
          <t>Tech, Digital Engineering</t>
        </is>
      </c>
      <c r="I119" s="318" t="inlineStr">
        <is>
          <t>Customer</t>
        </is>
      </c>
      <c r="J119" s="224" t="inlineStr">
        <is>
          <t>Ampol Digital</t>
        </is>
      </c>
      <c r="K119" s="224" t="inlineStr">
        <is>
          <t>Ampol App</t>
        </is>
      </c>
      <c r="L119" s="318" t="n"/>
      <c r="M119" s="319" t="inlineStr">
        <is>
          <t>Australia</t>
        </is>
      </c>
      <c r="N119" s="320" t="inlineStr">
        <is>
          <t>CIB</t>
        </is>
      </c>
      <c r="O119" s="320" t="n">
        <v>1</v>
      </c>
      <c r="P119" s="320" t="n"/>
      <c r="Q119" s="343" t="inlineStr">
        <is>
          <t>Permanent - Full Time</t>
        </is>
      </c>
      <c r="R119" s="322" t="n"/>
      <c r="S119" s="322" t="n"/>
      <c r="T119" s="334" t="n">
        <v>161830</v>
      </c>
      <c r="U119" s="705" t="n">
        <v>161830</v>
      </c>
      <c r="V119" s="325" t="n">
        <v>0.12</v>
      </c>
      <c r="W119" s="702" t="n">
        <v>0.055</v>
      </c>
      <c r="X119" s="702" t="n">
        <v>0.12</v>
      </c>
      <c r="Y119" s="703" t="n"/>
      <c r="Z119" s="702" t="n">
        <v>0.04</v>
      </c>
      <c r="AA119" s="701">
        <f>U119*(1+V119+W119+X119+Y119+Z119)</f>
        <v>216043.05</v>
      </c>
      <c r="AC119" t="inlineStr">
        <is>
          <t>Customer</t>
        </is>
      </c>
      <c r="AD119" t="inlineStr">
        <is>
          <t>Ampol Digital</t>
        </is>
      </c>
      <c r="AE119" t="inlineStr">
        <is>
          <t>Ampol App</t>
        </is>
      </c>
      <c r="AF119" t="inlineStr">
        <is>
          <t>Squad</t>
        </is>
      </c>
      <c r="AG119" t="inlineStr">
        <is>
          <t>Filled</t>
        </is>
      </c>
    </row>
    <row r="120" hidden="1" ht="18" customHeight="1" s="506">
      <c r="A120" s="259" t="n">
        <v>98015</v>
      </c>
      <c r="B120" s="224" t="inlineStr">
        <is>
          <t>Ethan Laffan</t>
        </is>
      </c>
      <c r="C120" s="317" t="inlineStr">
        <is>
          <t>Associate Experience Designer</t>
        </is>
      </c>
      <c r="D120" s="224" t="inlineStr">
        <is>
          <t>Byron Thornhill</t>
        </is>
      </c>
      <c r="E120" s="224" t="inlineStr">
        <is>
          <t>Design Manager</t>
        </is>
      </c>
      <c r="F120" s="224" t="inlineStr">
        <is>
          <t>Customer</t>
        </is>
      </c>
      <c r="G120" s="318" t="inlineStr">
        <is>
          <t>Digital</t>
        </is>
      </c>
      <c r="H120" s="318" t="inlineStr">
        <is>
          <t>Digital, Design</t>
        </is>
      </c>
      <c r="I120" s="224" t="inlineStr">
        <is>
          <t>Customer</t>
        </is>
      </c>
      <c r="J120" s="224" t="inlineStr">
        <is>
          <t>Ampol Digital</t>
        </is>
      </c>
      <c r="K120" s="224" t="inlineStr">
        <is>
          <t>Ampol App</t>
        </is>
      </c>
      <c r="L120" s="318" t="n"/>
      <c r="M120" s="319" t="inlineStr">
        <is>
          <t>Australia</t>
        </is>
      </c>
      <c r="N120" s="320" t="inlineStr">
        <is>
          <t>CDC</t>
        </is>
      </c>
      <c r="O120" s="320" t="n">
        <v>1</v>
      </c>
      <c r="P120" s="320" t="n"/>
      <c r="Q120" s="343" t="inlineStr">
        <is>
          <t>Permanent - Full Time</t>
        </is>
      </c>
      <c r="R120" s="322" t="n"/>
      <c r="S120" s="322" t="n"/>
      <c r="T120" s="334" t="n">
        <v>111380</v>
      </c>
      <c r="U120" s="705" t="n">
        <v>111380</v>
      </c>
      <c r="V120" s="325" t="n">
        <v>0.1</v>
      </c>
      <c r="W120" s="702" t="n">
        <v>0.055</v>
      </c>
      <c r="X120" s="702" t="n">
        <v>0.12</v>
      </c>
      <c r="Y120" s="703" t="n"/>
      <c r="Z120" s="702" t="n">
        <v>0.04</v>
      </c>
      <c r="AA120" s="701">
        <f>U120*(1+V120+W120+X120+Y120+Z120)</f>
        <v>146464.69999999998</v>
      </c>
      <c r="AC120" t="inlineStr">
        <is>
          <t>Customer</t>
        </is>
      </c>
      <c r="AD120" t="inlineStr">
        <is>
          <t>Ampol Digital</t>
        </is>
      </c>
      <c r="AE120" t="inlineStr">
        <is>
          <t>Ampol App</t>
        </is>
      </c>
      <c r="AF120" t="inlineStr">
        <is>
          <t>Squad</t>
        </is>
      </c>
      <c r="AG120" t="inlineStr">
        <is>
          <t>Filled</t>
        </is>
      </c>
    </row>
    <row r="121" hidden="1" ht="18" customHeight="1" s="506">
      <c r="A121" s="259" t="n">
        <v>97634</v>
      </c>
      <c r="B121" s="224" t="inlineStr">
        <is>
          <t>Khalid Mahmud</t>
        </is>
      </c>
      <c r="C121" s="317" t="inlineStr">
        <is>
          <t>Lead Engineer - BE</t>
        </is>
      </c>
      <c r="D121" s="224" t="inlineStr">
        <is>
          <t>Vacant</t>
        </is>
      </c>
      <c r="E121" s="224" t="inlineStr">
        <is>
          <t>Technology Manager, Digital Engineering</t>
        </is>
      </c>
      <c r="F121" s="224" t="inlineStr">
        <is>
          <t>Customer</t>
        </is>
      </c>
      <c r="G121" s="318" t="inlineStr">
        <is>
          <t>Digital</t>
        </is>
      </c>
      <c r="H121" s="318" t="inlineStr">
        <is>
          <t>Tech, Digital Engineering</t>
        </is>
      </c>
      <c r="I121" s="318" t="inlineStr">
        <is>
          <t>Customer</t>
        </is>
      </c>
      <c r="J121" s="224" t="inlineStr">
        <is>
          <t>Ampol Digital</t>
        </is>
      </c>
      <c r="K121" s="224" t="inlineStr">
        <is>
          <t>Ampol App</t>
        </is>
      </c>
      <c r="L121" s="318" t="n"/>
      <c r="M121" s="319" t="inlineStr">
        <is>
          <t>Australia</t>
        </is>
      </c>
      <c r="N121" s="320" t="inlineStr">
        <is>
          <t>CIC</t>
        </is>
      </c>
      <c r="O121" s="320" t="n">
        <v>1</v>
      </c>
      <c r="P121" s="320" t="n"/>
      <c r="Q121" s="343" t="inlineStr">
        <is>
          <t>Permanent - Full Time</t>
        </is>
      </c>
      <c r="R121" s="322" t="n"/>
      <c r="S121" s="322" t="n"/>
      <c r="T121" s="334" t="n">
        <v>194910</v>
      </c>
      <c r="U121" s="705" t="n">
        <v>194910</v>
      </c>
      <c r="V121" s="325" t="n">
        <v>0.12</v>
      </c>
      <c r="W121" s="702" t="n">
        <v>0.055</v>
      </c>
      <c r="X121" s="702" t="n">
        <v>0.12</v>
      </c>
      <c r="Y121" s="703" t="n"/>
      <c r="Z121" s="702" t="n">
        <v>0.04</v>
      </c>
      <c r="AA121" s="701">
        <f>U121*(1+V121+W121+X121+Y121+Z121)</f>
        <v>260204.85</v>
      </c>
      <c r="AC121" t="inlineStr">
        <is>
          <t>Customer</t>
        </is>
      </c>
      <c r="AD121" t="inlineStr">
        <is>
          <t>Ampol Digital</t>
        </is>
      </c>
      <c r="AE121" t="inlineStr">
        <is>
          <t>Ampol App</t>
        </is>
      </c>
      <c r="AF121" t="inlineStr">
        <is>
          <t>Squad</t>
        </is>
      </c>
      <c r="AG121" t="inlineStr">
        <is>
          <t>Filled</t>
        </is>
      </c>
    </row>
    <row r="122" hidden="1" ht="18" customHeight="1" s="506">
      <c r="A122" s="259" t="n">
        <v>116714</v>
      </c>
      <c r="B122" s="224" t="inlineStr">
        <is>
          <t>Maria Salman</t>
        </is>
      </c>
      <c r="C122" s="317" t="inlineStr">
        <is>
          <t>Experience Designer</t>
        </is>
      </c>
      <c r="D122" s="224" t="inlineStr">
        <is>
          <t>Byron Thornhill</t>
        </is>
      </c>
      <c r="E122" s="224" t="inlineStr">
        <is>
          <t>Design Manager</t>
        </is>
      </c>
      <c r="F122" s="224" t="inlineStr">
        <is>
          <t>Customer</t>
        </is>
      </c>
      <c r="G122" s="318" t="inlineStr">
        <is>
          <t>Digital</t>
        </is>
      </c>
      <c r="H122" s="318" t="inlineStr">
        <is>
          <t>Digital, Design</t>
        </is>
      </c>
      <c r="I122" s="318" t="inlineStr">
        <is>
          <t>Customer</t>
        </is>
      </c>
      <c r="J122" s="224" t="inlineStr">
        <is>
          <t>Ampol Digital</t>
        </is>
      </c>
      <c r="K122" s="224" t="inlineStr">
        <is>
          <t>Ampol App</t>
        </is>
      </c>
      <c r="L122" s="318" t="n"/>
      <c r="M122" s="319" t="inlineStr">
        <is>
          <t>Australia</t>
        </is>
      </c>
      <c r="N122" s="320" t="inlineStr">
        <is>
          <t>CIC</t>
        </is>
      </c>
      <c r="O122" s="320" t="n">
        <v>1</v>
      </c>
      <c r="P122" s="320" t="n"/>
      <c r="Q122" s="343" t="inlineStr">
        <is>
          <t>Temporary - Full Time</t>
        </is>
      </c>
      <c r="R122" s="322" t="n"/>
      <c r="S122" s="322" t="n"/>
      <c r="T122" s="334" t="n">
        <v>150000</v>
      </c>
      <c r="U122" s="705" t="n">
        <v>150000</v>
      </c>
      <c r="V122" s="325" t="n">
        <v>0.12</v>
      </c>
      <c r="W122" s="702" t="n">
        <v>0.055</v>
      </c>
      <c r="X122" s="702" t="n">
        <v>0.12</v>
      </c>
      <c r="Y122" s="703" t="n"/>
      <c r="Z122" s="702" t="n">
        <v>0.04</v>
      </c>
      <c r="AA122" s="701">
        <f>U122*(1+V122+W122+X122+Y122+Z122)</f>
        <v>200250.0</v>
      </c>
      <c r="AC122" t="inlineStr">
        <is>
          <t>Customer</t>
        </is>
      </c>
      <c r="AD122" t="inlineStr">
        <is>
          <t>Ampol Digital</t>
        </is>
      </c>
      <c r="AE122" t="inlineStr">
        <is>
          <t>Ampol App</t>
        </is>
      </c>
      <c r="AF122" t="inlineStr">
        <is>
          <t>Squad</t>
        </is>
      </c>
      <c r="AG122" t="inlineStr">
        <is>
          <t>Filled</t>
        </is>
      </c>
    </row>
    <row r="123" hidden="1" ht="18" customHeight="1" s="506">
      <c r="A123" s="259" t="n">
        <v>94663</v>
      </c>
      <c r="B123" s="224" t="inlineStr">
        <is>
          <t>Penny Pennisi</t>
        </is>
      </c>
      <c r="C123" s="317" t="inlineStr">
        <is>
          <t>Delivery Lead</t>
        </is>
      </c>
      <c r="D123" s="318" t="inlineStr">
        <is>
          <t>Vacant</t>
        </is>
      </c>
      <c r="E123" s="224" t="inlineStr">
        <is>
          <t>Delivery Manager, Digital</t>
        </is>
      </c>
      <c r="F123" s="224" t="inlineStr">
        <is>
          <t>Customer</t>
        </is>
      </c>
      <c r="G123" s="318" t="inlineStr">
        <is>
          <t>Digital</t>
        </is>
      </c>
      <c r="H123" s="318" t="inlineStr">
        <is>
          <t>Digital, Delivery</t>
        </is>
      </c>
      <c r="I123" s="318" t="inlineStr">
        <is>
          <t>Customer</t>
        </is>
      </c>
      <c r="J123" s="224" t="inlineStr">
        <is>
          <t>Ampol Digital</t>
        </is>
      </c>
      <c r="K123" s="224" t="inlineStr">
        <is>
          <t>Ampol App</t>
        </is>
      </c>
      <c r="L123" s="318" t="n"/>
      <c r="M123" s="319" t="inlineStr">
        <is>
          <t>Australia</t>
        </is>
      </c>
      <c r="N123" s="320" t="inlineStr">
        <is>
          <t>CIC</t>
        </is>
      </c>
      <c r="O123" s="320" t="n">
        <v>1</v>
      </c>
      <c r="P123" s="320" t="n"/>
      <c r="Q123" s="343" t="inlineStr">
        <is>
          <t>Permanent - Full Time</t>
        </is>
      </c>
      <c r="R123" s="322" t="n"/>
      <c r="S123" s="322" t="n"/>
      <c r="T123" s="334" t="n">
        <v>190980</v>
      </c>
      <c r="U123" s="705" t="n">
        <v>190980</v>
      </c>
      <c r="V123" s="325" t="n">
        <v>0.12</v>
      </c>
      <c r="W123" s="702" t="n">
        <v>0.055</v>
      </c>
      <c r="X123" s="702" t="n">
        <v>0.12</v>
      </c>
      <c r="Y123" s="703" t="n"/>
      <c r="Z123" s="702" t="n">
        <v>0.04</v>
      </c>
      <c r="AA123" s="701">
        <f>U123*(1+V123+W123+X123+Y123+Z123)</f>
        <v>254958.3</v>
      </c>
      <c r="AC123" t="inlineStr">
        <is>
          <t>Customer</t>
        </is>
      </c>
      <c r="AD123" t="inlineStr">
        <is>
          <t>Ampol Digital</t>
        </is>
      </c>
      <c r="AE123" t="inlineStr">
        <is>
          <t>Ampol App</t>
        </is>
      </c>
      <c r="AF123" t="inlineStr">
        <is>
          <t>Squad</t>
        </is>
      </c>
      <c r="AG123" t="inlineStr">
        <is>
          <t>Filled</t>
        </is>
      </c>
    </row>
    <row r="124" hidden="1" ht="18" customHeight="1" s="506">
      <c r="A124" s="259" t="inlineStr">
        <is>
          <t>C</t>
        </is>
      </c>
      <c r="B124" s="224" t="inlineStr">
        <is>
          <t>Peter Lee</t>
        </is>
      </c>
      <c r="C124" s="317" t="inlineStr">
        <is>
          <t>Snr Business Analyst</t>
        </is>
      </c>
      <c r="D124" s="318" t="inlineStr">
        <is>
          <t>Vacant</t>
        </is>
      </c>
      <c r="E124" s="224" t="inlineStr">
        <is>
          <t>Delivery Manager, Digital</t>
        </is>
      </c>
      <c r="F124" s="224" t="inlineStr">
        <is>
          <t>Customer</t>
        </is>
      </c>
      <c r="G124" s="318" t="inlineStr">
        <is>
          <t>Digital</t>
        </is>
      </c>
      <c r="H124" s="318" t="inlineStr">
        <is>
          <t>Digital, Delivery</t>
        </is>
      </c>
      <c r="I124" s="318" t="inlineStr">
        <is>
          <t>Customer</t>
        </is>
      </c>
      <c r="J124" s="224" t="inlineStr">
        <is>
          <t>Ampol Digital</t>
        </is>
      </c>
      <c r="K124" s="224" t="inlineStr">
        <is>
          <t>Ampol App</t>
        </is>
      </c>
      <c r="L124" s="318" t="n"/>
      <c r="M124" s="319" t="inlineStr">
        <is>
          <t>Australia</t>
        </is>
      </c>
      <c r="N124" s="322" t="inlineStr">
        <is>
          <t>NA</t>
        </is>
      </c>
      <c r="O124" s="320" t="n">
        <v>1</v>
      </c>
      <c r="P124" s="322" t="n"/>
      <c r="Q124" s="348" t="inlineStr">
        <is>
          <t>Contractor</t>
        </is>
      </c>
      <c r="R124" s="331" t="inlineStr">
        <is>
          <t>?</t>
        </is>
      </c>
      <c r="S124" s="349" t="n">
        <v>1200</v>
      </c>
      <c r="T124" s="334" t="n">
        <v>0</v>
      </c>
      <c r="U124" s="334" t="n"/>
      <c r="V124" s="318" t="n"/>
      <c r="W124" s="318" t="n"/>
      <c r="X124" s="318" t="n"/>
      <c r="Y124" s="318" t="n"/>
      <c r="Z124" s="318" t="n"/>
      <c r="AA124" s="704">
        <f>S124*222</f>
        <v>266400.0</v>
      </c>
      <c r="AC124" t="inlineStr">
        <is>
          <t>Customer</t>
        </is>
      </c>
      <c r="AD124" t="inlineStr">
        <is>
          <t>Ampol Digital</t>
        </is>
      </c>
      <c r="AE124" t="inlineStr">
        <is>
          <t>Ampol App</t>
        </is>
      </c>
      <c r="AF124" t="inlineStr">
        <is>
          <t>Squad</t>
        </is>
      </c>
      <c r="AG124" t="inlineStr">
        <is>
          <t>Filled</t>
        </is>
      </c>
    </row>
    <row r="125" hidden="1" ht="18" customHeight="1" s="506">
      <c r="A125" s="259" t="inlineStr">
        <is>
          <t>C</t>
        </is>
      </c>
      <c r="B125" s="224" t="inlineStr">
        <is>
          <t>Phillip Kewley</t>
        </is>
      </c>
      <c r="C125" s="317" t="inlineStr">
        <is>
          <t>Quality Assurance</t>
        </is>
      </c>
      <c r="D125" s="224" t="inlineStr">
        <is>
          <t>Mitesh Shah</t>
        </is>
      </c>
      <c r="E125" s="224" t="inlineStr">
        <is>
          <t>Technology Manager, Digitial</t>
        </is>
      </c>
      <c r="F125" s="224" t="inlineStr">
        <is>
          <t>Customer</t>
        </is>
      </c>
      <c r="G125" s="318" t="inlineStr">
        <is>
          <t>Digital</t>
        </is>
      </c>
      <c r="H125" s="224" t="inlineStr">
        <is>
          <t>Digital, Tech</t>
        </is>
      </c>
      <c r="I125" s="318" t="inlineStr">
        <is>
          <t>Customer</t>
        </is>
      </c>
      <c r="J125" s="224" t="inlineStr">
        <is>
          <t>Ampol Digital</t>
        </is>
      </c>
      <c r="K125" s="224" t="inlineStr">
        <is>
          <t>Ampol App</t>
        </is>
      </c>
      <c r="L125" s="318" t="n"/>
      <c r="M125" s="319" t="inlineStr">
        <is>
          <t>Australia</t>
        </is>
      </c>
      <c r="N125" s="322" t="inlineStr">
        <is>
          <t>NA</t>
        </is>
      </c>
      <c r="O125" s="320" t="n">
        <v>1</v>
      </c>
      <c r="P125" s="322" t="n"/>
      <c r="Q125" s="341" t="inlineStr">
        <is>
          <t>cxc</t>
        </is>
      </c>
      <c r="R125" s="331" t="inlineStr">
        <is>
          <t>Daily</t>
        </is>
      </c>
      <c r="S125" s="322" t="n">
        <v>807.2</v>
      </c>
      <c r="T125" s="334" t="n">
        <v>0</v>
      </c>
      <c r="U125" s="334" t="n"/>
      <c r="V125" s="318" t="n"/>
      <c r="W125" s="318" t="n"/>
      <c r="X125" s="318" t="n"/>
      <c r="Y125" s="318" t="n"/>
      <c r="Z125" s="318" t="n"/>
      <c r="AA125" s="704">
        <f>S125*222</f>
        <v>179198.40000000002</v>
      </c>
      <c r="AC125" t="inlineStr">
        <is>
          <t>Customer</t>
        </is>
      </c>
      <c r="AD125" t="inlineStr">
        <is>
          <t>Ampol Digital</t>
        </is>
      </c>
      <c r="AE125" t="inlineStr">
        <is>
          <t>Ampol App</t>
        </is>
      </c>
      <c r="AF125" t="inlineStr">
        <is>
          <t>Squad</t>
        </is>
      </c>
      <c r="AG125" t="inlineStr">
        <is>
          <t>Filled</t>
        </is>
      </c>
    </row>
    <row r="126" hidden="1" ht="18" customHeight="1" s="506">
      <c r="A126" s="259" t="n">
        <v>116957</v>
      </c>
      <c r="B126" s="335" t="inlineStr">
        <is>
          <t>Raj Ganesan</t>
        </is>
      </c>
      <c r="C126" s="336" t="inlineStr">
        <is>
          <t>Engineer - Mobile (ios)</t>
        </is>
      </c>
      <c r="D126" s="318" t="inlineStr">
        <is>
          <t>Mitesh Shah</t>
        </is>
      </c>
      <c r="E126" s="224" t="inlineStr">
        <is>
          <t>Technology Manager, Digitial</t>
        </is>
      </c>
      <c r="F126" s="224" t="inlineStr">
        <is>
          <t>Customer</t>
        </is>
      </c>
      <c r="G126" s="318" t="inlineStr">
        <is>
          <t>Digital</t>
        </is>
      </c>
      <c r="H126" s="318" t="inlineStr">
        <is>
          <t>Tech, Digital</t>
        </is>
      </c>
      <c r="I126" s="318" t="inlineStr">
        <is>
          <t>Customer</t>
        </is>
      </c>
      <c r="J126" s="224" t="inlineStr">
        <is>
          <t>Ampol Digital</t>
        </is>
      </c>
      <c r="K126" s="224" t="inlineStr">
        <is>
          <t>Ampol App</t>
        </is>
      </c>
      <c r="L126" s="318" t="n"/>
      <c r="M126" s="319" t="inlineStr">
        <is>
          <t>Australia</t>
        </is>
      </c>
      <c r="N126" s="320" t="inlineStr">
        <is>
          <t>CIB</t>
        </is>
      </c>
      <c r="O126" s="350" t="n">
        <v>1</v>
      </c>
      <c r="P126" s="350" t="n"/>
      <c r="Q126" s="343" t="inlineStr">
        <is>
          <t>Temporary - Full Time</t>
        </is>
      </c>
      <c r="R126" s="351" t="n"/>
      <c r="S126" s="351" t="n"/>
      <c r="T126" s="334" t="n">
        <v>165000</v>
      </c>
      <c r="U126" s="705" t="n">
        <v>165000</v>
      </c>
      <c r="V126" s="325" t="n">
        <v>0.12</v>
      </c>
      <c r="W126" s="702" t="n">
        <v>0.055</v>
      </c>
      <c r="X126" s="702" t="n">
        <v>0.12</v>
      </c>
      <c r="Y126" s="703" t="n"/>
      <c r="Z126" s="702" t="n">
        <v>0.04</v>
      </c>
      <c r="AA126" s="701">
        <f>U126*(1+V126+W126+X126+Y126+Z126)</f>
        <v>220275.0</v>
      </c>
      <c r="AC126" t="inlineStr">
        <is>
          <t>Customer</t>
        </is>
      </c>
      <c r="AD126" t="inlineStr">
        <is>
          <t>Ampol Digital</t>
        </is>
      </c>
      <c r="AE126" t="inlineStr">
        <is>
          <t>Ampol App</t>
        </is>
      </c>
      <c r="AF126" t="inlineStr">
        <is>
          <t>Squad</t>
        </is>
      </c>
      <c r="AG126" t="inlineStr">
        <is>
          <t>Filled</t>
        </is>
      </c>
    </row>
    <row r="127" hidden="1" ht="18" customHeight="1" s="506">
      <c r="A127" s="259" t="inlineStr">
        <is>
          <t>C</t>
        </is>
      </c>
      <c r="B127" s="224" t="inlineStr">
        <is>
          <t>Sheetal Karkera</t>
        </is>
      </c>
      <c r="C127" s="317" t="inlineStr">
        <is>
          <t>Lead Engineer - Mobile</t>
        </is>
      </c>
      <c r="D127" s="224" t="inlineStr">
        <is>
          <t>Mitesh Shah</t>
        </is>
      </c>
      <c r="E127" s="224" t="inlineStr">
        <is>
          <t>Technology Manager, Digitial</t>
        </is>
      </c>
      <c r="F127" s="224" t="inlineStr">
        <is>
          <t>Customer</t>
        </is>
      </c>
      <c r="G127" s="318" t="inlineStr">
        <is>
          <t>Digital</t>
        </is>
      </c>
      <c r="H127" s="224" t="inlineStr">
        <is>
          <t>Digital, Tech</t>
        </is>
      </c>
      <c r="I127" s="318" t="inlineStr">
        <is>
          <t>Customer</t>
        </is>
      </c>
      <c r="J127" s="224" t="inlineStr">
        <is>
          <t>Ampol Digital</t>
        </is>
      </c>
      <c r="K127" s="224" t="inlineStr">
        <is>
          <t>Ampol App</t>
        </is>
      </c>
      <c r="L127" s="318" t="n"/>
      <c r="M127" s="319" t="inlineStr">
        <is>
          <t>Australia</t>
        </is>
      </c>
      <c r="N127" s="322" t="inlineStr">
        <is>
          <t>NA</t>
        </is>
      </c>
      <c r="O127" s="320" t="n">
        <v>1</v>
      </c>
      <c r="P127" s="322" t="n"/>
      <c r="Q127" s="322" t="inlineStr">
        <is>
          <t>cxc</t>
        </is>
      </c>
      <c r="R127" s="331" t="inlineStr">
        <is>
          <t>Daily</t>
        </is>
      </c>
      <c r="S127" s="322" t="n">
        <v>1150</v>
      </c>
      <c r="T127" s="334" t="n">
        <v>0</v>
      </c>
      <c r="U127" s="334" t="n"/>
      <c r="V127" s="318" t="n"/>
      <c r="W127" s="318" t="n"/>
      <c r="X127" s="318" t="n"/>
      <c r="Y127" s="318" t="n"/>
      <c r="Z127" s="318" t="n"/>
      <c r="AA127" s="704">
        <f>S127*222</f>
        <v>255300.0</v>
      </c>
      <c r="AC127" t="inlineStr">
        <is>
          <t>Customer</t>
        </is>
      </c>
      <c r="AD127" t="inlineStr">
        <is>
          <t>Ampol Digital</t>
        </is>
      </c>
      <c r="AE127" t="inlineStr">
        <is>
          <t>Ampol App</t>
        </is>
      </c>
      <c r="AF127" t="inlineStr">
        <is>
          <t>Squad</t>
        </is>
      </c>
      <c r="AG127" t="inlineStr">
        <is>
          <t>Filled</t>
        </is>
      </c>
    </row>
    <row r="128" hidden="1" ht="18" customHeight="1" s="506">
      <c r="A128" s="259" t="n">
        <v>115964</v>
      </c>
      <c r="B128" s="224" t="inlineStr">
        <is>
          <t>Toby Clark</t>
        </is>
      </c>
      <c r="C128" s="317" t="inlineStr">
        <is>
          <t>Engineer - Mobile (iOS)</t>
        </is>
      </c>
      <c r="D128" s="224" t="inlineStr">
        <is>
          <t>Mitesh Shah</t>
        </is>
      </c>
      <c r="E128" s="224" t="inlineStr">
        <is>
          <t>Technology Manager, Digitial</t>
        </is>
      </c>
      <c r="F128" s="224" t="inlineStr">
        <is>
          <t>Customer</t>
        </is>
      </c>
      <c r="G128" s="318" t="inlineStr">
        <is>
          <t>Digital</t>
        </is>
      </c>
      <c r="H128" s="224" t="inlineStr">
        <is>
          <t>Digital, Tech</t>
        </is>
      </c>
      <c r="I128" s="318" t="inlineStr">
        <is>
          <t>Customer</t>
        </is>
      </c>
      <c r="J128" s="224" t="inlineStr">
        <is>
          <t>Ampol Digital</t>
        </is>
      </c>
      <c r="K128" s="224" t="inlineStr">
        <is>
          <t>Ampol App</t>
        </is>
      </c>
      <c r="L128" s="318" t="n"/>
      <c r="M128" s="319" t="inlineStr">
        <is>
          <t>Australia</t>
        </is>
      </c>
      <c r="N128" s="320" t="inlineStr">
        <is>
          <t>CIB</t>
        </is>
      </c>
      <c r="O128" s="320" t="n">
        <v>1</v>
      </c>
      <c r="P128" s="320" t="n"/>
      <c r="Q128" s="320" t="inlineStr">
        <is>
          <t>Permanent - Full Time</t>
        </is>
      </c>
      <c r="R128" s="322" t="n"/>
      <c r="S128" s="322" t="n"/>
      <c r="T128" s="334" t="n">
        <v>126350</v>
      </c>
      <c r="U128" s="705" t="n">
        <v>126350</v>
      </c>
      <c r="V128" s="325" t="n">
        <v>0.12</v>
      </c>
      <c r="W128" s="702" t="n">
        <v>0.055</v>
      </c>
      <c r="X128" s="702" t="n">
        <v>0.12</v>
      </c>
      <c r="Y128" s="703" t="n"/>
      <c r="Z128" s="702" t="n">
        <v>0.04</v>
      </c>
      <c r="AA128" s="701">
        <f>U128*(1+V128+W128+X128+Y128+Z128)</f>
        <v>168677.25</v>
      </c>
      <c r="AC128" t="inlineStr">
        <is>
          <t>Customer</t>
        </is>
      </c>
      <c r="AD128" t="inlineStr">
        <is>
          <t>Ampol Digital</t>
        </is>
      </c>
      <c r="AE128" t="inlineStr">
        <is>
          <t>Ampol App</t>
        </is>
      </c>
      <c r="AF128" t="inlineStr">
        <is>
          <t>Squad</t>
        </is>
      </c>
      <c r="AG128" t="inlineStr">
        <is>
          <t>Filled</t>
        </is>
      </c>
    </row>
    <row r="129" hidden="1" ht="18" customHeight="1" s="506">
      <c r="A129" s="259" t="inlineStr">
        <is>
          <t>C</t>
        </is>
      </c>
      <c r="B129" s="224" t="inlineStr">
        <is>
          <t>Aaron Lu</t>
        </is>
      </c>
      <c r="C129" s="317" t="inlineStr">
        <is>
          <t>Engineer - BE</t>
        </is>
      </c>
      <c r="D129" s="224" t="inlineStr">
        <is>
          <t>Vacant</t>
        </is>
      </c>
      <c r="E129" s="224" t="inlineStr">
        <is>
          <t>Technology Manager, Digital Engineering</t>
        </is>
      </c>
      <c r="F129" s="224" t="inlineStr">
        <is>
          <t>Customer</t>
        </is>
      </c>
      <c r="G129" s="318" t="inlineStr">
        <is>
          <t>Digital</t>
        </is>
      </c>
      <c r="H129" s="318" t="inlineStr">
        <is>
          <t>Tech, Digital Engineering</t>
        </is>
      </c>
      <c r="I129" s="318" t="inlineStr">
        <is>
          <t>Customer</t>
        </is>
      </c>
      <c r="J129" s="224" t="inlineStr">
        <is>
          <t>Ampol Digital</t>
        </is>
      </c>
      <c r="K129" s="224" t="inlineStr">
        <is>
          <t>Ampol Web</t>
        </is>
      </c>
      <c r="L129" s="318" t="n"/>
      <c r="M129" s="319" t="inlineStr">
        <is>
          <t>Australia</t>
        </is>
      </c>
      <c r="N129" s="322" t="inlineStr">
        <is>
          <t>NA</t>
        </is>
      </c>
      <c r="O129" s="352" t="n">
        <v>1</v>
      </c>
      <c r="P129" s="353" t="n"/>
      <c r="Q129" s="348" t="inlineStr">
        <is>
          <t>Contractor</t>
        </is>
      </c>
      <c r="R129" s="354" t="inlineStr">
        <is>
          <t>?</t>
        </is>
      </c>
      <c r="S129" s="355" t="n">
        <v>1200</v>
      </c>
      <c r="T129" s="334" t="n">
        <v>0</v>
      </c>
      <c r="U129" s="334" t="n"/>
      <c r="V129" s="318" t="n"/>
      <c r="W129" s="318" t="n"/>
      <c r="X129" s="318" t="n"/>
      <c r="Y129" s="318" t="n"/>
      <c r="Z129" s="318" t="n"/>
      <c r="AA129" s="704">
        <f>S129*222</f>
        <v>266400.0</v>
      </c>
      <c r="AC129" t="inlineStr">
        <is>
          <t>Customer</t>
        </is>
      </c>
      <c r="AD129" t="inlineStr">
        <is>
          <t>Ampol Digital</t>
        </is>
      </c>
      <c r="AE129" t="inlineStr">
        <is>
          <t>Ampol Web</t>
        </is>
      </c>
      <c r="AF129" t="inlineStr">
        <is>
          <t>Squad</t>
        </is>
      </c>
      <c r="AG129" t="inlineStr">
        <is>
          <t>Filled</t>
        </is>
      </c>
    </row>
    <row r="130" hidden="1" ht="18" customHeight="1" s="506">
      <c r="A130" s="259" t="inlineStr">
        <is>
          <t>C</t>
        </is>
      </c>
      <c r="B130" s="224" t="inlineStr">
        <is>
          <t>Adam Anticaglia</t>
        </is>
      </c>
      <c r="C130" s="317" t="inlineStr">
        <is>
          <t>Experience Designer (CMS)</t>
        </is>
      </c>
      <c r="D130" s="224" t="inlineStr">
        <is>
          <t>Byron Thornhill</t>
        </is>
      </c>
      <c r="E130" s="224" t="inlineStr">
        <is>
          <t>Design Manager</t>
        </is>
      </c>
      <c r="F130" s="224" t="inlineStr">
        <is>
          <t>Customer</t>
        </is>
      </c>
      <c r="G130" s="318" t="inlineStr">
        <is>
          <t>Digital</t>
        </is>
      </c>
      <c r="H130" s="318" t="inlineStr">
        <is>
          <t>Digital, Design</t>
        </is>
      </c>
      <c r="I130" s="224" t="inlineStr">
        <is>
          <t>Customer</t>
        </is>
      </c>
      <c r="J130" s="224" t="inlineStr">
        <is>
          <t>Ampol Digital</t>
        </is>
      </c>
      <c r="K130" s="224" t="inlineStr">
        <is>
          <t>Ampol Web</t>
        </is>
      </c>
      <c r="L130" s="318" t="n"/>
      <c r="M130" s="319" t="inlineStr">
        <is>
          <t>Australia</t>
        </is>
      </c>
      <c r="N130" s="322" t="inlineStr">
        <is>
          <t>NA</t>
        </is>
      </c>
      <c r="O130" s="320" t="n">
        <v>1</v>
      </c>
      <c r="P130" s="322" t="n"/>
      <c r="Q130" s="341" t="inlineStr">
        <is>
          <t>cxc</t>
        </is>
      </c>
      <c r="R130" s="331" t="inlineStr">
        <is>
          <t>Daily</t>
        </is>
      </c>
      <c r="S130" s="322" t="n">
        <v>1008</v>
      </c>
      <c r="T130" s="334" t="n">
        <v>0</v>
      </c>
      <c r="U130" s="334" t="n"/>
      <c r="V130" s="318" t="n"/>
      <c r="W130" s="318" t="n"/>
      <c r="X130" s="318" t="n"/>
      <c r="Y130" s="318" t="n"/>
      <c r="Z130" s="318" t="n"/>
      <c r="AA130" s="704">
        <f>S130*222</f>
        <v>223776.0</v>
      </c>
      <c r="AC130" t="inlineStr">
        <is>
          <t>Customer</t>
        </is>
      </c>
      <c r="AD130" t="inlineStr">
        <is>
          <t>Ampol Digital</t>
        </is>
      </c>
      <c r="AE130" t="inlineStr">
        <is>
          <t>Ampol Web</t>
        </is>
      </c>
      <c r="AF130" t="inlineStr">
        <is>
          <t>Squad</t>
        </is>
      </c>
      <c r="AG130" t="inlineStr">
        <is>
          <t>Filled</t>
        </is>
      </c>
    </row>
    <row r="131" hidden="1" ht="18" customHeight="1" s="506">
      <c r="A131" s="259" t="n">
        <v>117173</v>
      </c>
      <c r="B131" s="224" t="inlineStr">
        <is>
          <t>Ashwini Gaikwad</t>
        </is>
      </c>
      <c r="C131" s="317" t="inlineStr">
        <is>
          <t>Quality Assurance</t>
        </is>
      </c>
      <c r="D131" s="224" t="inlineStr">
        <is>
          <t>Mitesh Shah</t>
        </is>
      </c>
      <c r="E131" s="224" t="inlineStr">
        <is>
          <t>Technology Manager, Digitial</t>
        </is>
      </c>
      <c r="F131" s="224" t="inlineStr">
        <is>
          <t>Customer</t>
        </is>
      </c>
      <c r="G131" s="318" t="inlineStr">
        <is>
          <t>Digital</t>
        </is>
      </c>
      <c r="H131" s="224" t="inlineStr">
        <is>
          <t>Digital, Tech</t>
        </is>
      </c>
      <c r="I131" s="318" t="inlineStr">
        <is>
          <t>Customer</t>
        </is>
      </c>
      <c r="J131" s="224" t="inlineStr">
        <is>
          <t>Ampol Digital</t>
        </is>
      </c>
      <c r="K131" s="224" t="inlineStr">
        <is>
          <t>Ampol Web</t>
        </is>
      </c>
      <c r="L131" s="318" t="n"/>
      <c r="M131" s="319" t="inlineStr">
        <is>
          <t>Australia</t>
        </is>
      </c>
      <c r="N131" s="320" t="inlineStr">
        <is>
          <t>CDC</t>
        </is>
      </c>
      <c r="O131" s="320" t="n">
        <v>1</v>
      </c>
      <c r="P131" s="320" t="n"/>
      <c r="Q131" s="343" t="inlineStr">
        <is>
          <t>Permanent - Full Time</t>
        </is>
      </c>
      <c r="R131" s="322" t="n"/>
      <c r="S131" s="322" t="n"/>
      <c r="T131" s="334" t="n">
        <v>119900</v>
      </c>
      <c r="U131" s="705" t="n">
        <v>119900</v>
      </c>
      <c r="V131" s="325" t="n">
        <v>0.1</v>
      </c>
      <c r="W131" s="702" t="n">
        <v>0.055</v>
      </c>
      <c r="X131" s="702" t="n">
        <v>0.12</v>
      </c>
      <c r="Y131" s="703" t="n"/>
      <c r="Z131" s="702" t="n">
        <v>0.04</v>
      </c>
      <c r="AA131" s="701">
        <f>U131*(1+V131+W131+X131+Y131+Z131)</f>
        <v>157668.5</v>
      </c>
      <c r="AC131" t="inlineStr">
        <is>
          <t>Customer</t>
        </is>
      </c>
      <c r="AD131" t="inlineStr">
        <is>
          <t>Ampol Digital</t>
        </is>
      </c>
      <c r="AE131" t="inlineStr">
        <is>
          <t>Ampol Web</t>
        </is>
      </c>
      <c r="AF131" t="inlineStr">
        <is>
          <t>Squad</t>
        </is>
      </c>
      <c r="AG131" t="inlineStr">
        <is>
          <t>Filled</t>
        </is>
      </c>
    </row>
    <row r="132" hidden="1" ht="18" customHeight="1" s="506">
      <c r="A132" s="259" t="n">
        <v>109041</v>
      </c>
      <c r="B132" s="224" t="inlineStr">
        <is>
          <t>Darwin Morales</t>
        </is>
      </c>
      <c r="C132" s="317" t="inlineStr">
        <is>
          <t>Snr Engineer - FE</t>
        </is>
      </c>
      <c r="D132" s="224" t="inlineStr">
        <is>
          <t>Mitesh Shah</t>
        </is>
      </c>
      <c r="E132" s="224" t="inlineStr">
        <is>
          <t>Technology Manager, Digitial</t>
        </is>
      </c>
      <c r="F132" s="224" t="inlineStr">
        <is>
          <t>Customer</t>
        </is>
      </c>
      <c r="G132" s="318" t="inlineStr">
        <is>
          <t>Digital</t>
        </is>
      </c>
      <c r="H132" s="224" t="inlineStr">
        <is>
          <t>Digital, Tech</t>
        </is>
      </c>
      <c r="I132" s="318" t="inlineStr">
        <is>
          <t>Customer</t>
        </is>
      </c>
      <c r="J132" s="224" t="inlineStr">
        <is>
          <t>Ampol Digital</t>
        </is>
      </c>
      <c r="K132" s="224" t="inlineStr">
        <is>
          <t>Ampol Web</t>
        </is>
      </c>
      <c r="L132" s="318" t="n"/>
      <c r="M132" s="319" t="inlineStr">
        <is>
          <t>Australia</t>
        </is>
      </c>
      <c r="N132" s="320" t="inlineStr">
        <is>
          <t>CIB</t>
        </is>
      </c>
      <c r="O132" s="320" t="n">
        <v>1</v>
      </c>
      <c r="P132" s="320" t="n"/>
      <c r="Q132" s="343" t="inlineStr">
        <is>
          <t>Permanent - Full Time</t>
        </is>
      </c>
      <c r="R132" s="322" t="n"/>
      <c r="S132" s="322" t="n"/>
      <c r="T132" s="334" t="n">
        <v>155320</v>
      </c>
      <c r="U132" s="705" t="n">
        <v>155320</v>
      </c>
      <c r="V132" s="325" t="n">
        <v>0.12</v>
      </c>
      <c r="W132" s="702" t="n">
        <v>0.055</v>
      </c>
      <c r="X132" s="702" t="n">
        <v>0.12</v>
      </c>
      <c r="Y132" s="703" t="n"/>
      <c r="Z132" s="702" t="n">
        <v>0.04</v>
      </c>
      <c r="AA132" s="701">
        <f>U132*(1+V132+W132+X132+Y132+Z132)</f>
        <v>207352.19999999998</v>
      </c>
      <c r="AC132" t="inlineStr">
        <is>
          <t>Customer</t>
        </is>
      </c>
      <c r="AD132" t="inlineStr">
        <is>
          <t>Ampol Digital</t>
        </is>
      </c>
      <c r="AE132" t="inlineStr">
        <is>
          <t>Ampol Web</t>
        </is>
      </c>
      <c r="AF132" t="inlineStr">
        <is>
          <t>Squad</t>
        </is>
      </c>
      <c r="AG132" t="inlineStr">
        <is>
          <t>Filled</t>
        </is>
      </c>
    </row>
    <row r="133" hidden="1" ht="18" customHeight="1" s="506">
      <c r="A133" s="259" t="n">
        <v>114650</v>
      </c>
      <c r="B133" s="224" t="inlineStr">
        <is>
          <t>Jin Zhong</t>
        </is>
      </c>
      <c r="C133" s="317" t="inlineStr">
        <is>
          <t>Lead Engineer - BE</t>
        </is>
      </c>
      <c r="D133" s="224" t="inlineStr">
        <is>
          <t>Vacant</t>
        </is>
      </c>
      <c r="E133" s="224" t="inlineStr">
        <is>
          <t>Technology Manager, Digital Engineering</t>
        </is>
      </c>
      <c r="F133" s="224" t="inlineStr">
        <is>
          <t>Customer</t>
        </is>
      </c>
      <c r="G133" s="318" t="inlineStr">
        <is>
          <t>Digital</t>
        </is>
      </c>
      <c r="H133" s="318" t="inlineStr">
        <is>
          <t>Tech, Digital Engineering</t>
        </is>
      </c>
      <c r="I133" s="318" t="inlineStr">
        <is>
          <t>Customer</t>
        </is>
      </c>
      <c r="J133" s="224" t="inlineStr">
        <is>
          <t>Ampol Digital</t>
        </is>
      </c>
      <c r="K133" s="224" t="inlineStr">
        <is>
          <t>Ampol Web</t>
        </is>
      </c>
      <c r="L133" s="318" t="n"/>
      <c r="M133" s="319" t="inlineStr">
        <is>
          <t>Australia</t>
        </is>
      </c>
      <c r="N133" s="320" t="inlineStr">
        <is>
          <t>CIC</t>
        </is>
      </c>
      <c r="O133" s="320" t="n">
        <v>1</v>
      </c>
      <c r="P133" s="320" t="n"/>
      <c r="Q133" s="343" t="inlineStr">
        <is>
          <t>Permanent - Full Time</t>
        </is>
      </c>
      <c r="R133" s="322" t="n"/>
      <c r="S133" s="322" t="n"/>
      <c r="T133" s="334" t="n">
        <v>180000</v>
      </c>
      <c r="U133" s="705" t="n">
        <v>180000</v>
      </c>
      <c r="V133" s="325" t="n">
        <v>0.12</v>
      </c>
      <c r="W133" s="702" t="n">
        <v>0.055</v>
      </c>
      <c r="X133" s="702" t="n">
        <v>0.12</v>
      </c>
      <c r="Y133" s="703" t="n"/>
      <c r="Z133" s="702" t="n">
        <v>0.04</v>
      </c>
      <c r="AA133" s="701">
        <f>U133*(1+V133+W133+X133+Y133+Z133)</f>
        <v>240300.0</v>
      </c>
      <c r="AC133" t="inlineStr">
        <is>
          <t>Customer</t>
        </is>
      </c>
      <c r="AD133" t="inlineStr">
        <is>
          <t>Ampol Digital</t>
        </is>
      </c>
      <c r="AE133" t="inlineStr">
        <is>
          <t>Ampol Web</t>
        </is>
      </c>
      <c r="AF133" t="inlineStr">
        <is>
          <t>Squad</t>
        </is>
      </c>
      <c r="AG133" t="inlineStr">
        <is>
          <t>Filled</t>
        </is>
      </c>
    </row>
    <row r="134" hidden="1" ht="18" customHeight="1" s="506">
      <c r="A134" s="259" t="inlineStr">
        <is>
          <t>C</t>
        </is>
      </c>
      <c r="B134" s="224" t="inlineStr">
        <is>
          <t>Jordan Askwith</t>
        </is>
      </c>
      <c r="C134" s="317" t="inlineStr">
        <is>
          <t>Solution Architect</t>
        </is>
      </c>
      <c r="D134" s="224" t="inlineStr">
        <is>
          <t>Mitesh Shah</t>
        </is>
      </c>
      <c r="E134" s="224" t="inlineStr">
        <is>
          <t>Technology Manager, Digitial</t>
        </is>
      </c>
      <c r="F134" s="224" t="inlineStr">
        <is>
          <t>Customer</t>
        </is>
      </c>
      <c r="G134" s="318" t="inlineStr">
        <is>
          <t>Digital</t>
        </is>
      </c>
      <c r="H134" s="224" t="inlineStr">
        <is>
          <t>Digital, Tech</t>
        </is>
      </c>
      <c r="I134" s="318" t="inlineStr">
        <is>
          <t>Customer</t>
        </is>
      </c>
      <c r="J134" s="224" t="inlineStr">
        <is>
          <t>Ampol Digital</t>
        </is>
      </c>
      <c r="K134" s="224" t="inlineStr">
        <is>
          <t>Ampol Web</t>
        </is>
      </c>
      <c r="L134" s="318" t="n"/>
      <c r="M134" s="319" t="inlineStr">
        <is>
          <t>Australia</t>
        </is>
      </c>
      <c r="N134" s="322" t="inlineStr">
        <is>
          <t>NA</t>
        </is>
      </c>
      <c r="O134" s="320" t="n">
        <v>1</v>
      </c>
      <c r="P134" s="322" t="n"/>
      <c r="Q134" s="348" t="inlineStr">
        <is>
          <t>Contractor</t>
        </is>
      </c>
      <c r="R134" s="331" t="inlineStr">
        <is>
          <t>?</t>
        </is>
      </c>
      <c r="S134" s="349" t="n">
        <v>1200</v>
      </c>
      <c r="T134" s="334" t="n">
        <v>0</v>
      </c>
      <c r="U134" s="334" t="n"/>
      <c r="V134" s="318" t="n"/>
      <c r="W134" s="318" t="n"/>
      <c r="X134" s="318" t="n"/>
      <c r="Y134" s="318" t="n"/>
      <c r="Z134" s="318" t="n"/>
      <c r="AA134" s="704">
        <f>S134*222</f>
        <v>266400.0</v>
      </c>
      <c r="AC134" t="inlineStr">
        <is>
          <t>Customer</t>
        </is>
      </c>
      <c r="AD134" t="inlineStr">
        <is>
          <t>Ampol Digital</t>
        </is>
      </c>
      <c r="AE134" t="inlineStr">
        <is>
          <t>Ampol Web</t>
        </is>
      </c>
      <c r="AF134" t="inlineStr">
        <is>
          <t>Squad</t>
        </is>
      </c>
      <c r="AG134" t="inlineStr">
        <is>
          <t>Filled</t>
        </is>
      </c>
    </row>
    <row r="135" hidden="1" ht="18" customHeight="1" s="506">
      <c r="A135" s="259" t="inlineStr">
        <is>
          <t>C</t>
        </is>
      </c>
      <c r="B135" s="224" t="inlineStr">
        <is>
          <t>Lily Fong</t>
        </is>
      </c>
      <c r="C135" s="317" t="inlineStr">
        <is>
          <t>Snr Business Analyst</t>
        </is>
      </c>
      <c r="D135" s="318" t="inlineStr">
        <is>
          <t>Vacant</t>
        </is>
      </c>
      <c r="E135" s="224" t="inlineStr">
        <is>
          <t>Delivery Manager, Digital</t>
        </is>
      </c>
      <c r="F135" s="224" t="inlineStr">
        <is>
          <t>Customer</t>
        </is>
      </c>
      <c r="G135" s="318" t="inlineStr">
        <is>
          <t>Digital</t>
        </is>
      </c>
      <c r="H135" s="318" t="inlineStr">
        <is>
          <t>Digital, Delivery</t>
        </is>
      </c>
      <c r="I135" s="318" t="inlineStr">
        <is>
          <t>Customer</t>
        </is>
      </c>
      <c r="J135" s="224" t="inlineStr">
        <is>
          <t>Ampol Digital</t>
        </is>
      </c>
      <c r="K135" s="224" t="inlineStr">
        <is>
          <t>Ampol Web</t>
        </is>
      </c>
      <c r="L135" s="318" t="n"/>
      <c r="M135" s="319" t="inlineStr">
        <is>
          <t>Australia</t>
        </is>
      </c>
      <c r="N135" s="322" t="inlineStr">
        <is>
          <t>NA</t>
        </is>
      </c>
      <c r="O135" s="320" t="n">
        <v>1</v>
      </c>
      <c r="P135" s="322" t="n"/>
      <c r="Q135" s="341" t="inlineStr">
        <is>
          <t>cxc</t>
        </is>
      </c>
      <c r="R135" s="331" t="inlineStr">
        <is>
          <t>Daily</t>
        </is>
      </c>
      <c r="S135" s="322" t="n">
        <v>1120</v>
      </c>
      <c r="T135" s="334" t="n">
        <v>0</v>
      </c>
      <c r="U135" s="334" t="n"/>
      <c r="V135" s="318" t="n"/>
      <c r="W135" s="318" t="n"/>
      <c r="X135" s="318" t="n"/>
      <c r="Y135" s="318" t="n"/>
      <c r="Z135" s="318" t="n"/>
      <c r="AA135" s="704">
        <f>S135*222</f>
        <v>248640.0</v>
      </c>
      <c r="AC135" t="inlineStr">
        <is>
          <t>Customer</t>
        </is>
      </c>
      <c r="AD135" t="inlineStr">
        <is>
          <t>Ampol Digital</t>
        </is>
      </c>
      <c r="AE135" t="inlineStr">
        <is>
          <t>Ampol Web</t>
        </is>
      </c>
      <c r="AF135" t="inlineStr">
        <is>
          <t>Squad</t>
        </is>
      </c>
      <c r="AG135" t="inlineStr">
        <is>
          <t>Filled</t>
        </is>
      </c>
    </row>
    <row r="136" hidden="1" ht="18" customHeight="1" s="506">
      <c r="A136" s="259" t="n">
        <v>108384</v>
      </c>
      <c r="B136" s="224" t="inlineStr">
        <is>
          <t>Saugata Acharya</t>
        </is>
      </c>
      <c r="C136" s="317" t="inlineStr">
        <is>
          <t>Delivery Lead</t>
        </is>
      </c>
      <c r="D136" s="318" t="inlineStr">
        <is>
          <t>Vacant</t>
        </is>
      </c>
      <c r="E136" s="224" t="inlineStr">
        <is>
          <t>Delivery Manager, Digital</t>
        </is>
      </c>
      <c r="F136" s="224" t="inlineStr">
        <is>
          <t>Customer</t>
        </is>
      </c>
      <c r="G136" s="318" t="inlineStr">
        <is>
          <t>Digital</t>
        </is>
      </c>
      <c r="H136" s="318" t="inlineStr">
        <is>
          <t>Digital, Delivery</t>
        </is>
      </c>
      <c r="I136" s="318" t="inlineStr">
        <is>
          <t>Customer</t>
        </is>
      </c>
      <c r="J136" s="224" t="inlineStr">
        <is>
          <t>Ampol Digital</t>
        </is>
      </c>
      <c r="K136" s="224" t="inlineStr">
        <is>
          <t>Ampol Web</t>
        </is>
      </c>
      <c r="L136" s="318" t="n"/>
      <c r="M136" s="319" t="inlineStr">
        <is>
          <t>Australia</t>
        </is>
      </c>
      <c r="N136" s="320" t="inlineStr">
        <is>
          <t>CIC</t>
        </is>
      </c>
      <c r="O136" s="320" t="n">
        <v>1</v>
      </c>
      <c r="P136" s="320" t="n"/>
      <c r="Q136" s="343" t="inlineStr">
        <is>
          <t>Permanent - Full Time</t>
        </is>
      </c>
      <c r="R136" s="322" t="n"/>
      <c r="S136" s="322" t="n"/>
      <c r="T136" s="334" t="n">
        <v>182090</v>
      </c>
      <c r="U136" s="705" t="n">
        <v>182090</v>
      </c>
      <c r="V136" s="325" t="n">
        <v>0.12</v>
      </c>
      <c r="W136" s="702" t="n">
        <v>0.055</v>
      </c>
      <c r="X136" s="702" t="n">
        <v>0.12</v>
      </c>
      <c r="Y136" s="703" t="n"/>
      <c r="Z136" s="702" t="n">
        <v>0.04</v>
      </c>
      <c r="AA136" s="701">
        <f>U136*(1+V136+W136+X136+Y136+Z136)</f>
        <v>243090.15</v>
      </c>
      <c r="AC136" t="inlineStr">
        <is>
          <t>Customer</t>
        </is>
      </c>
      <c r="AD136" t="inlineStr">
        <is>
          <t>Ampol Digital</t>
        </is>
      </c>
      <c r="AE136" t="inlineStr">
        <is>
          <t>Ampol Web</t>
        </is>
      </c>
      <c r="AF136" t="inlineStr">
        <is>
          <t>Squad</t>
        </is>
      </c>
      <c r="AG136" t="inlineStr">
        <is>
          <t>Filled</t>
        </is>
      </c>
    </row>
    <row r="137" hidden="1" ht="18" customHeight="1" s="506">
      <c r="A137" s="356" t="inlineStr">
        <is>
          <t>V</t>
        </is>
      </c>
      <c r="B137" s="357" t="inlineStr">
        <is>
          <t>Vacant</t>
        </is>
      </c>
      <c r="C137" s="358" t="inlineStr">
        <is>
          <t>Snr Engineer - BE</t>
        </is>
      </c>
      <c r="D137" s="357" t="inlineStr">
        <is>
          <t>Jin Zhong</t>
        </is>
      </c>
      <c r="E137" s="357" t="inlineStr">
        <is>
          <t>Lead Engineer - BE</t>
        </is>
      </c>
      <c r="F137" s="357" t="inlineStr">
        <is>
          <t>Customer</t>
        </is>
      </c>
      <c r="G137" s="359" t="inlineStr">
        <is>
          <t>Digital</t>
        </is>
      </c>
      <c r="H137" s="359" t="inlineStr">
        <is>
          <t>Tech, Digital Engineering</t>
        </is>
      </c>
      <c r="I137" s="359" t="inlineStr">
        <is>
          <t>Customer</t>
        </is>
      </c>
      <c r="J137" s="357" t="inlineStr">
        <is>
          <t>Ampol Digital</t>
        </is>
      </c>
      <c r="K137" t="inlineStr">
        <is>
          <t>Ampol Web</t>
        </is>
      </c>
      <c r="L137" s="359" t="n"/>
      <c r="M137" s="360" t="inlineStr">
        <is>
          <t>NZ</t>
        </is>
      </c>
      <c r="N137" s="350" t="inlineStr">
        <is>
          <t>CIB</t>
        </is>
      </c>
      <c r="O137" s="350" t="n">
        <v>1</v>
      </c>
      <c r="P137" s="350" t="n"/>
      <c r="Q137" s="343" t="inlineStr">
        <is>
          <t>v</t>
        </is>
      </c>
      <c r="R137" s="351" t="n"/>
      <c r="S137" s="351" t="n"/>
      <c r="T137" s="334" t="n">
        <v>164000</v>
      </c>
      <c r="U137" s="705" t="n">
        <v>150880</v>
      </c>
      <c r="V137" s="325" t="n">
        <v>0.15</v>
      </c>
      <c r="W137" s="322" t="n"/>
      <c r="X137" s="325" t="n">
        <v>0.05</v>
      </c>
      <c r="Y137" s="700" t="n">
        <v>2910</v>
      </c>
      <c r="Z137" s="325" t="n">
        <v>0.03</v>
      </c>
      <c r="AA137" s="701">
        <f>U137*(1+V137+X137+Z137)+Y137</f>
        <v>188492.4</v>
      </c>
      <c r="AC137" t="inlineStr">
        <is>
          <t>Customer</t>
        </is>
      </c>
      <c r="AD137" t="inlineStr">
        <is>
          <t>Ampol Digital</t>
        </is>
      </c>
      <c r="AE137" t="inlineStr">
        <is>
          <t>Ampol Web</t>
        </is>
      </c>
      <c r="AF137" t="inlineStr">
        <is>
          <t>Squad</t>
        </is>
      </c>
      <c r="AG137" t="inlineStr">
        <is>
          <t>Vacant</t>
        </is>
      </c>
    </row>
    <row r="138" hidden="1" ht="18" customHeight="1" s="506">
      <c r="A138" s="259" t="n">
        <v>115607</v>
      </c>
      <c r="B138" s="224" t="inlineStr">
        <is>
          <t>Zohan Sim</t>
        </is>
      </c>
      <c r="C138" s="317" t="inlineStr">
        <is>
          <t>Engineer - BE</t>
        </is>
      </c>
      <c r="D138" s="224" t="inlineStr">
        <is>
          <t>Jin Zhong</t>
        </is>
      </c>
      <c r="E138" s="224" t="inlineStr">
        <is>
          <t>Lead Engineer - BE</t>
        </is>
      </c>
      <c r="F138" s="224" t="inlineStr">
        <is>
          <t>Customer</t>
        </is>
      </c>
      <c r="G138" s="318" t="inlineStr">
        <is>
          <t>Digital</t>
        </is>
      </c>
      <c r="H138" s="318" t="inlineStr">
        <is>
          <t>Tech, Digital Engineering</t>
        </is>
      </c>
      <c r="I138" s="318" t="inlineStr">
        <is>
          <t>Customer</t>
        </is>
      </c>
      <c r="J138" s="224" t="inlineStr">
        <is>
          <t>Ampol Digital</t>
        </is>
      </c>
      <c r="K138" s="224" t="inlineStr">
        <is>
          <t>Ampol Web</t>
        </is>
      </c>
      <c r="L138" s="318" t="n"/>
      <c r="M138" s="261" t="inlineStr">
        <is>
          <t>Australia</t>
        </is>
      </c>
      <c r="N138" s="320" t="inlineStr">
        <is>
          <t>CIA</t>
        </is>
      </c>
      <c r="O138" s="320" t="n">
        <v>1</v>
      </c>
      <c r="P138" s="320" t="n"/>
      <c r="Q138" s="320" t="inlineStr">
        <is>
          <t>Permanent - Full Time</t>
        </is>
      </c>
      <c r="R138" s="322" t="n"/>
      <c r="S138" s="322" t="n"/>
      <c r="T138" s="334" t="n">
        <v>135000</v>
      </c>
      <c r="U138" s="699" t="n">
        <v>135000</v>
      </c>
      <c r="V138" s="361" t="n">
        <v>0.1</v>
      </c>
      <c r="W138" s="706" t="n">
        <v>0.055</v>
      </c>
      <c r="X138" s="706" t="n">
        <v>0.12</v>
      </c>
      <c r="Y138" s="707" t="n"/>
      <c r="Z138" s="706" t="n">
        <v>0.04</v>
      </c>
      <c r="AA138" s="708">
        <f>U138*(1+V138+W138+X138+Y138+Z138)</f>
        <v>177525.0</v>
      </c>
      <c r="AC138" t="inlineStr">
        <is>
          <t>Customer</t>
        </is>
      </c>
      <c r="AD138" t="inlineStr">
        <is>
          <t>Ampol Digital</t>
        </is>
      </c>
      <c r="AE138" t="inlineStr">
        <is>
          <t>Ampol Web</t>
        </is>
      </c>
      <c r="AF138" t="inlineStr">
        <is>
          <t>Squad</t>
        </is>
      </c>
      <c r="AG138" t="inlineStr">
        <is>
          <t>Filled</t>
        </is>
      </c>
    </row>
    <row r="139" hidden="1" ht="18" customHeight="1" s="506">
      <c r="A139" s="259" t="n">
        <v>99999101324</v>
      </c>
      <c r="B139" s="335" t="inlineStr">
        <is>
          <t>Angela Gilbert</t>
        </is>
      </c>
      <c r="C139" s="336" t="inlineStr">
        <is>
          <t>Martech Lead - Dynamics</t>
        </is>
      </c>
      <c r="D139" s="318" t="inlineStr">
        <is>
          <t>Vacant</t>
        </is>
      </c>
      <c r="E139" s="318" t="inlineStr">
        <is>
          <t>Delivery Manager, Loyalty</t>
        </is>
      </c>
      <c r="F139" s="224" t="inlineStr">
        <is>
          <t>Customer</t>
        </is>
      </c>
      <c r="G139" s="318" t="inlineStr">
        <is>
          <t>Loyalty &amp; Martech</t>
        </is>
      </c>
      <c r="H139" s="224" t="inlineStr">
        <is>
          <t xml:space="preserve">Loyalty, Delivery </t>
        </is>
      </c>
      <c r="I139" s="224" t="inlineStr">
        <is>
          <t>Customer</t>
        </is>
      </c>
      <c r="J139" s="318" t="inlineStr">
        <is>
          <t>Group Customer</t>
        </is>
      </c>
      <c r="K139" s="318" t="inlineStr">
        <is>
          <t>AU CRM &amp; Martech</t>
        </is>
      </c>
      <c r="L139" s="318" t="n"/>
      <c r="M139" s="261" t="inlineStr">
        <is>
          <t>NZ</t>
        </is>
      </c>
      <c r="N139" s="320" t="inlineStr">
        <is>
          <t>CIC</t>
        </is>
      </c>
      <c r="O139" s="321" t="n">
        <v>0.8</v>
      </c>
      <c r="P139" s="320" t="n"/>
      <c r="Q139" s="321" t="inlineStr">
        <is>
          <t>Permanent - Part Time</t>
        </is>
      </c>
      <c r="R139" s="322" t="n"/>
      <c r="S139" s="322" t="n"/>
      <c r="T139" s="334" t="n">
        <v>169030</v>
      </c>
      <c r="U139" s="705" t="n">
        <v>155507.6</v>
      </c>
      <c r="V139" s="365" t="n">
        <v>0.15</v>
      </c>
      <c r="W139" s="345" t="n"/>
      <c r="X139" s="361" t="n">
        <v>0.05</v>
      </c>
      <c r="Y139" s="709" t="n">
        <v>2910</v>
      </c>
      <c r="Z139" s="361" t="n">
        <v>0.03</v>
      </c>
      <c r="AA139" s="708">
        <f>U139*(1+V139+X139+Z139)+Y139</f>
        <v>194184.348</v>
      </c>
      <c r="AB139" t="n">
        <v>113508</v>
      </c>
      <c r="AC139" t="inlineStr">
        <is>
          <t>Customer</t>
        </is>
      </c>
      <c r="AD139" t="inlineStr">
        <is>
          <t>Group Customer Platforms</t>
        </is>
      </c>
      <c r="AE139" t="inlineStr">
        <is>
          <t>AU CRM &amp; Martech</t>
        </is>
      </c>
      <c r="AF139" t="inlineStr">
        <is>
          <t>Squad</t>
        </is>
      </c>
      <c r="AG139" t="inlineStr">
        <is>
          <t>Filled</t>
        </is>
      </c>
    </row>
    <row r="140" hidden="1" ht="18" customHeight="1" s="506">
      <c r="A140" s="259" t="n">
        <v>111777</v>
      </c>
      <c r="B140" s="335" t="inlineStr">
        <is>
          <t>Jeremy Xu</t>
        </is>
      </c>
      <c r="C140" s="336" t="inlineStr">
        <is>
          <t>Data Analyst</t>
        </is>
      </c>
      <c r="D140" s="318" t="inlineStr">
        <is>
          <t>Vacant</t>
        </is>
      </c>
      <c r="E140" s="318" t="inlineStr">
        <is>
          <t>Technology Manager, Data &amp; Engineering</t>
        </is>
      </c>
      <c r="F140" s="224" t="inlineStr">
        <is>
          <t>Customer</t>
        </is>
      </c>
      <c r="G140" s="318" t="inlineStr">
        <is>
          <t>Loyalty &amp; Martech</t>
        </is>
      </c>
      <c r="H140" s="224" t="inlineStr">
        <is>
          <t>Loyalty, Data &amp; Engineering</t>
        </is>
      </c>
      <c r="I140" s="224" t="inlineStr">
        <is>
          <t>Customer</t>
        </is>
      </c>
      <c r="J140" s="318" t="inlineStr">
        <is>
          <t>Group Customer</t>
        </is>
      </c>
      <c r="K140" s="224" t="inlineStr">
        <is>
          <t>AU CRM &amp; Martech</t>
        </is>
      </c>
      <c r="L140" s="318" t="n"/>
      <c r="M140" s="261" t="inlineStr">
        <is>
          <t>Australia</t>
        </is>
      </c>
      <c r="N140" s="320" t="inlineStr">
        <is>
          <t>CIB</t>
        </is>
      </c>
      <c r="O140" s="320" t="n">
        <v>1</v>
      </c>
      <c r="P140" s="320" t="n"/>
      <c r="Q140" s="320" t="inlineStr">
        <is>
          <t>Permanent - Full Time</t>
        </is>
      </c>
      <c r="R140" s="322" t="n"/>
      <c r="S140" s="322" t="n"/>
      <c r="T140" s="334" t="n">
        <v>145910</v>
      </c>
      <c r="U140" s="705" t="n">
        <v>145910</v>
      </c>
      <c r="V140" s="325" t="n">
        <v>0.12</v>
      </c>
      <c r="W140" s="702" t="n">
        <v>0.055</v>
      </c>
      <c r="X140" s="702" t="n">
        <v>0.12</v>
      </c>
      <c r="Y140" s="703" t="n"/>
      <c r="Z140" s="702" t="n">
        <v>0.04</v>
      </c>
      <c r="AA140" s="701">
        <f>U140*(1+V140+W140+X140+Y140+Z140)</f>
        <v>194789.85</v>
      </c>
      <c r="AC140" t="inlineStr">
        <is>
          <t>Customer</t>
        </is>
      </c>
      <c r="AD140" t="inlineStr">
        <is>
          <t>Group Customer Platforms</t>
        </is>
      </c>
      <c r="AE140" t="inlineStr">
        <is>
          <t>AU CRM &amp; Martech</t>
        </is>
      </c>
      <c r="AF140" t="inlineStr">
        <is>
          <t>Squad</t>
        </is>
      </c>
      <c r="AG140" t="inlineStr">
        <is>
          <t>Filled</t>
        </is>
      </c>
    </row>
    <row r="141" hidden="1" ht="18" customHeight="1" s="506">
      <c r="A141" s="259" t="n">
        <v>99999101891</v>
      </c>
      <c r="B141" s="335" t="inlineStr">
        <is>
          <t>Shinal Chamberlain</t>
        </is>
      </c>
      <c r="C141" s="336" t="inlineStr">
        <is>
          <t>Business Analyst</t>
        </is>
      </c>
      <c r="D141" s="318" t="inlineStr">
        <is>
          <t>Vacant</t>
        </is>
      </c>
      <c r="E141" s="318" t="inlineStr">
        <is>
          <t>Delivery Manager, Loyalty</t>
        </is>
      </c>
      <c r="F141" s="224" t="inlineStr">
        <is>
          <t>Customer</t>
        </is>
      </c>
      <c r="G141" s="318" t="inlineStr">
        <is>
          <t>Loyalty &amp; Martech</t>
        </is>
      </c>
      <c r="H141" s="224" t="inlineStr">
        <is>
          <t xml:space="preserve">Loyalty, Delivery </t>
        </is>
      </c>
      <c r="I141" s="224" t="inlineStr">
        <is>
          <t>Customer</t>
        </is>
      </c>
      <c r="J141" s="318" t="inlineStr">
        <is>
          <t>Group Customer</t>
        </is>
      </c>
      <c r="K141" s="318" t="inlineStr">
        <is>
          <t>AU CRM &amp; Martech</t>
        </is>
      </c>
      <c r="L141" s="318" t="n"/>
      <c r="M141" s="261" t="inlineStr">
        <is>
          <t>NZ</t>
        </is>
      </c>
      <c r="N141" s="320" t="inlineStr">
        <is>
          <t>CIA</t>
        </is>
      </c>
      <c r="O141" s="321" t="n">
        <v>1</v>
      </c>
      <c r="P141" s="320" t="n"/>
      <c r="Q141" s="321" t="inlineStr">
        <is>
          <t>Permanent - Full Time</t>
        </is>
      </c>
      <c r="R141" s="322" t="n"/>
      <c r="S141" s="322" t="n"/>
      <c r="T141" s="334" t="n">
        <v>133930</v>
      </c>
      <c r="U141" s="705" t="n">
        <v>123215.6</v>
      </c>
      <c r="V141" s="324" t="n">
        <v>0.15</v>
      </c>
      <c r="W141" s="322" t="n"/>
      <c r="X141" s="325" t="n">
        <v>0.05</v>
      </c>
      <c r="Y141" s="700" t="n">
        <v>2910</v>
      </c>
      <c r="Z141" s="325" t="n">
        <v>0.03</v>
      </c>
      <c r="AA141" s="701">
        <f>U141*(1+V141+X141+Z141)+Y141</f>
        <v>154465.188</v>
      </c>
      <c r="AB141" t="n">
        <v>113614</v>
      </c>
      <c r="AC141" t="inlineStr">
        <is>
          <t>Customer</t>
        </is>
      </c>
      <c r="AD141" t="inlineStr">
        <is>
          <t>Group Customer Platforms</t>
        </is>
      </c>
      <c r="AE141" t="inlineStr">
        <is>
          <t>AU CRM &amp; Martech</t>
        </is>
      </c>
      <c r="AF141" t="inlineStr">
        <is>
          <t>Squad</t>
        </is>
      </c>
      <c r="AG141" t="inlineStr">
        <is>
          <t>Filled</t>
        </is>
      </c>
    </row>
    <row r="142" hidden="1" ht="18" customHeight="1" s="506">
      <c r="A142" s="259" t="inlineStr">
        <is>
          <t>V</t>
        </is>
      </c>
      <c r="B142" s="367" t="inlineStr">
        <is>
          <t>Vacant</t>
        </is>
      </c>
      <c r="C142" s="336" t="inlineStr">
        <is>
          <t>Data Analyst</t>
        </is>
      </c>
      <c r="D142" s="318" t="inlineStr">
        <is>
          <t>Vacant</t>
        </is>
      </c>
      <c r="E142" s="318" t="inlineStr">
        <is>
          <t>Technology Manager, Data &amp; Engineering</t>
        </is>
      </c>
      <c r="F142" s="224" t="inlineStr">
        <is>
          <t>Customer</t>
        </is>
      </c>
      <c r="G142" s="318" t="inlineStr">
        <is>
          <t>Loyalty &amp; Martech</t>
        </is>
      </c>
      <c r="H142" s="224" t="inlineStr">
        <is>
          <t>Loyalty, Data &amp; Engineering</t>
        </is>
      </c>
      <c r="I142" s="224" t="inlineStr">
        <is>
          <t>Customer</t>
        </is>
      </c>
      <c r="J142" s="318" t="inlineStr">
        <is>
          <t>Group Customer</t>
        </is>
      </c>
      <c r="K142" s="224" t="inlineStr">
        <is>
          <t>AU CRM &amp; Martech</t>
        </is>
      </c>
      <c r="L142" s="318" t="n"/>
      <c r="M142" s="261" t="inlineStr">
        <is>
          <t>Australia</t>
        </is>
      </c>
      <c r="N142" s="320" t="inlineStr">
        <is>
          <t>CIB</t>
        </is>
      </c>
      <c r="O142" s="320" t="n">
        <v>1</v>
      </c>
      <c r="P142" s="320" t="n"/>
      <c r="Q142" s="320" t="inlineStr">
        <is>
          <t>V</t>
        </is>
      </c>
      <c r="R142" s="322" t="n"/>
      <c r="S142" s="322" t="n"/>
      <c r="T142" s="334" t="n">
        <v>151000</v>
      </c>
      <c r="U142" s="705" t="n">
        <v>151000</v>
      </c>
      <c r="V142" s="325" t="n">
        <v>0.12</v>
      </c>
      <c r="W142" s="702" t="n">
        <v>0.055</v>
      </c>
      <c r="X142" s="702" t="n">
        <v>0.12</v>
      </c>
      <c r="Y142" s="703" t="n"/>
      <c r="Z142" s="702" t="n">
        <v>0.04</v>
      </c>
      <c r="AA142" s="701">
        <f>U142*(1+V142+W142+X142+Y142+Z142)</f>
        <v>201585.0</v>
      </c>
      <c r="AC142" t="inlineStr">
        <is>
          <t>Customer</t>
        </is>
      </c>
      <c r="AD142" t="inlineStr">
        <is>
          <t>Group Customer Platforms</t>
        </is>
      </c>
      <c r="AE142" t="inlineStr">
        <is>
          <t>AU CRM &amp; Martech</t>
        </is>
      </c>
      <c r="AF142" t="inlineStr">
        <is>
          <t>Squad</t>
        </is>
      </c>
      <c r="AG142" t="inlineStr">
        <is>
          <t>Vacant</t>
        </is>
      </c>
    </row>
    <row r="143" hidden="1" ht="18" customHeight="1" s="506">
      <c r="A143" s="368" t="inlineStr">
        <is>
          <t>V</t>
        </is>
      </c>
      <c r="B143" s="369" t="inlineStr">
        <is>
          <t>Vacant</t>
        </is>
      </c>
      <c r="C143" s="370" t="inlineStr">
        <is>
          <t>Engineer Data (Snowflake)</t>
        </is>
      </c>
      <c r="D143" s="371" t="inlineStr">
        <is>
          <t>Vacant</t>
        </is>
      </c>
      <c r="E143" s="371" t="inlineStr">
        <is>
          <t>Technology Manager, Data &amp; Engineering</t>
        </is>
      </c>
      <c r="F143" s="372" t="inlineStr">
        <is>
          <t>Customer</t>
        </is>
      </c>
      <c r="G143" s="371" t="inlineStr">
        <is>
          <t>Loyalty &amp; Martech</t>
        </is>
      </c>
      <c r="H143" s="372" t="inlineStr">
        <is>
          <t>Loyalty, Data &amp; Engineering</t>
        </is>
      </c>
      <c r="I143" s="372" t="inlineStr">
        <is>
          <t>Customer</t>
        </is>
      </c>
      <c r="J143" s="371" t="inlineStr">
        <is>
          <t>Group Customer</t>
        </is>
      </c>
      <c r="K143" s="372" t="inlineStr">
        <is>
          <t>AU CRM &amp; Martech</t>
        </is>
      </c>
      <c r="L143" s="371" t="n"/>
      <c r="M143" s="373" t="inlineStr">
        <is>
          <t>Australia</t>
        </is>
      </c>
      <c r="N143" s="374" t="inlineStr">
        <is>
          <t>CIB</t>
        </is>
      </c>
      <c r="O143" s="374" t="n">
        <v>1</v>
      </c>
      <c r="P143" s="374" t="n"/>
      <c r="Q143" s="343" t="inlineStr">
        <is>
          <t>V</t>
        </is>
      </c>
      <c r="R143" s="375" t="n"/>
      <c r="S143" s="375" t="n"/>
      <c r="T143" s="376" t="n">
        <v>151950</v>
      </c>
      <c r="U143" s="710" t="n">
        <v>151950</v>
      </c>
      <c r="V143" s="378" t="n">
        <v>0.12</v>
      </c>
      <c r="W143" s="711" t="n">
        <v>0.055</v>
      </c>
      <c r="X143" s="711" t="n">
        <v>0.12</v>
      </c>
      <c r="Y143" s="712" t="n"/>
      <c r="Z143" s="711" t="n">
        <v>0.04</v>
      </c>
      <c r="AA143" s="713">
        <f>U143*(1+V143+W143+X143+Y143+Z143)</f>
        <v>202853.25</v>
      </c>
      <c r="AC143" t="inlineStr">
        <is>
          <t>Customer</t>
        </is>
      </c>
      <c r="AD143" t="inlineStr">
        <is>
          <t>Group Customer Platforms</t>
        </is>
      </c>
      <c r="AE143" t="inlineStr">
        <is>
          <t>AU CRM &amp; Martech</t>
        </is>
      </c>
      <c r="AF143" t="inlineStr">
        <is>
          <t>Squad</t>
        </is>
      </c>
      <c r="AG143" t="inlineStr">
        <is>
          <t>Vacant</t>
        </is>
      </c>
    </row>
    <row r="144" hidden="1" ht="18" customHeight="1" s="506">
      <c r="A144" s="368" t="inlineStr">
        <is>
          <t>V</t>
        </is>
      </c>
      <c r="B144" s="369" t="inlineStr">
        <is>
          <t>Vacant</t>
        </is>
      </c>
      <c r="C144" s="370" t="inlineStr">
        <is>
          <t>Quality Assurance</t>
        </is>
      </c>
      <c r="D144" s="371" t="inlineStr">
        <is>
          <t>Vacant</t>
        </is>
      </c>
      <c r="E144" s="371" t="inlineStr">
        <is>
          <t>Delivery Manager, Loyalty</t>
        </is>
      </c>
      <c r="F144" s="372" t="inlineStr">
        <is>
          <t>Customer</t>
        </is>
      </c>
      <c r="G144" s="371" t="inlineStr">
        <is>
          <t>Loyalty &amp; Martech</t>
        </is>
      </c>
      <c r="H144" s="372" t="inlineStr">
        <is>
          <t xml:space="preserve">Loyalty, Delivery </t>
        </is>
      </c>
      <c r="I144" s="372" t="inlineStr">
        <is>
          <t>Customer</t>
        </is>
      </c>
      <c r="J144" s="371" t="inlineStr">
        <is>
          <t>Group Customer</t>
        </is>
      </c>
      <c r="K144" s="371" t="inlineStr">
        <is>
          <t>AU CRM &amp; Martech</t>
        </is>
      </c>
      <c r="L144" s="371" t="n"/>
      <c r="M144" s="261" t="inlineStr">
        <is>
          <t>Australia</t>
        </is>
      </c>
      <c r="N144" s="320" t="inlineStr">
        <is>
          <t>CIA</t>
        </is>
      </c>
      <c r="O144" s="320" t="n">
        <v>1</v>
      </c>
      <c r="P144" s="320" t="n"/>
      <c r="Q144" s="320" t="inlineStr">
        <is>
          <t>v</t>
        </is>
      </c>
      <c r="R144" s="322" t="n"/>
      <c r="S144" s="322" t="n"/>
      <c r="T144" s="322" t="n">
        <v>129650</v>
      </c>
      <c r="U144" s="699" t="n">
        <v>129650</v>
      </c>
      <c r="V144" s="325" t="n">
        <v>0.1</v>
      </c>
      <c r="W144" s="702" t="n">
        <v>0.055</v>
      </c>
      <c r="X144" s="702" t="n">
        <v>0.12</v>
      </c>
      <c r="Y144" s="703" t="n"/>
      <c r="Z144" s="702" t="n">
        <v>0.04</v>
      </c>
      <c r="AA144" s="701">
        <f>U144*(1+V144+W144+X144+Y144+Z144)</f>
        <v>170489.75</v>
      </c>
      <c r="AC144" t="inlineStr">
        <is>
          <t>Customer</t>
        </is>
      </c>
      <c r="AD144" t="inlineStr">
        <is>
          <t>Group Customer Platforms</t>
        </is>
      </c>
      <c r="AE144" t="inlineStr">
        <is>
          <t>AU CRM &amp; Martech</t>
        </is>
      </c>
      <c r="AF144" t="inlineStr">
        <is>
          <t>Squad</t>
        </is>
      </c>
      <c r="AG144" t="inlineStr">
        <is>
          <t>Vacant</t>
        </is>
      </c>
    </row>
    <row r="145" hidden="1" ht="18" customHeight="1" s="506">
      <c r="A145" s="368" t="inlineStr">
        <is>
          <t>V</t>
        </is>
      </c>
      <c r="B145" s="369" t="inlineStr">
        <is>
          <t>Vacant</t>
        </is>
      </c>
      <c r="C145" s="370" t="inlineStr">
        <is>
          <t>System Specialist</t>
        </is>
      </c>
      <c r="D145" s="371" t="inlineStr">
        <is>
          <t>Vacant</t>
        </is>
      </c>
      <c r="E145" s="371" t="inlineStr">
        <is>
          <t>Delivery Manager, Loyalty</t>
        </is>
      </c>
      <c r="F145" s="372" t="inlineStr">
        <is>
          <t>Customer</t>
        </is>
      </c>
      <c r="G145" s="371" t="inlineStr">
        <is>
          <t>Loyalty &amp; Martech</t>
        </is>
      </c>
      <c r="H145" s="372" t="inlineStr">
        <is>
          <t xml:space="preserve">Loyalty, Delivery </t>
        </is>
      </c>
      <c r="I145" s="372" t="inlineStr">
        <is>
          <t>Customer</t>
        </is>
      </c>
      <c r="J145" s="371" t="inlineStr">
        <is>
          <t>Group Customer</t>
        </is>
      </c>
      <c r="K145" s="318" t="inlineStr">
        <is>
          <t>AU CRM &amp; Martech</t>
        </is>
      </c>
      <c r="L145" s="371" t="n"/>
      <c r="M145" s="261" t="inlineStr">
        <is>
          <t>Australia</t>
        </is>
      </c>
      <c r="N145" s="320" t="inlineStr">
        <is>
          <t>CIB</t>
        </is>
      </c>
      <c r="O145" s="320" t="n">
        <v>1</v>
      </c>
      <c r="P145" s="320" t="n"/>
      <c r="Q145" s="320" t="inlineStr">
        <is>
          <t>v</t>
        </is>
      </c>
      <c r="R145" s="322" t="n"/>
      <c r="S145" s="322" t="n"/>
      <c r="T145" s="322" t="n">
        <v>151950</v>
      </c>
      <c r="U145" s="699" t="n">
        <v>151950</v>
      </c>
      <c r="V145" s="325" t="n">
        <v>0.12</v>
      </c>
      <c r="W145" s="702" t="n">
        <v>0.055</v>
      </c>
      <c r="X145" s="702" t="n">
        <v>0.12</v>
      </c>
      <c r="Y145" s="703" t="n"/>
      <c r="Z145" s="702" t="n">
        <v>0.04</v>
      </c>
      <c r="AA145" s="701">
        <f>U145*(1+V145+W145+X145+Y145+Z145)</f>
        <v>202853.25</v>
      </c>
      <c r="AC145" t="inlineStr">
        <is>
          <t>Customer</t>
        </is>
      </c>
      <c r="AD145" t="inlineStr">
        <is>
          <t>Group Customer Platforms</t>
        </is>
      </c>
      <c r="AE145" t="inlineStr">
        <is>
          <t>AU CRM &amp; Martech</t>
        </is>
      </c>
      <c r="AF145" t="inlineStr">
        <is>
          <t>Squad</t>
        </is>
      </c>
      <c r="AG145" t="inlineStr">
        <is>
          <t>Vacant</t>
        </is>
      </c>
    </row>
    <row r="146" hidden="1" ht="18" customHeight="1" s="506">
      <c r="A146" s="259" t="inlineStr">
        <is>
          <t>V</t>
        </is>
      </c>
      <c r="B146" s="224" t="inlineStr">
        <is>
          <t>Vacant (B2B)</t>
        </is>
      </c>
      <c r="C146" s="317" t="inlineStr">
        <is>
          <t>Engineer - BE</t>
        </is>
      </c>
      <c r="D146" s="224" t="inlineStr">
        <is>
          <t>Vacant</t>
        </is>
      </c>
      <c r="E146" s="224" t="inlineStr">
        <is>
          <t>Technology Manager, Digital Engineering</t>
        </is>
      </c>
      <c r="F146" s="224" t="inlineStr">
        <is>
          <t>Customer</t>
        </is>
      </c>
      <c r="G146" s="318" t="inlineStr">
        <is>
          <t>Digital</t>
        </is>
      </c>
      <c r="H146" s="318" t="inlineStr">
        <is>
          <t>Tech, Digital Engineering</t>
        </is>
      </c>
      <c r="I146" s="318" t="inlineStr">
        <is>
          <t>Customer</t>
        </is>
      </c>
      <c r="J146" s="224" t="inlineStr">
        <is>
          <t>Ampol Digital</t>
        </is>
      </c>
      <c r="K146" s="224" t="inlineStr">
        <is>
          <t>B2B</t>
        </is>
      </c>
      <c r="L146" s="318" t="n"/>
      <c r="M146" s="261" t="inlineStr">
        <is>
          <t>Australia</t>
        </is>
      </c>
      <c r="N146" s="320" t="inlineStr">
        <is>
          <t>CIB</t>
        </is>
      </c>
      <c r="O146" s="320" t="n">
        <v>1</v>
      </c>
      <c r="P146" s="322" t="n"/>
      <c r="Q146" s="320" t="inlineStr">
        <is>
          <t>V</t>
        </is>
      </c>
      <c r="R146" s="322" t="n"/>
      <c r="S146" s="322" t="n"/>
      <c r="T146" s="322" t="n">
        <v>151950</v>
      </c>
      <c r="U146" s="699" t="n">
        <v>151950</v>
      </c>
      <c r="V146" s="325" t="n">
        <v>0.12</v>
      </c>
      <c r="W146" s="702" t="n">
        <v>0.055</v>
      </c>
      <c r="X146" s="702" t="n">
        <v>0.12</v>
      </c>
      <c r="Y146" s="703" t="n"/>
      <c r="Z146" s="702" t="n">
        <v>0.04</v>
      </c>
      <c r="AA146" s="701">
        <f>U146*(1+V146+W146+X146+Y146+Z146)</f>
        <v>202853.25</v>
      </c>
      <c r="AC146" t="inlineStr">
        <is>
          <t>Energy Solutions &amp; B2B</t>
        </is>
      </c>
      <c r="AD146" t="inlineStr">
        <is>
          <t>B2B</t>
        </is>
      </c>
      <c r="AE146" t="inlineStr">
        <is>
          <t>B2B</t>
        </is>
      </c>
      <c r="AF146" t="inlineStr">
        <is>
          <t>Squad</t>
        </is>
      </c>
      <c r="AG146" t="inlineStr">
        <is>
          <t>Filled</t>
        </is>
      </c>
    </row>
    <row r="147" hidden="1" ht="18" customHeight="1" s="506">
      <c r="A147" s="259" t="inlineStr">
        <is>
          <t>V</t>
        </is>
      </c>
      <c r="B147" s="367" t="inlineStr">
        <is>
          <t>Vacant (B2B)</t>
        </is>
      </c>
      <c r="C147" s="317" t="inlineStr">
        <is>
          <t>Engineer - BE</t>
        </is>
      </c>
      <c r="D147" s="224" t="inlineStr">
        <is>
          <t>Vacant</t>
        </is>
      </c>
      <c r="E147" s="224" t="inlineStr">
        <is>
          <t>Technology Manager, Digital Engineering</t>
        </is>
      </c>
      <c r="F147" s="224" t="inlineStr">
        <is>
          <t>Customer</t>
        </is>
      </c>
      <c r="G147" s="318" t="inlineStr">
        <is>
          <t>Digital</t>
        </is>
      </c>
      <c r="H147" s="318" t="inlineStr">
        <is>
          <t>Tech, Digital Engineering</t>
        </is>
      </c>
      <c r="I147" s="318" t="inlineStr">
        <is>
          <t>Customer</t>
        </is>
      </c>
      <c r="J147" s="224" t="inlineStr">
        <is>
          <t>Ampol Digital</t>
        </is>
      </c>
      <c r="K147" s="224" t="inlineStr">
        <is>
          <t>B2B</t>
        </is>
      </c>
      <c r="L147" s="318" t="n"/>
      <c r="M147" s="382" t="inlineStr">
        <is>
          <t>Australia</t>
        </is>
      </c>
      <c r="N147" s="352" t="inlineStr">
        <is>
          <t>CIB</t>
        </is>
      </c>
      <c r="O147" s="352" t="n">
        <v>1</v>
      </c>
      <c r="P147" s="353" t="n"/>
      <c r="Q147" s="343" t="inlineStr">
        <is>
          <t>V</t>
        </is>
      </c>
      <c r="R147" s="353" t="n"/>
      <c r="S147" s="353" t="n"/>
      <c r="T147" s="383" t="n">
        <v>151950</v>
      </c>
      <c r="U147" s="714" t="n">
        <v>151950</v>
      </c>
      <c r="V147" s="385" t="n">
        <v>0.12</v>
      </c>
      <c r="W147" s="715" t="n">
        <v>0.055</v>
      </c>
      <c r="X147" s="715" t="n">
        <v>0.12</v>
      </c>
      <c r="Y147" s="716" t="n"/>
      <c r="Z147" s="715" t="n">
        <v>0.04</v>
      </c>
      <c r="AA147" s="717">
        <f>U147*(1+V147+W147+X147+Y147+Z147)</f>
        <v>202853.25</v>
      </c>
      <c r="AC147" t="inlineStr">
        <is>
          <t>Energy Solutions &amp; B2B</t>
        </is>
      </c>
      <c r="AD147" t="inlineStr">
        <is>
          <t>B2B</t>
        </is>
      </c>
      <c r="AE147" t="inlineStr">
        <is>
          <t>B2B</t>
        </is>
      </c>
      <c r="AF147" t="inlineStr">
        <is>
          <t>Squad</t>
        </is>
      </c>
      <c r="AG147" t="inlineStr">
        <is>
          <t>Filled</t>
        </is>
      </c>
    </row>
    <row r="148" hidden="1" ht="18" customHeight="1" s="506">
      <c r="A148" s="259" t="inlineStr">
        <is>
          <t>V</t>
        </is>
      </c>
      <c r="B148" s="224" t="inlineStr">
        <is>
          <t>Vacant</t>
        </is>
      </c>
      <c r="C148" s="336" t="inlineStr">
        <is>
          <t>Engineer, (TBD)</t>
        </is>
      </c>
      <c r="D148" s="318" t="inlineStr">
        <is>
          <t>Vacant</t>
        </is>
      </c>
      <c r="E148" s="318" t="inlineStr">
        <is>
          <t>AI Enablement Lead</t>
        </is>
      </c>
      <c r="F148" s="224" t="inlineStr">
        <is>
          <t>Customer</t>
        </is>
      </c>
      <c r="G148" s="318" t="inlineStr">
        <is>
          <t>Customer, AI Enablement</t>
        </is>
      </c>
      <c r="H148" s="318" t="n"/>
      <c r="I148" s="318" t="inlineStr">
        <is>
          <t>Customer</t>
        </is>
      </c>
      <c r="J148" s="318" t="inlineStr">
        <is>
          <t>(All Customer)</t>
        </is>
      </c>
      <c r="K148" s="224" t="inlineStr">
        <is>
          <t>Customer, AI</t>
        </is>
      </c>
      <c r="L148" s="318" t="n"/>
      <c r="M148" s="319" t="inlineStr">
        <is>
          <t>Australia</t>
        </is>
      </c>
      <c r="N148" s="320" t="inlineStr">
        <is>
          <t>CIB</t>
        </is>
      </c>
      <c r="O148" s="320" t="n">
        <v>1</v>
      </c>
      <c r="P148" s="320" t="n"/>
      <c r="Q148" s="343" t="inlineStr">
        <is>
          <t>V</t>
        </is>
      </c>
      <c r="R148" s="322" t="n"/>
      <c r="S148" s="322" t="n"/>
      <c r="T148" s="334" t="n">
        <v>151950</v>
      </c>
      <c r="U148" s="705" t="n">
        <v>151950</v>
      </c>
      <c r="V148" s="325" t="n">
        <v>0.12</v>
      </c>
      <c r="W148" s="702" t="n">
        <v>0.055</v>
      </c>
      <c r="X148" s="702" t="n">
        <v>0.12</v>
      </c>
      <c r="Y148" s="703" t="n"/>
      <c r="Z148" s="702" t="n">
        <v>0.04</v>
      </c>
      <c r="AA148" s="701">
        <f>U148*(1+V148+W148+X148+Y148+Z148)</f>
        <v>202853.25</v>
      </c>
      <c r="AC148" t="inlineStr">
        <is>
          <t>Customer</t>
        </is>
      </c>
      <c r="AD148" t="inlineStr">
        <is>
          <t>-</t>
        </is>
      </c>
      <c r="AE148" t="inlineStr">
        <is>
          <t>Customer AI</t>
        </is>
      </c>
      <c r="AF148" t="inlineStr">
        <is>
          <t>Unmapped</t>
        </is>
      </c>
      <c r="AG148" t="inlineStr">
        <is>
          <t>Vacant</t>
        </is>
      </c>
    </row>
    <row r="149" hidden="1" ht="18" customHeight="1" s="506">
      <c r="A149" s="259" t="inlineStr">
        <is>
          <t>V</t>
        </is>
      </c>
      <c r="B149" s="224" t="inlineStr">
        <is>
          <t>Vacant</t>
        </is>
      </c>
      <c r="C149" s="336" t="inlineStr">
        <is>
          <t>Snr Engineer, (TBD</t>
        </is>
      </c>
      <c r="D149" s="318" t="inlineStr">
        <is>
          <t>Vacant</t>
        </is>
      </c>
      <c r="E149" s="318" t="inlineStr">
        <is>
          <t>AI Enablement Lead</t>
        </is>
      </c>
      <c r="F149" s="224" t="inlineStr">
        <is>
          <t>Customer</t>
        </is>
      </c>
      <c r="G149" s="318" t="inlineStr">
        <is>
          <t>Customer, AI Enablement</t>
        </is>
      </c>
      <c r="H149" s="318" t="n"/>
      <c r="I149" s="318" t="inlineStr">
        <is>
          <t>Customer</t>
        </is>
      </c>
      <c r="J149" s="318" t="inlineStr">
        <is>
          <t>(All Customer)</t>
        </is>
      </c>
      <c r="K149" s="224" t="inlineStr">
        <is>
          <t>Customer, AI</t>
        </is>
      </c>
      <c r="L149" s="318" t="n"/>
      <c r="M149" s="319" t="inlineStr">
        <is>
          <t>Australia</t>
        </is>
      </c>
      <c r="N149" s="320" t="inlineStr">
        <is>
          <t>CIB</t>
        </is>
      </c>
      <c r="O149" s="320" t="n">
        <v>1</v>
      </c>
      <c r="P149" s="320" t="n"/>
      <c r="Q149" s="343" t="inlineStr">
        <is>
          <t>v</t>
        </is>
      </c>
      <c r="R149" s="322" t="n"/>
      <c r="S149" s="322" t="n"/>
      <c r="T149" s="334" t="n">
        <v>151950</v>
      </c>
      <c r="U149" s="705" t="n">
        <v>151950</v>
      </c>
      <c r="V149" s="325" t="n">
        <v>0.12</v>
      </c>
      <c r="W149" s="702" t="n">
        <v>0.055</v>
      </c>
      <c r="X149" s="702" t="n">
        <v>0.12</v>
      </c>
      <c r="Y149" s="703" t="n"/>
      <c r="Z149" s="702" t="n">
        <v>0.04</v>
      </c>
      <c r="AA149" s="701">
        <f>U149*(1+V149+W149+X149+Y149+Z149)</f>
        <v>202853.25</v>
      </c>
      <c r="AC149" t="inlineStr">
        <is>
          <t>Customer</t>
        </is>
      </c>
      <c r="AD149" t="inlineStr">
        <is>
          <t>-</t>
        </is>
      </c>
      <c r="AE149" t="inlineStr">
        <is>
          <t>Customer AI</t>
        </is>
      </c>
      <c r="AF149" t="inlineStr">
        <is>
          <t>Unmapped</t>
        </is>
      </c>
      <c r="AG149" t="inlineStr">
        <is>
          <t>Vacant</t>
        </is>
      </c>
    </row>
    <row r="150" hidden="1" ht="18" customHeight="1" s="506">
      <c r="A150" s="259" t="n">
        <v>97357</v>
      </c>
      <c r="B150" s="224" t="inlineStr">
        <is>
          <t>Daniel Arban</t>
        </is>
      </c>
      <c r="C150" s="317" t="inlineStr">
        <is>
          <t>Service Delivery Lead</t>
        </is>
      </c>
      <c r="D150" s="224" t="inlineStr">
        <is>
          <t>Mark Wilson</t>
        </is>
      </c>
      <c r="E150" s="224" t="inlineStr">
        <is>
          <t>Digital Support Manager(AU)</t>
        </is>
      </c>
      <c r="F150" s="224" t="inlineStr">
        <is>
          <t>Customer</t>
        </is>
      </c>
      <c r="G150" s="318" t="inlineStr">
        <is>
          <t>Digital</t>
        </is>
      </c>
      <c r="H150" s="224" t="inlineStr">
        <is>
          <t>Digital Support (AU)</t>
        </is>
      </c>
      <c r="I150" s="318" t="inlineStr">
        <is>
          <t>Customer</t>
        </is>
      </c>
      <c r="J150" s="224" t="inlineStr">
        <is>
          <t>Ampol Digital</t>
        </is>
      </c>
      <c r="K150" s="224" t="inlineStr">
        <is>
          <t>Digital Ops Support</t>
        </is>
      </c>
      <c r="L150" s="318" t="n"/>
      <c r="M150" s="319" t="inlineStr">
        <is>
          <t>Australia</t>
        </is>
      </c>
      <c r="N150" s="320" t="inlineStr">
        <is>
          <t>CIA</t>
        </is>
      </c>
      <c r="O150" s="320" t="n">
        <v>1</v>
      </c>
      <c r="P150" s="320" t="n"/>
      <c r="Q150" s="343" t="inlineStr">
        <is>
          <t>Permanent - Full Time</t>
        </is>
      </c>
      <c r="R150" s="322" t="n"/>
      <c r="S150" s="322" t="n"/>
      <c r="T150" s="334" t="n">
        <v>126130</v>
      </c>
      <c r="U150" s="705" t="n">
        <v>126130</v>
      </c>
      <c r="V150" s="325" t="n">
        <v>0.1</v>
      </c>
      <c r="W150" s="702" t="n">
        <v>0.055</v>
      </c>
      <c r="X150" s="702" t="n">
        <v>0.12</v>
      </c>
      <c r="Y150" s="703" t="n"/>
      <c r="Z150" s="702" t="n">
        <v>0.04</v>
      </c>
      <c r="AA150" s="701">
        <f>U150*(1+V150+W150+X150+Y150+Z150)</f>
        <v>165860.94999999998</v>
      </c>
      <c r="AC150" t="inlineStr">
        <is>
          <t>Customer</t>
        </is>
      </c>
      <c r="AD150" t="inlineStr">
        <is>
          <t>Ampol Digital</t>
        </is>
      </c>
      <c r="AE150" t="inlineStr">
        <is>
          <t>Digital Operations</t>
        </is>
      </c>
      <c r="AF150" t="inlineStr">
        <is>
          <t>Squad</t>
        </is>
      </c>
      <c r="AG150" t="inlineStr">
        <is>
          <t>Filled</t>
        </is>
      </c>
    </row>
    <row r="151" hidden="1" ht="18" customHeight="1" s="506">
      <c r="A151" s="259" t="n">
        <v>106200</v>
      </c>
      <c r="B151" s="224" t="inlineStr">
        <is>
          <t>Emile Violi</t>
        </is>
      </c>
      <c r="C151" s="317" t="inlineStr">
        <is>
          <t>Engineer - BE</t>
        </is>
      </c>
      <c r="D151" s="224" t="inlineStr">
        <is>
          <t>Mark Wilson</t>
        </is>
      </c>
      <c r="E151" s="224" t="inlineStr">
        <is>
          <t>Digital Support Manager(AU)</t>
        </is>
      </c>
      <c r="F151" s="224" t="inlineStr">
        <is>
          <t>Customer</t>
        </is>
      </c>
      <c r="G151" s="318" t="inlineStr">
        <is>
          <t>Digital</t>
        </is>
      </c>
      <c r="H151" s="224" t="inlineStr">
        <is>
          <t>Digital Support (AU)</t>
        </is>
      </c>
      <c r="I151" s="318" t="inlineStr">
        <is>
          <t>Customer</t>
        </is>
      </c>
      <c r="J151" s="224" t="inlineStr">
        <is>
          <t>Ampol Digital</t>
        </is>
      </c>
      <c r="K151" s="224" t="inlineStr">
        <is>
          <t>Digital Ops Support</t>
        </is>
      </c>
      <c r="L151" s="318" t="n"/>
      <c r="M151" s="319" t="inlineStr">
        <is>
          <t>Australia</t>
        </is>
      </c>
      <c r="N151" s="320" t="inlineStr">
        <is>
          <t>CIB</t>
        </is>
      </c>
      <c r="O151" s="320" t="n">
        <v>1</v>
      </c>
      <c r="P151" s="320" t="n"/>
      <c r="Q151" s="343" t="inlineStr">
        <is>
          <t>Permanent - Full Time</t>
        </is>
      </c>
      <c r="R151" s="322" t="n"/>
      <c r="S151" s="322" t="n"/>
      <c r="T151" s="334" t="n">
        <v>160740</v>
      </c>
      <c r="U151" s="705" t="n">
        <v>160740</v>
      </c>
      <c r="V151" s="325" t="n">
        <v>0.12</v>
      </c>
      <c r="W151" s="702" t="n">
        <v>0.055</v>
      </c>
      <c r="X151" s="702" t="n">
        <v>0.12</v>
      </c>
      <c r="Y151" s="703" t="n"/>
      <c r="Z151" s="702" t="n">
        <v>0.04</v>
      </c>
      <c r="AA151" s="701">
        <f>U151*(1+V151+W151+X151+Y151+Z151)</f>
        <v>214587.9</v>
      </c>
      <c r="AC151" t="inlineStr">
        <is>
          <t>Customer</t>
        </is>
      </c>
      <c r="AD151" t="inlineStr">
        <is>
          <t>Ampol Digital</t>
        </is>
      </c>
      <c r="AE151" t="inlineStr">
        <is>
          <t>Digital Operations</t>
        </is>
      </c>
      <c r="AF151" t="inlineStr">
        <is>
          <t>Squad</t>
        </is>
      </c>
      <c r="AG151" t="inlineStr">
        <is>
          <t>Filled</t>
        </is>
      </c>
    </row>
    <row r="152" hidden="1" ht="18" customHeight="1" s="506">
      <c r="A152" s="259" t="n">
        <v>4781</v>
      </c>
      <c r="B152" s="224" t="inlineStr">
        <is>
          <t>Mark Wilson</t>
        </is>
      </c>
      <c r="C152" s="317" t="inlineStr">
        <is>
          <t>Digital Support Manager (AU)</t>
        </is>
      </c>
      <c r="D152" s="224" t="inlineStr">
        <is>
          <t>Shona Paul</t>
        </is>
      </c>
      <c r="E152" s="224" t="inlineStr">
        <is>
          <t>Head of Technology, Digital</t>
        </is>
      </c>
      <c r="F152" s="224" t="inlineStr">
        <is>
          <t>Customer</t>
        </is>
      </c>
      <c r="G152" s="318" t="inlineStr">
        <is>
          <t>Digital</t>
        </is>
      </c>
      <c r="H152" s="318" t="inlineStr">
        <is>
          <t>Digital Support (AU)</t>
        </is>
      </c>
      <c r="I152" s="318" t="inlineStr">
        <is>
          <t>Customer</t>
        </is>
      </c>
      <c r="J152" s="224" t="inlineStr">
        <is>
          <t>Ampol Digital</t>
        </is>
      </c>
      <c r="K152" s="224" t="inlineStr">
        <is>
          <t>Digital Ops Support</t>
        </is>
      </c>
      <c r="L152" s="318" t="n"/>
      <c r="M152" s="319" t="inlineStr">
        <is>
          <t>Australia</t>
        </is>
      </c>
      <c r="N152" s="322" t="inlineStr">
        <is>
          <t>CIC</t>
        </is>
      </c>
      <c r="O152" s="322" t="n">
        <v>1</v>
      </c>
      <c r="P152" s="322" t="n"/>
      <c r="Q152" s="341" t="inlineStr">
        <is>
          <t>Permanent - Full Time</t>
        </is>
      </c>
      <c r="R152" s="322" t="n"/>
      <c r="S152" s="322" t="n"/>
      <c r="T152" s="334" t="n">
        <v>193100</v>
      </c>
      <c r="U152" s="705" t="n">
        <v>193100</v>
      </c>
      <c r="V152" s="325" t="n">
        <v>0.12</v>
      </c>
      <c r="W152" s="702" t="n">
        <v>0.055</v>
      </c>
      <c r="X152" s="702" t="n">
        <v>0.12</v>
      </c>
      <c r="Y152" s="703" t="n"/>
      <c r="Z152" s="702" t="n">
        <v>0.04</v>
      </c>
      <c r="AA152" s="701">
        <f>U152*(1+V152+W152+X152+Y152+Z152)</f>
        <v>257788.5</v>
      </c>
      <c r="AC152" t="inlineStr">
        <is>
          <t>Customer</t>
        </is>
      </c>
      <c r="AD152" t="inlineStr">
        <is>
          <t>Ampol Digital</t>
        </is>
      </c>
      <c r="AE152" t="inlineStr">
        <is>
          <t>Digital Operations</t>
        </is>
      </c>
      <c r="AF152" t="inlineStr">
        <is>
          <t>Squad</t>
        </is>
      </c>
      <c r="AG152" t="inlineStr">
        <is>
          <t>Filled</t>
        </is>
      </c>
    </row>
    <row r="153" hidden="1" ht="18" customHeight="1" s="506">
      <c r="A153" s="259" t="inlineStr">
        <is>
          <t>c</t>
        </is>
      </c>
      <c r="B153" s="270" t="inlineStr">
        <is>
          <t>Shreema Das</t>
        </is>
      </c>
      <c r="C153" s="317" t="inlineStr">
        <is>
          <t>Solution Architect</t>
        </is>
      </c>
      <c r="D153" s="224" t="inlineStr">
        <is>
          <t>Mitesh Shah</t>
        </is>
      </c>
      <c r="E153" s="224" t="inlineStr">
        <is>
          <t>Technology Manager, Digitial</t>
        </is>
      </c>
      <c r="F153" s="224" t="inlineStr">
        <is>
          <t>Customer</t>
        </is>
      </c>
      <c r="G153" s="318" t="inlineStr">
        <is>
          <t>Digital</t>
        </is>
      </c>
      <c r="H153" s="224" t="inlineStr">
        <is>
          <t>Digital, Tech</t>
        </is>
      </c>
      <c r="I153" s="318" t="inlineStr">
        <is>
          <t>Customer</t>
        </is>
      </c>
      <c r="J153" s="224" t="inlineStr">
        <is>
          <t>Ampol Digital</t>
        </is>
      </c>
      <c r="K153" s="224" t="inlineStr">
        <is>
          <t>Digital Ops Support</t>
        </is>
      </c>
      <c r="L153" s="318" t="n"/>
      <c r="M153" s="319" t="inlineStr">
        <is>
          <t>Australia</t>
        </is>
      </c>
      <c r="N153" s="322" t="inlineStr">
        <is>
          <t>NA</t>
        </is>
      </c>
      <c r="O153" s="320" t="n">
        <v>1</v>
      </c>
      <c r="P153" s="320" t="n"/>
      <c r="Q153" s="343" t="inlineStr">
        <is>
          <t>?</t>
        </is>
      </c>
      <c r="R153" s="331" t="inlineStr">
        <is>
          <t>?</t>
        </is>
      </c>
      <c r="S153" s="349" t="n">
        <v>1200</v>
      </c>
      <c r="T153" s="334" t="n">
        <v>0</v>
      </c>
      <c r="U153" s="334" t="n"/>
      <c r="V153" s="318" t="n"/>
      <c r="W153" s="318" t="n"/>
      <c r="X153" s="318" t="n"/>
      <c r="Y153" s="318" t="n"/>
      <c r="Z153" s="318" t="n"/>
      <c r="AA153" s="704">
        <f>S153*222</f>
        <v>266400.0</v>
      </c>
      <c r="AC153" t="inlineStr">
        <is>
          <t>Customer</t>
        </is>
      </c>
      <c r="AD153" t="inlineStr">
        <is>
          <t>Ampol Digital</t>
        </is>
      </c>
      <c r="AE153" t="inlineStr">
        <is>
          <t>Digital Operations</t>
        </is>
      </c>
      <c r="AF153" t="inlineStr">
        <is>
          <t>Squad</t>
        </is>
      </c>
      <c r="AG153" t="inlineStr">
        <is>
          <t>Filled</t>
        </is>
      </c>
    </row>
    <row r="154" hidden="1" ht="18" customHeight="1" s="506">
      <c r="A154" s="259" t="inlineStr">
        <is>
          <t>V</t>
        </is>
      </c>
      <c r="B154" s="224" t="inlineStr">
        <is>
          <t>Vacant</t>
        </is>
      </c>
      <c r="C154" s="317" t="inlineStr">
        <is>
          <t>Engineer - BE</t>
        </is>
      </c>
      <c r="D154" s="224" t="inlineStr">
        <is>
          <t>Mark Wilson</t>
        </is>
      </c>
      <c r="E154" s="224" t="inlineStr">
        <is>
          <t>Digital Support Manager(AU)</t>
        </is>
      </c>
      <c r="F154" s="224" t="inlineStr">
        <is>
          <t>Customer</t>
        </is>
      </c>
      <c r="G154" s="318" t="inlineStr">
        <is>
          <t>Digital</t>
        </is>
      </c>
      <c r="H154" s="224" t="inlineStr">
        <is>
          <t>Digital Support (AU)</t>
        </is>
      </c>
      <c r="I154" s="318" t="inlineStr">
        <is>
          <t>Customer</t>
        </is>
      </c>
      <c r="J154" s="224" t="inlineStr">
        <is>
          <t>Ampol Digital</t>
        </is>
      </c>
      <c r="K154" s="224" t="inlineStr">
        <is>
          <t>Digital Ops Support</t>
        </is>
      </c>
      <c r="L154" s="318" t="n"/>
      <c r="M154" s="319" t="inlineStr">
        <is>
          <t>Australia</t>
        </is>
      </c>
      <c r="N154" s="320" t="inlineStr">
        <is>
          <t>CIB</t>
        </is>
      </c>
      <c r="O154" s="320" t="n">
        <v>1</v>
      </c>
      <c r="P154" s="320" t="n"/>
      <c r="Q154" s="343" t="inlineStr">
        <is>
          <t>V</t>
        </is>
      </c>
      <c r="R154" s="322" t="n"/>
      <c r="S154" s="322" t="n"/>
      <c r="T154" s="334" t="n">
        <v>151950</v>
      </c>
      <c r="U154" s="705" t="n">
        <v>151950</v>
      </c>
      <c r="V154" s="325" t="n">
        <v>0.12</v>
      </c>
      <c r="W154" s="702" t="n">
        <v>0.055</v>
      </c>
      <c r="X154" s="702" t="n">
        <v>0.12</v>
      </c>
      <c r="Y154" s="703" t="n"/>
      <c r="Z154" s="702" t="n">
        <v>0.04</v>
      </c>
      <c r="AA154" s="701">
        <f>U154*(1+V154+W154+X154+Y154+Z154)</f>
        <v>202853.25</v>
      </c>
      <c r="AC154" t="inlineStr">
        <is>
          <t>Customer</t>
        </is>
      </c>
      <c r="AD154" t="inlineStr">
        <is>
          <t>Ampol Digital</t>
        </is>
      </c>
      <c r="AE154" t="inlineStr">
        <is>
          <t>Digital Operations</t>
        </is>
      </c>
      <c r="AF154" t="inlineStr">
        <is>
          <t>Squad</t>
        </is>
      </c>
      <c r="AG154" t="inlineStr">
        <is>
          <t>Vacant</t>
        </is>
      </c>
    </row>
    <row r="155" hidden="1" ht="18" customHeight="1" s="506">
      <c r="A155" s="259" t="inlineStr">
        <is>
          <t>V</t>
        </is>
      </c>
      <c r="B155" s="224" t="inlineStr">
        <is>
          <t>Vacant</t>
        </is>
      </c>
      <c r="C155" s="317" t="inlineStr">
        <is>
          <t>Engineer - BE</t>
        </is>
      </c>
      <c r="D155" s="224" t="inlineStr">
        <is>
          <t>Mark Wilson</t>
        </is>
      </c>
      <c r="E155" s="224" t="inlineStr">
        <is>
          <t>Digital Support Manager(AU)</t>
        </is>
      </c>
      <c r="F155" s="224" t="inlineStr">
        <is>
          <t>Customer</t>
        </is>
      </c>
      <c r="G155" s="318" t="inlineStr">
        <is>
          <t>Digital</t>
        </is>
      </c>
      <c r="H155" s="224" t="inlineStr">
        <is>
          <t>Digital Support (AU)</t>
        </is>
      </c>
      <c r="I155" s="318" t="inlineStr">
        <is>
          <t>Customer</t>
        </is>
      </c>
      <c r="J155" s="224" t="inlineStr">
        <is>
          <t>Ampol Digital</t>
        </is>
      </c>
      <c r="K155" s="224" t="inlineStr">
        <is>
          <t>Digital Ops Support</t>
        </is>
      </c>
      <c r="L155" s="318" t="n"/>
      <c r="M155" s="319" t="inlineStr">
        <is>
          <t>Australia</t>
        </is>
      </c>
      <c r="N155" s="320" t="inlineStr">
        <is>
          <t>CIB</t>
        </is>
      </c>
      <c r="O155" s="320" t="n">
        <v>1</v>
      </c>
      <c r="P155" s="350" t="n"/>
      <c r="Q155" s="343" t="inlineStr">
        <is>
          <t>V</t>
        </is>
      </c>
      <c r="R155" s="351" t="n"/>
      <c r="S155" s="322" t="n"/>
      <c r="T155" s="334" t="n">
        <v>151950</v>
      </c>
      <c r="U155" s="705" t="n">
        <v>151950</v>
      </c>
      <c r="V155" s="325" t="n">
        <v>0.12</v>
      </c>
      <c r="W155" s="702" t="n">
        <v>0.055</v>
      </c>
      <c r="X155" s="702" t="n">
        <v>0.12</v>
      </c>
      <c r="Y155" s="703" t="n"/>
      <c r="Z155" s="702" t="n">
        <v>0.04</v>
      </c>
      <c r="AA155" s="701">
        <f>U155*(1+V155+W155+X155+Y155+Z155)</f>
        <v>202853.25</v>
      </c>
      <c r="AC155" t="inlineStr">
        <is>
          <t>Customer</t>
        </is>
      </c>
      <c r="AD155" t="inlineStr">
        <is>
          <t>Ampol Digital</t>
        </is>
      </c>
      <c r="AE155" t="inlineStr">
        <is>
          <t>Digital Operations</t>
        </is>
      </c>
      <c r="AF155" t="inlineStr">
        <is>
          <t>Squad</t>
        </is>
      </c>
      <c r="AG155" t="inlineStr">
        <is>
          <t>Vacant</t>
        </is>
      </c>
    </row>
    <row r="156" hidden="1" ht="18" customHeight="1" s="506">
      <c r="A156" s="259" t="inlineStr">
        <is>
          <t>V</t>
        </is>
      </c>
      <c r="B156" s="224" t="inlineStr">
        <is>
          <t>Vacant</t>
        </is>
      </c>
      <c r="C156" s="317" t="inlineStr">
        <is>
          <t>Quality Assurance</t>
        </is>
      </c>
      <c r="D156" s="224" t="inlineStr">
        <is>
          <t>Mark Wilson</t>
        </is>
      </c>
      <c r="E156" s="224" t="inlineStr">
        <is>
          <t>Digital Support Manager(AU)</t>
        </is>
      </c>
      <c r="F156" s="224" t="inlineStr">
        <is>
          <t>Customer</t>
        </is>
      </c>
      <c r="G156" s="318" t="inlineStr">
        <is>
          <t>Digital</t>
        </is>
      </c>
      <c r="H156" s="224" t="inlineStr">
        <is>
          <t>Digital Support (AU)</t>
        </is>
      </c>
      <c r="I156" s="318" t="inlineStr">
        <is>
          <t>Customer</t>
        </is>
      </c>
      <c r="J156" s="224" t="inlineStr">
        <is>
          <t>Ampol Digital</t>
        </is>
      </c>
      <c r="K156" s="224" t="inlineStr">
        <is>
          <t>Digital Ops Support</t>
        </is>
      </c>
      <c r="L156" s="318" t="n"/>
      <c r="M156" s="319" t="inlineStr">
        <is>
          <t>Australia</t>
        </is>
      </c>
      <c r="N156" s="320" t="inlineStr">
        <is>
          <t>CIA</t>
        </is>
      </c>
      <c r="O156" s="320" t="n">
        <v>1</v>
      </c>
      <c r="P156" s="320" t="n"/>
      <c r="Q156" s="320" t="inlineStr">
        <is>
          <t>v</t>
        </is>
      </c>
      <c r="R156" s="322" t="n"/>
      <c r="S156" s="322" t="n"/>
      <c r="T156" s="334" t="n">
        <v>129650</v>
      </c>
      <c r="U156" s="705" t="n">
        <v>129650</v>
      </c>
      <c r="V156" s="325" t="n">
        <v>0.1</v>
      </c>
      <c r="W156" s="702" t="n">
        <v>0.055</v>
      </c>
      <c r="X156" s="702" t="n">
        <v>0.12</v>
      </c>
      <c r="Y156" s="703" t="n"/>
      <c r="Z156" s="702" t="n">
        <v>0.04</v>
      </c>
      <c r="AA156" s="701">
        <f>U156*(1+V156+W156+X156+Y156+Z156)</f>
        <v>170489.75</v>
      </c>
      <c r="AC156" t="inlineStr">
        <is>
          <t>Customer</t>
        </is>
      </c>
      <c r="AD156" t="inlineStr">
        <is>
          <t>Ampol Digital</t>
        </is>
      </c>
      <c r="AE156" t="inlineStr">
        <is>
          <t>Digital Operations</t>
        </is>
      </c>
      <c r="AF156" t="inlineStr">
        <is>
          <t>Squad</t>
        </is>
      </c>
      <c r="AG156" t="inlineStr">
        <is>
          <t>Vacant</t>
        </is>
      </c>
    </row>
    <row r="157" hidden="1" ht="18" customHeight="1" s="506">
      <c r="A157" s="259" t="inlineStr">
        <is>
          <t>C</t>
        </is>
      </c>
      <c r="B157" s="224" t="inlineStr">
        <is>
          <t>Alan Peng</t>
        </is>
      </c>
      <c r="C157" s="317" t="inlineStr">
        <is>
          <t>Delivery Lead</t>
        </is>
      </c>
      <c r="D157" s="318" t="inlineStr">
        <is>
          <t>Vacant</t>
        </is>
      </c>
      <c r="E157" s="224" t="inlineStr">
        <is>
          <t>Delivery Manager, Digital</t>
        </is>
      </c>
      <c r="F157" s="224" t="inlineStr">
        <is>
          <t>Customer</t>
        </is>
      </c>
      <c r="G157" s="318" t="inlineStr">
        <is>
          <t>Digital</t>
        </is>
      </c>
      <c r="H157" s="318" t="inlineStr">
        <is>
          <t>Digital, Delivery</t>
        </is>
      </c>
      <c r="I157" s="318" t="inlineStr">
        <is>
          <t>EGI Integration</t>
        </is>
      </c>
      <c r="J157" s="224" t="inlineStr">
        <is>
          <t>EGI</t>
        </is>
      </c>
      <c r="K157" s="224" t="inlineStr">
        <is>
          <t>EGI Customer</t>
        </is>
      </c>
      <c r="L157" s="318" t="n"/>
      <c r="M157" s="319" t="inlineStr">
        <is>
          <t>Australia</t>
        </is>
      </c>
      <c r="N157" s="322" t="inlineStr">
        <is>
          <t>NA</t>
        </is>
      </c>
      <c r="O157" s="320" t="n">
        <v>1</v>
      </c>
      <c r="P157" s="322" t="n"/>
      <c r="Q157" s="322" t="inlineStr">
        <is>
          <t>cxc</t>
        </is>
      </c>
      <c r="R157" s="331" t="inlineStr">
        <is>
          <t>Daily</t>
        </is>
      </c>
      <c r="S157" s="322" t="n">
        <v>1084.84</v>
      </c>
      <c r="T157" s="334" t="n">
        <v>0</v>
      </c>
      <c r="U157" s="334" t="n"/>
      <c r="V157" s="318" t="n"/>
      <c r="W157" s="318" t="n"/>
      <c r="X157" s="318" t="n"/>
      <c r="Y157" s="318" t="n"/>
      <c r="Z157" s="318" t="n"/>
      <c r="AA157" s="704">
        <f>S157*222</f>
        <v>240834.47999999998</v>
      </c>
      <c r="AC157" t="inlineStr">
        <is>
          <t>Customer</t>
        </is>
      </c>
      <c r="AD157" t="inlineStr">
        <is>
          <t>EGI Customer</t>
        </is>
      </c>
      <c r="AE157" t="inlineStr">
        <is>
          <t>EGI Customer</t>
        </is>
      </c>
      <c r="AF157" t="inlineStr">
        <is>
          <t>Strategic Program</t>
        </is>
      </c>
      <c r="AG157" t="inlineStr">
        <is>
          <t>Filled</t>
        </is>
      </c>
    </row>
    <row r="158" hidden="1" ht="18" customHeight="1" s="506">
      <c r="A158" s="259" t="n">
        <v>98144</v>
      </c>
      <c r="B158" s="224" t="inlineStr">
        <is>
          <t>Angie Ng</t>
        </is>
      </c>
      <c r="C158" s="317" t="inlineStr">
        <is>
          <t>Snr Engineer - BE</t>
        </is>
      </c>
      <c r="D158" s="224" t="inlineStr">
        <is>
          <t>Khalid Mahmud</t>
        </is>
      </c>
      <c r="E158" s="224" t="inlineStr">
        <is>
          <t>Lead Engineer - BE</t>
        </is>
      </c>
      <c r="F158" s="224" t="inlineStr">
        <is>
          <t>Customer</t>
        </is>
      </c>
      <c r="G158" s="318" t="inlineStr">
        <is>
          <t>Digital</t>
        </is>
      </c>
      <c r="H158" s="318" t="inlineStr">
        <is>
          <t>Tech, Digital Engineering</t>
        </is>
      </c>
      <c r="I158" s="318" t="inlineStr">
        <is>
          <t>EGI Integration</t>
        </is>
      </c>
      <c r="J158" s="224" t="inlineStr">
        <is>
          <t>EGI</t>
        </is>
      </c>
      <c r="K158" s="224" t="inlineStr">
        <is>
          <t>EGI Customer</t>
        </is>
      </c>
      <c r="L158" s="318" t="n"/>
      <c r="M158" s="319" t="inlineStr">
        <is>
          <t>Australia</t>
        </is>
      </c>
      <c r="N158" s="320" t="inlineStr">
        <is>
          <t>CIB</t>
        </is>
      </c>
      <c r="O158" s="320" t="n">
        <v>1</v>
      </c>
      <c r="P158" s="320" t="n"/>
      <c r="Q158" s="320" t="inlineStr">
        <is>
          <t>Permanent - Full Time</t>
        </is>
      </c>
      <c r="R158" s="322" t="n"/>
      <c r="S158" s="322" t="n"/>
      <c r="T158" s="334" t="n">
        <v>163990</v>
      </c>
      <c r="U158" s="705" t="n">
        <v>163990</v>
      </c>
      <c r="V158" s="325" t="n">
        <v>0.12</v>
      </c>
      <c r="W158" s="702" t="n">
        <v>0.055</v>
      </c>
      <c r="X158" s="702" t="n">
        <v>0.12</v>
      </c>
      <c r="Y158" s="703" t="n"/>
      <c r="Z158" s="702" t="n">
        <v>0.04</v>
      </c>
      <c r="AA158" s="701">
        <f>U158*(1+V158+W158+X158+Y158+Z158)</f>
        <v>218926.65</v>
      </c>
      <c r="AC158" t="inlineStr">
        <is>
          <t>Customer</t>
        </is>
      </c>
      <c r="AD158" t="inlineStr">
        <is>
          <t>EGI Customer</t>
        </is>
      </c>
      <c r="AE158" t="inlineStr">
        <is>
          <t>EGI Customer</t>
        </is>
      </c>
      <c r="AF158" t="inlineStr">
        <is>
          <t>Strategic Program</t>
        </is>
      </c>
      <c r="AG158" t="inlineStr">
        <is>
          <t>Filled</t>
        </is>
      </c>
    </row>
    <row r="159" hidden="1" ht="18" customHeight="1" s="506">
      <c r="A159" s="259" t="n"/>
      <c r="B159" s="224" t="inlineStr">
        <is>
          <t>Dasha Fothergill</t>
        </is>
      </c>
      <c r="C159" s="317" t="inlineStr">
        <is>
          <t>Data Analyst</t>
        </is>
      </c>
      <c r="D159" s="224" t="inlineStr">
        <is>
          <t>Vacant</t>
        </is>
      </c>
      <c r="E159" s="224" t="inlineStr">
        <is>
          <t>Technology Manager, Data &amp; Engineering</t>
        </is>
      </c>
      <c r="F159" s="335" t="inlineStr">
        <is>
          <t>Customer</t>
        </is>
      </c>
      <c r="G159" s="318" t="inlineStr">
        <is>
          <t>Loyalty &amp; Martech</t>
        </is>
      </c>
      <c r="H159" s="335" t="inlineStr">
        <is>
          <t>Loyalty, Data &amp; Engineering</t>
        </is>
      </c>
      <c r="I159" s="318" t="inlineStr">
        <is>
          <t>EGI Integration</t>
        </is>
      </c>
      <c r="J159" s="318" t="inlineStr">
        <is>
          <t>EGI</t>
        </is>
      </c>
      <c r="K159" s="224" t="inlineStr">
        <is>
          <t>EGI Customer</t>
        </is>
      </c>
      <c r="L159" s="318" t="n"/>
      <c r="M159" s="319" t="inlineStr">
        <is>
          <t>NZ</t>
        </is>
      </c>
      <c r="N159" s="322" t="inlineStr">
        <is>
          <t>CIA</t>
        </is>
      </c>
      <c r="O159" s="321" t="n">
        <v>1</v>
      </c>
      <c r="P159" s="322" t="n"/>
      <c r="Q159" s="321" t="inlineStr">
        <is>
          <t>Permanent - Full Time</t>
        </is>
      </c>
      <c r="R159" s="331" t="n"/>
      <c r="S159" s="322" t="n"/>
      <c r="T159" s="389" t="n">
        <v>120000</v>
      </c>
      <c r="U159" s="705" t="n">
        <v>110400</v>
      </c>
      <c r="V159" s="324" t="n">
        <v>0.15</v>
      </c>
      <c r="W159" s="322" t="n"/>
      <c r="X159" s="325" t="n">
        <v>0.05</v>
      </c>
      <c r="Y159" s="700" t="n">
        <v>2910</v>
      </c>
      <c r="Z159" s="325" t="n">
        <v>0.03</v>
      </c>
      <c r="AA159" s="390">
        <f>U159*(1+V159+X159+Z159)+Y159</f>
        <v>138702.0</v>
      </c>
      <c r="AB159" t="n">
        <v>115809</v>
      </c>
      <c r="AC159" t="inlineStr">
        <is>
          <t>Customer</t>
        </is>
      </c>
      <c r="AD159" t="inlineStr">
        <is>
          <t>EGI Customer</t>
        </is>
      </c>
      <c r="AE159" t="inlineStr">
        <is>
          <t>EGI Customer</t>
        </is>
      </c>
      <c r="AF159" t="inlineStr">
        <is>
          <t>Strategic Program</t>
        </is>
      </c>
      <c r="AG159" t="inlineStr">
        <is>
          <t>Filled</t>
        </is>
      </c>
    </row>
    <row r="160" hidden="1" ht="18" customHeight="1" s="506">
      <c r="A160" s="259" t="n">
        <v>107781</v>
      </c>
      <c r="B160" s="224" t="inlineStr">
        <is>
          <t>Ramez Haider</t>
        </is>
      </c>
      <c r="C160" s="317" t="inlineStr">
        <is>
          <t>Solution Architect</t>
        </is>
      </c>
      <c r="D160" s="224" t="inlineStr">
        <is>
          <t>Mitesh Shah</t>
        </is>
      </c>
      <c r="E160" s="224" t="inlineStr">
        <is>
          <t>Technology Manager, Digitial</t>
        </is>
      </c>
      <c r="F160" s="224" t="inlineStr">
        <is>
          <t>Customer</t>
        </is>
      </c>
      <c r="G160" s="318" t="inlineStr">
        <is>
          <t>Digital</t>
        </is>
      </c>
      <c r="H160" s="224" t="inlineStr">
        <is>
          <t>Digital, Tech</t>
        </is>
      </c>
      <c r="I160" s="318" t="inlineStr">
        <is>
          <t>EGI Integration</t>
        </is>
      </c>
      <c r="J160" s="224" t="inlineStr">
        <is>
          <t>EGI</t>
        </is>
      </c>
      <c r="K160" s="224" t="inlineStr">
        <is>
          <t>EGI Customer</t>
        </is>
      </c>
      <c r="L160" s="318" t="n"/>
      <c r="M160" s="319" t="inlineStr">
        <is>
          <t>Australia</t>
        </is>
      </c>
      <c r="N160" s="320" t="inlineStr">
        <is>
          <t>CIB</t>
        </is>
      </c>
      <c r="O160" s="320" t="n">
        <v>1</v>
      </c>
      <c r="P160" s="320" t="n"/>
      <c r="Q160" s="320" t="inlineStr">
        <is>
          <t>Permanent - Full Time</t>
        </is>
      </c>
      <c r="R160" s="322" t="n"/>
      <c r="S160" s="322" t="n"/>
      <c r="T160" s="334" t="n">
        <v>167750</v>
      </c>
      <c r="U160" s="705" t="n">
        <v>167750</v>
      </c>
      <c r="V160" s="325" t="n">
        <v>0.12</v>
      </c>
      <c r="W160" s="702" t="n">
        <v>0.055</v>
      </c>
      <c r="X160" s="702" t="n">
        <v>0.12</v>
      </c>
      <c r="Y160" s="703" t="n"/>
      <c r="Z160" s="702" t="n">
        <v>0.04</v>
      </c>
      <c r="AA160" s="701">
        <f>U160*(1+V160+W160+X160+Y160+Z160)</f>
        <v>223946.25</v>
      </c>
      <c r="AC160" t="inlineStr">
        <is>
          <t>Customer</t>
        </is>
      </c>
      <c r="AD160" t="inlineStr">
        <is>
          <t>EGI Customer</t>
        </is>
      </c>
      <c r="AE160" t="inlineStr">
        <is>
          <t>EGI Customer</t>
        </is>
      </c>
      <c r="AF160" t="inlineStr">
        <is>
          <t>Strategic Program</t>
        </is>
      </c>
      <c r="AG160" t="inlineStr">
        <is>
          <t>Filled</t>
        </is>
      </c>
    </row>
    <row r="161" hidden="1" ht="18" customHeight="1" s="506">
      <c r="A161" s="259" t="n">
        <v>114395</v>
      </c>
      <c r="B161" s="224" t="inlineStr">
        <is>
          <t>Rishabh Bhatia</t>
        </is>
      </c>
      <c r="C161" s="317" t="inlineStr">
        <is>
          <t>Engineer - Mobile (Android)</t>
        </is>
      </c>
      <c r="D161" s="224" t="inlineStr">
        <is>
          <t>Mitesh Shah</t>
        </is>
      </c>
      <c r="E161" s="224" t="inlineStr">
        <is>
          <t>Technology Manager, Digitial</t>
        </is>
      </c>
      <c r="F161" s="224" t="inlineStr">
        <is>
          <t>Customer</t>
        </is>
      </c>
      <c r="G161" s="318" t="inlineStr">
        <is>
          <t>Digital</t>
        </is>
      </c>
      <c r="H161" s="224" t="inlineStr">
        <is>
          <t>Digital, Tech</t>
        </is>
      </c>
      <c r="I161" s="318" t="inlineStr">
        <is>
          <t>EGI Integration</t>
        </is>
      </c>
      <c r="J161" s="224" t="inlineStr">
        <is>
          <t>EGI</t>
        </is>
      </c>
      <c r="K161" s="224" t="inlineStr">
        <is>
          <t>EGI Customer</t>
        </is>
      </c>
      <c r="L161" s="318" t="n"/>
      <c r="M161" s="319" t="inlineStr">
        <is>
          <t>Australia</t>
        </is>
      </c>
      <c r="N161" s="320" t="inlineStr">
        <is>
          <t>CIB</t>
        </is>
      </c>
      <c r="O161" s="320" t="n">
        <v>1</v>
      </c>
      <c r="P161" s="320" t="n"/>
      <c r="Q161" s="320" t="inlineStr">
        <is>
          <t>Permanent - Full Time</t>
        </is>
      </c>
      <c r="R161" s="322" t="n"/>
      <c r="S161" s="322" t="n"/>
      <c r="T161" s="334" t="n">
        <v>148310</v>
      </c>
      <c r="U161" s="705" t="n">
        <v>148310</v>
      </c>
      <c r="V161" s="325" t="n">
        <v>0.12</v>
      </c>
      <c r="W161" s="702" t="n">
        <v>0.055</v>
      </c>
      <c r="X161" s="702" t="n">
        <v>0.12</v>
      </c>
      <c r="Y161" s="703" t="n"/>
      <c r="Z161" s="702" t="n">
        <v>0.04</v>
      </c>
      <c r="AA161" s="701">
        <f>U161*(1+V161+W161+X161+Y161+Z161)</f>
        <v>197993.85</v>
      </c>
      <c r="AC161" t="inlineStr">
        <is>
          <t>Customer</t>
        </is>
      </c>
      <c r="AD161" t="inlineStr">
        <is>
          <t>EGI Customer</t>
        </is>
      </c>
      <c r="AE161" t="inlineStr">
        <is>
          <t>EGI Customer</t>
        </is>
      </c>
      <c r="AF161" t="inlineStr">
        <is>
          <t>Strategic Program</t>
        </is>
      </c>
      <c r="AG161" t="inlineStr">
        <is>
          <t>Filled</t>
        </is>
      </c>
    </row>
    <row r="162" hidden="1" ht="18" customHeight="1" s="506">
      <c r="A162" s="259" t="inlineStr">
        <is>
          <t>C</t>
        </is>
      </c>
      <c r="B162" s="224" t="inlineStr">
        <is>
          <t>Rob Jadrjevic</t>
        </is>
      </c>
      <c r="C162" s="317" t="inlineStr">
        <is>
          <t>Engineer - BE</t>
        </is>
      </c>
      <c r="D162" s="224" t="inlineStr">
        <is>
          <t>Vacant</t>
        </is>
      </c>
      <c r="E162" s="224" t="inlineStr">
        <is>
          <t>Technology Manager, Digital Engineering</t>
        </is>
      </c>
      <c r="F162" s="224" t="inlineStr">
        <is>
          <t>Customer</t>
        </is>
      </c>
      <c r="G162" s="318" t="inlineStr">
        <is>
          <t>Digital</t>
        </is>
      </c>
      <c r="H162" s="318" t="inlineStr">
        <is>
          <t>Tech, Digital Engineering</t>
        </is>
      </c>
      <c r="I162" s="318" t="inlineStr">
        <is>
          <t>EGI Integration</t>
        </is>
      </c>
      <c r="J162" s="224" t="inlineStr">
        <is>
          <t>EGI</t>
        </is>
      </c>
      <c r="K162" s="224" t="inlineStr">
        <is>
          <t>EGI Customer</t>
        </is>
      </c>
      <c r="L162" s="318" t="n"/>
      <c r="M162" s="319" t="inlineStr">
        <is>
          <t>Australia</t>
        </is>
      </c>
      <c r="N162" s="322" t="inlineStr">
        <is>
          <t>NA</t>
        </is>
      </c>
      <c r="O162" s="320" t="n">
        <v>1</v>
      </c>
      <c r="P162" s="322" t="n"/>
      <c r="Q162" s="322" t="inlineStr">
        <is>
          <t>cxc</t>
        </is>
      </c>
      <c r="R162" s="331" t="inlineStr">
        <is>
          <t>Daily</t>
        </is>
      </c>
      <c r="S162" s="322" t="n">
        <v>1350</v>
      </c>
      <c r="T162" s="334" t="n">
        <v>0</v>
      </c>
      <c r="U162" s="334" t="n"/>
      <c r="V162" s="318" t="n"/>
      <c r="W162" s="318" t="n"/>
      <c r="X162" s="318" t="n"/>
      <c r="Y162" s="318" t="n"/>
      <c r="Z162" s="318" t="n"/>
      <c r="AA162" s="704">
        <f>S162*222</f>
        <v>299700.0</v>
      </c>
      <c r="AC162" t="inlineStr">
        <is>
          <t>Customer</t>
        </is>
      </c>
      <c r="AD162" t="inlineStr">
        <is>
          <t>EGI Customer</t>
        </is>
      </c>
      <c r="AE162" t="inlineStr">
        <is>
          <t>EGI Customer</t>
        </is>
      </c>
      <c r="AF162" t="inlineStr">
        <is>
          <t>Strategic Program</t>
        </is>
      </c>
      <c r="AG162" t="inlineStr">
        <is>
          <t>Filled</t>
        </is>
      </c>
    </row>
    <row r="163" hidden="1" ht="18" customHeight="1" s="506">
      <c r="A163" s="391" t="n">
        <v>88332</v>
      </c>
      <c r="B163" s="224" t="inlineStr">
        <is>
          <t>Safiq Iqbal</t>
        </is>
      </c>
      <c r="C163" s="317" t="inlineStr">
        <is>
          <t>Principal Engineer</t>
        </is>
      </c>
      <c r="D163" s="224" t="inlineStr">
        <is>
          <t>Shona Paul</t>
        </is>
      </c>
      <c r="E163" s="224" t="inlineStr">
        <is>
          <t>Head of Technology, Digital</t>
        </is>
      </c>
      <c r="F163" s="224" t="inlineStr">
        <is>
          <t>Customer</t>
        </is>
      </c>
      <c r="G163" s="318" t="inlineStr">
        <is>
          <t>Digital</t>
        </is>
      </c>
      <c r="H163" s="318" t="inlineStr">
        <is>
          <t>EGI</t>
        </is>
      </c>
      <c r="I163" s="318" t="inlineStr">
        <is>
          <t>EGI Integration</t>
        </is>
      </c>
      <c r="J163" s="224" t="inlineStr">
        <is>
          <t>EGI</t>
        </is>
      </c>
      <c r="K163" s="224" t="inlineStr">
        <is>
          <t>EGI Customer</t>
        </is>
      </c>
      <c r="L163" s="318" t="n"/>
      <c r="M163" s="319" t="inlineStr">
        <is>
          <t>Australia</t>
        </is>
      </c>
      <c r="N163" s="392" t="inlineStr">
        <is>
          <t xml:space="preserve">CIC </t>
        </is>
      </c>
      <c r="O163" s="392" t="n">
        <v>1</v>
      </c>
      <c r="P163" s="392" t="n"/>
      <c r="Q163" s="392" t="inlineStr">
        <is>
          <t>Permanent - Full Time</t>
        </is>
      </c>
      <c r="R163" s="224" t="n"/>
      <c r="S163" s="224" t="n"/>
      <c r="T163" s="389" t="n">
        <v>182760</v>
      </c>
      <c r="U163" s="705" t="n">
        <v>182760</v>
      </c>
      <c r="V163" s="325" t="n">
        <v>0.12</v>
      </c>
      <c r="W163" s="702" t="n">
        <v>0.055</v>
      </c>
      <c r="X163" s="702" t="n">
        <v>0.12</v>
      </c>
      <c r="Y163" s="703" t="n"/>
      <c r="Z163" s="702" t="n">
        <v>0.04</v>
      </c>
      <c r="AA163" s="701">
        <f>U163*(1+V163+W163+X163+Y163+Z163)</f>
        <v>243984.6</v>
      </c>
      <c r="AC163" t="inlineStr">
        <is>
          <t>Customer</t>
        </is>
      </c>
      <c r="AD163" t="inlineStr">
        <is>
          <t>EGI Customer</t>
        </is>
      </c>
      <c r="AE163" t="inlineStr">
        <is>
          <t>EGI Customer</t>
        </is>
      </c>
      <c r="AF163" t="inlineStr">
        <is>
          <t>Strategic Program</t>
        </is>
      </c>
      <c r="AG163" t="inlineStr">
        <is>
          <t>Filled</t>
        </is>
      </c>
    </row>
    <row r="164" hidden="1" ht="18" customHeight="1" s="506">
      <c r="A164" s="259" t="n">
        <v>117595</v>
      </c>
      <c r="B164" s="224" t="inlineStr">
        <is>
          <t>Sri Balan Raj</t>
        </is>
      </c>
      <c r="C164" s="317" t="inlineStr">
        <is>
          <t>Business Analyst</t>
        </is>
      </c>
      <c r="D164" s="318" t="inlineStr">
        <is>
          <t>Vacant</t>
        </is>
      </c>
      <c r="E164" s="224" t="inlineStr">
        <is>
          <t>Delivery Manager, Digital</t>
        </is>
      </c>
      <c r="F164" s="224" t="inlineStr">
        <is>
          <t>Customer</t>
        </is>
      </c>
      <c r="G164" s="318" t="inlineStr">
        <is>
          <t>Digital</t>
        </is>
      </c>
      <c r="H164" s="318" t="inlineStr">
        <is>
          <t>Digital, Delivery</t>
        </is>
      </c>
      <c r="I164" s="318" t="inlineStr">
        <is>
          <t>EGI Integration</t>
        </is>
      </c>
      <c r="J164" s="224" t="inlineStr">
        <is>
          <t>EGI</t>
        </is>
      </c>
      <c r="K164" s="224" t="inlineStr">
        <is>
          <t>EGI Customer</t>
        </is>
      </c>
      <c r="L164" s="318" t="n"/>
      <c r="M164" s="319" t="inlineStr">
        <is>
          <t>Australia</t>
        </is>
      </c>
      <c r="N164" s="320" t="inlineStr">
        <is>
          <t>CIB</t>
        </is>
      </c>
      <c r="O164" s="320" t="n">
        <v>1</v>
      </c>
      <c r="P164" s="320" t="n"/>
      <c r="Q164" s="320" t="inlineStr">
        <is>
          <t>Permanent - Full Time</t>
        </is>
      </c>
      <c r="R164" s="331" t="n"/>
      <c r="S164" s="322" t="n"/>
      <c r="T164" s="334" t="n">
        <v>160000</v>
      </c>
      <c r="U164" s="705" t="n">
        <v>160000</v>
      </c>
      <c r="V164" s="325" t="n">
        <v>0.12</v>
      </c>
      <c r="W164" s="702" t="n">
        <v>0.055</v>
      </c>
      <c r="X164" s="702" t="n">
        <v>0.12</v>
      </c>
      <c r="Y164" s="703" t="n"/>
      <c r="Z164" s="702" t="n">
        <v>0.04</v>
      </c>
      <c r="AA164" s="701">
        <f>U164*(1+V164+W164+X164+Y164+Z164)</f>
        <v>213600.0</v>
      </c>
      <c r="AC164" t="inlineStr">
        <is>
          <t>Customer</t>
        </is>
      </c>
      <c r="AD164" t="inlineStr">
        <is>
          <t>EGI Customer</t>
        </is>
      </c>
      <c r="AE164" t="inlineStr">
        <is>
          <t>EGI Customer</t>
        </is>
      </c>
      <c r="AF164" t="inlineStr">
        <is>
          <t>Strategic Program</t>
        </is>
      </c>
      <c r="AG164" t="inlineStr">
        <is>
          <t>Filled</t>
        </is>
      </c>
    </row>
    <row r="165" hidden="1" ht="18" customHeight="1" s="506">
      <c r="A165" s="259" t="inlineStr">
        <is>
          <t>C</t>
        </is>
      </c>
      <c r="B165" s="224" t="inlineStr">
        <is>
          <t>Swapnil Pithwa</t>
        </is>
      </c>
      <c r="C165" s="317" t="inlineStr">
        <is>
          <t>Engineer - BE</t>
        </is>
      </c>
      <c r="D165" s="224" t="inlineStr">
        <is>
          <t>Vacant</t>
        </is>
      </c>
      <c r="E165" s="224" t="inlineStr">
        <is>
          <t>Technology Manager, Digital Engineering</t>
        </is>
      </c>
      <c r="F165" s="224" t="inlineStr">
        <is>
          <t>Customer</t>
        </is>
      </c>
      <c r="G165" s="318" t="inlineStr">
        <is>
          <t>Digital</t>
        </is>
      </c>
      <c r="H165" s="318" t="inlineStr">
        <is>
          <t>Tech, Digital Engineering</t>
        </is>
      </c>
      <c r="I165" s="318" t="inlineStr">
        <is>
          <t>EGI Integration</t>
        </is>
      </c>
      <c r="J165" s="224" t="inlineStr">
        <is>
          <t>EGI</t>
        </is>
      </c>
      <c r="K165" s="224" t="inlineStr">
        <is>
          <t>EGI Customer</t>
        </is>
      </c>
      <c r="L165" s="318" t="n"/>
      <c r="M165" s="319" t="inlineStr">
        <is>
          <t>Australia</t>
        </is>
      </c>
      <c r="N165" s="322" t="inlineStr">
        <is>
          <t>NA</t>
        </is>
      </c>
      <c r="O165" s="320" t="n">
        <v>1</v>
      </c>
      <c r="P165" s="322" t="n"/>
      <c r="Q165" s="331" t="inlineStr">
        <is>
          <t>Contractor</t>
        </is>
      </c>
      <c r="R165" s="331" t="inlineStr">
        <is>
          <t>Daily</t>
        </is>
      </c>
      <c r="S165" s="322" t="n">
        <v>1040</v>
      </c>
      <c r="T165" s="334" t="n">
        <v>0</v>
      </c>
      <c r="U165" s="334" t="n"/>
      <c r="V165" s="318" t="n"/>
      <c r="W165" s="318" t="n"/>
      <c r="X165" s="318" t="n"/>
      <c r="Y165" s="318" t="n"/>
      <c r="Z165" s="318" t="n"/>
      <c r="AA165" s="704">
        <f>S165*222</f>
        <v>230880.0</v>
      </c>
      <c r="AC165" t="inlineStr">
        <is>
          <t>Customer</t>
        </is>
      </c>
      <c r="AD165" t="inlineStr">
        <is>
          <t>EGI Customer</t>
        </is>
      </c>
      <c r="AE165" t="inlineStr">
        <is>
          <t>EGI Customer</t>
        </is>
      </c>
      <c r="AF165" t="inlineStr">
        <is>
          <t>Strategic Program</t>
        </is>
      </c>
      <c r="AG165" t="inlineStr">
        <is>
          <t>Filled</t>
        </is>
      </c>
    </row>
    <row r="166" hidden="1" ht="18" customHeight="1" s="506">
      <c r="A166" s="259" t="inlineStr">
        <is>
          <t>C</t>
        </is>
      </c>
      <c r="B166" s="224" t="inlineStr">
        <is>
          <t>Waheed Malek</t>
        </is>
      </c>
      <c r="C166" s="317" t="inlineStr">
        <is>
          <t>Quality Assurance</t>
        </is>
      </c>
      <c r="D166" s="224" t="inlineStr">
        <is>
          <t>Mitesh Shah</t>
        </is>
      </c>
      <c r="E166" s="224" t="inlineStr">
        <is>
          <t>Technology Manager, Digitial</t>
        </is>
      </c>
      <c r="F166" s="224" t="inlineStr">
        <is>
          <t>Customer</t>
        </is>
      </c>
      <c r="G166" s="318" t="inlineStr">
        <is>
          <t>Digital</t>
        </is>
      </c>
      <c r="H166" s="224" t="inlineStr">
        <is>
          <t>Digital, Tech</t>
        </is>
      </c>
      <c r="I166" s="318" t="inlineStr">
        <is>
          <t>EGI Integration</t>
        </is>
      </c>
      <c r="J166" s="224" t="inlineStr">
        <is>
          <t>EGI</t>
        </is>
      </c>
      <c r="K166" s="224" t="inlineStr">
        <is>
          <t>EGI Customer</t>
        </is>
      </c>
      <c r="L166" s="318" t="n"/>
      <c r="M166" s="319" t="inlineStr">
        <is>
          <t>Australia</t>
        </is>
      </c>
      <c r="N166" s="322" t="inlineStr">
        <is>
          <t>NA</t>
        </is>
      </c>
      <c r="O166" s="320" t="n">
        <v>1</v>
      </c>
      <c r="P166" s="322" t="n"/>
      <c r="Q166" s="322" t="inlineStr">
        <is>
          <t>cxc</t>
        </is>
      </c>
      <c r="R166" s="331" t="inlineStr">
        <is>
          <t>Daily</t>
        </is>
      </c>
      <c r="S166" s="322" t="n">
        <v>1115</v>
      </c>
      <c r="T166" s="334" t="n">
        <v>0</v>
      </c>
      <c r="U166" s="334" t="n"/>
      <c r="V166" s="318" t="n"/>
      <c r="W166" s="318" t="n"/>
      <c r="X166" s="318" t="n"/>
      <c r="Y166" s="318" t="n"/>
      <c r="Z166" s="318" t="n"/>
      <c r="AA166" s="704">
        <f>S166*222</f>
        <v>247530.0</v>
      </c>
      <c r="AC166" t="inlineStr">
        <is>
          <t>Customer</t>
        </is>
      </c>
      <c r="AD166" t="inlineStr">
        <is>
          <t>EGI Customer</t>
        </is>
      </c>
      <c r="AE166" t="inlineStr">
        <is>
          <t>EGI Customer</t>
        </is>
      </c>
      <c r="AF166" t="inlineStr">
        <is>
          <t>Strategic Program</t>
        </is>
      </c>
      <c r="AG166" t="inlineStr">
        <is>
          <t>Filled</t>
        </is>
      </c>
    </row>
    <row r="167" hidden="1" ht="18" customHeight="1" s="506">
      <c r="A167" s="259" t="n">
        <v>107144</v>
      </c>
      <c r="B167" s="224" t="inlineStr">
        <is>
          <t>Jasper Na</t>
        </is>
      </c>
      <c r="C167" s="317" t="inlineStr">
        <is>
          <t>Associate Engineer - BE</t>
        </is>
      </c>
      <c r="D167" s="224" t="inlineStr">
        <is>
          <t>Jin Zhong</t>
        </is>
      </c>
      <c r="E167" s="224" t="inlineStr">
        <is>
          <t>Lead Engineer - BE</t>
        </is>
      </c>
      <c r="F167" s="224" t="inlineStr">
        <is>
          <t>Customer</t>
        </is>
      </c>
      <c r="G167" s="318" t="inlineStr">
        <is>
          <t>Digital</t>
        </is>
      </c>
      <c r="H167" s="318" t="inlineStr">
        <is>
          <t>Tech, Digital Engineering</t>
        </is>
      </c>
      <c r="I167" s="318" t="inlineStr">
        <is>
          <t>Customer</t>
        </is>
      </c>
      <c r="J167" s="224" t="inlineStr">
        <is>
          <t>Ampol Digital</t>
        </is>
      </c>
      <c r="K167" s="224" t="inlineStr">
        <is>
          <t>Energy</t>
        </is>
      </c>
      <c r="L167" s="318" t="n"/>
      <c r="M167" s="319" t="inlineStr">
        <is>
          <t>Australia</t>
        </is>
      </c>
      <c r="N167" s="320" t="inlineStr">
        <is>
          <t>CIA</t>
        </is>
      </c>
      <c r="O167" s="320" t="n">
        <v>1</v>
      </c>
      <c r="P167" s="320" t="n"/>
      <c r="Q167" s="320" t="inlineStr">
        <is>
          <t>Permanent - Full Time</t>
        </is>
      </c>
      <c r="R167" s="322" t="n"/>
      <c r="S167" s="322" t="n"/>
      <c r="T167" s="334" t="n">
        <v>104000</v>
      </c>
      <c r="U167" s="705" t="n">
        <v>104000</v>
      </c>
      <c r="V167" s="325" t="n">
        <v>0.1</v>
      </c>
      <c r="W167" s="702" t="n">
        <v>0.055</v>
      </c>
      <c r="X167" s="702" t="n">
        <v>0.12</v>
      </c>
      <c r="Y167" s="703" t="n"/>
      <c r="Z167" s="702" t="n">
        <v>0.04</v>
      </c>
      <c r="AA167" s="701">
        <f>U167*(1+V167+W167+X167+Y167+Z167)</f>
        <v>136760.0</v>
      </c>
      <c r="AC167" t="inlineStr">
        <is>
          <t>Energy Solutions &amp; B2B</t>
        </is>
      </c>
      <c r="AD167" t="inlineStr">
        <is>
          <t>Energy Solutions</t>
        </is>
      </c>
      <c r="AE167" t="inlineStr">
        <is>
          <t>Energy</t>
        </is>
      </c>
      <c r="AF167" t="inlineStr">
        <is>
          <t>Squad</t>
        </is>
      </c>
      <c r="AG167" t="inlineStr">
        <is>
          <t>Filled</t>
        </is>
      </c>
    </row>
    <row r="168" hidden="1" ht="18" customHeight="1" s="506">
      <c r="A168" s="259" t="inlineStr">
        <is>
          <t>V</t>
        </is>
      </c>
      <c r="B168" s="224" t="inlineStr">
        <is>
          <t>vacant</t>
        </is>
      </c>
      <c r="C168" s="317" t="inlineStr">
        <is>
          <t>engineer - BE</t>
        </is>
      </c>
      <c r="D168" s="224" t="inlineStr">
        <is>
          <t>Khalid Mahmud</t>
        </is>
      </c>
      <c r="E168" s="224" t="inlineStr">
        <is>
          <t>Lead Engineer - BE</t>
        </is>
      </c>
      <c r="F168" s="224" t="inlineStr">
        <is>
          <t>Customer</t>
        </is>
      </c>
      <c r="G168" s="318" t="inlineStr">
        <is>
          <t>Digital</t>
        </is>
      </c>
      <c r="H168" s="318" t="inlineStr">
        <is>
          <t>Tech, Digital Engineering</t>
        </is>
      </c>
      <c r="I168" s="318" t="inlineStr">
        <is>
          <t>Customer</t>
        </is>
      </c>
      <c r="J168" s="224" t="inlineStr">
        <is>
          <t>Ampol Digital</t>
        </is>
      </c>
      <c r="K168" s="224" t="inlineStr">
        <is>
          <t>Energy</t>
        </is>
      </c>
      <c r="L168" s="318" t="n"/>
      <c r="M168" s="319" t="inlineStr">
        <is>
          <t>Australia</t>
        </is>
      </c>
      <c r="N168" s="320" t="inlineStr">
        <is>
          <t>CIB</t>
        </is>
      </c>
      <c r="O168" s="320" t="n">
        <v>1</v>
      </c>
      <c r="P168" s="320" t="n"/>
      <c r="Q168" s="320" t="inlineStr">
        <is>
          <t>V</t>
        </is>
      </c>
      <c r="R168" s="322" t="n"/>
      <c r="S168" s="322" t="n"/>
      <c r="T168" s="334" t="n">
        <v>151950</v>
      </c>
      <c r="U168" s="705" t="n">
        <v>151950</v>
      </c>
      <c r="V168" s="325" t="n">
        <v>0.12</v>
      </c>
      <c r="W168" s="702" t="n">
        <v>0.055</v>
      </c>
      <c r="X168" s="702" t="n">
        <v>0.12</v>
      </c>
      <c r="Y168" s="703" t="n"/>
      <c r="Z168" s="702" t="n">
        <v>0.04</v>
      </c>
      <c r="AA168" s="701">
        <f>U168*(1+V168+W168+X168+Y168+Z168)</f>
        <v>202853.25</v>
      </c>
      <c r="AC168" t="inlineStr">
        <is>
          <t>Energy Solutions &amp; B2B</t>
        </is>
      </c>
      <c r="AD168" t="inlineStr">
        <is>
          <t>Energy Solutions</t>
        </is>
      </c>
      <c r="AE168" t="inlineStr">
        <is>
          <t>Energy</t>
        </is>
      </c>
      <c r="AF168" t="inlineStr">
        <is>
          <t>Squad</t>
        </is>
      </c>
      <c r="AG168" t="inlineStr">
        <is>
          <t>Vacant</t>
        </is>
      </c>
    </row>
    <row r="169" hidden="1" ht="18" customHeight="1" s="506">
      <c r="A169" s="259" t="n">
        <v>116408</v>
      </c>
      <c r="B169" s="224" t="inlineStr">
        <is>
          <t>Abhilash Reddy</t>
        </is>
      </c>
      <c r="C169" s="317" t="inlineStr">
        <is>
          <t>Project Manager</t>
        </is>
      </c>
      <c r="D169" s="224" t="inlineStr">
        <is>
          <t>Vacant</t>
        </is>
      </c>
      <c r="E169" s="224" t="inlineStr">
        <is>
          <t>Program Manager</t>
        </is>
      </c>
      <c r="F169" s="224" t="inlineStr">
        <is>
          <t>Customer</t>
        </is>
      </c>
      <c r="G169" s="318" t="inlineStr">
        <is>
          <t>Customer, PMO</t>
        </is>
      </c>
      <c r="H169" s="224" t="n"/>
      <c r="I169" s="224" t="inlineStr">
        <is>
          <t>Customer</t>
        </is>
      </c>
      <c r="J169" s="224" t="inlineStr">
        <is>
          <t>Ampol Digital</t>
        </is>
      </c>
      <c r="K169" s="224" t="inlineStr">
        <is>
          <t>Leadership</t>
        </is>
      </c>
      <c r="L169" s="318" t="n"/>
      <c r="M169" s="319" t="inlineStr">
        <is>
          <t>Australia</t>
        </is>
      </c>
      <c r="N169" s="320" t="inlineStr">
        <is>
          <t>CIC</t>
        </is>
      </c>
      <c r="O169" s="320" t="n">
        <v>1</v>
      </c>
      <c r="P169" s="320" t="n"/>
      <c r="Q169" s="320" t="inlineStr">
        <is>
          <t>Temporary - Full Time</t>
        </is>
      </c>
      <c r="R169" s="322" t="n"/>
      <c r="S169" s="322" t="n"/>
      <c r="T169" s="334" t="n">
        <v>160000</v>
      </c>
      <c r="U169" s="705" t="n">
        <v>160000</v>
      </c>
      <c r="V169" s="325" t="n">
        <v>0.12</v>
      </c>
      <c r="W169" s="702" t="n">
        <v>0.055</v>
      </c>
      <c r="X169" s="702" t="n">
        <v>0.12</v>
      </c>
      <c r="Y169" s="703" t="n"/>
      <c r="Z169" s="702" t="n">
        <v>0.04</v>
      </c>
      <c r="AA169" s="701">
        <f>U169*(1+V169+W169+X169+Y169+Z169)</f>
        <v>213600.0</v>
      </c>
      <c r="AC169" t="inlineStr">
        <is>
          <t>Customer</t>
        </is>
      </c>
      <c r="AD169" t="inlineStr">
        <is>
          <t>Leadership</t>
        </is>
      </c>
      <c r="AE169" t="inlineStr">
        <is>
          <t>Leadership</t>
        </is>
      </c>
      <c r="AF169" t="inlineStr">
        <is>
          <t>Leadership</t>
        </is>
      </c>
      <c r="AG169" t="inlineStr">
        <is>
          <t>Filled</t>
        </is>
      </c>
    </row>
    <row r="170" hidden="1" ht="18" customHeight="1" s="506">
      <c r="A170" s="391" t="n">
        <v>99999113507</v>
      </c>
      <c r="B170" s="224" t="inlineStr">
        <is>
          <t>Andy Stewart</t>
        </is>
      </c>
      <c r="C170" s="317" t="inlineStr">
        <is>
          <t>Head of Technology, Loyalty &amp; Martech</t>
        </is>
      </c>
      <c r="D170" s="224" t="inlineStr">
        <is>
          <t>Harley Giles</t>
        </is>
      </c>
      <c r="E170" s="224" t="inlineStr">
        <is>
          <t>GM TDD, Customer</t>
        </is>
      </c>
      <c r="F170" s="224" t="inlineStr">
        <is>
          <t>Customer</t>
        </is>
      </c>
      <c r="G170" s="318" t="inlineStr">
        <is>
          <t>Loyalty &amp; Martech</t>
        </is>
      </c>
      <c r="H170" s="224" t="n"/>
      <c r="I170" s="224" t="inlineStr">
        <is>
          <t>Customer</t>
        </is>
      </c>
      <c r="J170" s="224" t="inlineStr">
        <is>
          <t>Customer Z, Group Customer Platforms</t>
        </is>
      </c>
      <c r="K170" s="224" t="inlineStr">
        <is>
          <t>Leadership</t>
        </is>
      </c>
      <c r="L170" s="318" t="n"/>
      <c r="M170" s="319" t="inlineStr">
        <is>
          <t>NZ</t>
        </is>
      </c>
      <c r="N170" s="392" t="inlineStr">
        <is>
          <t xml:space="preserve">CSC </t>
        </is>
      </c>
      <c r="O170" s="321" t="n">
        <v>1</v>
      </c>
      <c r="P170" s="392" t="n"/>
      <c r="Q170" s="321" t="inlineStr">
        <is>
          <t>Permanent - Full Time</t>
        </is>
      </c>
      <c r="R170" s="224" t="n"/>
      <c r="S170" s="224" t="n"/>
      <c r="T170" s="389" t="n">
        <v>253260</v>
      </c>
      <c r="U170" s="705" t="n">
        <v>232999.2</v>
      </c>
      <c r="V170" s="324" t="n">
        <v>0.2</v>
      </c>
      <c r="W170" s="321" t="n"/>
      <c r="X170" s="325" t="n">
        <v>0.05</v>
      </c>
      <c r="Y170" s="700" t="n">
        <v>2910</v>
      </c>
      <c r="Z170" s="325" t="n">
        <v>0.03</v>
      </c>
      <c r="AA170" s="701">
        <f>U170*(1+V170+X170+Z170)+Y170</f>
        <v>301148.976</v>
      </c>
      <c r="AB170" t="n">
        <v>113507</v>
      </c>
      <c r="AC170" t="inlineStr">
        <is>
          <t>Customer</t>
        </is>
      </c>
      <c r="AD170" t="inlineStr">
        <is>
          <t>Leadership</t>
        </is>
      </c>
      <c r="AE170" t="inlineStr">
        <is>
          <t>Leadership</t>
        </is>
      </c>
      <c r="AF170" t="inlineStr">
        <is>
          <t>Leadership</t>
        </is>
      </c>
      <c r="AG170" t="inlineStr">
        <is>
          <t>Filled</t>
        </is>
      </c>
    </row>
    <row r="171" hidden="1" ht="18" customHeight="1" s="506">
      <c r="A171" s="259" t="n">
        <v>99999101220</v>
      </c>
      <c r="B171" s="224" t="inlineStr">
        <is>
          <t>Byron Thornhill</t>
        </is>
      </c>
      <c r="C171" s="317" t="inlineStr">
        <is>
          <t>Design Manager</t>
        </is>
      </c>
      <c r="D171" s="224" t="inlineStr">
        <is>
          <t>Shona Paul</t>
        </is>
      </c>
      <c r="E171" s="224" t="inlineStr">
        <is>
          <t>Head of Technology, Digital</t>
        </is>
      </c>
      <c r="F171" s="224" t="inlineStr">
        <is>
          <t>Customer</t>
        </is>
      </c>
      <c r="G171" s="318" t="inlineStr">
        <is>
          <t>Digital</t>
        </is>
      </c>
      <c r="H171" s="318" t="inlineStr">
        <is>
          <t>Digital, Design</t>
        </is>
      </c>
      <c r="I171" s="224" t="inlineStr">
        <is>
          <t>Customer</t>
        </is>
      </c>
      <c r="J171" s="224" t="inlineStr">
        <is>
          <t>Customer Z, Ampol Digital</t>
        </is>
      </c>
      <c r="K171" s="224" t="inlineStr">
        <is>
          <t>Leadership</t>
        </is>
      </c>
      <c r="L171" s="318" t="n"/>
      <c r="M171" s="319" t="inlineStr">
        <is>
          <t>NZ</t>
        </is>
      </c>
      <c r="N171" s="320" t="inlineStr">
        <is>
          <t>CSB</t>
        </is>
      </c>
      <c r="O171" s="321" t="n">
        <v>1</v>
      </c>
      <c r="P171" s="320" t="n"/>
      <c r="Q171" s="321" t="inlineStr">
        <is>
          <t>Permanent - Full Time</t>
        </is>
      </c>
      <c r="R171" s="322" t="n"/>
      <c r="S171" s="322" t="n"/>
      <c r="T171" s="322" t="n">
        <v>190000</v>
      </c>
      <c r="U171" s="699" t="n">
        <v>174800</v>
      </c>
      <c r="V171" s="324" t="n">
        <v>0.15</v>
      </c>
      <c r="W171" s="321" t="n"/>
      <c r="X171" s="325" t="n">
        <v>0.05</v>
      </c>
      <c r="Y171" s="700" t="n">
        <v>2910</v>
      </c>
      <c r="Z171" s="325" t="n">
        <v>0.03</v>
      </c>
      <c r="AA171" s="701">
        <f>U171*(1+V171+X171+Z171)+Y171</f>
        <v>217914.0</v>
      </c>
      <c r="AB171" t="n">
        <v>15184</v>
      </c>
      <c r="AC171" t="inlineStr">
        <is>
          <t>Customer</t>
        </is>
      </c>
      <c r="AD171" t="inlineStr">
        <is>
          <t>Leadership</t>
        </is>
      </c>
      <c r="AE171" t="inlineStr">
        <is>
          <t>Leadership</t>
        </is>
      </c>
      <c r="AF171" t="inlineStr">
        <is>
          <t>Leadership</t>
        </is>
      </c>
      <c r="AG171" t="inlineStr">
        <is>
          <t>Filled</t>
        </is>
      </c>
    </row>
    <row r="172" hidden="1" ht="18" customHeight="1" s="506">
      <c r="A172" s="259" t="n">
        <v>116387</v>
      </c>
      <c r="B172" s="224" t="inlineStr">
        <is>
          <t>Christian Lazano</t>
        </is>
      </c>
      <c r="C172" s="317" t="inlineStr">
        <is>
          <t>Business Analyst</t>
        </is>
      </c>
      <c r="D172" s="224" t="inlineStr">
        <is>
          <t>Vacant</t>
        </is>
      </c>
      <c r="E172" s="224" t="inlineStr">
        <is>
          <t>customer, program manager</t>
        </is>
      </c>
      <c r="F172" s="224" t="inlineStr">
        <is>
          <t>Customer</t>
        </is>
      </c>
      <c r="G172" s="318" t="inlineStr">
        <is>
          <t>Customer, PMO</t>
        </is>
      </c>
      <c r="H172" s="224" t="n"/>
      <c r="I172" s="224" t="inlineStr">
        <is>
          <t>Customer</t>
        </is>
      </c>
      <c r="J172" s="318" t="inlineStr">
        <is>
          <t>(All Customer)</t>
        </is>
      </c>
      <c r="K172" s="224" t="inlineStr">
        <is>
          <t>Leadership</t>
        </is>
      </c>
      <c r="L172" s="318" t="n"/>
      <c r="M172" s="319" t="inlineStr">
        <is>
          <t>Australia</t>
        </is>
      </c>
      <c r="N172" s="320" t="inlineStr">
        <is>
          <t>CIB</t>
        </is>
      </c>
      <c r="O172" s="320" t="n">
        <v>1</v>
      </c>
      <c r="P172" s="320" t="n"/>
      <c r="Q172" s="320" t="inlineStr">
        <is>
          <t>Temporary - Full Time</t>
        </is>
      </c>
      <c r="R172" s="322" t="n"/>
      <c r="S172" s="322" t="n"/>
      <c r="T172" s="322" t="n">
        <v>165000</v>
      </c>
      <c r="U172" s="699" t="n">
        <v>165000</v>
      </c>
      <c r="V172" s="325" t="n">
        <v>0.12</v>
      </c>
      <c r="W172" s="702" t="n">
        <v>0.055</v>
      </c>
      <c r="X172" s="702" t="n">
        <v>0.12</v>
      </c>
      <c r="Y172" s="703" t="n"/>
      <c r="Z172" s="702" t="n">
        <v>0.04</v>
      </c>
      <c r="AA172" s="701">
        <f>U172*(1+V172+W172+X172+Y172+Z172)</f>
        <v>220275.0</v>
      </c>
      <c r="AC172" t="inlineStr">
        <is>
          <t>Customer</t>
        </is>
      </c>
      <c r="AD172" t="inlineStr">
        <is>
          <t>Leadership</t>
        </is>
      </c>
      <c r="AE172" t="inlineStr">
        <is>
          <t>Leadership</t>
        </is>
      </c>
      <c r="AF172" t="inlineStr">
        <is>
          <t>Leadership</t>
        </is>
      </c>
      <c r="AG172" t="inlineStr">
        <is>
          <t>Filled</t>
        </is>
      </c>
    </row>
    <row r="173" hidden="1" ht="18" customHeight="1" s="506">
      <c r="A173" s="259" t="n">
        <v>99999100279</v>
      </c>
      <c r="B173" s="224" t="inlineStr">
        <is>
          <t>Kris Hamilton</t>
        </is>
      </c>
      <c r="C173" s="317" t="inlineStr">
        <is>
          <t>Technology Manager - Loyalty &amp; Martech</t>
        </is>
      </c>
      <c r="D173" s="224" t="inlineStr">
        <is>
          <t>Andy Stewart</t>
        </is>
      </c>
      <c r="E173" s="224" t="inlineStr">
        <is>
          <t>Head of Technology, Loyalty &amp; Martech</t>
        </is>
      </c>
      <c r="F173" s="224" t="inlineStr">
        <is>
          <t>Customer</t>
        </is>
      </c>
      <c r="G173" s="318" t="inlineStr">
        <is>
          <t>Loyalty &amp; Martech</t>
        </is>
      </c>
      <c r="H173" s="224" t="inlineStr">
        <is>
          <t>Loyalty, Tech</t>
        </is>
      </c>
      <c r="I173" s="224" t="inlineStr">
        <is>
          <t>Customer</t>
        </is>
      </c>
      <c r="J173" s="224" t="inlineStr">
        <is>
          <t>Customer Z, Group Customer Platforms</t>
        </is>
      </c>
      <c r="K173" s="224" t="inlineStr">
        <is>
          <t>Leadership</t>
        </is>
      </c>
      <c r="L173" s="318" t="n"/>
      <c r="M173" s="319" t="inlineStr">
        <is>
          <t>NZ</t>
        </is>
      </c>
      <c r="N173" s="320" t="inlineStr">
        <is>
          <t>CSB</t>
        </is>
      </c>
      <c r="O173" s="321" t="n">
        <v>1</v>
      </c>
      <c r="P173" s="320" t="n"/>
      <c r="Q173" s="321" t="inlineStr">
        <is>
          <t>Permanent - Full Time</t>
        </is>
      </c>
      <c r="R173" s="322" t="n"/>
      <c r="S173" s="322" t="n"/>
      <c r="T173" s="322" t="n">
        <v>194670</v>
      </c>
      <c r="U173" s="699" t="n">
        <v>179096.4</v>
      </c>
      <c r="V173" s="324" t="n">
        <v>0.15</v>
      </c>
      <c r="W173" s="321" t="n"/>
      <c r="X173" s="325" t="n">
        <v>0.05</v>
      </c>
      <c r="Y173" s="700" t="n">
        <v>2910</v>
      </c>
      <c r="Z173" s="325" t="n">
        <v>0.03</v>
      </c>
      <c r="AA173" s="701">
        <f>U173*(1+V173+X173+Z173)+Y173</f>
        <v>223198.572</v>
      </c>
      <c r="AB173" t="n">
        <v>113568</v>
      </c>
      <c r="AC173" t="inlineStr">
        <is>
          <t>Customer</t>
        </is>
      </c>
      <c r="AD173" t="inlineStr">
        <is>
          <t>Leadership</t>
        </is>
      </c>
      <c r="AE173" t="inlineStr">
        <is>
          <t>Leadership</t>
        </is>
      </c>
      <c r="AF173" t="inlineStr">
        <is>
          <t>Leadership</t>
        </is>
      </c>
      <c r="AG173" t="inlineStr">
        <is>
          <t>Filled</t>
        </is>
      </c>
    </row>
    <row r="174" hidden="1" ht="18" customHeight="1" s="506">
      <c r="A174" s="259" t="n">
        <v>97200</v>
      </c>
      <c r="B174" s="224" t="inlineStr">
        <is>
          <t>Mitesh Shah</t>
        </is>
      </c>
      <c r="C174" s="317" t="inlineStr">
        <is>
          <t>Technology Manager - Digital</t>
        </is>
      </c>
      <c r="D174" s="224" t="inlineStr">
        <is>
          <t>Shona Paul</t>
        </is>
      </c>
      <c r="E174" s="224" t="inlineStr">
        <is>
          <t>Head of Technology, Digital</t>
        </is>
      </c>
      <c r="F174" s="224" t="inlineStr">
        <is>
          <t>Customer</t>
        </is>
      </c>
      <c r="G174" s="318" t="inlineStr">
        <is>
          <t>Digital</t>
        </is>
      </c>
      <c r="H174" s="318" t="inlineStr">
        <is>
          <t>Tech, Digital</t>
        </is>
      </c>
      <c r="I174" s="224" t="inlineStr">
        <is>
          <t>Customer</t>
        </is>
      </c>
      <c r="J174" s="224" t="inlineStr">
        <is>
          <t>Ampol Digital</t>
        </is>
      </c>
      <c r="K174" s="224" t="inlineStr">
        <is>
          <t>Leadership</t>
        </is>
      </c>
      <c r="L174" s="318" t="n"/>
      <c r="M174" s="319" t="inlineStr">
        <is>
          <t>Australia</t>
        </is>
      </c>
      <c r="N174" s="320" t="inlineStr">
        <is>
          <t>CSB</t>
        </is>
      </c>
      <c r="O174" s="320" t="n">
        <v>1</v>
      </c>
      <c r="P174" s="320" t="n"/>
      <c r="Q174" s="320" t="inlineStr">
        <is>
          <t>Permanent - Full Time</t>
        </is>
      </c>
      <c r="R174" s="322" t="n"/>
      <c r="S174" s="322" t="n"/>
      <c r="T174" s="334" t="n">
        <v>222190</v>
      </c>
      <c r="U174" s="705" t="n">
        <v>222190</v>
      </c>
      <c r="V174" s="325" t="n">
        <v>0.14</v>
      </c>
      <c r="W174" s="702" t="n">
        <v>0.055</v>
      </c>
      <c r="X174" s="702" t="n">
        <v>0.12</v>
      </c>
      <c r="Y174" s="703" t="n"/>
      <c r="Z174" s="702" t="n">
        <v>0.04</v>
      </c>
      <c r="AA174" s="701">
        <f>U174*(1+V174+W174+X174+Y174+Z174)</f>
        <v>301067.45</v>
      </c>
      <c r="AC174" t="inlineStr">
        <is>
          <t>Customer</t>
        </is>
      </c>
      <c r="AD174" t="inlineStr">
        <is>
          <t>Leadership</t>
        </is>
      </c>
      <c r="AE174" t="inlineStr">
        <is>
          <t>Leadership</t>
        </is>
      </c>
      <c r="AF174" t="inlineStr">
        <is>
          <t>Leadership</t>
        </is>
      </c>
      <c r="AG174" t="inlineStr">
        <is>
          <t>Filled</t>
        </is>
      </c>
    </row>
    <row r="175" hidden="1" ht="18" customHeight="1" s="506">
      <c r="A175" s="259" t="n">
        <v>99999101543</v>
      </c>
      <c r="B175" s="224" t="inlineStr">
        <is>
          <t>Shona Paul</t>
        </is>
      </c>
      <c r="C175" s="317" t="inlineStr">
        <is>
          <t>Head of Technology - Digital</t>
        </is>
      </c>
      <c r="D175" s="224" t="inlineStr">
        <is>
          <t>Harley Giles</t>
        </is>
      </c>
      <c r="E175" s="224" t="inlineStr">
        <is>
          <t>GM TDD, Customer</t>
        </is>
      </c>
      <c r="F175" s="224" t="inlineStr">
        <is>
          <t>Customer</t>
        </is>
      </c>
      <c r="G175" s="318" t="inlineStr">
        <is>
          <t>Digital</t>
        </is>
      </c>
      <c r="H175" s="224" t="n"/>
      <c r="I175" s="224" t="inlineStr">
        <is>
          <t>Customer</t>
        </is>
      </c>
      <c r="J175" s="224" t="inlineStr">
        <is>
          <t>(All Customer)</t>
        </is>
      </c>
      <c r="K175" s="224" t="inlineStr">
        <is>
          <t>Leadership</t>
        </is>
      </c>
      <c r="L175" s="318" t="n"/>
      <c r="M175" s="319" t="inlineStr">
        <is>
          <t>NZ</t>
        </is>
      </c>
      <c r="N175" s="320" t="inlineStr">
        <is>
          <t>CSC</t>
        </is>
      </c>
      <c r="O175" s="321" t="n">
        <v>1</v>
      </c>
      <c r="P175" s="320" t="n"/>
      <c r="Q175" s="321" t="inlineStr">
        <is>
          <t>Permanent - Full Time</t>
        </is>
      </c>
      <c r="R175" s="322" t="n"/>
      <c r="S175" s="322" t="n"/>
      <c r="T175" s="334" t="n">
        <v>230470</v>
      </c>
      <c r="U175" s="705" t="n">
        <v>212032.4</v>
      </c>
      <c r="V175" s="324" t="n">
        <v>0.2</v>
      </c>
      <c r="W175" s="322" t="n"/>
      <c r="X175" s="325" t="n">
        <v>0.05</v>
      </c>
      <c r="Y175" s="700" t="n">
        <v>2910</v>
      </c>
      <c r="Z175" s="325" t="n">
        <v>0.03</v>
      </c>
      <c r="AA175" s="701">
        <f>U175*(1+V175+X175+Z175)+Y175</f>
        <v>274311.472</v>
      </c>
      <c r="AB175" t="n">
        <v>113616</v>
      </c>
      <c r="AC175" t="inlineStr">
        <is>
          <t>Customer</t>
        </is>
      </c>
      <c r="AD175" t="inlineStr">
        <is>
          <t>Leadership</t>
        </is>
      </c>
      <c r="AE175" t="inlineStr">
        <is>
          <t>Leadership</t>
        </is>
      </c>
      <c r="AF175" t="inlineStr">
        <is>
          <t>Leadership</t>
        </is>
      </c>
      <c r="AG175" t="inlineStr">
        <is>
          <t>Filled</t>
        </is>
      </c>
    </row>
    <row r="176" hidden="1" ht="18" customHeight="1" s="506">
      <c r="A176" s="259" t="inlineStr">
        <is>
          <t>V</t>
        </is>
      </c>
      <c r="B176" s="224" t="inlineStr">
        <is>
          <t>Vacant</t>
        </is>
      </c>
      <c r="C176" s="317" t="inlineStr">
        <is>
          <t>AI Enablement Lead</t>
        </is>
      </c>
      <c r="D176" s="224" t="inlineStr">
        <is>
          <t>Harley Giles</t>
        </is>
      </c>
      <c r="E176" s="224" t="inlineStr">
        <is>
          <t>GM TDD, Customer</t>
        </is>
      </c>
      <c r="F176" s="224" t="inlineStr">
        <is>
          <t>Customer</t>
        </is>
      </c>
      <c r="G176" s="318" t="inlineStr">
        <is>
          <t>Customer, AI Enablement</t>
        </is>
      </c>
      <c r="H176" s="224" t="n"/>
      <c r="I176" s="224" t="inlineStr">
        <is>
          <t>Customer</t>
        </is>
      </c>
      <c r="J176" s="224" t="inlineStr">
        <is>
          <t>(All Customer)</t>
        </is>
      </c>
      <c r="K176" s="224" t="inlineStr">
        <is>
          <t>Leadership</t>
        </is>
      </c>
      <c r="L176" s="318" t="n"/>
      <c r="M176" s="319" t="inlineStr">
        <is>
          <t>Australia</t>
        </is>
      </c>
      <c r="N176" s="320" t="inlineStr">
        <is>
          <t>CSB</t>
        </is>
      </c>
      <c r="O176" s="320" t="n">
        <v>1</v>
      </c>
      <c r="P176" s="320" t="n"/>
      <c r="Q176" s="320" t="inlineStr">
        <is>
          <t>V</t>
        </is>
      </c>
      <c r="R176" s="322" t="n"/>
      <c r="S176" s="322" t="n"/>
      <c r="T176" s="334" t="n">
        <v>203550</v>
      </c>
      <c r="U176" s="705" t="n">
        <v>203550</v>
      </c>
      <c r="V176" s="325" t="n">
        <v>0.14</v>
      </c>
      <c r="W176" s="702" t="n">
        <v>0.055</v>
      </c>
      <c r="X176" s="702" t="n">
        <v>0.12</v>
      </c>
      <c r="Y176" s="703" t="n"/>
      <c r="Z176" s="702" t="n">
        <v>0.04</v>
      </c>
      <c r="AA176" s="701">
        <f>U176*(1+V176+W176+X176+Y176+Z176)</f>
        <v>275810.25</v>
      </c>
      <c r="AC176" t="inlineStr">
        <is>
          <t>Customer</t>
        </is>
      </c>
      <c r="AD176" t="inlineStr">
        <is>
          <t>Leadership</t>
        </is>
      </c>
      <c r="AE176" t="inlineStr">
        <is>
          <t>Leadership</t>
        </is>
      </c>
      <c r="AF176" t="inlineStr">
        <is>
          <t>Leadership</t>
        </is>
      </c>
      <c r="AG176" t="inlineStr">
        <is>
          <t>Vacant</t>
        </is>
      </c>
    </row>
    <row r="177" hidden="1" ht="18" customHeight="1" s="506">
      <c r="A177" s="259" t="inlineStr">
        <is>
          <t>V</t>
        </is>
      </c>
      <c r="B177" s="224" t="inlineStr">
        <is>
          <t>Vacant</t>
        </is>
      </c>
      <c r="C177" s="317" t="inlineStr">
        <is>
          <t>Delivery Manager</t>
        </is>
      </c>
      <c r="D177" s="224" t="inlineStr">
        <is>
          <t>Shona Paul</t>
        </is>
      </c>
      <c r="E177" s="224" t="inlineStr">
        <is>
          <t>Head of Technology, Digital</t>
        </is>
      </c>
      <c r="F177" s="224" t="inlineStr">
        <is>
          <t>Customer</t>
        </is>
      </c>
      <c r="G177" s="318" t="inlineStr">
        <is>
          <t>Digital</t>
        </is>
      </c>
      <c r="H177" s="224" t="inlineStr">
        <is>
          <t>Digital, Delivery</t>
        </is>
      </c>
      <c r="I177" s="224" t="inlineStr">
        <is>
          <t>Customer</t>
        </is>
      </c>
      <c r="J177" s="224" t="inlineStr">
        <is>
          <t>Ampol Digital</t>
        </is>
      </c>
      <c r="K177" s="224" t="inlineStr">
        <is>
          <t>Leadership</t>
        </is>
      </c>
      <c r="L177" s="318" t="n"/>
      <c r="M177" s="319" t="inlineStr">
        <is>
          <t>Australia</t>
        </is>
      </c>
      <c r="N177" s="320" t="inlineStr">
        <is>
          <t>CSB</t>
        </is>
      </c>
      <c r="O177" s="320" t="n">
        <v>1</v>
      </c>
      <c r="P177" s="320" t="n"/>
      <c r="Q177" s="320" t="inlineStr">
        <is>
          <t>V</t>
        </is>
      </c>
      <c r="R177" s="322" t="n"/>
      <c r="S177" s="322" t="n"/>
      <c r="T177" s="334" t="n">
        <v>203550</v>
      </c>
      <c r="U177" s="705" t="n">
        <v>203550</v>
      </c>
      <c r="V177" s="325" t="n">
        <v>0.14</v>
      </c>
      <c r="W177" s="702" t="n">
        <v>0.055</v>
      </c>
      <c r="X177" s="702" t="n">
        <v>0.12</v>
      </c>
      <c r="Y177" s="703" t="n"/>
      <c r="Z177" s="702" t="n">
        <v>0.04</v>
      </c>
      <c r="AA177" s="701">
        <f>U177*(1+V177+W177+X177+Y177+Z177)</f>
        <v>275810.25</v>
      </c>
      <c r="AC177" t="inlineStr">
        <is>
          <t>Customer</t>
        </is>
      </c>
      <c r="AD177" t="inlineStr">
        <is>
          <t>Leadership</t>
        </is>
      </c>
      <c r="AE177" t="inlineStr">
        <is>
          <t>Leadership</t>
        </is>
      </c>
      <c r="AF177" t="inlineStr">
        <is>
          <t>Leadership</t>
        </is>
      </c>
      <c r="AG177" t="inlineStr">
        <is>
          <t>Vacant</t>
        </is>
      </c>
    </row>
    <row r="178" hidden="1" ht="18" customHeight="1" s="506">
      <c r="A178" s="259" t="inlineStr">
        <is>
          <t>V</t>
        </is>
      </c>
      <c r="B178" s="224" t="inlineStr">
        <is>
          <t>Vacant</t>
        </is>
      </c>
      <c r="C178" s="317" t="inlineStr">
        <is>
          <t>Technology Manager, Engineering</t>
        </is>
      </c>
      <c r="D178" s="224" t="inlineStr">
        <is>
          <t>Shona Paul</t>
        </is>
      </c>
      <c r="E178" s="224" t="inlineStr">
        <is>
          <t>Head of Technology, Digital</t>
        </is>
      </c>
      <c r="F178" s="224" t="inlineStr">
        <is>
          <t>Customer</t>
        </is>
      </c>
      <c r="G178" s="318" t="inlineStr">
        <is>
          <t>Digital</t>
        </is>
      </c>
      <c r="H178" s="318" t="inlineStr">
        <is>
          <t>Tech, Digital Engineering</t>
        </is>
      </c>
      <c r="I178" s="318" t="inlineStr">
        <is>
          <t>Customer</t>
        </is>
      </c>
      <c r="J178" s="224" t="inlineStr">
        <is>
          <t>Ampol Digital</t>
        </is>
      </c>
      <c r="K178" s="224" t="inlineStr">
        <is>
          <t>Leadership</t>
        </is>
      </c>
      <c r="L178" s="318" t="n"/>
      <c r="M178" s="319" t="inlineStr">
        <is>
          <t>Australia</t>
        </is>
      </c>
      <c r="N178" s="320" t="inlineStr">
        <is>
          <t>CSB</t>
        </is>
      </c>
      <c r="O178" s="320" t="n">
        <v>1</v>
      </c>
      <c r="P178" s="320" t="n"/>
      <c r="Q178" s="320" t="inlineStr">
        <is>
          <t>v</t>
        </is>
      </c>
      <c r="R178" s="322" t="n"/>
      <c r="S178" s="322" t="n"/>
      <c r="T178" s="334" t="n">
        <v>203550</v>
      </c>
      <c r="U178" s="699" t="n">
        <v>203550</v>
      </c>
      <c r="V178" s="325" t="n">
        <v>0.14</v>
      </c>
      <c r="W178" s="702" t="n">
        <v>0.055</v>
      </c>
      <c r="X178" s="702" t="n">
        <v>0.12</v>
      </c>
      <c r="Y178" s="703" t="n"/>
      <c r="Z178" s="702" t="n">
        <v>0.04</v>
      </c>
      <c r="AA178" s="701">
        <f>U178*(1+V178+W178+X178+Y178+Z178)</f>
        <v>275810.25</v>
      </c>
      <c r="AC178" t="inlineStr">
        <is>
          <t>Customer</t>
        </is>
      </c>
      <c r="AD178" t="inlineStr">
        <is>
          <t>Leadership</t>
        </is>
      </c>
      <c r="AE178" t="inlineStr">
        <is>
          <t>Leadership</t>
        </is>
      </c>
      <c r="AF178" t="inlineStr">
        <is>
          <t>Leadership</t>
        </is>
      </c>
      <c r="AG178" t="inlineStr">
        <is>
          <t>Vacant</t>
        </is>
      </c>
    </row>
    <row r="179" hidden="1" ht="18" customHeight="1" s="506">
      <c r="A179" s="259" t="inlineStr">
        <is>
          <t>V</t>
        </is>
      </c>
      <c r="B179" s="224" t="inlineStr">
        <is>
          <t>Vacant</t>
        </is>
      </c>
      <c r="C179" s="317" t="inlineStr">
        <is>
          <t>Program Manager</t>
        </is>
      </c>
      <c r="D179" s="224" t="inlineStr">
        <is>
          <t>Harley Giles</t>
        </is>
      </c>
      <c r="E179" s="224" t="inlineStr">
        <is>
          <t>GM TDD, Customer</t>
        </is>
      </c>
      <c r="F179" s="224" t="inlineStr">
        <is>
          <t>Customer</t>
        </is>
      </c>
      <c r="G179" s="318" t="inlineStr">
        <is>
          <t>Customer, PMO</t>
        </is>
      </c>
      <c r="H179" s="224" t="n"/>
      <c r="I179" s="224" t="inlineStr">
        <is>
          <t>Customer</t>
        </is>
      </c>
      <c r="J179" s="224" t="inlineStr">
        <is>
          <t>Ampol Digital, Group Customer Platforms</t>
        </is>
      </c>
      <c r="K179" s="224" t="inlineStr">
        <is>
          <t>Leadership</t>
        </is>
      </c>
      <c r="L179" s="318" t="n"/>
      <c r="M179" s="319" t="inlineStr">
        <is>
          <t>Australia</t>
        </is>
      </c>
      <c r="N179" s="320" t="inlineStr">
        <is>
          <t>CSB</t>
        </is>
      </c>
      <c r="O179" s="320" t="n">
        <v>1</v>
      </c>
      <c r="P179" s="320" t="n"/>
      <c r="Q179" s="320" t="inlineStr">
        <is>
          <t>v</t>
        </is>
      </c>
      <c r="R179" s="322" t="n"/>
      <c r="S179" s="322" t="n"/>
      <c r="T179" s="334" t="n">
        <v>203550</v>
      </c>
      <c r="U179" s="699" t="n">
        <v>203550</v>
      </c>
      <c r="V179" s="325" t="n">
        <v>0.14</v>
      </c>
      <c r="W179" s="702" t="n">
        <v>0.055</v>
      </c>
      <c r="X179" s="702" t="n">
        <v>0.12</v>
      </c>
      <c r="Y179" s="703" t="n"/>
      <c r="Z179" s="702" t="n">
        <v>0.04</v>
      </c>
      <c r="AA179" s="701">
        <f>U179*(1+V179+W179+X179+Y179+Z179)</f>
        <v>275810.25</v>
      </c>
      <c r="AC179" t="inlineStr">
        <is>
          <t>Customer</t>
        </is>
      </c>
      <c r="AD179" t="inlineStr">
        <is>
          <t>Leadership</t>
        </is>
      </c>
      <c r="AE179" t="inlineStr">
        <is>
          <t>Leadership</t>
        </is>
      </c>
      <c r="AF179" t="inlineStr">
        <is>
          <t>Leadership</t>
        </is>
      </c>
      <c r="AG179" t="inlineStr">
        <is>
          <t>Vacant</t>
        </is>
      </c>
    </row>
    <row r="180" hidden="1" ht="18" customHeight="1" s="506">
      <c r="A180" s="259" t="inlineStr">
        <is>
          <t>V</t>
        </is>
      </c>
      <c r="B180" s="224" t="inlineStr">
        <is>
          <t>Vacant</t>
        </is>
      </c>
      <c r="C180" s="317" t="inlineStr">
        <is>
          <t>Delivery Manager</t>
        </is>
      </c>
      <c r="D180" s="224" t="inlineStr">
        <is>
          <t>Andy Stewart</t>
        </is>
      </c>
      <c r="E180" s="224" t="inlineStr">
        <is>
          <t>Head of Technology, Loyalty &amp; Martech</t>
        </is>
      </c>
      <c r="F180" s="224" t="inlineStr">
        <is>
          <t>Customer</t>
        </is>
      </c>
      <c r="G180" s="318" t="inlineStr">
        <is>
          <t>Loyalty &amp; Martech</t>
        </is>
      </c>
      <c r="H180" s="224" t="inlineStr">
        <is>
          <t xml:space="preserve">Loyalty, Delivery </t>
        </is>
      </c>
      <c r="I180" s="224" t="inlineStr">
        <is>
          <t>Customer</t>
        </is>
      </c>
      <c r="J180" s="224" t="inlineStr">
        <is>
          <t>Customer Z, Group Customer Platforms</t>
        </is>
      </c>
      <c r="K180" s="224" t="inlineStr">
        <is>
          <t>Leadership</t>
        </is>
      </c>
      <c r="L180" s="318" t="n"/>
      <c r="M180" s="319" t="inlineStr">
        <is>
          <t>Australia</t>
        </is>
      </c>
      <c r="N180" s="320" t="inlineStr">
        <is>
          <t>CSB</t>
        </is>
      </c>
      <c r="O180" s="320" t="n">
        <v>1</v>
      </c>
      <c r="P180" s="320" t="n"/>
      <c r="Q180" s="320" t="inlineStr">
        <is>
          <t>V</t>
        </is>
      </c>
      <c r="R180" s="322" t="n"/>
      <c r="S180" s="322" t="n"/>
      <c r="T180" s="334" t="n">
        <v>203550</v>
      </c>
      <c r="U180" s="699" t="n">
        <v>203550</v>
      </c>
      <c r="V180" s="325" t="n">
        <v>0.14</v>
      </c>
      <c r="W180" s="702" t="n">
        <v>0.055</v>
      </c>
      <c r="X180" s="702" t="n">
        <v>0.12</v>
      </c>
      <c r="Y180" s="703" t="n"/>
      <c r="Z180" s="702" t="n">
        <v>0.04</v>
      </c>
      <c r="AA180" s="701">
        <f>U180*(1+V180+W180+X180+Y180+Z180)</f>
        <v>275810.25</v>
      </c>
      <c r="AC180" t="inlineStr">
        <is>
          <t>Customer</t>
        </is>
      </c>
      <c r="AD180" t="inlineStr">
        <is>
          <t>Leadership</t>
        </is>
      </c>
      <c r="AE180" t="inlineStr">
        <is>
          <t>Leadership</t>
        </is>
      </c>
      <c r="AF180" t="inlineStr">
        <is>
          <t>Leadership</t>
        </is>
      </c>
      <c r="AG180" t="inlineStr">
        <is>
          <t>Vacant</t>
        </is>
      </c>
    </row>
    <row r="181" hidden="1" ht="18" customHeight="1" s="506">
      <c r="A181" s="259" t="inlineStr">
        <is>
          <t>V</t>
        </is>
      </c>
      <c r="B181" s="224" t="inlineStr">
        <is>
          <t>Vacant</t>
        </is>
      </c>
      <c r="C181" s="317" t="inlineStr">
        <is>
          <t>Technology Manager – Data &amp; Engineering</t>
        </is>
      </c>
      <c r="D181" s="224" t="inlineStr">
        <is>
          <t>Andy Stewart</t>
        </is>
      </c>
      <c r="E181" s="224" t="inlineStr">
        <is>
          <t>Head of Technology, Loyalty &amp; Martech</t>
        </is>
      </c>
      <c r="F181" s="224" t="inlineStr">
        <is>
          <t>Customer</t>
        </is>
      </c>
      <c r="G181" s="318" t="inlineStr">
        <is>
          <t>Loyalty &amp; Martech</t>
        </is>
      </c>
      <c r="H181" s="224" t="inlineStr">
        <is>
          <t>Loyalty, Data &amp; Engineering</t>
        </is>
      </c>
      <c r="I181" s="224" t="inlineStr">
        <is>
          <t>Customer</t>
        </is>
      </c>
      <c r="J181" s="224" t="inlineStr">
        <is>
          <t>Customer Z, Group Customer Platforms</t>
        </is>
      </c>
      <c r="K181" s="224" t="inlineStr">
        <is>
          <t>Leadership</t>
        </is>
      </c>
      <c r="L181" s="318" t="n"/>
      <c r="M181" s="319" t="inlineStr">
        <is>
          <t>Australia</t>
        </is>
      </c>
      <c r="N181" s="320" t="inlineStr">
        <is>
          <t>CSB</t>
        </is>
      </c>
      <c r="O181" s="320" t="n">
        <v>1</v>
      </c>
      <c r="P181" s="320" t="n"/>
      <c r="Q181" s="320" t="inlineStr">
        <is>
          <t>v</t>
        </is>
      </c>
      <c r="R181" s="322" t="n"/>
      <c r="S181" s="322" t="n"/>
      <c r="T181" s="334" t="n">
        <v>203550</v>
      </c>
      <c r="U181" s="699" t="n">
        <v>203550</v>
      </c>
      <c r="V181" s="325" t="n">
        <v>0.14</v>
      </c>
      <c r="W181" s="702" t="n">
        <v>0.055</v>
      </c>
      <c r="X181" s="702" t="n">
        <v>0.12</v>
      </c>
      <c r="Y181" s="703" t="n"/>
      <c r="Z181" s="702" t="n">
        <v>0.04</v>
      </c>
      <c r="AA181" s="701">
        <f>U181*(1+V181+W181+X181+Y181+Z181)</f>
        <v>275810.25</v>
      </c>
      <c r="AC181" t="inlineStr">
        <is>
          <t>Customer</t>
        </is>
      </c>
      <c r="AD181" t="inlineStr">
        <is>
          <t>Leadership</t>
        </is>
      </c>
      <c r="AE181" t="inlineStr">
        <is>
          <t>Leadership</t>
        </is>
      </c>
      <c r="AF181" t="inlineStr">
        <is>
          <t>Leadership</t>
        </is>
      </c>
      <c r="AG181" t="inlineStr">
        <is>
          <t>Vacant</t>
        </is>
      </c>
    </row>
    <row r="182" hidden="1" ht="18" customHeight="1" s="506">
      <c r="A182" s="259" t="n">
        <v>99999101676</v>
      </c>
      <c r="B182" s="224" t="inlineStr">
        <is>
          <t>Ants Jackson</t>
        </is>
      </c>
      <c r="C182" s="317" t="inlineStr">
        <is>
          <t>Experience Designer</t>
        </is>
      </c>
      <c r="D182" s="224" t="inlineStr">
        <is>
          <t>Byron Thornhill</t>
        </is>
      </c>
      <c r="E182" s="224" t="inlineStr">
        <is>
          <t>Design Manager</t>
        </is>
      </c>
      <c r="F182" s="224" t="inlineStr">
        <is>
          <t>Customer</t>
        </is>
      </c>
      <c r="G182" s="318" t="inlineStr">
        <is>
          <t>Digital</t>
        </is>
      </c>
      <c r="H182" s="318" t="inlineStr">
        <is>
          <t>Digital, Design</t>
        </is>
      </c>
      <c r="I182" s="224" t="inlineStr">
        <is>
          <t>Customer</t>
        </is>
      </c>
      <c r="J182" s="224" t="inlineStr">
        <is>
          <t>Customer Z</t>
        </is>
      </c>
      <c r="K182" s="224" t="inlineStr">
        <is>
          <t>Z Energy Apps</t>
        </is>
      </c>
      <c r="L182" s="318" t="n"/>
      <c r="M182" s="319" t="inlineStr">
        <is>
          <t>NZ</t>
        </is>
      </c>
      <c r="N182" s="320" t="inlineStr">
        <is>
          <t>CIC</t>
        </is>
      </c>
      <c r="O182" s="321" t="n">
        <v>1</v>
      </c>
      <c r="P182" s="320" t="n"/>
      <c r="Q182" s="321" t="inlineStr">
        <is>
          <t>Permanent - Full Time</t>
        </is>
      </c>
      <c r="R182" s="322" t="n"/>
      <c r="S182" s="322" t="n"/>
      <c r="T182" s="334" t="n">
        <v>157460</v>
      </c>
      <c r="U182" s="699" t="n">
        <v>144863.2</v>
      </c>
      <c r="V182" s="324" t="n">
        <v>0.15</v>
      </c>
      <c r="W182" s="321" t="n"/>
      <c r="X182" s="325" t="n">
        <v>0.05</v>
      </c>
      <c r="Y182" s="700" t="n">
        <v>2910</v>
      </c>
      <c r="Z182" s="325" t="n">
        <v>0.03</v>
      </c>
      <c r="AA182" s="701">
        <f>U182*(1+V182+X182+Z182)+Y182</f>
        <v>181091.736</v>
      </c>
      <c r="AB182" t="n">
        <v>113514</v>
      </c>
      <c r="AC182" t="inlineStr">
        <is>
          <t>Customer</t>
        </is>
      </c>
      <c r="AD182" t="inlineStr">
        <is>
          <t>Customer Z</t>
        </is>
      </c>
      <c r="AE182" t="inlineStr">
        <is>
          <t>Z Energy Apps</t>
        </is>
      </c>
      <c r="AF182" t="inlineStr">
        <is>
          <t>Squad</t>
        </is>
      </c>
      <c r="AG182" t="inlineStr">
        <is>
          <t>Filled</t>
        </is>
      </c>
    </row>
    <row r="183" hidden="1" ht="18" customHeight="1" s="506">
      <c r="A183" s="259" t="n">
        <v>99999101540</v>
      </c>
      <c r="B183" s="224" t="inlineStr">
        <is>
          <t>James Nicolle</t>
        </is>
      </c>
      <c r="C183" s="317" t="inlineStr">
        <is>
          <t>Delivery Lead</t>
        </is>
      </c>
      <c r="D183" s="318" t="inlineStr">
        <is>
          <t>Vacant</t>
        </is>
      </c>
      <c r="E183" s="224" t="inlineStr">
        <is>
          <t>Delivery Manager, Digital</t>
        </is>
      </c>
      <c r="F183" s="224" t="inlineStr">
        <is>
          <t>Customer</t>
        </is>
      </c>
      <c r="G183" s="318" t="inlineStr">
        <is>
          <t>Digital</t>
        </is>
      </c>
      <c r="H183" s="318" t="inlineStr">
        <is>
          <t>Digital, Delivery</t>
        </is>
      </c>
      <c r="I183" s="224" t="inlineStr">
        <is>
          <t>Customer</t>
        </is>
      </c>
      <c r="J183" s="224" t="inlineStr">
        <is>
          <t>Customer Z</t>
        </is>
      </c>
      <c r="K183" s="224" t="inlineStr">
        <is>
          <t>Z Energy Apps</t>
        </is>
      </c>
      <c r="L183" s="318" t="n"/>
      <c r="M183" s="319" t="inlineStr">
        <is>
          <t>NZ</t>
        </is>
      </c>
      <c r="N183" s="320" t="inlineStr">
        <is>
          <t>CIC</t>
        </is>
      </c>
      <c r="O183" s="321" t="n">
        <v>1</v>
      </c>
      <c r="P183" s="320" t="n"/>
      <c r="Q183" s="321" t="inlineStr">
        <is>
          <t>Permanent - Full Time</t>
        </is>
      </c>
      <c r="R183" s="322" t="n"/>
      <c r="S183" s="322" t="n"/>
      <c r="T183" s="334" t="n">
        <v>154980</v>
      </c>
      <c r="U183" s="699" t="n">
        <v>142581.6</v>
      </c>
      <c r="V183" s="324" t="n">
        <v>0.15</v>
      </c>
      <c r="W183" s="321" t="n"/>
      <c r="X183" s="325" t="n">
        <v>0.05</v>
      </c>
      <c r="Y183" s="700" t="n">
        <v>2910</v>
      </c>
      <c r="Z183" s="325" t="n">
        <v>0.03</v>
      </c>
      <c r="AA183" s="701">
        <f>U183*(1+V183+X183+Z183)+Y183</f>
        <v>178285.36800000002</v>
      </c>
      <c r="AB183" t="n">
        <v>113552</v>
      </c>
      <c r="AC183" t="inlineStr">
        <is>
          <t>Customer</t>
        </is>
      </c>
      <c r="AD183" t="inlineStr">
        <is>
          <t>Customer Z</t>
        </is>
      </c>
      <c r="AE183" t="inlineStr">
        <is>
          <t>Z Energy Apps</t>
        </is>
      </c>
      <c r="AF183" t="inlineStr">
        <is>
          <t>Squad</t>
        </is>
      </c>
      <c r="AG183" t="inlineStr">
        <is>
          <t>Filled</t>
        </is>
      </c>
    </row>
    <row r="184" hidden="1" ht="18" customHeight="1" s="506">
      <c r="A184" s="259" t="n">
        <v>99999102079</v>
      </c>
      <c r="B184" s="224" t="inlineStr">
        <is>
          <t>Sam Turnball</t>
        </is>
      </c>
      <c r="C184" s="317" t="inlineStr">
        <is>
          <t>Associate Experience Designer</t>
        </is>
      </c>
      <c r="D184" s="224" t="inlineStr">
        <is>
          <t>Byron Thornhill</t>
        </is>
      </c>
      <c r="E184" s="224" t="inlineStr">
        <is>
          <t>Design Manager</t>
        </is>
      </c>
      <c r="F184" s="224" t="inlineStr">
        <is>
          <t>Customer</t>
        </is>
      </c>
      <c r="G184" s="318" t="inlineStr">
        <is>
          <t>Digital</t>
        </is>
      </c>
      <c r="H184" s="318" t="inlineStr">
        <is>
          <t>Digital, Design</t>
        </is>
      </c>
      <c r="I184" s="224" t="inlineStr">
        <is>
          <t>Customer</t>
        </is>
      </c>
      <c r="J184" s="224" t="inlineStr">
        <is>
          <t>Customer Z</t>
        </is>
      </c>
      <c r="K184" s="224" t="inlineStr">
        <is>
          <t>Z Energy Apps</t>
        </is>
      </c>
      <c r="L184" s="318" t="n"/>
      <c r="M184" s="319" t="inlineStr">
        <is>
          <t>NZ</t>
        </is>
      </c>
      <c r="N184" s="320" t="inlineStr">
        <is>
          <t>CIA</t>
        </is>
      </c>
      <c r="O184" s="321" t="n">
        <v>1</v>
      </c>
      <c r="P184" s="320" t="n"/>
      <c r="Q184" s="321" t="inlineStr">
        <is>
          <t>Permanent - Full Time</t>
        </is>
      </c>
      <c r="R184" s="322" t="n"/>
      <c r="S184" s="322" t="n"/>
      <c r="T184" s="334" t="n">
        <v>98480</v>
      </c>
      <c r="U184" s="699" t="n">
        <v>90601.60000000001</v>
      </c>
      <c r="V184" s="324" t="n">
        <v>0.15</v>
      </c>
      <c r="W184" s="322" t="n"/>
      <c r="X184" s="325" t="n">
        <v>0.05</v>
      </c>
      <c r="Y184" s="700" t="n">
        <v>2910</v>
      </c>
      <c r="Z184" s="325" t="n">
        <v>0.03</v>
      </c>
      <c r="AA184" s="701">
        <f>U184*(1+V184+X184+Z184)+Y184</f>
        <v>114349.96800000001</v>
      </c>
      <c r="AB184" t="n">
        <v>113904</v>
      </c>
      <c r="AC184" t="inlineStr">
        <is>
          <t>Customer</t>
        </is>
      </c>
      <c r="AD184" t="inlineStr">
        <is>
          <t>Customer Z</t>
        </is>
      </c>
      <c r="AE184" t="inlineStr">
        <is>
          <t>Z Energy Apps</t>
        </is>
      </c>
      <c r="AF184" t="inlineStr">
        <is>
          <t>Squad</t>
        </is>
      </c>
      <c r="AG184" t="inlineStr">
        <is>
          <t>Filled</t>
        </is>
      </c>
    </row>
    <row r="185" hidden="1" ht="18" customFormat="1" customHeight="1" s="346">
      <c r="A185" s="259" t="n">
        <v>99999101612</v>
      </c>
      <c r="B185" s="224" t="inlineStr">
        <is>
          <t>Shane Abrahams</t>
        </is>
      </c>
      <c r="C185" s="317" t="inlineStr">
        <is>
          <t>Digital Support Manager - NZ</t>
        </is>
      </c>
      <c r="D185" s="224" t="inlineStr">
        <is>
          <t>Shona Paul</t>
        </is>
      </c>
      <c r="E185" s="224" t="inlineStr">
        <is>
          <t>Head of Technology, Digital</t>
        </is>
      </c>
      <c r="F185" s="224" t="inlineStr">
        <is>
          <t>Customer</t>
        </is>
      </c>
      <c r="G185" s="318" t="inlineStr">
        <is>
          <t>Digital</t>
        </is>
      </c>
      <c r="H185" s="318" t="inlineStr">
        <is>
          <t>Digital Support (NZ)</t>
        </is>
      </c>
      <c r="I185" s="224" t="inlineStr">
        <is>
          <t>Customer</t>
        </is>
      </c>
      <c r="J185" s="224" t="inlineStr">
        <is>
          <t>Customer Z</t>
        </is>
      </c>
      <c r="K185" s="224" t="inlineStr">
        <is>
          <t>Z Energy Apps</t>
        </is>
      </c>
      <c r="L185" s="318" t="n"/>
      <c r="M185" s="319" t="inlineStr">
        <is>
          <t>NZ</t>
        </is>
      </c>
      <c r="N185" s="320" t="inlineStr">
        <is>
          <t>CIC</t>
        </is>
      </c>
      <c r="O185" s="321" t="n">
        <v>1</v>
      </c>
      <c r="P185" s="320" t="n"/>
      <c r="Q185" s="321" t="inlineStr">
        <is>
          <t>Permanent - Full Time</t>
        </is>
      </c>
      <c r="R185" s="322" t="n"/>
      <c r="S185" s="322" t="n"/>
      <c r="T185" s="334" t="n">
        <v>162180</v>
      </c>
      <c r="U185" s="699" t="n">
        <v>149205.6</v>
      </c>
      <c r="V185" s="324" t="n">
        <v>0.15</v>
      </c>
      <c r="W185" s="322" t="n"/>
      <c r="X185" s="325" t="n">
        <v>0.05</v>
      </c>
      <c r="Y185" s="700" t="n">
        <v>2910</v>
      </c>
      <c r="Z185" s="325" t="n">
        <v>0.03</v>
      </c>
      <c r="AA185" s="701">
        <f>U185*(1+V185+X185+Z185)+Y185</f>
        <v>186432.888</v>
      </c>
      <c r="AB185" t="n">
        <v>113612</v>
      </c>
      <c r="AC185" s="328" t="inlineStr">
        <is>
          <t>Customer</t>
        </is>
      </c>
      <c r="AD185" t="inlineStr">
        <is>
          <t>Customer Z</t>
        </is>
      </c>
      <c r="AE185" t="inlineStr">
        <is>
          <t>Z Energy Apps</t>
        </is>
      </c>
      <c r="AF185" t="inlineStr">
        <is>
          <t>Squad</t>
        </is>
      </c>
      <c r="AG185" t="inlineStr">
        <is>
          <t>Filled</t>
        </is>
      </c>
    </row>
    <row r="186" hidden="1" ht="18" customHeight="1" s="506">
      <c r="A186" s="259" t="n">
        <v>99999101757</v>
      </c>
      <c r="B186" s="224" t="inlineStr">
        <is>
          <t>Tim Corin</t>
        </is>
      </c>
      <c r="C186" s="317" t="inlineStr">
        <is>
          <t>Experience Designer</t>
        </is>
      </c>
      <c r="D186" s="224" t="inlineStr">
        <is>
          <t>Byron Thornhill</t>
        </is>
      </c>
      <c r="E186" s="224" t="inlineStr">
        <is>
          <t>Design Manager</t>
        </is>
      </c>
      <c r="F186" s="224" t="inlineStr">
        <is>
          <t>Customer</t>
        </is>
      </c>
      <c r="G186" s="318" t="inlineStr">
        <is>
          <t>Digital</t>
        </is>
      </c>
      <c r="H186" s="318" t="inlineStr">
        <is>
          <t>Digital, Design</t>
        </is>
      </c>
      <c r="I186" s="224" t="inlineStr">
        <is>
          <t>Customer</t>
        </is>
      </c>
      <c r="J186" s="224" t="inlineStr">
        <is>
          <t>Customer Z</t>
        </is>
      </c>
      <c r="K186" s="224" t="inlineStr">
        <is>
          <t>Z Energy Apps</t>
        </is>
      </c>
      <c r="L186" s="318" t="n"/>
      <c r="M186" s="319" t="inlineStr">
        <is>
          <t>NZ</t>
        </is>
      </c>
      <c r="N186" s="320" t="inlineStr">
        <is>
          <t>CIC</t>
        </is>
      </c>
      <c r="O186" s="321" t="n">
        <v>1</v>
      </c>
      <c r="P186" s="320" t="n"/>
      <c r="Q186" s="321" t="inlineStr">
        <is>
          <t>Permanent - Full Time</t>
        </is>
      </c>
      <c r="R186" s="322" t="n"/>
      <c r="S186" s="322" t="n"/>
      <c r="T186" s="334" t="n">
        <v>142000</v>
      </c>
      <c r="U186" s="699" t="n">
        <v>130640</v>
      </c>
      <c r="V186" s="324" t="n">
        <v>0.15</v>
      </c>
      <c r="W186" s="322" t="n"/>
      <c r="X186" s="325" t="n">
        <v>0.05</v>
      </c>
      <c r="Y186" s="700" t="n">
        <v>2910</v>
      </c>
      <c r="Z186" s="325" t="n">
        <v>0.03</v>
      </c>
      <c r="AA186" s="701">
        <f>U186*(1+V186+X186+Z186)+Y186</f>
        <v>163597.2</v>
      </c>
      <c r="AB186" t="n">
        <v>113618</v>
      </c>
      <c r="AC186" t="inlineStr">
        <is>
          <t>Customer</t>
        </is>
      </c>
      <c r="AD186" t="inlineStr">
        <is>
          <t>Customer Z</t>
        </is>
      </c>
      <c r="AE186" t="inlineStr">
        <is>
          <t>Z Energy Apps</t>
        </is>
      </c>
      <c r="AF186" t="inlineStr">
        <is>
          <t>Squad</t>
        </is>
      </c>
      <c r="AG186" t="inlineStr">
        <is>
          <t>Filled</t>
        </is>
      </c>
    </row>
    <row r="187" hidden="1" ht="18" customHeight="1" s="506">
      <c r="A187" s="259" t="n">
        <v>99999102164</v>
      </c>
      <c r="B187" s="367" t="inlineStr">
        <is>
          <t>anthonty gen</t>
        </is>
      </c>
      <c r="C187" s="336" t="inlineStr">
        <is>
          <t>Data Analyst</t>
        </is>
      </c>
      <c r="D187" s="318" t="inlineStr">
        <is>
          <t>Vacant</t>
        </is>
      </c>
      <c r="E187" s="318" t="inlineStr">
        <is>
          <t>Technology Manager, Data &amp; Engineering</t>
        </is>
      </c>
      <c r="F187" s="224" t="inlineStr">
        <is>
          <t>Customer</t>
        </is>
      </c>
      <c r="G187" s="318" t="inlineStr">
        <is>
          <t>Loyalty &amp; Martech</t>
        </is>
      </c>
      <c r="H187" s="224" t="inlineStr">
        <is>
          <t>Loyalty, Data &amp; Engineering</t>
        </is>
      </c>
      <c r="I187" s="224" t="inlineStr">
        <is>
          <t>Customer</t>
        </is>
      </c>
      <c r="J187" s="318" t="inlineStr">
        <is>
          <t>Group Customer</t>
        </is>
      </c>
      <c r="K187" s="224" t="inlineStr">
        <is>
          <t>Z Energy Martech</t>
        </is>
      </c>
      <c r="L187" s="318" t="n"/>
      <c r="M187" s="319" t="inlineStr">
        <is>
          <t>NZ</t>
        </is>
      </c>
      <c r="N187" s="320" t="inlineStr">
        <is>
          <t>CIA</t>
        </is>
      </c>
      <c r="O187" s="321" t="n">
        <v>1</v>
      </c>
      <c r="P187" s="320" t="n"/>
      <c r="Q187" s="321" t="inlineStr">
        <is>
          <t>Temporary - Full Time</t>
        </is>
      </c>
      <c r="R187" s="322" t="n"/>
      <c r="S187" s="322" t="n"/>
      <c r="T187" s="334" t="n">
        <v>135000</v>
      </c>
      <c r="U187" s="699" t="n">
        <v>124200</v>
      </c>
      <c r="V187" s="324" t="n">
        <v>0.15</v>
      </c>
      <c r="W187" s="321" t="n"/>
      <c r="X187" s="325" t="n">
        <v>0.05</v>
      </c>
      <c r="Y187" s="700" t="n">
        <v>2910</v>
      </c>
      <c r="Z187" s="325" t="n">
        <v>0.03</v>
      </c>
      <c r="AA187" s="701">
        <f>U187*(1+V187+X187+Z187)+Y187</f>
        <v>155676.0</v>
      </c>
      <c r="AB187" t="n">
        <v>117426</v>
      </c>
      <c r="AC187" t="inlineStr">
        <is>
          <t>Customer</t>
        </is>
      </c>
      <c r="AD187" t="inlineStr">
        <is>
          <t>Customer Z</t>
        </is>
      </c>
      <c r="AE187" t="inlineStr">
        <is>
          <t>Z Energy Martech</t>
        </is>
      </c>
      <c r="AF187" t="inlineStr">
        <is>
          <t>Squad</t>
        </is>
      </c>
      <c r="AG187" t="inlineStr">
        <is>
          <t>Filled</t>
        </is>
      </c>
    </row>
    <row r="188" hidden="1" ht="18" customHeight="1" s="506">
      <c r="A188" s="259" t="n">
        <v>99999101500</v>
      </c>
      <c r="B188" s="335" t="inlineStr">
        <is>
          <t>Bharat Talreja</t>
        </is>
      </c>
      <c r="C188" s="336" t="inlineStr">
        <is>
          <t>Marketing Technology Lead</t>
        </is>
      </c>
      <c r="D188" s="318" t="inlineStr">
        <is>
          <t>Kris Hamilton</t>
        </is>
      </c>
      <c r="E188" s="318" t="inlineStr">
        <is>
          <t>Technology Manager, Loyalty &amp; Martech</t>
        </is>
      </c>
      <c r="F188" s="224" t="inlineStr">
        <is>
          <t>Customer</t>
        </is>
      </c>
      <c r="G188" s="318" t="inlineStr">
        <is>
          <t>Loyalty &amp; Martech</t>
        </is>
      </c>
      <c r="H188" s="318" t="inlineStr">
        <is>
          <t>Loyalty, Tech</t>
        </is>
      </c>
      <c r="I188" s="224" t="inlineStr">
        <is>
          <t>Customer</t>
        </is>
      </c>
      <c r="J188" s="318" t="inlineStr">
        <is>
          <t>Customer Z</t>
        </is>
      </c>
      <c r="K188" s="318" t="inlineStr">
        <is>
          <t>Z Energy Martech</t>
        </is>
      </c>
      <c r="L188" s="318" t="n"/>
      <c r="M188" s="319" t="inlineStr">
        <is>
          <t>NZ</t>
        </is>
      </c>
      <c r="N188" s="320" t="inlineStr">
        <is>
          <t>CIC</t>
        </is>
      </c>
      <c r="O188" s="321" t="n">
        <v>1</v>
      </c>
      <c r="P188" s="320" t="n"/>
      <c r="Q188" s="321" t="inlineStr">
        <is>
          <t>Permanent - Full Time</t>
        </is>
      </c>
      <c r="R188" s="322" t="n"/>
      <c r="S188" s="322" t="n"/>
      <c r="T188" s="334" t="n">
        <v>151850</v>
      </c>
      <c r="U188" s="699" t="n">
        <v>139702</v>
      </c>
      <c r="V188" s="324" t="n">
        <v>0.15</v>
      </c>
      <c r="W188" s="321" t="n"/>
      <c r="X188" s="325" t="n">
        <v>0.05</v>
      </c>
      <c r="Y188" s="700" t="n">
        <v>2910</v>
      </c>
      <c r="Z188" s="325" t="n">
        <v>0.03</v>
      </c>
      <c r="AA188" s="701">
        <f>U188*(1+V188+X188+Z188)+Y188</f>
        <v>174743.46</v>
      </c>
      <c r="AB188" t="n">
        <v>113519</v>
      </c>
      <c r="AC188" t="inlineStr">
        <is>
          <t>Customer</t>
        </is>
      </c>
      <c r="AD188" t="inlineStr">
        <is>
          <t>Customer Z</t>
        </is>
      </c>
      <c r="AE188" t="inlineStr">
        <is>
          <t>Z Energy Martech</t>
        </is>
      </c>
      <c r="AF188" t="inlineStr">
        <is>
          <t>Squad</t>
        </is>
      </c>
      <c r="AG188" t="inlineStr">
        <is>
          <t>Filled</t>
        </is>
      </c>
    </row>
    <row r="189" hidden="1" ht="18" customHeight="1" s="506">
      <c r="A189" s="259" t="n">
        <v>99999101656</v>
      </c>
      <c r="B189" s="335" t="inlineStr">
        <is>
          <t>Carianne Monast</t>
        </is>
      </c>
      <c r="C189" s="336" t="inlineStr">
        <is>
          <t>Martech Specialist</t>
        </is>
      </c>
      <c r="D189" s="318" t="inlineStr">
        <is>
          <t>Kris Hamilton</t>
        </is>
      </c>
      <c r="E189" s="318" t="inlineStr">
        <is>
          <t>Technology Manager, Loyalty &amp; Martech</t>
        </is>
      </c>
      <c r="F189" s="224" t="inlineStr">
        <is>
          <t>Customer</t>
        </is>
      </c>
      <c r="G189" s="318" t="inlineStr">
        <is>
          <t>Loyalty &amp; Martech</t>
        </is>
      </c>
      <c r="H189" s="318" t="inlineStr">
        <is>
          <t>Loyalty, Tech</t>
        </is>
      </c>
      <c r="I189" s="224" t="inlineStr">
        <is>
          <t>Customer</t>
        </is>
      </c>
      <c r="J189" s="318" t="inlineStr">
        <is>
          <t>Customer Z</t>
        </is>
      </c>
      <c r="K189" s="318" t="inlineStr">
        <is>
          <t>Z Energy Martech</t>
        </is>
      </c>
      <c r="L189" s="318" t="n"/>
      <c r="M189" s="319" t="inlineStr">
        <is>
          <t>NZ</t>
        </is>
      </c>
      <c r="N189" s="320" t="inlineStr">
        <is>
          <t>CIA</t>
        </is>
      </c>
      <c r="O189" s="321" t="n">
        <v>1</v>
      </c>
      <c r="P189" s="320" t="n"/>
      <c r="Q189" s="321" t="inlineStr">
        <is>
          <t>Permanent - Full Time</t>
        </is>
      </c>
      <c r="R189" s="322" t="n"/>
      <c r="S189" s="322" t="n"/>
      <c r="T189" s="334" t="n">
        <v>137040</v>
      </c>
      <c r="U189" s="699" t="n">
        <v>126076.8</v>
      </c>
      <c r="V189" s="324" t="n">
        <v>0.15</v>
      </c>
      <c r="W189" s="321" t="n"/>
      <c r="X189" s="325" t="n">
        <v>0.05</v>
      </c>
      <c r="Y189" s="700" t="n">
        <v>2910</v>
      </c>
      <c r="Z189" s="325" t="n">
        <v>0.03</v>
      </c>
      <c r="AA189" s="701">
        <f>U189*(1+V189+X189+Z189)+Y189</f>
        <v>157984.464</v>
      </c>
      <c r="AB189" t="n">
        <v>113526</v>
      </c>
      <c r="AC189" t="inlineStr">
        <is>
          <t>Customer</t>
        </is>
      </c>
      <c r="AD189" t="inlineStr">
        <is>
          <t>Customer Z</t>
        </is>
      </c>
      <c r="AE189" t="inlineStr">
        <is>
          <t>Z Energy Martech</t>
        </is>
      </c>
      <c r="AF189" t="inlineStr">
        <is>
          <t>Squad</t>
        </is>
      </c>
      <c r="AG189" t="inlineStr">
        <is>
          <t>Filled</t>
        </is>
      </c>
    </row>
    <row r="190" hidden="1" ht="18" customHeight="1" s="506">
      <c r="A190" s="259" t="n">
        <v>99999101454</v>
      </c>
      <c r="B190" s="335" t="inlineStr">
        <is>
          <t>Celia Voysey</t>
        </is>
      </c>
      <c r="C190" s="336" t="inlineStr">
        <is>
          <t>Delivery Lead</t>
        </is>
      </c>
      <c r="D190" s="318" t="inlineStr">
        <is>
          <t>Vacant</t>
        </is>
      </c>
      <c r="E190" s="318" t="inlineStr">
        <is>
          <t>Delivery Manager, Loyalty</t>
        </is>
      </c>
      <c r="F190" s="224" t="inlineStr">
        <is>
          <t>Customer</t>
        </is>
      </c>
      <c r="G190" s="318" t="inlineStr">
        <is>
          <t>Loyalty &amp; Martech</t>
        </is>
      </c>
      <c r="H190" s="224" t="inlineStr">
        <is>
          <t xml:space="preserve">Loyalty, Delivery </t>
        </is>
      </c>
      <c r="I190" s="224" t="inlineStr">
        <is>
          <t>Customer</t>
        </is>
      </c>
      <c r="J190" s="318" t="inlineStr">
        <is>
          <t>Customer Z</t>
        </is>
      </c>
      <c r="K190" s="318" t="inlineStr">
        <is>
          <t>Z Energy Martech</t>
        </is>
      </c>
      <c r="L190" s="318" t="n"/>
      <c r="M190" s="319" t="inlineStr">
        <is>
          <t>NZ</t>
        </is>
      </c>
      <c r="N190" s="320" t="inlineStr">
        <is>
          <t>CIC</t>
        </is>
      </c>
      <c r="O190" s="321" t="n">
        <v>1</v>
      </c>
      <c r="P190" s="320" t="n"/>
      <c r="Q190" s="321" t="inlineStr">
        <is>
          <t>Permanent - Full Time</t>
        </is>
      </c>
      <c r="R190" s="322" t="n"/>
      <c r="S190" s="322" t="n"/>
      <c r="T190" s="334" t="n">
        <v>171670</v>
      </c>
      <c r="U190" s="699" t="n">
        <v>157936.4</v>
      </c>
      <c r="V190" s="324" t="n">
        <v>0.15</v>
      </c>
      <c r="W190" s="321" t="n"/>
      <c r="X190" s="325" t="n">
        <v>0.05</v>
      </c>
      <c r="Y190" s="700" t="n">
        <v>2910</v>
      </c>
      <c r="Z190" s="325" t="n">
        <v>0.03</v>
      </c>
      <c r="AA190" s="701">
        <f>U190*(1+V190+X190+Z190)+Y190</f>
        <v>197171.772</v>
      </c>
      <c r="AB190" t="n">
        <v>113528</v>
      </c>
      <c r="AC190" t="inlineStr">
        <is>
          <t>Customer</t>
        </is>
      </c>
      <c r="AD190" t="inlineStr">
        <is>
          <t>Customer Z</t>
        </is>
      </c>
      <c r="AE190" t="inlineStr">
        <is>
          <t>Z Energy Martech</t>
        </is>
      </c>
      <c r="AF190" t="inlineStr">
        <is>
          <t>Squad</t>
        </is>
      </c>
      <c r="AG190" t="inlineStr">
        <is>
          <t>Filled</t>
        </is>
      </c>
    </row>
    <row r="191" hidden="1" ht="18" customHeight="1" s="506">
      <c r="A191" s="259" t="n">
        <v>99999101370</v>
      </c>
      <c r="B191" s="335" t="inlineStr">
        <is>
          <t>Denise Esguerra</t>
        </is>
      </c>
      <c r="C191" s="336" t="inlineStr">
        <is>
          <t>Martech Specialist</t>
        </is>
      </c>
      <c r="D191" s="318" t="inlineStr">
        <is>
          <t>Kris Hamilton</t>
        </is>
      </c>
      <c r="E191" s="328" t="inlineStr">
        <is>
          <t>Technology Manager, Loyalty &amp; Martech</t>
        </is>
      </c>
      <c r="F191" s="224" t="inlineStr">
        <is>
          <t>Customer</t>
        </is>
      </c>
      <c r="G191" s="318" t="inlineStr">
        <is>
          <t>Loyalty &amp; Martech</t>
        </is>
      </c>
      <c r="H191" s="318" t="inlineStr">
        <is>
          <t>Loyalty, Tech</t>
        </is>
      </c>
      <c r="I191" s="224" t="inlineStr">
        <is>
          <t>Customer</t>
        </is>
      </c>
      <c r="J191" s="318" t="inlineStr">
        <is>
          <t>(All Customer)</t>
        </is>
      </c>
      <c r="K191" s="318" t="inlineStr">
        <is>
          <t>Z Energy Martech</t>
        </is>
      </c>
      <c r="L191" s="318" t="n"/>
      <c r="M191" s="319" t="inlineStr">
        <is>
          <t>NZ</t>
        </is>
      </c>
      <c r="N191" s="320" t="inlineStr">
        <is>
          <t>CIA</t>
        </is>
      </c>
      <c r="O191" s="321" t="n">
        <v>1</v>
      </c>
      <c r="P191" s="320" t="n"/>
      <c r="Q191" s="321" t="inlineStr">
        <is>
          <t>Permanent - Full Time</t>
        </is>
      </c>
      <c r="R191" s="322" t="n"/>
      <c r="S191" s="322" t="n"/>
      <c r="T191" s="334" t="n">
        <v>119630</v>
      </c>
      <c r="U191" s="699" t="n">
        <v>110059.6</v>
      </c>
      <c r="V191" s="324" t="n">
        <v>0.15</v>
      </c>
      <c r="W191" s="321" t="n"/>
      <c r="X191" s="325" t="n">
        <v>0.05</v>
      </c>
      <c r="Y191" s="700" t="n">
        <v>2910</v>
      </c>
      <c r="Z191" s="325" t="n">
        <v>0.03</v>
      </c>
      <c r="AA191" s="701">
        <f>U191*(1+V191+X191+Z191)+Y191</f>
        <v>138283.30800000002</v>
      </c>
      <c r="AB191" t="n">
        <v>115807</v>
      </c>
      <c r="AC191" t="inlineStr">
        <is>
          <t>Customer</t>
        </is>
      </c>
      <c r="AD191" t="inlineStr">
        <is>
          <t>Customer Z</t>
        </is>
      </c>
      <c r="AE191" t="inlineStr">
        <is>
          <t>Z Energy Martech</t>
        </is>
      </c>
      <c r="AF191" t="inlineStr">
        <is>
          <t>Squad</t>
        </is>
      </c>
      <c r="AG191" t="inlineStr">
        <is>
          <t>Filled</t>
        </is>
      </c>
    </row>
    <row r="192" hidden="1" ht="18" customHeight="1" s="506">
      <c r="A192" s="259" t="n">
        <v>99999101601</v>
      </c>
      <c r="B192" s="335" t="inlineStr">
        <is>
          <t>Jordan Kettles</t>
        </is>
      </c>
      <c r="C192" s="336" t="inlineStr">
        <is>
          <t>Engineer, Sotware</t>
        </is>
      </c>
      <c r="D192" s="318" t="inlineStr">
        <is>
          <t>Vacant</t>
        </is>
      </c>
      <c r="E192" s="318" t="inlineStr">
        <is>
          <t>Technology Manager, Data &amp; Engineering</t>
        </is>
      </c>
      <c r="F192" s="224" t="inlineStr">
        <is>
          <t>Customer</t>
        </is>
      </c>
      <c r="G192" s="318" t="inlineStr">
        <is>
          <t>Loyalty &amp; Martech</t>
        </is>
      </c>
      <c r="H192" s="224" t="inlineStr">
        <is>
          <t>Loyalty, Data &amp; Engineering</t>
        </is>
      </c>
      <c r="I192" s="224" t="inlineStr">
        <is>
          <t>Customer</t>
        </is>
      </c>
      <c r="J192" s="318" t="inlineStr">
        <is>
          <t>Customer Z</t>
        </is>
      </c>
      <c r="K192" s="318" t="inlineStr">
        <is>
          <t>Z Energy Martech</t>
        </is>
      </c>
      <c r="L192" s="318" t="n"/>
      <c r="M192" s="319" t="inlineStr">
        <is>
          <t>NZ</t>
        </is>
      </c>
      <c r="N192" s="320" t="inlineStr">
        <is>
          <t>CDB</t>
        </is>
      </c>
      <c r="O192" s="321" t="n">
        <v>1</v>
      </c>
      <c r="P192" s="320" t="n"/>
      <c r="Q192" s="321" t="inlineStr">
        <is>
          <t>Permanent - Full Time</t>
        </is>
      </c>
      <c r="R192" s="322" t="n"/>
      <c r="S192" s="322" t="n"/>
      <c r="T192" s="334" t="n">
        <v>95440</v>
      </c>
      <c r="U192" s="699" t="n">
        <v>87804.8</v>
      </c>
      <c r="V192" s="324" t="n">
        <v>0.1</v>
      </c>
      <c r="W192" s="321" t="n"/>
      <c r="X192" s="325" t="n">
        <v>0.05</v>
      </c>
      <c r="Y192" s="700" t="n">
        <v>2910</v>
      </c>
      <c r="Z192" s="325" t="n">
        <v>0.03</v>
      </c>
      <c r="AA192" s="701">
        <f>U192*(1+V192+X192+Z192)+Y192</f>
        <v>106519.66400000002</v>
      </c>
      <c r="AB192" t="n">
        <v>113560</v>
      </c>
      <c r="AC192" t="inlineStr">
        <is>
          <t>Customer</t>
        </is>
      </c>
      <c r="AD192" t="inlineStr">
        <is>
          <t>Customer Z</t>
        </is>
      </c>
      <c r="AE192" t="inlineStr">
        <is>
          <t>Z Energy Martech</t>
        </is>
      </c>
      <c r="AF192" t="inlineStr">
        <is>
          <t>Squad</t>
        </is>
      </c>
      <c r="AG192" t="inlineStr">
        <is>
          <t>Filled</t>
        </is>
      </c>
    </row>
    <row r="193" hidden="1" ht="18" customHeight="1" s="506">
      <c r="A193" s="259" t="n">
        <v>99999101672</v>
      </c>
      <c r="B193" s="335" t="inlineStr">
        <is>
          <t>Kaye Javier</t>
        </is>
      </c>
      <c r="C193" s="336" t="inlineStr">
        <is>
          <t>QA Analyst</t>
        </is>
      </c>
      <c r="D193" s="318" t="inlineStr">
        <is>
          <t>Kris Hamilton</t>
        </is>
      </c>
      <c r="E193" s="318" t="inlineStr">
        <is>
          <t>Technology Manager, Loyalty &amp; Martech</t>
        </is>
      </c>
      <c r="F193" s="224" t="inlineStr">
        <is>
          <t>Customer</t>
        </is>
      </c>
      <c r="G193" s="318" t="inlineStr">
        <is>
          <t>Loyalty &amp; Martech</t>
        </is>
      </c>
      <c r="H193" s="318" t="inlineStr">
        <is>
          <t>Loyalty, Tech</t>
        </is>
      </c>
      <c r="I193" s="224" t="inlineStr">
        <is>
          <t>Customer</t>
        </is>
      </c>
      <c r="J193" s="318" t="inlineStr">
        <is>
          <t>Customer Z</t>
        </is>
      </c>
      <c r="K193" s="318" t="inlineStr">
        <is>
          <t>Z Energy Martech</t>
        </is>
      </c>
      <c r="L193" s="318" t="n"/>
      <c r="M193" s="319" t="inlineStr">
        <is>
          <t>NZ</t>
        </is>
      </c>
      <c r="N193" s="320" t="inlineStr">
        <is>
          <t>CDB</t>
        </is>
      </c>
      <c r="O193" s="321" t="n">
        <v>1</v>
      </c>
      <c r="P193" s="320" t="n"/>
      <c r="Q193" s="321" t="inlineStr">
        <is>
          <t>Permanent - Full Time</t>
        </is>
      </c>
      <c r="R193" s="322" t="n"/>
      <c r="S193" s="322" t="n"/>
      <c r="T193" s="334" t="n">
        <v>94080</v>
      </c>
      <c r="U193" s="699" t="n">
        <v>86553.60000000001</v>
      </c>
      <c r="V193" s="324" t="n">
        <v>0.1</v>
      </c>
      <c r="W193" s="321" t="n"/>
      <c r="X193" s="325" t="n">
        <v>0.05</v>
      </c>
      <c r="Y193" s="700" t="n">
        <v>2910</v>
      </c>
      <c r="Z193" s="325" t="n">
        <v>0.03</v>
      </c>
      <c r="AA193" s="701">
        <f>U193*(1+V193+X193+Z193)+Y193</f>
        <v>105043.24800000002</v>
      </c>
      <c r="AB193" t="n">
        <v>113564</v>
      </c>
      <c r="AC193" t="inlineStr">
        <is>
          <t>Customer</t>
        </is>
      </c>
      <c r="AD193" t="inlineStr">
        <is>
          <t>Customer Z</t>
        </is>
      </c>
      <c r="AE193" t="inlineStr">
        <is>
          <t>Z Energy Martech</t>
        </is>
      </c>
      <c r="AF193" t="inlineStr">
        <is>
          <t>Squad</t>
        </is>
      </c>
      <c r="AG193" t="inlineStr">
        <is>
          <t>Filled</t>
        </is>
      </c>
    </row>
    <row r="194" hidden="1" ht="18" customHeight="1" s="506">
      <c r="A194" s="259" t="n">
        <v>99999100621</v>
      </c>
      <c r="B194" s="335" t="inlineStr">
        <is>
          <t>Kellie Gathergood</t>
        </is>
      </c>
      <c r="C194" s="336" t="inlineStr">
        <is>
          <t>Lead Quality Assurance</t>
        </is>
      </c>
      <c r="D194" s="318" t="inlineStr">
        <is>
          <t>Kris Hamilton</t>
        </is>
      </c>
      <c r="E194" s="328" t="inlineStr">
        <is>
          <t>Technology Manager, Loyalty &amp; Martech</t>
        </is>
      </c>
      <c r="F194" s="224" t="inlineStr">
        <is>
          <t>Customer</t>
        </is>
      </c>
      <c r="G194" s="318" t="inlineStr">
        <is>
          <t>Loyalty &amp; Martech</t>
        </is>
      </c>
      <c r="H194" s="318" t="inlineStr">
        <is>
          <t>Loyalty, Tech</t>
        </is>
      </c>
      <c r="I194" s="224" t="inlineStr">
        <is>
          <t>Customer</t>
        </is>
      </c>
      <c r="J194" s="318" t="inlineStr">
        <is>
          <t>Customer Z</t>
        </is>
      </c>
      <c r="K194" s="318" t="inlineStr">
        <is>
          <t>Z Energy Martech</t>
        </is>
      </c>
      <c r="L194" s="318" t="n"/>
      <c r="M194" s="319" t="inlineStr">
        <is>
          <t>NZ</t>
        </is>
      </c>
      <c r="N194" s="320" t="inlineStr">
        <is>
          <t>CIC</t>
        </is>
      </c>
      <c r="O194" s="321" t="n">
        <v>0.8</v>
      </c>
      <c r="P194" s="320" t="n"/>
      <c r="Q194" s="321" t="inlineStr">
        <is>
          <t>Permanent - Part Time</t>
        </is>
      </c>
      <c r="R194" s="322" t="n"/>
      <c r="S194" s="322" t="n"/>
      <c r="T194" s="334" t="n">
        <v>169080</v>
      </c>
      <c r="U194" s="699" t="n">
        <v>155553.6</v>
      </c>
      <c r="V194" s="324" t="n">
        <v>0.15</v>
      </c>
      <c r="W194" s="321" t="n"/>
      <c r="X194" s="325" t="n">
        <v>0.05</v>
      </c>
      <c r="Y194" s="700" t="n">
        <v>2910</v>
      </c>
      <c r="Z194" s="325" t="n">
        <v>0.03</v>
      </c>
      <c r="AA194" s="701">
        <f>U194*(1+V194+X194+Z194)+Y194</f>
        <v>194240.928</v>
      </c>
      <c r="AB194" t="n">
        <v>113565</v>
      </c>
      <c r="AC194" t="inlineStr">
        <is>
          <t>Customer</t>
        </is>
      </c>
      <c r="AD194" t="inlineStr">
        <is>
          <t>Customer Z</t>
        </is>
      </c>
      <c r="AE194" t="inlineStr">
        <is>
          <t>Z Energy Martech</t>
        </is>
      </c>
      <c r="AF194" t="inlineStr">
        <is>
          <t>Squad</t>
        </is>
      </c>
      <c r="AG194" t="inlineStr">
        <is>
          <t>Filled</t>
        </is>
      </c>
    </row>
    <row r="195" hidden="1" ht="18" customHeight="1" s="506">
      <c r="A195" s="259" t="n">
        <v>99999101633</v>
      </c>
      <c r="B195" s="335" t="inlineStr">
        <is>
          <t>Kishore Ganesan</t>
        </is>
      </c>
      <c r="C195" s="336" t="inlineStr">
        <is>
          <t>Intermediate Quality Assurance</t>
        </is>
      </c>
      <c r="D195" s="318" t="inlineStr">
        <is>
          <t>Kris Hamilton</t>
        </is>
      </c>
      <c r="E195" s="318" t="inlineStr">
        <is>
          <t>Technology Manager, Loyalty &amp; Martech</t>
        </is>
      </c>
      <c r="F195" s="224" t="inlineStr">
        <is>
          <t>Customer</t>
        </is>
      </c>
      <c r="G195" s="318" t="inlineStr">
        <is>
          <t>Loyalty &amp; Martech</t>
        </is>
      </c>
      <c r="H195" s="318" t="inlineStr">
        <is>
          <t>Loyalty, Tech</t>
        </is>
      </c>
      <c r="I195" s="224" t="inlineStr">
        <is>
          <t>Customer</t>
        </is>
      </c>
      <c r="J195" s="318" t="inlineStr">
        <is>
          <t>Customer Z</t>
        </is>
      </c>
      <c r="K195" s="318" t="inlineStr">
        <is>
          <t>Z Energy Martech</t>
        </is>
      </c>
      <c r="L195" s="318" t="n"/>
      <c r="M195" s="319" t="inlineStr">
        <is>
          <t>NZ</t>
        </is>
      </c>
      <c r="N195" s="320" t="inlineStr">
        <is>
          <t>CDC</t>
        </is>
      </c>
      <c r="O195" s="321" t="n">
        <v>1</v>
      </c>
      <c r="P195" s="320" t="n"/>
      <c r="Q195" s="321" t="inlineStr">
        <is>
          <t>Permanent - Full Time</t>
        </is>
      </c>
      <c r="R195" s="322" t="n"/>
      <c r="S195" s="322" t="n"/>
      <c r="T195" s="334" t="n">
        <v>96140</v>
      </c>
      <c r="U195" s="699" t="n">
        <v>88448.8</v>
      </c>
      <c r="V195" s="324" t="n">
        <v>0.1</v>
      </c>
      <c r="W195" s="321" t="n"/>
      <c r="X195" s="325" t="n">
        <v>0.05</v>
      </c>
      <c r="Y195" s="700" t="n">
        <v>2910</v>
      </c>
      <c r="Z195" s="325" t="n">
        <v>0.03</v>
      </c>
      <c r="AA195" s="701">
        <f>U195*(1+V195+X195+Z195)+Y195</f>
        <v>107279.58400000002</v>
      </c>
      <c r="AB195" t="n">
        <v>113567</v>
      </c>
      <c r="AC195" t="inlineStr">
        <is>
          <t>Customer</t>
        </is>
      </c>
      <c r="AD195" t="inlineStr">
        <is>
          <t>Customer Z</t>
        </is>
      </c>
      <c r="AE195" t="inlineStr">
        <is>
          <t>Z Energy Martech</t>
        </is>
      </c>
      <c r="AF195" t="inlineStr">
        <is>
          <t>Squad</t>
        </is>
      </c>
      <c r="AG195" t="inlineStr">
        <is>
          <t>Filled</t>
        </is>
      </c>
    </row>
    <row r="196" hidden="1" ht="18" customHeight="1" s="506">
      <c r="A196" s="259" t="n">
        <v>99999101312</v>
      </c>
      <c r="B196" s="335" t="inlineStr">
        <is>
          <t>Megan Rodgers</t>
        </is>
      </c>
      <c r="C196" s="336" t="inlineStr">
        <is>
          <t>Business Analyst</t>
        </is>
      </c>
      <c r="D196" s="318" t="inlineStr">
        <is>
          <t>Vacant</t>
        </is>
      </c>
      <c r="E196" s="318" t="inlineStr">
        <is>
          <t>Delivery Manager, Loyalty</t>
        </is>
      </c>
      <c r="F196" s="224" t="inlineStr">
        <is>
          <t>Customer</t>
        </is>
      </c>
      <c r="G196" s="318" t="inlineStr">
        <is>
          <t>Loyalty &amp; Martech</t>
        </is>
      </c>
      <c r="H196" s="224" t="inlineStr">
        <is>
          <t xml:space="preserve">Loyalty, Delivery </t>
        </is>
      </c>
      <c r="I196" s="224" t="inlineStr">
        <is>
          <t>Customer</t>
        </is>
      </c>
      <c r="J196" s="318" t="inlineStr">
        <is>
          <t>Customer Z</t>
        </is>
      </c>
      <c r="K196" s="318" t="inlineStr">
        <is>
          <t>Z Energy Martech</t>
        </is>
      </c>
      <c r="L196" s="318" t="n"/>
      <c r="M196" s="319" t="inlineStr">
        <is>
          <t>NZ</t>
        </is>
      </c>
      <c r="N196" s="320" t="inlineStr">
        <is>
          <t>CIA</t>
        </is>
      </c>
      <c r="O196" s="321" t="n">
        <v>0.8</v>
      </c>
      <c r="P196" s="320" t="n"/>
      <c r="Q196" s="321" t="inlineStr">
        <is>
          <t>Permanent - Part Time</t>
        </is>
      </c>
      <c r="R196" s="322" t="n"/>
      <c r="S196" s="322" t="n"/>
      <c r="T196" s="334" t="n">
        <v>128530</v>
      </c>
      <c r="U196" s="699" t="n">
        <v>118247.6</v>
      </c>
      <c r="V196" s="324" t="n">
        <v>0.15</v>
      </c>
      <c r="W196" s="322" t="n"/>
      <c r="X196" s="325" t="n">
        <v>0.05</v>
      </c>
      <c r="Y196" s="700" t="n">
        <v>2910</v>
      </c>
      <c r="Z196" s="325" t="n">
        <v>0.03</v>
      </c>
      <c r="AA196" s="701">
        <f>U196*(1+V196+X196+Z196)+Y196</f>
        <v>148354.548</v>
      </c>
      <c r="AB196" t="n">
        <v>113590</v>
      </c>
      <c r="AC196" t="inlineStr">
        <is>
          <t>Customer</t>
        </is>
      </c>
      <c r="AD196" t="inlineStr">
        <is>
          <t>Customer Z</t>
        </is>
      </c>
      <c r="AE196" t="inlineStr">
        <is>
          <t>Z Energy Martech</t>
        </is>
      </c>
      <c r="AF196" t="inlineStr">
        <is>
          <t>Squad</t>
        </is>
      </c>
      <c r="AG196" t="inlineStr">
        <is>
          <t>Filled</t>
        </is>
      </c>
    </row>
    <row r="197" hidden="1" ht="18" customHeight="1" s="506">
      <c r="A197" s="259" t="n">
        <v>99999100847</v>
      </c>
      <c r="B197" s="335" t="inlineStr">
        <is>
          <t>Nimi Rose</t>
        </is>
      </c>
      <c r="C197" s="336" t="inlineStr">
        <is>
          <t>Marketing Technology Lead</t>
        </is>
      </c>
      <c r="D197" s="318" t="inlineStr">
        <is>
          <t>Kris Hamilton</t>
        </is>
      </c>
      <c r="E197" s="318" t="inlineStr">
        <is>
          <t>Technology Manager, Loyalty &amp; Martech</t>
        </is>
      </c>
      <c r="F197" s="224" t="inlineStr">
        <is>
          <t>Customer</t>
        </is>
      </c>
      <c r="G197" s="318" t="inlineStr">
        <is>
          <t>Loyalty &amp; Martech</t>
        </is>
      </c>
      <c r="H197" s="318" t="inlineStr">
        <is>
          <t>Loyalty, Tech</t>
        </is>
      </c>
      <c r="I197" s="224" t="inlineStr">
        <is>
          <t>Customer</t>
        </is>
      </c>
      <c r="J197" s="318" t="inlineStr">
        <is>
          <t>Customer Z</t>
        </is>
      </c>
      <c r="K197" s="318" t="inlineStr">
        <is>
          <t>Z Energy Martech</t>
        </is>
      </c>
      <c r="L197" s="318" t="n"/>
      <c r="M197" s="319" t="inlineStr">
        <is>
          <t>NZ</t>
        </is>
      </c>
      <c r="N197" s="320" t="inlineStr">
        <is>
          <t>CIC</t>
        </is>
      </c>
      <c r="O197" s="321" t="n">
        <v>1</v>
      </c>
      <c r="P197" s="320" t="n"/>
      <c r="Q197" s="321" t="inlineStr">
        <is>
          <t>Permanent - Full Time</t>
        </is>
      </c>
      <c r="R197" s="322" t="n"/>
      <c r="S197" s="322" t="n"/>
      <c r="T197" s="334" t="n">
        <v>170880</v>
      </c>
      <c r="U197" s="699" t="n">
        <v>157209.6</v>
      </c>
      <c r="V197" s="324" t="n">
        <v>0.15</v>
      </c>
      <c r="W197" s="322" t="n"/>
      <c r="X197" s="325" t="n">
        <v>0.05</v>
      </c>
      <c r="Y197" s="700" t="n">
        <v>2910</v>
      </c>
      <c r="Z197" s="325" t="n">
        <v>0.03</v>
      </c>
      <c r="AA197" s="701">
        <f>U197*(1+V197+X197+Z197)+Y197</f>
        <v>196277.808</v>
      </c>
      <c r="AB197" t="n">
        <v>113601</v>
      </c>
      <c r="AC197" t="inlineStr">
        <is>
          <t>Customer</t>
        </is>
      </c>
      <c r="AD197" t="inlineStr">
        <is>
          <t>Customer Z</t>
        </is>
      </c>
      <c r="AE197" t="inlineStr">
        <is>
          <t>Z Energy Martech</t>
        </is>
      </c>
      <c r="AF197" t="inlineStr">
        <is>
          <t>Squad</t>
        </is>
      </c>
      <c r="AG197" t="inlineStr">
        <is>
          <t>Filled</t>
        </is>
      </c>
    </row>
    <row r="198" hidden="1" ht="18" customHeight="1" s="506">
      <c r="A198" s="259" t="n">
        <v>99999101730</v>
      </c>
      <c r="B198" s="335" t="inlineStr">
        <is>
          <t>Scott Cullen</t>
        </is>
      </c>
      <c r="C198" s="336" t="inlineStr">
        <is>
          <t>Engineer, Dev Ops</t>
        </is>
      </c>
      <c r="D198" s="318" t="inlineStr">
        <is>
          <t>Vacant</t>
        </is>
      </c>
      <c r="E198" s="318" t="inlineStr">
        <is>
          <t>Technology Manager, Data &amp; Engineering</t>
        </is>
      </c>
      <c r="F198" s="224" t="inlineStr">
        <is>
          <t>Customer</t>
        </is>
      </c>
      <c r="G198" s="318" t="inlineStr">
        <is>
          <t>Loyalty &amp; Martech</t>
        </is>
      </c>
      <c r="H198" s="224" t="inlineStr">
        <is>
          <t>Loyalty, Data &amp; Engineering</t>
        </is>
      </c>
      <c r="I198" s="224" t="inlineStr">
        <is>
          <t>Customer</t>
        </is>
      </c>
      <c r="J198" s="318" t="inlineStr">
        <is>
          <t>Customer Z</t>
        </is>
      </c>
      <c r="K198" s="318" t="inlineStr">
        <is>
          <t>Z Energy Martech</t>
        </is>
      </c>
      <c r="L198" s="318" t="n"/>
      <c r="M198" s="319" t="inlineStr">
        <is>
          <t>NZ</t>
        </is>
      </c>
      <c r="N198" s="320" t="inlineStr">
        <is>
          <t>CDB</t>
        </is>
      </c>
      <c r="O198" s="321" t="n">
        <v>1</v>
      </c>
      <c r="P198" s="320" t="n"/>
      <c r="Q198" s="321" t="inlineStr">
        <is>
          <t>Permanent - Full Time</t>
        </is>
      </c>
      <c r="R198" s="322" t="n"/>
      <c r="S198" s="322" t="n"/>
      <c r="T198" s="334" t="n">
        <v>93900</v>
      </c>
      <c r="U198" s="699" t="n">
        <v>86388</v>
      </c>
      <c r="V198" s="324" t="n">
        <v>0.1</v>
      </c>
      <c r="W198" s="322" t="n"/>
      <c r="X198" s="325" t="n">
        <v>0.05</v>
      </c>
      <c r="Y198" s="700" t="n">
        <v>2910</v>
      </c>
      <c r="Z198" s="325" t="n">
        <v>0.03</v>
      </c>
      <c r="AA198" s="701">
        <f>U198*(1+V198+X198+Z198)+Y198</f>
        <v>104847.84000000001</v>
      </c>
      <c r="AB198" t="n">
        <v>113611</v>
      </c>
      <c r="AC198" t="inlineStr">
        <is>
          <t>Customer</t>
        </is>
      </c>
      <c r="AD198" t="inlineStr">
        <is>
          <t>Customer Z</t>
        </is>
      </c>
      <c r="AE198" t="inlineStr">
        <is>
          <t>Z Energy Martech</t>
        </is>
      </c>
      <c r="AF198" t="inlineStr">
        <is>
          <t>Squad</t>
        </is>
      </c>
      <c r="AG198" t="inlineStr">
        <is>
          <t>Filled</t>
        </is>
      </c>
    </row>
    <row r="199" hidden="1" ht="18" customHeight="1" s="506">
      <c r="A199" s="259" t="inlineStr">
        <is>
          <t>V</t>
        </is>
      </c>
      <c r="B199" s="367" t="inlineStr">
        <is>
          <t>Vacant</t>
        </is>
      </c>
      <c r="C199" s="336" t="inlineStr">
        <is>
          <t>Solution Architect</t>
        </is>
      </c>
      <c r="D199" s="318" t="inlineStr">
        <is>
          <t>Kris Hamilton</t>
        </is>
      </c>
      <c r="E199" s="318" t="inlineStr">
        <is>
          <t>Technology Manager, Loyalty &amp; Martech</t>
        </is>
      </c>
      <c r="F199" s="224" t="inlineStr">
        <is>
          <t>Customer</t>
        </is>
      </c>
      <c r="G199" s="318" t="inlineStr">
        <is>
          <t>Loyalty &amp; Martech</t>
        </is>
      </c>
      <c r="H199" s="318" t="inlineStr">
        <is>
          <t>Loyalty, Tech</t>
        </is>
      </c>
      <c r="I199" s="224" t="inlineStr">
        <is>
          <t>Customer</t>
        </is>
      </c>
      <c r="J199" s="318" t="inlineStr">
        <is>
          <t>Customer Z</t>
        </is>
      </c>
      <c r="K199" s="318" t="inlineStr">
        <is>
          <t>Z Energy Martech</t>
        </is>
      </c>
      <c r="L199" s="318" t="n"/>
      <c r="M199" s="319" t="inlineStr">
        <is>
          <t>australia</t>
        </is>
      </c>
      <c r="N199" s="320" t="inlineStr">
        <is>
          <t>CIC</t>
        </is>
      </c>
      <c r="O199" s="320" t="n">
        <v>1</v>
      </c>
      <c r="P199" s="320" t="n"/>
      <c r="Q199" s="320" t="inlineStr">
        <is>
          <t>v</t>
        </is>
      </c>
      <c r="R199" s="322" t="n"/>
      <c r="S199" s="322" t="n"/>
      <c r="T199" s="334" t="n">
        <v>173550</v>
      </c>
      <c r="U199" s="699" t="n">
        <v>173550</v>
      </c>
      <c r="V199" s="325" t="n">
        <v>0.12</v>
      </c>
      <c r="W199" s="702" t="n">
        <v>0.055</v>
      </c>
      <c r="X199" s="702" t="n">
        <v>0.12</v>
      </c>
      <c r="Y199" s="703" t="n"/>
      <c r="Z199" s="702" t="n">
        <v>0.04</v>
      </c>
      <c r="AA199" s="701">
        <f>U199*(1+V199+W199+X199+Y199+Z199)</f>
        <v>231689.25</v>
      </c>
      <c r="AC199" t="inlineStr">
        <is>
          <t>Customer</t>
        </is>
      </c>
      <c r="AD199" t="inlineStr">
        <is>
          <t>Customer Z</t>
        </is>
      </c>
      <c r="AE199" t="inlineStr">
        <is>
          <t>Z Energy Martech</t>
        </is>
      </c>
      <c r="AF199" t="inlineStr">
        <is>
          <t>Squad</t>
        </is>
      </c>
      <c r="AG199" t="inlineStr">
        <is>
          <t>Vacant</t>
        </is>
      </c>
    </row>
    <row r="200" hidden="1" ht="18" customHeight="1" s="506">
      <c r="A200" s="259" t="inlineStr">
        <is>
          <t>V</t>
        </is>
      </c>
      <c r="B200" s="367" t="inlineStr">
        <is>
          <t>Vacant</t>
        </is>
      </c>
      <c r="C200" s="336" t="inlineStr">
        <is>
          <t>Engineer, Software</t>
        </is>
      </c>
      <c r="D200" s="318" t="inlineStr">
        <is>
          <t>Vacant</t>
        </is>
      </c>
      <c r="E200" s="318" t="inlineStr">
        <is>
          <t>Technology Manager, Data &amp; Engineering</t>
        </is>
      </c>
      <c r="F200" s="224" t="inlineStr">
        <is>
          <t>Customer</t>
        </is>
      </c>
      <c r="G200" s="318" t="inlineStr">
        <is>
          <t>Loyalty &amp; Martech</t>
        </is>
      </c>
      <c r="H200" s="224" t="inlineStr">
        <is>
          <t>Loyalty, Data &amp; Engineering</t>
        </is>
      </c>
      <c r="I200" s="224" t="inlineStr">
        <is>
          <t>Customer</t>
        </is>
      </c>
      <c r="J200" s="318" t="inlineStr">
        <is>
          <t>Customer Z</t>
        </is>
      </c>
      <c r="K200" s="318" t="inlineStr">
        <is>
          <t>Z Energy Martech</t>
        </is>
      </c>
      <c r="L200" s="318" t="n"/>
      <c r="M200" s="319" t="inlineStr">
        <is>
          <t>Australia</t>
        </is>
      </c>
      <c r="N200" s="320" t="inlineStr">
        <is>
          <t>CIB</t>
        </is>
      </c>
      <c r="O200" s="320" t="n">
        <v>1</v>
      </c>
      <c r="P200" s="320" t="n"/>
      <c r="Q200" s="320" t="inlineStr">
        <is>
          <t>V</t>
        </is>
      </c>
      <c r="R200" s="322" t="n"/>
      <c r="S200" s="322" t="n"/>
      <c r="T200" s="334" t="n">
        <v>151950</v>
      </c>
      <c r="U200" s="699" t="n">
        <v>151950</v>
      </c>
      <c r="V200" s="325" t="n">
        <v>0.12</v>
      </c>
      <c r="W200" s="702" t="n">
        <v>0.055</v>
      </c>
      <c r="X200" s="702" t="n">
        <v>0.12</v>
      </c>
      <c r="Y200" s="703" t="n"/>
      <c r="Z200" s="702" t="n">
        <v>0.04</v>
      </c>
      <c r="AA200" s="701">
        <f>U200*(1+V200+W200+X200+Y200+Z200)</f>
        <v>202853.25</v>
      </c>
      <c r="AC200" t="inlineStr">
        <is>
          <t>Customer</t>
        </is>
      </c>
      <c r="AD200" t="inlineStr">
        <is>
          <t>Customer Z</t>
        </is>
      </c>
      <c r="AE200" t="inlineStr">
        <is>
          <t>Z Energy Martech</t>
        </is>
      </c>
      <c r="AF200" t="inlineStr">
        <is>
          <t>Squad</t>
        </is>
      </c>
      <c r="AG200" t="inlineStr">
        <is>
          <t>Vacant</t>
        </is>
      </c>
    </row>
    <row r="201" hidden="1" ht="18" customHeight="1" s="506">
      <c r="A201" s="259" t="inlineStr">
        <is>
          <t>V</t>
        </is>
      </c>
      <c r="B201" s="367" t="inlineStr">
        <is>
          <t>Vacant</t>
        </is>
      </c>
      <c r="C201" s="336" t="inlineStr">
        <is>
          <t>Snr Engineer, Data</t>
        </is>
      </c>
      <c r="D201" s="318" t="inlineStr">
        <is>
          <t>Vacant</t>
        </is>
      </c>
      <c r="E201" s="318" t="inlineStr">
        <is>
          <t>Technology Manager, Data &amp; Engineering</t>
        </is>
      </c>
      <c r="F201" s="224" t="inlineStr">
        <is>
          <t>Customer</t>
        </is>
      </c>
      <c r="G201" s="318" t="inlineStr">
        <is>
          <t>Loyalty &amp; Martech</t>
        </is>
      </c>
      <c r="H201" s="224" t="inlineStr">
        <is>
          <t>Loyalty, Data &amp; Engineering</t>
        </is>
      </c>
      <c r="I201" s="224" t="inlineStr">
        <is>
          <t>Customer</t>
        </is>
      </c>
      <c r="J201" s="318" t="inlineStr">
        <is>
          <t>Customer Z</t>
        </is>
      </c>
      <c r="K201" s="318" t="inlineStr">
        <is>
          <t>Z Energy Martech</t>
        </is>
      </c>
      <c r="L201" s="318" t="n"/>
      <c r="M201" s="319" t="inlineStr">
        <is>
          <t>Australia</t>
        </is>
      </c>
      <c r="N201" s="320" t="inlineStr">
        <is>
          <t>CIB</t>
        </is>
      </c>
      <c r="O201" s="320" t="n">
        <v>1</v>
      </c>
      <c r="P201" s="320" t="n"/>
      <c r="Q201" s="320" t="inlineStr">
        <is>
          <t>v</t>
        </is>
      </c>
      <c r="R201" s="322" t="n"/>
      <c r="S201" s="322" t="n"/>
      <c r="T201" s="334" t="n">
        <v>151950</v>
      </c>
      <c r="U201" s="699" t="n">
        <v>151950</v>
      </c>
      <c r="V201" s="325" t="n">
        <v>0.12</v>
      </c>
      <c r="W201" s="702" t="n">
        <v>0.055</v>
      </c>
      <c r="X201" s="702" t="n">
        <v>0.12</v>
      </c>
      <c r="Y201" s="703" t="n"/>
      <c r="Z201" s="702" t="n">
        <v>0.04</v>
      </c>
      <c r="AA201" s="701">
        <f>U201*(1+V201+W201+X201+Y201+Z201)</f>
        <v>202853.25</v>
      </c>
      <c r="AC201" t="inlineStr">
        <is>
          <t>Customer</t>
        </is>
      </c>
      <c r="AD201" t="inlineStr">
        <is>
          <t>Customer Z</t>
        </is>
      </c>
      <c r="AE201" t="inlineStr">
        <is>
          <t>Z Energy Martech</t>
        </is>
      </c>
      <c r="AF201" t="inlineStr">
        <is>
          <t>Squad</t>
        </is>
      </c>
      <c r="AG201" t="inlineStr">
        <is>
          <t>Vacant</t>
        </is>
      </c>
    </row>
    <row r="202" hidden="1" ht="18" customHeight="1" s="506">
      <c r="A202" s="259" t="n">
        <v>99999102155</v>
      </c>
      <c r="B202" s="335" t="inlineStr">
        <is>
          <t>Yash Thakkar</t>
        </is>
      </c>
      <c r="C202" s="336" t="inlineStr">
        <is>
          <t>Martech Specialist</t>
        </is>
      </c>
      <c r="D202" s="318" t="inlineStr">
        <is>
          <t>Kris Hamilton</t>
        </is>
      </c>
      <c r="E202" s="318" t="inlineStr">
        <is>
          <t>Technology Manager, Loyalty &amp; Martech</t>
        </is>
      </c>
      <c r="F202" s="224" t="inlineStr">
        <is>
          <t>Customer</t>
        </is>
      </c>
      <c r="G202" s="318" t="inlineStr">
        <is>
          <t>Loyalty &amp; Martech</t>
        </is>
      </c>
      <c r="H202" s="318" t="inlineStr">
        <is>
          <t>Loyalty, Tech</t>
        </is>
      </c>
      <c r="I202" s="224" t="inlineStr">
        <is>
          <t>Customer</t>
        </is>
      </c>
      <c r="J202" s="318" t="inlineStr">
        <is>
          <t>(All Customer)</t>
        </is>
      </c>
      <c r="K202" s="318" t="inlineStr">
        <is>
          <t>Z Energy Martech</t>
        </is>
      </c>
      <c r="L202" s="318" t="n"/>
      <c r="M202" s="319" t="inlineStr">
        <is>
          <t>NZ</t>
        </is>
      </c>
      <c r="N202" s="320" t="inlineStr">
        <is>
          <t>CIA</t>
        </is>
      </c>
      <c r="O202" s="321" t="n">
        <v>1</v>
      </c>
      <c r="P202" s="320" t="n"/>
      <c r="Q202" s="321" t="inlineStr">
        <is>
          <t>Permanent - Full Time</t>
        </is>
      </c>
      <c r="R202" s="322" t="n"/>
      <c r="S202" s="322" t="n"/>
      <c r="T202" s="334" t="n">
        <v>130000</v>
      </c>
      <c r="U202" s="705" t="n">
        <v>119600</v>
      </c>
      <c r="V202" s="324" t="n">
        <v>0.15</v>
      </c>
      <c r="W202" s="322" t="n"/>
      <c r="X202" s="325" t="n">
        <v>0.05</v>
      </c>
      <c r="Y202" s="700" t="n">
        <v>2910</v>
      </c>
      <c r="Z202" s="325" t="n">
        <v>0.03</v>
      </c>
      <c r="AA202" s="701">
        <f>U202*(1+V202+X202+Z202)+Y202</f>
        <v>150018.0</v>
      </c>
      <c r="AB202" t="n">
        <v>117151</v>
      </c>
      <c r="AC202" t="inlineStr">
        <is>
          <t>Customer</t>
        </is>
      </c>
      <c r="AD202" t="inlineStr">
        <is>
          <t>Customer Z</t>
        </is>
      </c>
      <c r="AE202" t="inlineStr">
        <is>
          <t>Z Energy Martech</t>
        </is>
      </c>
      <c r="AF202" t="inlineStr">
        <is>
          <t>Squad</t>
        </is>
      </c>
      <c r="AG202" t="inlineStr">
        <is>
          <t>Filled</t>
        </is>
      </c>
    </row>
    <row r="203" hidden="1" ht="18" customHeight="1" s="506">
      <c r="A203" s="259" t="n">
        <v>99999101684</v>
      </c>
      <c r="B203" s="224" t="inlineStr">
        <is>
          <t>Ashley Mueller</t>
        </is>
      </c>
      <c r="C203" s="317" t="inlineStr">
        <is>
          <t>Lead – Service Assurance</t>
        </is>
      </c>
      <c r="D203" s="224" t="inlineStr">
        <is>
          <t>Mick Collins</t>
        </is>
      </c>
      <c r="E203" s="224" t="inlineStr">
        <is>
          <t>Cyber Architecture Lead</t>
        </is>
      </c>
      <c r="F203" s="224" t="inlineStr">
        <is>
          <t>Cyber, Risk &amp; Operations</t>
        </is>
      </c>
      <c r="G203" s="318" t="inlineStr">
        <is>
          <t>Service Op &amp; Assurance</t>
        </is>
      </c>
      <c r="H203" s="224" t="inlineStr">
        <is>
          <t xml:space="preserve">Service Performance &amp; Assurance </t>
        </is>
      </c>
      <c r="I203" s="224" t="inlineStr">
        <is>
          <t>NA</t>
        </is>
      </c>
      <c r="J203" s="224" t="inlineStr">
        <is>
          <t>NA</t>
        </is>
      </c>
      <c r="K203" s="224" t="inlineStr">
        <is>
          <t>NA</t>
        </is>
      </c>
      <c r="L203" s="224" t="n"/>
      <c r="M203" s="319" t="inlineStr">
        <is>
          <t>NZ</t>
        </is>
      </c>
      <c r="N203" s="320" t="inlineStr">
        <is>
          <t>CIC</t>
        </is>
      </c>
      <c r="O203" s="321" t="n">
        <v>1</v>
      </c>
      <c r="P203" s="320" t="n"/>
      <c r="Q203" s="321" t="inlineStr">
        <is>
          <t>Permanent - Full Time</t>
        </is>
      </c>
      <c r="R203" s="322" t="n"/>
      <c r="S203" s="322" t="n"/>
      <c r="T203" s="334" t="n">
        <v>165310</v>
      </c>
      <c r="U203" s="705" t="n">
        <v>152085.2</v>
      </c>
      <c r="V203" s="324" t="n">
        <v>0.15</v>
      </c>
      <c r="W203" s="321" t="n"/>
      <c r="X203" s="325" t="n">
        <v>0.05</v>
      </c>
      <c r="Y203" s="700" t="n">
        <v>2910</v>
      </c>
      <c r="Z203" s="325" t="n">
        <v>0.03</v>
      </c>
      <c r="AA203" s="701">
        <f>U203*(1+V203+X203+Z203)+Y203</f>
        <v>189974.796</v>
      </c>
      <c r="AB203" t="n">
        <v>113516</v>
      </c>
      <c r="AC203" t="inlineStr">
        <is>
          <t>TDD Cyber</t>
        </is>
      </c>
      <c r="AD203" t="inlineStr">
        <is>
          <t>TDD Cyber, Risk &amp; Service Ops</t>
        </is>
      </c>
      <c r="AE203" t="inlineStr">
        <is>
          <t>TDD Cyber</t>
        </is>
      </c>
      <c r="AF203" t="inlineStr">
        <is>
          <t>Squad</t>
        </is>
      </c>
      <c r="AG203" t="inlineStr">
        <is>
          <t>Filled</t>
        </is>
      </c>
    </row>
    <row r="204" hidden="1" ht="18" customHeight="1" s="506">
      <c r="A204" s="259" t="n">
        <v>108013</v>
      </c>
      <c r="B204" s="224" t="inlineStr">
        <is>
          <t>Belinda Hoskens</t>
        </is>
      </c>
      <c r="C204" s="317" t="inlineStr">
        <is>
          <t>Technology Support Engineer</t>
        </is>
      </c>
      <c r="D204" s="224" t="inlineStr">
        <is>
          <t>Mark Pearson</t>
        </is>
      </c>
      <c r="E204" s="224" t="inlineStr">
        <is>
          <t xml:space="preserve">Lead Technology Support </t>
        </is>
      </c>
      <c r="F204" s="224" t="inlineStr">
        <is>
          <t>Cyber, Risk &amp; Operations</t>
        </is>
      </c>
      <c r="G204" s="318" t="inlineStr">
        <is>
          <t>Service Op &amp; Assurance</t>
        </is>
      </c>
      <c r="H204" s="224" t="inlineStr">
        <is>
          <t xml:space="preserve">Technology Support </t>
        </is>
      </c>
      <c r="I204" s="224" t="inlineStr">
        <is>
          <t>NA</t>
        </is>
      </c>
      <c r="J204" s="224" t="inlineStr">
        <is>
          <t>NA</t>
        </is>
      </c>
      <c r="K204" s="224" t="inlineStr">
        <is>
          <t>NA</t>
        </is>
      </c>
      <c r="L204" s="224" t="n"/>
      <c r="M204" s="319" t="inlineStr">
        <is>
          <t>Australia</t>
        </is>
      </c>
      <c r="N204" s="320" t="inlineStr">
        <is>
          <t>CIA</t>
        </is>
      </c>
      <c r="O204" s="320" t="n">
        <v>1</v>
      </c>
      <c r="P204" s="320" t="n"/>
      <c r="Q204" s="320" t="inlineStr">
        <is>
          <t>Permanent - Full Time</t>
        </is>
      </c>
      <c r="R204" s="322" t="n"/>
      <c r="S204" s="322" t="n"/>
      <c r="T204" s="334" t="n">
        <v>123300</v>
      </c>
      <c r="U204" s="705" t="n">
        <v>123300</v>
      </c>
      <c r="V204" s="325" t="n">
        <v>0.1</v>
      </c>
      <c r="W204" s="702" t="n">
        <v>0.055</v>
      </c>
      <c r="X204" s="702" t="n">
        <v>0.12</v>
      </c>
      <c r="Y204" s="703" t="n"/>
      <c r="Z204" s="702" t="n">
        <v>0.04</v>
      </c>
      <c r="AA204" s="701">
        <f>U204*(1+V204+W204+X204+Y204+Z204)</f>
        <v>162139.5</v>
      </c>
      <c r="AC204" t="inlineStr">
        <is>
          <t>TDD Cyber</t>
        </is>
      </c>
      <c r="AD204" t="inlineStr">
        <is>
          <t>TDD Cyber, Risk &amp; Service Ops</t>
        </is>
      </c>
      <c r="AE204" t="inlineStr">
        <is>
          <t>TDD Cyber</t>
        </is>
      </c>
      <c r="AF204" t="inlineStr">
        <is>
          <t>Squad</t>
        </is>
      </c>
      <c r="AG204" t="inlineStr">
        <is>
          <t>Filled</t>
        </is>
      </c>
    </row>
    <row r="205" hidden="1" ht="18" customHeight="1" s="506">
      <c r="A205" s="259" t="n">
        <v>98823</v>
      </c>
      <c r="B205" s="224" t="inlineStr">
        <is>
          <t>Brian Gates</t>
        </is>
      </c>
      <c r="C205" s="317" t="inlineStr">
        <is>
          <t>Manager Risk &amp; Resilience</t>
        </is>
      </c>
      <c r="D205" s="224" t="inlineStr">
        <is>
          <t>Frances Bouzo</t>
        </is>
      </c>
      <c r="E205" s="224" t="inlineStr">
        <is>
          <t xml:space="preserve">CISO </t>
        </is>
      </c>
      <c r="F205" s="224" t="inlineStr">
        <is>
          <t>Cyber, Risk &amp; Operations</t>
        </is>
      </c>
      <c r="G205" s="318" t="inlineStr">
        <is>
          <t>Cyber Risk</t>
        </is>
      </c>
      <c r="H205" s="224" t="inlineStr">
        <is>
          <t xml:space="preserve">Risk &amp; Resilience </t>
        </is>
      </c>
      <c r="I205" s="224" t="inlineStr">
        <is>
          <t>NA</t>
        </is>
      </c>
      <c r="J205" s="224" t="inlineStr">
        <is>
          <t>NA</t>
        </is>
      </c>
      <c r="K205" s="224" t="inlineStr">
        <is>
          <t>NA</t>
        </is>
      </c>
      <c r="L205" s="224" t="n"/>
      <c r="M205" s="319" t="inlineStr">
        <is>
          <t>Australia</t>
        </is>
      </c>
      <c r="N205" s="320" t="inlineStr">
        <is>
          <t>CSB</t>
        </is>
      </c>
      <c r="O205" s="320" t="n">
        <v>1</v>
      </c>
      <c r="P205" s="320" t="n"/>
      <c r="Q205" s="320" t="inlineStr">
        <is>
          <t>Permanent - Full Time</t>
        </is>
      </c>
      <c r="R205" s="322" t="n"/>
      <c r="S205" s="322" t="n"/>
      <c r="T205" s="334" t="n">
        <v>211840</v>
      </c>
      <c r="U205" s="705" t="n">
        <v>211840</v>
      </c>
      <c r="V205" s="325" t="n">
        <v>0.14</v>
      </c>
      <c r="W205" s="702" t="n">
        <v>0.055</v>
      </c>
      <c r="X205" s="702" t="n">
        <v>0.12</v>
      </c>
      <c r="Y205" s="703" t="n"/>
      <c r="Z205" s="702" t="n">
        <v>0.04</v>
      </c>
      <c r="AA205" s="701">
        <f>U205*(1+V205+W205+X205+Y205+Z205)</f>
        <v>287043.2</v>
      </c>
      <c r="AC205" t="inlineStr">
        <is>
          <t>TDD Cyber</t>
        </is>
      </c>
      <c r="AD205" t="inlineStr">
        <is>
          <t>TDD Cyber, Risk &amp; Service Ops</t>
        </is>
      </c>
      <c r="AE205" t="inlineStr">
        <is>
          <t>TDD Cyber</t>
        </is>
      </c>
      <c r="AF205" t="inlineStr">
        <is>
          <t>Squad</t>
        </is>
      </c>
      <c r="AG205" t="inlineStr">
        <is>
          <t>Filled</t>
        </is>
      </c>
    </row>
    <row r="206" hidden="1" ht="18" customHeight="1" s="506">
      <c r="A206" s="259" t="n">
        <v>86962</v>
      </c>
      <c r="B206" s="224" t="inlineStr">
        <is>
          <t>Cameron Watman</t>
        </is>
      </c>
      <c r="C206" s="317" t="inlineStr">
        <is>
          <t>Engineer - IDAM</t>
        </is>
      </c>
      <c r="D206" s="224" t="inlineStr">
        <is>
          <t>Joe Nahma</t>
        </is>
      </c>
      <c r="E206" s="224" t="inlineStr">
        <is>
          <t xml:space="preserve">Head of Cyber Strategy &amp; Technology </t>
        </is>
      </c>
      <c r="F206" s="224" t="inlineStr">
        <is>
          <t>Cyber, Risk &amp; Operations</t>
        </is>
      </c>
      <c r="G206" s="318" t="inlineStr">
        <is>
          <t>Cyber Strat &amp; Tech</t>
        </is>
      </c>
      <c r="H206" s="318" t="inlineStr">
        <is>
          <t xml:space="preserve">Identity &amp; Access Management </t>
        </is>
      </c>
      <c r="I206" s="224" t="inlineStr">
        <is>
          <t>NA</t>
        </is>
      </c>
      <c r="J206" s="224" t="inlineStr">
        <is>
          <t>NA</t>
        </is>
      </c>
      <c r="K206" s="224" t="inlineStr">
        <is>
          <t>NA</t>
        </is>
      </c>
      <c r="L206" s="224" t="n"/>
      <c r="M206" s="319" t="inlineStr">
        <is>
          <t>Australia</t>
        </is>
      </c>
      <c r="N206" s="322" t="inlineStr">
        <is>
          <t>CIA</t>
        </is>
      </c>
      <c r="O206" s="322" t="n">
        <v>1</v>
      </c>
      <c r="P206" s="322" t="n"/>
      <c r="Q206" s="322" t="inlineStr">
        <is>
          <t>Permanent - Full Time</t>
        </is>
      </c>
      <c r="R206" s="322" t="n"/>
      <c r="S206" s="322" t="n"/>
      <c r="T206" s="334" t="n">
        <v>131660</v>
      </c>
      <c r="U206" s="705" t="n">
        <v>131660</v>
      </c>
      <c r="V206" s="325" t="n">
        <v>0.1</v>
      </c>
      <c r="W206" s="702" t="n">
        <v>0.055</v>
      </c>
      <c r="X206" s="702" t="n">
        <v>0.12</v>
      </c>
      <c r="Y206" s="703" t="n"/>
      <c r="Z206" s="702" t="n">
        <v>0.04</v>
      </c>
      <c r="AA206" s="701">
        <f>U206*(1+V206+W206+X206+Y206+Z206)</f>
        <v>173132.9</v>
      </c>
      <c r="AC206" t="inlineStr">
        <is>
          <t>TDD Cyber</t>
        </is>
      </c>
      <c r="AD206" t="inlineStr">
        <is>
          <t>TDD Cyber, Risk &amp; Service Ops</t>
        </is>
      </c>
      <c r="AE206" t="inlineStr">
        <is>
          <t>TDD Cyber</t>
        </is>
      </c>
      <c r="AF206" t="inlineStr">
        <is>
          <t>Squad</t>
        </is>
      </c>
      <c r="AG206" t="inlineStr">
        <is>
          <t>Filled</t>
        </is>
      </c>
    </row>
    <row r="207" hidden="1" ht="18" customHeight="1" s="506">
      <c r="A207" s="259" t="n">
        <v>106511</v>
      </c>
      <c r="B207" s="224" t="inlineStr">
        <is>
          <t>Catherine Gire</t>
        </is>
      </c>
      <c r="C207" s="317" t="inlineStr">
        <is>
          <t>Cyber Technical Business Analyst</t>
        </is>
      </c>
      <c r="D207" s="224" t="inlineStr">
        <is>
          <t>Vivienne Vasak</t>
        </is>
      </c>
      <c r="E207" s="224" t="inlineStr">
        <is>
          <t xml:space="preserve">Portfolio Manger Cyber Security </t>
        </is>
      </c>
      <c r="F207" s="224" t="inlineStr">
        <is>
          <t>Cyber, Risk &amp; Operations</t>
        </is>
      </c>
      <c r="G207" s="318" t="inlineStr">
        <is>
          <t>Cyber Strat &amp; Tech</t>
        </is>
      </c>
      <c r="H207" s="224" t="inlineStr">
        <is>
          <t>Cyber Security Uplift Program</t>
        </is>
      </c>
      <c r="I207" s="224" t="inlineStr">
        <is>
          <t>NA</t>
        </is>
      </c>
      <c r="J207" s="224" t="inlineStr">
        <is>
          <t>NA</t>
        </is>
      </c>
      <c r="K207" s="224" t="inlineStr">
        <is>
          <t>NA</t>
        </is>
      </c>
      <c r="L207" s="224" t="n"/>
      <c r="M207" s="319" t="inlineStr">
        <is>
          <t>Australia</t>
        </is>
      </c>
      <c r="N207" s="320" t="inlineStr">
        <is>
          <t>CIB</t>
        </is>
      </c>
      <c r="O207" s="320" t="n">
        <v>1</v>
      </c>
      <c r="P207" s="320" t="n"/>
      <c r="Q207" s="320" t="inlineStr">
        <is>
          <t>Permanent - Full Time</t>
        </is>
      </c>
      <c r="R207" s="322" t="n"/>
      <c r="S207" s="322" t="n"/>
      <c r="T207" s="334" t="n">
        <v>170160</v>
      </c>
      <c r="U207" s="705" t="n">
        <v>170160</v>
      </c>
      <c r="V207" s="325" t="n">
        <v>0.12</v>
      </c>
      <c r="W207" s="702" t="n">
        <v>0.055</v>
      </c>
      <c r="X207" s="702" t="n">
        <v>0.12</v>
      </c>
      <c r="Y207" s="703" t="n"/>
      <c r="Z207" s="702" t="n">
        <v>0.04</v>
      </c>
      <c r="AA207" s="701">
        <f>U207*(1+V207+W207+X207+Y207+Z207)</f>
        <v>227163.6</v>
      </c>
      <c r="AC207" t="inlineStr">
        <is>
          <t>TDD Cyber</t>
        </is>
      </c>
      <c r="AD207" t="inlineStr">
        <is>
          <t>TDD Cyber, Risk &amp; Service Ops</t>
        </is>
      </c>
      <c r="AE207" t="inlineStr">
        <is>
          <t>TDD Cyber</t>
        </is>
      </c>
      <c r="AF207" t="inlineStr">
        <is>
          <t>Squad</t>
        </is>
      </c>
      <c r="AG207" t="inlineStr">
        <is>
          <t>Filled</t>
        </is>
      </c>
    </row>
    <row r="208" hidden="1" ht="18" customHeight="1" s="506">
      <c r="A208" s="259" t="n">
        <v>102385</v>
      </c>
      <c r="B208" s="224" t="inlineStr">
        <is>
          <t>Chris Lyons</t>
        </is>
      </c>
      <c r="C208" s="317" t="inlineStr">
        <is>
          <t>Cyber Security Architect</t>
        </is>
      </c>
      <c r="D208" s="224" t="inlineStr">
        <is>
          <t>Kevin Sheerin</t>
        </is>
      </c>
      <c r="E208" s="224" t="inlineStr">
        <is>
          <t xml:space="preserve">Head of Cyber Strategy &amp; Technology </t>
        </is>
      </c>
      <c r="F208" s="224" t="inlineStr">
        <is>
          <t>Cyber, Risk &amp; Operations</t>
        </is>
      </c>
      <c r="G208" s="318" t="inlineStr">
        <is>
          <t>Cyber Strat &amp; Tech</t>
        </is>
      </c>
      <c r="H208" s="224" t="inlineStr">
        <is>
          <t>NA</t>
        </is>
      </c>
      <c r="I208" s="224" t="inlineStr">
        <is>
          <t>NA</t>
        </is>
      </c>
      <c r="J208" s="224" t="inlineStr">
        <is>
          <t>NA</t>
        </is>
      </c>
      <c r="K208" s="224" t="inlineStr">
        <is>
          <t>NA</t>
        </is>
      </c>
      <c r="L208" s="224" t="n"/>
      <c r="M208" s="319" t="inlineStr">
        <is>
          <t>Australia</t>
        </is>
      </c>
      <c r="N208" s="320" t="inlineStr">
        <is>
          <t>CIC</t>
        </is>
      </c>
      <c r="O208" s="320" t="n">
        <v>1</v>
      </c>
      <c r="P208" s="320" t="n"/>
      <c r="Q208" s="320" t="inlineStr">
        <is>
          <t>Permanent - Full Time</t>
        </is>
      </c>
      <c r="R208" s="322" t="n"/>
      <c r="S208" s="322" t="n"/>
      <c r="T208" s="334" t="n">
        <v>212250</v>
      </c>
      <c r="U208" s="705" t="n">
        <v>212250</v>
      </c>
      <c r="V208" s="325" t="n">
        <v>0.12</v>
      </c>
      <c r="W208" s="702" t="n">
        <v>0.055</v>
      </c>
      <c r="X208" s="702" t="n">
        <v>0.12</v>
      </c>
      <c r="Y208" s="703" t="n"/>
      <c r="Z208" s="702" t="n">
        <v>0.04</v>
      </c>
      <c r="AA208" s="701">
        <f>U208*(1+V208+W208+X208+Y208+Z208)</f>
        <v>283353.75</v>
      </c>
      <c r="AC208" t="inlineStr">
        <is>
          <t>TDD Cyber</t>
        </is>
      </c>
      <c r="AD208" t="inlineStr">
        <is>
          <t>TDD Cyber, Risk &amp; Service Ops</t>
        </is>
      </c>
      <c r="AE208" t="inlineStr">
        <is>
          <t>TDD Cyber</t>
        </is>
      </c>
      <c r="AF208" t="inlineStr">
        <is>
          <t>Squad</t>
        </is>
      </c>
      <c r="AG208" t="inlineStr">
        <is>
          <t>Filled</t>
        </is>
      </c>
    </row>
    <row r="209" hidden="1" ht="18" customHeight="1" s="506">
      <c r="A209" s="259" t="n">
        <v>84274</v>
      </c>
      <c r="B209" s="224" t="inlineStr">
        <is>
          <t>Chris Rojas</t>
        </is>
      </c>
      <c r="C209" s="317" t="inlineStr">
        <is>
          <t>Manager, Customer Support Operations</t>
        </is>
      </c>
      <c r="D209" s="224" t="inlineStr">
        <is>
          <t>Rajini Onteddu Reddy</t>
        </is>
      </c>
      <c r="E209" s="224" t="inlineStr">
        <is>
          <t xml:space="preserve">Manager Cyber Security Operations </t>
        </is>
      </c>
      <c r="F209" s="224" t="inlineStr">
        <is>
          <t>Cyber, Risk &amp; Operations</t>
        </is>
      </c>
      <c r="G209" s="318" t="inlineStr">
        <is>
          <t>Service Op &amp; Assurance</t>
        </is>
      </c>
      <c r="H209" s="224" t="inlineStr">
        <is>
          <t>NA</t>
        </is>
      </c>
      <c r="I209" s="224" t="inlineStr">
        <is>
          <t>NA</t>
        </is>
      </c>
      <c r="J209" s="224" t="inlineStr">
        <is>
          <t>NA</t>
        </is>
      </c>
      <c r="K209" s="224" t="inlineStr">
        <is>
          <t>NA</t>
        </is>
      </c>
      <c r="L209" s="224" t="n"/>
      <c r="M209" s="319" t="inlineStr">
        <is>
          <t>Australia</t>
        </is>
      </c>
      <c r="N209" s="322" t="inlineStr">
        <is>
          <t>CIC</t>
        </is>
      </c>
      <c r="O209" s="322" t="n">
        <v>1</v>
      </c>
      <c r="P209" s="322" t="n"/>
      <c r="Q209" s="322" t="inlineStr">
        <is>
          <t>Permanent - Full Time</t>
        </is>
      </c>
      <c r="R209" s="322" t="n"/>
      <c r="S209" s="322" t="n"/>
      <c r="T209" s="334" t="n">
        <v>182250</v>
      </c>
      <c r="U209" s="705" t="n">
        <v>182250</v>
      </c>
      <c r="V209" s="325" t="n">
        <v>0.12</v>
      </c>
      <c r="W209" s="702" t="n">
        <v>0.055</v>
      </c>
      <c r="X209" s="702" t="n">
        <v>0.12</v>
      </c>
      <c r="Y209" s="703" t="n"/>
      <c r="Z209" s="702" t="n">
        <v>0.04</v>
      </c>
      <c r="AA209" s="701">
        <f>U209*(1+V209+W209+X209+Y209+Z209)</f>
        <v>243303.75</v>
      </c>
      <c r="AC209" t="inlineStr">
        <is>
          <t>TDD Cyber</t>
        </is>
      </c>
      <c r="AD209" t="inlineStr">
        <is>
          <t>TDD Cyber, Risk &amp; Service Ops</t>
        </is>
      </c>
      <c r="AE209" t="inlineStr">
        <is>
          <t>TDD Cyber</t>
        </is>
      </c>
      <c r="AF209" t="inlineStr">
        <is>
          <t>Squad</t>
        </is>
      </c>
      <c r="AG209" t="inlineStr">
        <is>
          <t>Filled</t>
        </is>
      </c>
    </row>
    <row r="210" hidden="1" ht="18" customHeight="1" s="506">
      <c r="A210" s="259" t="n">
        <v>98924</v>
      </c>
      <c r="B210" s="224" t="inlineStr">
        <is>
          <t>Dan Balsamo</t>
        </is>
      </c>
      <c r="C210" s="317" t="inlineStr">
        <is>
          <t>Senior Cyber Project Manager</t>
        </is>
      </c>
      <c r="D210" s="224" t="inlineStr">
        <is>
          <t>Vivienne Vasak</t>
        </is>
      </c>
      <c r="E210" s="224" t="inlineStr">
        <is>
          <t xml:space="preserve">Head of Cyber Strategy &amp; Technology </t>
        </is>
      </c>
      <c r="F210" s="224" t="inlineStr">
        <is>
          <t>Cyber, Risk &amp; Operations</t>
        </is>
      </c>
      <c r="G210" s="318" t="inlineStr">
        <is>
          <t>Cyber Strat &amp; Tech</t>
        </is>
      </c>
      <c r="H210" t="inlineStr">
        <is>
          <t>NA</t>
        </is>
      </c>
      <c r="I210" s="224" t="inlineStr">
        <is>
          <t>NA</t>
        </is>
      </c>
      <c r="J210" s="224" t="inlineStr">
        <is>
          <t>NA</t>
        </is>
      </c>
      <c r="K210" s="224" t="inlineStr">
        <is>
          <t>NA</t>
        </is>
      </c>
      <c r="L210" s="224" t="n"/>
      <c r="M210" s="319" t="inlineStr">
        <is>
          <t>Australia</t>
        </is>
      </c>
      <c r="N210" s="320" t="inlineStr">
        <is>
          <t>CIC</t>
        </is>
      </c>
      <c r="O210" s="320" t="n">
        <v>1</v>
      </c>
      <c r="P210" s="320" t="n"/>
      <c r="Q210" s="320" t="inlineStr">
        <is>
          <t>Permanent - Full Time</t>
        </is>
      </c>
      <c r="R210" s="322" t="n"/>
      <c r="S210" s="322" t="n"/>
      <c r="T210" s="334" t="n">
        <v>193690</v>
      </c>
      <c r="U210" s="705" t="n">
        <v>193690</v>
      </c>
      <c r="V210" s="325" t="n">
        <v>0.12</v>
      </c>
      <c r="W210" s="702" t="n">
        <v>0.055</v>
      </c>
      <c r="X210" s="702" t="n">
        <v>0.12</v>
      </c>
      <c r="Y210" s="703" t="n"/>
      <c r="Z210" s="702" t="n">
        <v>0.04</v>
      </c>
      <c r="AA210" s="701">
        <f>U210*(1+V210+W210+X210+Y210+Z210)</f>
        <v>258576.15</v>
      </c>
      <c r="AC210" t="inlineStr">
        <is>
          <t>TDD Cyber</t>
        </is>
      </c>
      <c r="AD210" t="inlineStr">
        <is>
          <t>TDD Cyber, Risk &amp; Service Ops</t>
        </is>
      </c>
      <c r="AE210" t="inlineStr">
        <is>
          <t>TDD Cyber</t>
        </is>
      </c>
      <c r="AF210" t="inlineStr">
        <is>
          <t>Squad</t>
        </is>
      </c>
      <c r="AG210" t="inlineStr">
        <is>
          <t>Filled</t>
        </is>
      </c>
    </row>
    <row r="211" hidden="1" ht="18" customHeight="1" s="506">
      <c r="A211" s="259" t="n">
        <v>110204</v>
      </c>
      <c r="B211" s="224" t="inlineStr">
        <is>
          <t>Daniel Jolley</t>
        </is>
      </c>
      <c r="C211" s="317" t="inlineStr">
        <is>
          <t>Tech Support Technician</t>
        </is>
      </c>
      <c r="D211" s="224" t="inlineStr">
        <is>
          <t>Mark Pearson</t>
        </is>
      </c>
      <c r="E211" s="224" t="inlineStr">
        <is>
          <t xml:space="preserve">Lead Technology Support </t>
        </is>
      </c>
      <c r="F211" s="224" t="inlineStr">
        <is>
          <t>Cyber, Risk &amp; Operations</t>
        </is>
      </c>
      <c r="G211" s="318" t="inlineStr">
        <is>
          <t>Service Op &amp; Assurance</t>
        </is>
      </c>
      <c r="H211" t="inlineStr">
        <is>
          <t>NA</t>
        </is>
      </c>
      <c r="I211" s="224" t="inlineStr">
        <is>
          <t>NA</t>
        </is>
      </c>
      <c r="J211" s="224" t="inlineStr">
        <is>
          <t>NA</t>
        </is>
      </c>
      <c r="K211" s="224" t="inlineStr">
        <is>
          <t>NA</t>
        </is>
      </c>
      <c r="L211" s="224" t="n"/>
      <c r="M211" s="319" t="inlineStr">
        <is>
          <t>Australia</t>
        </is>
      </c>
      <c r="N211" s="320" t="inlineStr">
        <is>
          <t>CDC</t>
        </is>
      </c>
      <c r="O211" s="320" t="n">
        <v>1</v>
      </c>
      <c r="P211" s="320" t="n"/>
      <c r="Q211" s="320" t="inlineStr">
        <is>
          <t>Permanent - Full Time</t>
        </is>
      </c>
      <c r="R211" s="322" t="n"/>
      <c r="S211" s="322" t="n"/>
      <c r="T211" s="334" t="n">
        <v>88100</v>
      </c>
      <c r="U211" s="705" t="n">
        <v>88100</v>
      </c>
      <c r="V211" s="325" t="n">
        <v>0.1</v>
      </c>
      <c r="W211" s="702" t="n">
        <v>0.055</v>
      </c>
      <c r="X211" s="702" t="n">
        <v>0.12</v>
      </c>
      <c r="Y211" s="703" t="n"/>
      <c r="Z211" s="702" t="n">
        <v>0.04</v>
      </c>
      <c r="AA211" s="701">
        <f>U211*(1+V211+W211+X211+Y211+Z211)</f>
        <v>115851.5</v>
      </c>
      <c r="AC211" t="inlineStr">
        <is>
          <t>TDD Cyber</t>
        </is>
      </c>
      <c r="AD211" t="inlineStr">
        <is>
          <t>TDD Cyber, Risk &amp; Service Ops</t>
        </is>
      </c>
      <c r="AE211" t="inlineStr">
        <is>
          <t>TDD Cyber</t>
        </is>
      </c>
      <c r="AF211" t="inlineStr">
        <is>
          <t>Squad</t>
        </is>
      </c>
      <c r="AG211" t="inlineStr">
        <is>
          <t>Filled</t>
        </is>
      </c>
    </row>
    <row r="212" hidden="1" ht="18" customHeight="1" s="506">
      <c r="A212" s="259" t="n">
        <v>6307</v>
      </c>
      <c r="B212" s="224" t="inlineStr">
        <is>
          <t>Darren Koller</t>
        </is>
      </c>
      <c r="C212" s="317" t="inlineStr">
        <is>
          <t>Manager, Service Management &amp; Major Incident Mgmt Lead</t>
        </is>
      </c>
      <c r="D212" s="224" t="inlineStr">
        <is>
          <t>Rajini Onteddu Reddy</t>
        </is>
      </c>
      <c r="E212" s="224" t="inlineStr">
        <is>
          <t>Head of Service Operatoins &amp; Assurance</t>
        </is>
      </c>
      <c r="F212" s="224" t="inlineStr">
        <is>
          <t>Cyber, Risk &amp; Operations</t>
        </is>
      </c>
      <c r="G212" s="318" t="inlineStr">
        <is>
          <t>Service Op &amp; Assurance</t>
        </is>
      </c>
      <c r="H212" s="224" t="inlineStr">
        <is>
          <t>NA</t>
        </is>
      </c>
      <c r="I212" s="224" t="inlineStr">
        <is>
          <t>NA</t>
        </is>
      </c>
      <c r="J212" s="224" t="inlineStr">
        <is>
          <t>NA</t>
        </is>
      </c>
      <c r="K212" s="224" t="inlineStr">
        <is>
          <t>NA</t>
        </is>
      </c>
      <c r="L212" s="224" t="n"/>
      <c r="M212" s="319" t="inlineStr">
        <is>
          <t>Australia</t>
        </is>
      </c>
      <c r="N212" s="322" t="inlineStr">
        <is>
          <t>CIC</t>
        </is>
      </c>
      <c r="O212" s="322" t="n">
        <v>1</v>
      </c>
      <c r="P212" s="322" t="n"/>
      <c r="Q212" s="322" t="inlineStr">
        <is>
          <t>Permanent - Full Time</t>
        </is>
      </c>
      <c r="R212" s="322" t="n"/>
      <c r="S212" s="322" t="n"/>
      <c r="T212" s="334" t="n">
        <v>205950</v>
      </c>
      <c r="U212" s="705" t="n">
        <v>205950</v>
      </c>
      <c r="V212" s="325" t="n">
        <v>0.12</v>
      </c>
      <c r="W212" s="702" t="n">
        <v>0.055</v>
      </c>
      <c r="X212" s="702" t="n">
        <v>0.12</v>
      </c>
      <c r="Y212" s="703" t="n"/>
      <c r="Z212" s="702" t="n">
        <v>0.04</v>
      </c>
      <c r="AA212" s="701">
        <f>U212*(1+V212+W212+X212+Y212+Z212)</f>
        <v>274943.25</v>
      </c>
      <c r="AC212" t="inlineStr">
        <is>
          <t>TDD Cyber</t>
        </is>
      </c>
      <c r="AD212" t="inlineStr">
        <is>
          <t>TDD Cyber, Risk &amp; Service Ops</t>
        </is>
      </c>
      <c r="AE212" t="inlineStr">
        <is>
          <t>TDD Cyber</t>
        </is>
      </c>
      <c r="AF212" t="inlineStr">
        <is>
          <t>Squad</t>
        </is>
      </c>
      <c r="AG212" t="inlineStr">
        <is>
          <t>Filled</t>
        </is>
      </c>
    </row>
    <row r="213" hidden="1" ht="18" customHeight="1" s="506">
      <c r="A213" s="259" t="n">
        <v>99707</v>
      </c>
      <c r="B213" s="224" t="inlineStr">
        <is>
          <t>Darshan Suvama</t>
        </is>
      </c>
      <c r="C213" s="317" t="inlineStr">
        <is>
          <t>Cyber Offensive Security Lead</t>
        </is>
      </c>
      <c r="D213" s="224" t="inlineStr">
        <is>
          <t>Kevin Sheerin</t>
        </is>
      </c>
      <c r="E213" s="224" t="inlineStr">
        <is>
          <t>Cyber Architecture Lead</t>
        </is>
      </c>
      <c r="F213" s="224" t="inlineStr">
        <is>
          <t>Cyber, Risk &amp; Operations</t>
        </is>
      </c>
      <c r="G213" s="318" t="inlineStr">
        <is>
          <t>Cyber Strat &amp; Tech</t>
        </is>
      </c>
      <c r="H213" s="224" t="inlineStr">
        <is>
          <t>NA</t>
        </is>
      </c>
      <c r="I213" s="224" t="inlineStr">
        <is>
          <t>NA</t>
        </is>
      </c>
      <c r="J213" s="224" t="inlineStr">
        <is>
          <t>NA</t>
        </is>
      </c>
      <c r="K213" s="224" t="inlineStr">
        <is>
          <t>NA</t>
        </is>
      </c>
      <c r="L213" s="224" t="n"/>
      <c r="M213" s="319" t="inlineStr">
        <is>
          <t>Australia</t>
        </is>
      </c>
      <c r="N213" s="320" t="inlineStr">
        <is>
          <t>CIC</t>
        </is>
      </c>
      <c r="O213" s="320" t="n">
        <v>1</v>
      </c>
      <c r="P213" s="320" t="n"/>
      <c r="Q213" s="320" t="inlineStr">
        <is>
          <t>Permanent - Full Time</t>
        </is>
      </c>
      <c r="R213" s="322" t="n"/>
      <c r="S213" s="322" t="n"/>
      <c r="T213" s="334" t="n">
        <v>213740</v>
      </c>
      <c r="U213" s="705" t="n">
        <v>213740</v>
      </c>
      <c r="V213" s="325" t="n">
        <v>0.12</v>
      </c>
      <c r="W213" s="702" t="n">
        <v>0.055</v>
      </c>
      <c r="X213" s="702" t="n">
        <v>0.12</v>
      </c>
      <c r="Y213" s="703" t="n"/>
      <c r="Z213" s="702" t="n">
        <v>0.04</v>
      </c>
      <c r="AA213" s="701">
        <f>U213*(1+V213+W213+X213+Y213+Z213)</f>
        <v>285342.89999999997</v>
      </c>
      <c r="AC213" t="inlineStr">
        <is>
          <t>TDD Cyber</t>
        </is>
      </c>
      <c r="AD213" t="inlineStr">
        <is>
          <t>TDD Cyber, Risk &amp; Service Ops</t>
        </is>
      </c>
      <c r="AE213" t="inlineStr">
        <is>
          <t>TDD Cyber</t>
        </is>
      </c>
      <c r="AF213" t="inlineStr">
        <is>
          <t>Squad</t>
        </is>
      </c>
      <c r="AG213" t="inlineStr">
        <is>
          <t>Filled</t>
        </is>
      </c>
    </row>
    <row r="214" hidden="1" ht="18" customHeight="1" s="506">
      <c r="A214" s="259" t="n">
        <v>101700</v>
      </c>
      <c r="B214" s="224" t="inlineStr">
        <is>
          <t>Diya Thomas</t>
        </is>
      </c>
      <c r="C214" s="317" t="inlineStr">
        <is>
          <t>Manager Cyber Security GRC</t>
        </is>
      </c>
      <c r="D214" s="224" t="inlineStr">
        <is>
          <t>Frances Bouzo</t>
        </is>
      </c>
      <c r="E214" s="224" t="inlineStr">
        <is>
          <t xml:space="preserve">Manager Cyber Security Operations </t>
        </is>
      </c>
      <c r="F214" s="224" t="inlineStr">
        <is>
          <t>Cyber, Risk &amp; Operations</t>
        </is>
      </c>
      <c r="G214" s="318" t="inlineStr">
        <is>
          <t>Cyber GRC</t>
        </is>
      </c>
      <c r="H214" s="224" t="inlineStr">
        <is>
          <t>NA</t>
        </is>
      </c>
      <c r="I214" s="224" t="inlineStr">
        <is>
          <t>NA</t>
        </is>
      </c>
      <c r="J214" s="224" t="inlineStr">
        <is>
          <t>NA</t>
        </is>
      </c>
      <c r="K214" s="224" t="inlineStr">
        <is>
          <t>NA</t>
        </is>
      </c>
      <c r="L214" s="224" t="n"/>
      <c r="M214" s="319" t="inlineStr">
        <is>
          <t>Australia</t>
        </is>
      </c>
      <c r="N214" s="320" t="inlineStr">
        <is>
          <t>CSB</t>
        </is>
      </c>
      <c r="O214" s="320" t="n">
        <v>1</v>
      </c>
      <c r="P214" s="320" t="n"/>
      <c r="Q214" s="320" t="inlineStr">
        <is>
          <t>Permanent - Full Time</t>
        </is>
      </c>
      <c r="R214" s="322" t="n"/>
      <c r="S214" s="322" t="n"/>
      <c r="T214" s="334" t="n">
        <v>211840</v>
      </c>
      <c r="U214" s="699" t="n">
        <v>211840</v>
      </c>
      <c r="V214" s="361" t="n">
        <v>0.14</v>
      </c>
      <c r="W214" s="706" t="n">
        <v>0.055</v>
      </c>
      <c r="X214" s="706" t="n">
        <v>0.12</v>
      </c>
      <c r="Y214" s="707" t="n"/>
      <c r="Z214" s="706" t="n">
        <v>0.04</v>
      </c>
      <c r="AA214" s="708">
        <f>U214*(1+V214+W214+X214+Y214+Z214)</f>
        <v>287043.2</v>
      </c>
      <c r="AC214" t="inlineStr">
        <is>
          <t>TDD Cyber</t>
        </is>
      </c>
      <c r="AD214" t="inlineStr">
        <is>
          <t>TDD Cyber, Risk &amp; Service Ops</t>
        </is>
      </c>
      <c r="AE214" t="inlineStr">
        <is>
          <t>TDD Cyber</t>
        </is>
      </c>
      <c r="AF214" t="inlineStr">
        <is>
          <t>Squad</t>
        </is>
      </c>
      <c r="AG214" t="inlineStr">
        <is>
          <t>Filled</t>
        </is>
      </c>
    </row>
    <row r="215" hidden="1" ht="18" customHeight="1" s="506">
      <c r="A215" s="259" t="n">
        <v>99999102157</v>
      </c>
      <c r="B215" s="224" t="inlineStr">
        <is>
          <t>Ethan Lamhert (FT)</t>
        </is>
      </c>
      <c r="C215" s="317" t="inlineStr">
        <is>
          <t>Tech Support Technician</t>
        </is>
      </c>
      <c r="D215" s="224" t="inlineStr">
        <is>
          <t>Mark Pearson</t>
        </is>
      </c>
      <c r="E215" s="224" t="inlineStr">
        <is>
          <t xml:space="preserve">Lead Technology Support </t>
        </is>
      </c>
      <c r="F215" s="224" t="inlineStr">
        <is>
          <t>Cyber, Risk &amp; Operations</t>
        </is>
      </c>
      <c r="G215" s="318" t="inlineStr">
        <is>
          <t>Service Op &amp; Assurance</t>
        </is>
      </c>
      <c r="H215" s="224" t="inlineStr">
        <is>
          <t>NA</t>
        </is>
      </c>
      <c r="I215" s="224" t="inlineStr">
        <is>
          <t>NA</t>
        </is>
      </c>
      <c r="J215" s="224" t="inlineStr">
        <is>
          <t>NA</t>
        </is>
      </c>
      <c r="K215" s="224" t="inlineStr">
        <is>
          <t>NA</t>
        </is>
      </c>
      <c r="L215" s="224" t="n"/>
      <c r="M215" s="319" t="inlineStr">
        <is>
          <t>NZ</t>
        </is>
      </c>
      <c r="N215" s="320" t="inlineStr">
        <is>
          <t>CDB</t>
        </is>
      </c>
      <c r="O215" s="321" t="n">
        <v>1</v>
      </c>
      <c r="P215" s="320" t="n"/>
      <c r="Q215" s="321" t="inlineStr">
        <is>
          <t>Temporary - Full Time</t>
        </is>
      </c>
      <c r="R215" s="322" t="n"/>
      <c r="S215" s="322" t="n"/>
      <c r="T215" s="334" t="n">
        <v>80000</v>
      </c>
      <c r="U215" s="699" t="n">
        <v>73600</v>
      </c>
      <c r="V215" s="365" t="n">
        <v>0.1</v>
      </c>
      <c r="W215" s="345" t="n"/>
      <c r="X215" s="361" t="n">
        <v>0.05</v>
      </c>
      <c r="Y215" s="709" t="n">
        <v>2910</v>
      </c>
      <c r="Z215" s="361" t="n">
        <v>0.03</v>
      </c>
      <c r="AA215" s="708">
        <f>U215*(1+V215+X215+Z215)+Y215</f>
        <v>89758.00000000001</v>
      </c>
      <c r="AB215" t="n">
        <v>117353</v>
      </c>
      <c r="AC215" t="inlineStr">
        <is>
          <t>TDD Cyber</t>
        </is>
      </c>
      <c r="AD215" t="inlineStr">
        <is>
          <t>TDD Cyber, Risk &amp; Service Ops</t>
        </is>
      </c>
      <c r="AE215" t="inlineStr">
        <is>
          <t>TDD Cyber</t>
        </is>
      </c>
      <c r="AF215" t="inlineStr">
        <is>
          <t>Squad</t>
        </is>
      </c>
      <c r="AG215" t="inlineStr">
        <is>
          <t>Filled</t>
        </is>
      </c>
    </row>
    <row r="216" hidden="1" ht="18" customHeight="1" s="506">
      <c r="A216" s="259" t="n">
        <v>87951</v>
      </c>
      <c r="B216" s="224" t="inlineStr">
        <is>
          <t>Iwan Wibisono</t>
        </is>
      </c>
      <c r="C216" s="317" t="inlineStr">
        <is>
          <t>Engineer - IDAM</t>
        </is>
      </c>
      <c r="D216" s="224" t="inlineStr">
        <is>
          <t>Joe Nahma</t>
        </is>
      </c>
      <c r="E216" s="224" t="inlineStr">
        <is>
          <t xml:space="preserve">Lead Service Desk </t>
        </is>
      </c>
      <c r="F216" s="224" t="inlineStr">
        <is>
          <t>Cyber, Risk &amp; Operations</t>
        </is>
      </c>
      <c r="G216" s="318" t="inlineStr">
        <is>
          <t>Cyber Strat &amp; Tech</t>
        </is>
      </c>
      <c r="H216" s="224" t="inlineStr">
        <is>
          <t>NA</t>
        </is>
      </c>
      <c r="I216" s="224" t="inlineStr">
        <is>
          <t>NA</t>
        </is>
      </c>
      <c r="J216" s="224" t="inlineStr">
        <is>
          <t>NA</t>
        </is>
      </c>
      <c r="K216" s="224" t="inlineStr">
        <is>
          <t>NA</t>
        </is>
      </c>
      <c r="L216" s="224" t="n"/>
      <c r="M216" s="319" t="inlineStr">
        <is>
          <t>Australia</t>
        </is>
      </c>
      <c r="N216" s="322" t="inlineStr">
        <is>
          <t>CIB</t>
        </is>
      </c>
      <c r="O216" s="322" t="n">
        <v>1</v>
      </c>
      <c r="P216" s="322" t="n"/>
      <c r="Q216" s="322" t="inlineStr">
        <is>
          <t>Permanent - Full Time</t>
        </is>
      </c>
      <c r="R216" s="322" t="n"/>
      <c r="S216" s="322" t="n"/>
      <c r="T216" s="334" t="n">
        <v>161560</v>
      </c>
      <c r="U216" s="699" t="n">
        <v>161560</v>
      </c>
      <c r="V216" s="361" t="n">
        <v>0.12</v>
      </c>
      <c r="W216" s="706" t="n">
        <v>0.055</v>
      </c>
      <c r="X216" s="706" t="n">
        <v>0.12</v>
      </c>
      <c r="Y216" s="707" t="n"/>
      <c r="Z216" s="706" t="n">
        <v>0.04</v>
      </c>
      <c r="AA216" s="708">
        <f>U216*(1+V216+W216+X216+Y216+Z216)</f>
        <v>215682.6</v>
      </c>
      <c r="AC216" t="inlineStr">
        <is>
          <t>TDD Cyber</t>
        </is>
      </c>
      <c r="AD216" t="inlineStr">
        <is>
          <t>TDD Cyber, Risk &amp; Service Ops</t>
        </is>
      </c>
      <c r="AE216" t="inlineStr">
        <is>
          <t>TDD Cyber</t>
        </is>
      </c>
      <c r="AF216" t="inlineStr">
        <is>
          <t>Squad</t>
        </is>
      </c>
      <c r="AG216" t="inlineStr">
        <is>
          <t>Filled</t>
        </is>
      </c>
    </row>
    <row r="217" hidden="1" ht="18" customHeight="1" s="506">
      <c r="A217" s="259" t="n">
        <v>113382</v>
      </c>
      <c r="B217" s="224" t="inlineStr">
        <is>
          <t>Jack Jenkins</t>
        </is>
      </c>
      <c r="C217" s="317" t="inlineStr">
        <is>
          <t>Asset Analyst</t>
        </is>
      </c>
      <c r="D217" s="224" t="inlineStr">
        <is>
          <t>Vacant</t>
        </is>
      </c>
      <c r="E217" s="224" t="inlineStr">
        <is>
          <t>Lead – Asset &amp; Configuration (Vacant)</t>
        </is>
      </c>
      <c r="F217" s="224" t="inlineStr">
        <is>
          <t>Cyber, Risk &amp; Operations</t>
        </is>
      </c>
      <c r="G217" s="318" t="inlineStr">
        <is>
          <t>Service Op &amp; Assurance</t>
        </is>
      </c>
      <c r="H217" s="224" t="inlineStr">
        <is>
          <t>NA</t>
        </is>
      </c>
      <c r="I217" s="224" t="inlineStr">
        <is>
          <t>NA</t>
        </is>
      </c>
      <c r="J217" s="224" t="inlineStr">
        <is>
          <t>NA</t>
        </is>
      </c>
      <c r="K217" s="224" t="inlineStr">
        <is>
          <t>NA</t>
        </is>
      </c>
      <c r="L217" s="224" t="n"/>
      <c r="M217" s="319" t="inlineStr">
        <is>
          <t>Australia</t>
        </is>
      </c>
      <c r="N217" s="320" t="inlineStr">
        <is>
          <t>CIA</t>
        </is>
      </c>
      <c r="O217" s="320" t="n">
        <v>1</v>
      </c>
      <c r="P217" s="320" t="n"/>
      <c r="Q217" s="320" t="inlineStr">
        <is>
          <t>Permanent - Full Time</t>
        </is>
      </c>
      <c r="R217" s="322" t="n"/>
      <c r="S217" s="322" t="n"/>
      <c r="T217" s="334" t="n">
        <v>105710</v>
      </c>
      <c r="U217" s="705" t="n">
        <v>105710</v>
      </c>
      <c r="V217" s="325" t="n">
        <v>0.1</v>
      </c>
      <c r="W217" s="702" t="n">
        <v>0.055</v>
      </c>
      <c r="X217" s="702" t="n">
        <v>0.12</v>
      </c>
      <c r="Y217" s="703" t="n"/>
      <c r="Z217" s="702" t="n">
        <v>0.04</v>
      </c>
      <c r="AA217" s="701">
        <f>U217*(1+V217+W217+X217+Y217+Z217)</f>
        <v>139008.65</v>
      </c>
      <c r="AC217" t="inlineStr">
        <is>
          <t>TDD Cyber</t>
        </is>
      </c>
      <c r="AD217" t="inlineStr">
        <is>
          <t>TDD Cyber, Risk &amp; Service Ops</t>
        </is>
      </c>
      <c r="AE217" t="inlineStr">
        <is>
          <t>TDD Cyber</t>
        </is>
      </c>
      <c r="AF217" t="inlineStr">
        <is>
          <t>Squad</t>
        </is>
      </c>
      <c r="AG217" t="inlineStr">
        <is>
          <t>Filled</t>
        </is>
      </c>
    </row>
    <row r="218" hidden="1" ht="18" customHeight="1" s="506">
      <c r="A218" s="259" t="n">
        <v>100825</v>
      </c>
      <c r="B218" s="224" t="inlineStr">
        <is>
          <t>James Byrne</t>
        </is>
      </c>
      <c r="C218" s="317" t="inlineStr">
        <is>
          <t>Head of Cyber Strategy &amp; Technology</t>
        </is>
      </c>
      <c r="D218" s="224" t="inlineStr">
        <is>
          <t>Frances Bouzo</t>
        </is>
      </c>
      <c r="E218" s="224" t="inlineStr">
        <is>
          <t xml:space="preserve">Manager Customer Support Operations </t>
        </is>
      </c>
      <c r="F218" s="224" t="inlineStr">
        <is>
          <t>Cyber, Risk &amp; Operations</t>
        </is>
      </c>
      <c r="G218" s="318" t="inlineStr">
        <is>
          <t>Cyber Strat &amp; Tech</t>
        </is>
      </c>
      <c r="H218" s="224" t="inlineStr">
        <is>
          <t>NA</t>
        </is>
      </c>
      <c r="I218" s="224" t="inlineStr">
        <is>
          <t>NA</t>
        </is>
      </c>
      <c r="J218" s="224" t="inlineStr">
        <is>
          <t>NA</t>
        </is>
      </c>
      <c r="K218" s="224" t="inlineStr">
        <is>
          <t>NA</t>
        </is>
      </c>
      <c r="L218" s="224" t="n"/>
      <c r="M218" s="319" t="inlineStr">
        <is>
          <t>Australia</t>
        </is>
      </c>
      <c r="N218" s="320" t="inlineStr">
        <is>
          <t>CSC</t>
        </is>
      </c>
      <c r="O218" s="320" t="n">
        <v>1</v>
      </c>
      <c r="P218" s="320" t="n"/>
      <c r="Q218" s="320" t="inlineStr">
        <is>
          <t>Permanent - Full Time</t>
        </is>
      </c>
      <c r="R218" s="322" t="n"/>
      <c r="S218" s="322" t="n"/>
      <c r="T218" s="334" t="n">
        <v>270380</v>
      </c>
      <c r="U218" s="705" t="n">
        <v>270380</v>
      </c>
      <c r="V218" s="325" t="n">
        <v>0.2</v>
      </c>
      <c r="W218" s="718" t="n">
        <v>0.055</v>
      </c>
      <c r="X218" s="718" t="n">
        <v>0.12</v>
      </c>
      <c r="Y218" s="719" t="n"/>
      <c r="Z218" s="718" t="n">
        <v>0.04</v>
      </c>
      <c r="AA218" s="701">
        <f>U218*(1+V218+W218+X218+Y218+Z218)</f>
        <v>382587.7</v>
      </c>
      <c r="AC218" t="inlineStr">
        <is>
          <t>TDD Cyber</t>
        </is>
      </c>
      <c r="AD218" t="inlineStr">
        <is>
          <t>TDD Cyber, Risk &amp; Service Ops</t>
        </is>
      </c>
      <c r="AE218" t="inlineStr">
        <is>
          <t>TDD Cyber</t>
        </is>
      </c>
      <c r="AF218" t="inlineStr">
        <is>
          <t>Squad</t>
        </is>
      </c>
      <c r="AG218" t="inlineStr">
        <is>
          <t>Filled</t>
        </is>
      </c>
    </row>
    <row r="219" hidden="1" ht="18" customHeight="1" s="506">
      <c r="A219" s="259" t="n">
        <v>108727</v>
      </c>
      <c r="B219" s="224" t="inlineStr">
        <is>
          <t>Jas Mann</t>
        </is>
      </c>
      <c r="C219" s="317" t="inlineStr">
        <is>
          <t>Technology Support Engineer</t>
        </is>
      </c>
      <c r="D219" s="224" t="inlineStr">
        <is>
          <t>Mark Pearson</t>
        </is>
      </c>
      <c r="E219" s="224" t="inlineStr">
        <is>
          <t xml:space="preserve">Lead Technology Support </t>
        </is>
      </c>
      <c r="F219" s="224" t="inlineStr">
        <is>
          <t>Cyber, Risk &amp; Operations</t>
        </is>
      </c>
      <c r="G219" s="318" t="inlineStr">
        <is>
          <t>Service Op &amp; Assurance</t>
        </is>
      </c>
      <c r="H219" s="224" t="inlineStr">
        <is>
          <t>NA</t>
        </is>
      </c>
      <c r="I219" s="224" t="inlineStr">
        <is>
          <t>NA</t>
        </is>
      </c>
      <c r="J219" s="224" t="inlineStr">
        <is>
          <t>NA</t>
        </is>
      </c>
      <c r="K219" s="224" t="inlineStr">
        <is>
          <t>NA</t>
        </is>
      </c>
      <c r="L219" s="224" t="n"/>
      <c r="M219" s="319" t="inlineStr">
        <is>
          <t>Australia</t>
        </is>
      </c>
      <c r="N219" s="320" t="inlineStr">
        <is>
          <t>CIA</t>
        </is>
      </c>
      <c r="O219" s="320" t="n">
        <v>1</v>
      </c>
      <c r="P219" s="320" t="n"/>
      <c r="Q219" s="320" t="inlineStr">
        <is>
          <t>Permanent - Full Time</t>
        </is>
      </c>
      <c r="R219" s="322" t="n"/>
      <c r="S219" s="322" t="n"/>
      <c r="T219" s="334" t="n">
        <v>111700</v>
      </c>
      <c r="U219" s="705" t="n">
        <v>111700</v>
      </c>
      <c r="V219" s="325" t="n">
        <v>0.1</v>
      </c>
      <c r="W219" s="702" t="n">
        <v>0.055</v>
      </c>
      <c r="X219" s="702" t="n">
        <v>0.12</v>
      </c>
      <c r="Y219" s="703" t="n"/>
      <c r="Z219" s="702" t="n">
        <v>0.04</v>
      </c>
      <c r="AA219" s="701">
        <f>U219*(1+V219+W219+X219+Y219+Z219)</f>
        <v>146885.5</v>
      </c>
      <c r="AC219" t="inlineStr">
        <is>
          <t>TDD Cyber</t>
        </is>
      </c>
      <c r="AD219" t="inlineStr">
        <is>
          <t>TDD Cyber, Risk &amp; Service Ops</t>
        </is>
      </c>
      <c r="AE219" t="inlineStr">
        <is>
          <t>TDD Cyber</t>
        </is>
      </c>
      <c r="AF219" t="inlineStr">
        <is>
          <t>Squad</t>
        </is>
      </c>
      <c r="AG219" t="inlineStr">
        <is>
          <t>Filled</t>
        </is>
      </c>
    </row>
    <row r="220" hidden="1" ht="18" customHeight="1" s="506">
      <c r="A220" s="259" t="n">
        <v>108809</v>
      </c>
      <c r="B220" s="224" t="inlineStr">
        <is>
          <t>Joe Nahma</t>
        </is>
      </c>
      <c r="C220" s="317" t="inlineStr">
        <is>
          <t>Manager Identity &amp; Access Management</t>
        </is>
      </c>
      <c r="D220" s="224" t="inlineStr">
        <is>
          <t>James Byrne</t>
        </is>
      </c>
      <c r="E220" s="224" t="inlineStr">
        <is>
          <t>Manager Cyber Security GRC</t>
        </is>
      </c>
      <c r="F220" s="224" t="inlineStr">
        <is>
          <t>Cyber, Risk &amp; Operations</t>
        </is>
      </c>
      <c r="G220" s="318" t="inlineStr">
        <is>
          <t>Cyber Strat &amp; Tech</t>
        </is>
      </c>
      <c r="H220" s="224" t="inlineStr">
        <is>
          <t>NA</t>
        </is>
      </c>
      <c r="I220" s="224" t="inlineStr">
        <is>
          <t>NA</t>
        </is>
      </c>
      <c r="J220" s="224" t="inlineStr">
        <is>
          <t>NA</t>
        </is>
      </c>
      <c r="K220" s="224" t="inlineStr">
        <is>
          <t>NA</t>
        </is>
      </c>
      <c r="L220" s="224" t="n"/>
      <c r="M220" s="319" t="inlineStr">
        <is>
          <t>Australia</t>
        </is>
      </c>
      <c r="N220" s="320" t="inlineStr">
        <is>
          <t>CIC</t>
        </is>
      </c>
      <c r="O220" s="320" t="n">
        <v>1</v>
      </c>
      <c r="P220" s="320" t="n"/>
      <c r="Q220" s="320" t="inlineStr">
        <is>
          <t>Permanent - Full Time</t>
        </is>
      </c>
      <c r="R220" s="322" t="n"/>
      <c r="S220" s="322" t="n"/>
      <c r="T220" s="334" t="n">
        <v>193790</v>
      </c>
      <c r="U220" s="705" t="n">
        <v>193790</v>
      </c>
      <c r="V220" s="325" t="n">
        <v>0.12</v>
      </c>
      <c r="W220" s="702" t="n">
        <v>0.055</v>
      </c>
      <c r="X220" s="702" t="n">
        <v>0.12</v>
      </c>
      <c r="Y220" s="703" t="n"/>
      <c r="Z220" s="702" t="n">
        <v>0.04</v>
      </c>
      <c r="AA220" s="701">
        <f>U220*(1+V220+W220+X220+Y220+Z220)</f>
        <v>258709.65</v>
      </c>
      <c r="AC220" t="inlineStr">
        <is>
          <t>TDD Cyber</t>
        </is>
      </c>
      <c r="AD220" t="inlineStr">
        <is>
          <t>TDD Cyber, Risk &amp; Service Ops</t>
        </is>
      </c>
      <c r="AE220" t="inlineStr">
        <is>
          <t>TDD Cyber</t>
        </is>
      </c>
      <c r="AF220" t="inlineStr">
        <is>
          <t>Squad</t>
        </is>
      </c>
      <c r="AG220" t="inlineStr">
        <is>
          <t>Filled</t>
        </is>
      </c>
    </row>
    <row r="221" hidden="1" ht="18" customHeight="1" s="506">
      <c r="A221" s="259" t="n">
        <v>114354</v>
      </c>
      <c r="B221" s="224" t="inlineStr">
        <is>
          <t>Kaaviya Salai Manimudian</t>
        </is>
      </c>
      <c r="C221" s="317" t="inlineStr">
        <is>
          <t>Graduate</t>
        </is>
      </c>
      <c r="D221" s="224" t="inlineStr">
        <is>
          <t>Lynda Niewidok</t>
        </is>
      </c>
      <c r="E221" s="224" t="inlineStr">
        <is>
          <t xml:space="preserve">Manager Customer Support Operations </t>
        </is>
      </c>
      <c r="F221" s="224" t="inlineStr">
        <is>
          <t>Cyber, Risk &amp; Operations</t>
        </is>
      </c>
      <c r="G221" s="318" t="inlineStr">
        <is>
          <t>Service Op &amp; Assurance</t>
        </is>
      </c>
      <c r="H221" s="224" t="inlineStr">
        <is>
          <t>NA</t>
        </is>
      </c>
      <c r="I221" s="224" t="inlineStr">
        <is>
          <t>NA</t>
        </is>
      </c>
      <c r="J221" s="224" t="inlineStr">
        <is>
          <t>NA</t>
        </is>
      </c>
      <c r="K221" s="224" t="inlineStr">
        <is>
          <t>NA</t>
        </is>
      </c>
      <c r="L221" s="224" t="n"/>
      <c r="M221" s="319" t="inlineStr">
        <is>
          <t>Australia</t>
        </is>
      </c>
      <c r="N221" s="320" t="inlineStr">
        <is>
          <t>CDB</t>
        </is>
      </c>
      <c r="O221" s="320" t="n">
        <v>1</v>
      </c>
      <c r="P221" s="320" t="n"/>
      <c r="Q221" s="320" t="inlineStr">
        <is>
          <t>Permanent - Full Time</t>
        </is>
      </c>
      <c r="R221" s="322" t="n"/>
      <c r="S221" s="322" t="n"/>
      <c r="T221" s="334" t="n">
        <v>85000</v>
      </c>
      <c r="U221" s="705" t="n">
        <v>85000</v>
      </c>
      <c r="V221" s="325" t="n">
        <v>0.08</v>
      </c>
      <c r="W221" s="702" t="n">
        <v>0.055</v>
      </c>
      <c r="X221" s="702" t="n">
        <v>0.12</v>
      </c>
      <c r="Y221" s="703" t="n"/>
      <c r="Z221" s="702" t="n">
        <v>0.04</v>
      </c>
      <c r="AA221" s="701">
        <f>U221*(1+V221+W221+X221+Y221+Z221)</f>
        <v>110075.0</v>
      </c>
      <c r="AC221" t="inlineStr">
        <is>
          <t>TDD Cyber</t>
        </is>
      </c>
      <c r="AD221" t="inlineStr">
        <is>
          <t>TDD Cyber, Risk &amp; Service Ops</t>
        </is>
      </c>
      <c r="AE221" t="inlineStr">
        <is>
          <t>TDD Cyber</t>
        </is>
      </c>
      <c r="AF221" t="inlineStr">
        <is>
          <t>Squad</t>
        </is>
      </c>
      <c r="AG221" t="inlineStr">
        <is>
          <t>Filled</t>
        </is>
      </c>
    </row>
    <row r="222" hidden="1" ht="18" customHeight="1" s="506">
      <c r="A222" s="259" t="n">
        <v>97592</v>
      </c>
      <c r="B222" s="224" t="inlineStr">
        <is>
          <t>Kevin Sheerin</t>
        </is>
      </c>
      <c r="C222" s="317" t="inlineStr">
        <is>
          <t>Cyber Architecture Lead</t>
        </is>
      </c>
      <c r="D222" s="224" t="inlineStr">
        <is>
          <t>James Byrne</t>
        </is>
      </c>
      <c r="E222" s="224" t="n"/>
      <c r="F222" s="224" t="inlineStr">
        <is>
          <t>Cyber, Risk &amp; Operations</t>
        </is>
      </c>
      <c r="G222" s="318" t="inlineStr">
        <is>
          <t>Cyber Strat &amp; Tech</t>
        </is>
      </c>
      <c r="H222" s="224" t="inlineStr">
        <is>
          <t>NA</t>
        </is>
      </c>
      <c r="I222" s="224" t="inlineStr">
        <is>
          <t>NA</t>
        </is>
      </c>
      <c r="J222" s="224" t="inlineStr">
        <is>
          <t>NA</t>
        </is>
      </c>
      <c r="K222" s="224" t="inlineStr">
        <is>
          <t>NA</t>
        </is>
      </c>
      <c r="L222" s="224" t="n"/>
      <c r="M222" s="319" t="inlineStr">
        <is>
          <t>Australia</t>
        </is>
      </c>
      <c r="N222" s="320" t="inlineStr">
        <is>
          <t>CIC</t>
        </is>
      </c>
      <c r="O222" s="320" t="n">
        <v>1</v>
      </c>
      <c r="P222" s="320" t="n"/>
      <c r="Q222" s="320" t="inlineStr">
        <is>
          <t>Permanent - Full Time</t>
        </is>
      </c>
      <c r="R222" s="322" t="n"/>
      <c r="S222" s="322" t="n"/>
      <c r="T222" s="334" t="n">
        <v>213470</v>
      </c>
      <c r="U222" s="705" t="n">
        <v>213470</v>
      </c>
      <c r="V222" s="325" t="n">
        <v>0.12</v>
      </c>
      <c r="W222" s="702" t="n">
        <v>0.055</v>
      </c>
      <c r="X222" s="702" t="n">
        <v>0.12</v>
      </c>
      <c r="Y222" s="703" t="n"/>
      <c r="Z222" s="702" t="n">
        <v>0.04</v>
      </c>
      <c r="AA222" s="701">
        <f>U222*(1+V222+W222+X222+Y222+Z222)</f>
        <v>284982.45</v>
      </c>
      <c r="AC222" t="inlineStr">
        <is>
          <t>TDD Cyber</t>
        </is>
      </c>
      <c r="AD222" t="inlineStr">
        <is>
          <t>TDD Cyber, Risk &amp; Service Ops</t>
        </is>
      </c>
      <c r="AE222" t="inlineStr">
        <is>
          <t>TDD Cyber</t>
        </is>
      </c>
      <c r="AF222" t="inlineStr">
        <is>
          <t>Squad</t>
        </is>
      </c>
      <c r="AG222" t="inlineStr">
        <is>
          <t>Filled</t>
        </is>
      </c>
    </row>
    <row r="223" hidden="1" ht="18" customHeight="1" s="506">
      <c r="A223" s="259" t="n">
        <v>99999101673</v>
      </c>
      <c r="B223" s="224" t="inlineStr">
        <is>
          <t>Lisa Ng</t>
        </is>
      </c>
      <c r="C223" s="317" t="inlineStr">
        <is>
          <t>Cyber Security Analyst</t>
        </is>
      </c>
      <c r="D223" s="224" t="inlineStr">
        <is>
          <t>Steven Atcheson</t>
        </is>
      </c>
      <c r="E223" s="224" t="n"/>
      <c r="F223" s="224" t="inlineStr">
        <is>
          <t>Cyber, Risk &amp; Operations</t>
        </is>
      </c>
      <c r="G223" s="318" t="inlineStr">
        <is>
          <t>Cyber Sec Ops</t>
        </is>
      </c>
      <c r="H223" s="224" t="inlineStr">
        <is>
          <t>NA</t>
        </is>
      </c>
      <c r="I223" s="224" t="inlineStr">
        <is>
          <t>NA</t>
        </is>
      </c>
      <c r="J223" s="224" t="inlineStr">
        <is>
          <t>NA</t>
        </is>
      </c>
      <c r="K223" s="224" t="inlineStr">
        <is>
          <t>NA</t>
        </is>
      </c>
      <c r="L223" s="224" t="n"/>
      <c r="M223" s="319" t="inlineStr">
        <is>
          <t>NZ</t>
        </is>
      </c>
      <c r="N223" s="320" t="inlineStr">
        <is>
          <t>CIA</t>
        </is>
      </c>
      <c r="O223" s="321" t="n">
        <v>0.8</v>
      </c>
      <c r="P223" s="320" t="n"/>
      <c r="Q223" s="321" t="inlineStr">
        <is>
          <t>Permanent - Part Time</t>
        </is>
      </c>
      <c r="R223" s="322" t="n"/>
      <c r="S223" s="322" t="n"/>
      <c r="T223" s="334" t="n">
        <v>128040</v>
      </c>
      <c r="U223" s="705" t="n">
        <v>117796.8</v>
      </c>
      <c r="V223" s="324" t="n">
        <v>0.15</v>
      </c>
      <c r="W223" s="322" t="n"/>
      <c r="X223" s="325" t="n">
        <v>0.05</v>
      </c>
      <c r="Y223" s="700" t="n">
        <v>2910</v>
      </c>
      <c r="Z223" s="325" t="n">
        <v>0.03</v>
      </c>
      <c r="AA223" s="701">
        <f>U223*(1+V223+X223+Z223)+Y223</f>
        <v>147800.064</v>
      </c>
      <c r="AB223" t="n">
        <v>113576</v>
      </c>
      <c r="AC223" t="inlineStr">
        <is>
          <t>TDD Cyber</t>
        </is>
      </c>
      <c r="AD223" t="inlineStr">
        <is>
          <t>TDD Cyber, Risk &amp; Service Ops</t>
        </is>
      </c>
      <c r="AE223" t="inlineStr">
        <is>
          <t>TDD Cyber</t>
        </is>
      </c>
      <c r="AF223" t="inlineStr">
        <is>
          <t>Squad</t>
        </is>
      </c>
      <c r="AG223" t="inlineStr">
        <is>
          <t>Filled</t>
        </is>
      </c>
    </row>
    <row r="224" hidden="1" ht="18" customHeight="1" s="506">
      <c r="A224" s="259" t="n">
        <v>96830</v>
      </c>
      <c r="B224" s="224" t="inlineStr">
        <is>
          <t>Lynda Niewidok</t>
        </is>
      </c>
      <c r="C224" s="317" t="inlineStr">
        <is>
          <t>Lead – Service Desk</t>
        </is>
      </c>
      <c r="D224" s="224" t="inlineStr">
        <is>
          <t>Chris Rojas</t>
        </is>
      </c>
      <c r="E224" s="224" t="inlineStr">
        <is>
          <t xml:space="preserve">CISO </t>
        </is>
      </c>
      <c r="F224" s="224" t="inlineStr">
        <is>
          <t>Cyber, Risk &amp; Operations</t>
        </is>
      </c>
      <c r="G224" s="318" t="inlineStr">
        <is>
          <t>Service Op &amp; Assurance</t>
        </is>
      </c>
      <c r="H224" s="224" t="inlineStr">
        <is>
          <t>NA</t>
        </is>
      </c>
      <c r="I224" s="224" t="inlineStr">
        <is>
          <t>NA</t>
        </is>
      </c>
      <c r="J224" s="224" t="inlineStr">
        <is>
          <t>NA</t>
        </is>
      </c>
      <c r="K224" s="224" t="inlineStr">
        <is>
          <t>NA</t>
        </is>
      </c>
      <c r="L224" s="224" t="n"/>
      <c r="M224" s="319" t="inlineStr">
        <is>
          <t>Australia</t>
        </is>
      </c>
      <c r="N224" s="320" t="inlineStr">
        <is>
          <t>CIB</t>
        </is>
      </c>
      <c r="O224" s="320" t="n">
        <v>1</v>
      </c>
      <c r="P224" s="320" t="n"/>
      <c r="Q224" s="320" t="inlineStr">
        <is>
          <t>Permanent - Full Time</t>
        </is>
      </c>
      <c r="R224" s="322" t="n"/>
      <c r="S224" s="322" t="n"/>
      <c r="T224" s="334" t="n">
        <v>152800</v>
      </c>
      <c r="U224" s="705" t="n">
        <v>152800</v>
      </c>
      <c r="V224" s="325" t="n">
        <v>0.12</v>
      </c>
      <c r="W224" s="702" t="n">
        <v>0.055</v>
      </c>
      <c r="X224" s="702" t="n">
        <v>0.12</v>
      </c>
      <c r="Y224" s="703" t="n"/>
      <c r="Z224" s="702" t="n">
        <v>0.04</v>
      </c>
      <c r="AA224" s="701">
        <f>U224*(1+V224+W224+X224+Y224+Z224)</f>
        <v>203988.0</v>
      </c>
      <c r="AC224" t="inlineStr">
        <is>
          <t>TDD Cyber</t>
        </is>
      </c>
      <c r="AD224" t="inlineStr">
        <is>
          <t>TDD Cyber, Risk &amp; Service Ops</t>
        </is>
      </c>
      <c r="AE224" t="inlineStr">
        <is>
          <t>TDD Cyber</t>
        </is>
      </c>
      <c r="AF224" t="inlineStr">
        <is>
          <t>Squad</t>
        </is>
      </c>
      <c r="AG224" t="inlineStr">
        <is>
          <t>Filled</t>
        </is>
      </c>
    </row>
    <row r="225" hidden="1" ht="18" customHeight="1" s="506">
      <c r="A225" s="259" t="n">
        <v>92681</v>
      </c>
      <c r="B225" s="224" t="inlineStr">
        <is>
          <t>Mark Pearson</t>
        </is>
      </c>
      <c r="C225" s="317" t="inlineStr">
        <is>
          <t>Lead – Technology Support</t>
        </is>
      </c>
      <c r="D225" s="224" t="inlineStr">
        <is>
          <t>Chris Rojas</t>
        </is>
      </c>
      <c r="E225" s="224" t="inlineStr">
        <is>
          <t xml:space="preserve">Manager Service Management &amp; Major Incident Management Lead </t>
        </is>
      </c>
      <c r="F225" s="224" t="inlineStr">
        <is>
          <t>Cyber, Risk &amp; Operations</t>
        </is>
      </c>
      <c r="G225" s="318" t="inlineStr">
        <is>
          <t>Service Op &amp; Assurance</t>
        </is>
      </c>
      <c r="H225" s="224" t="inlineStr">
        <is>
          <t>NA</t>
        </is>
      </c>
      <c r="I225" s="224" t="inlineStr">
        <is>
          <t>NA</t>
        </is>
      </c>
      <c r="J225" s="224" t="inlineStr">
        <is>
          <t>NA</t>
        </is>
      </c>
      <c r="K225" s="224" t="inlineStr">
        <is>
          <t>NA</t>
        </is>
      </c>
      <c r="L225" s="224" t="n"/>
      <c r="M225" s="319" t="inlineStr">
        <is>
          <t>Australia</t>
        </is>
      </c>
      <c r="N225" s="320" t="inlineStr">
        <is>
          <t>CIB</t>
        </is>
      </c>
      <c r="O225" s="320" t="n">
        <v>1</v>
      </c>
      <c r="P225" s="320" t="n"/>
      <c r="Q225" s="320" t="inlineStr">
        <is>
          <t>Permanent - Full Time</t>
        </is>
      </c>
      <c r="R225" s="322" t="n"/>
      <c r="S225" s="322" t="n"/>
      <c r="T225" s="334" t="n">
        <v>152690</v>
      </c>
      <c r="U225" s="705" t="n">
        <v>152690</v>
      </c>
      <c r="V225" s="325" t="n">
        <v>0.12</v>
      </c>
      <c r="W225" s="702" t="n">
        <v>0.055</v>
      </c>
      <c r="X225" s="702" t="n">
        <v>0.12</v>
      </c>
      <c r="Y225" s="703" t="n"/>
      <c r="Z225" s="702" t="n">
        <v>0.04</v>
      </c>
      <c r="AA225" s="701">
        <f>U225*(1+V225+W225+X225+Y225+Z225)</f>
        <v>203841.15</v>
      </c>
      <c r="AC225" t="inlineStr">
        <is>
          <t>TDD Cyber</t>
        </is>
      </c>
      <c r="AD225" t="inlineStr">
        <is>
          <t>TDD Cyber, Risk &amp; Service Ops</t>
        </is>
      </c>
      <c r="AE225" t="inlineStr">
        <is>
          <t>TDD Cyber</t>
        </is>
      </c>
      <c r="AF225" t="inlineStr">
        <is>
          <t>Squad</t>
        </is>
      </c>
      <c r="AG225" t="inlineStr">
        <is>
          <t>Filled</t>
        </is>
      </c>
    </row>
    <row r="226" hidden="1" ht="18" customHeight="1" s="506">
      <c r="A226" s="259" t="n">
        <v>90096</v>
      </c>
      <c r="B226" s="224" t="inlineStr">
        <is>
          <t>Mary-Grace Rivera</t>
        </is>
      </c>
      <c r="C226" s="317" t="inlineStr">
        <is>
          <t>Lead, Service Management</t>
        </is>
      </c>
      <c r="D226" s="395" t="inlineStr">
        <is>
          <t>Vacant</t>
        </is>
      </c>
      <c r="E226" s="224" t="inlineStr">
        <is>
          <t>Darren Koller</t>
        </is>
      </c>
      <c r="F226" s="224" t="inlineStr">
        <is>
          <t>Cyber, Risk &amp; Operations</t>
        </is>
      </c>
      <c r="G226" s="318" t="inlineStr">
        <is>
          <t>Service Op &amp; Assurance</t>
        </is>
      </c>
      <c r="H226" s="224" t="inlineStr">
        <is>
          <t>NA</t>
        </is>
      </c>
      <c r="I226" s="224" t="inlineStr">
        <is>
          <t>NA</t>
        </is>
      </c>
      <c r="J226" s="224" t="inlineStr">
        <is>
          <t>NA</t>
        </is>
      </c>
      <c r="K226" s="224" t="inlineStr">
        <is>
          <t>NA</t>
        </is>
      </c>
      <c r="L226" s="224" t="n"/>
      <c r="M226" s="319" t="inlineStr">
        <is>
          <t>Australia</t>
        </is>
      </c>
      <c r="N226" s="320" t="inlineStr">
        <is>
          <t>CIA</t>
        </is>
      </c>
      <c r="O226" s="320" t="n">
        <v>1</v>
      </c>
      <c r="P226" s="320" t="n"/>
      <c r="Q226" s="320" t="inlineStr">
        <is>
          <t>Permanent - Full Time</t>
        </is>
      </c>
      <c r="R226" s="322" t="n"/>
      <c r="S226" s="322" t="n"/>
      <c r="T226" s="334" t="n">
        <v>137620</v>
      </c>
      <c r="U226" s="705" t="n">
        <v>137620</v>
      </c>
      <c r="V226" s="325" t="n">
        <v>0.1</v>
      </c>
      <c r="W226" s="702" t="n">
        <v>0.055</v>
      </c>
      <c r="X226" s="702" t="n">
        <v>0.12</v>
      </c>
      <c r="Y226" s="703" t="n"/>
      <c r="Z226" s="702" t="n">
        <v>0.04</v>
      </c>
      <c r="AA226" s="701">
        <f>U226*(1+V226+W226+X226+Y226+Z226)</f>
        <v>180970.3</v>
      </c>
      <c r="AC226" t="inlineStr">
        <is>
          <t>TDD Cyber</t>
        </is>
      </c>
      <c r="AD226" t="inlineStr">
        <is>
          <t>TDD Cyber, Risk &amp; Service Ops</t>
        </is>
      </c>
      <c r="AE226" t="inlineStr">
        <is>
          <t>TDD Cyber</t>
        </is>
      </c>
      <c r="AF226" t="inlineStr">
        <is>
          <t>Squad</t>
        </is>
      </c>
      <c r="AG226" t="inlineStr">
        <is>
          <t>Filled</t>
        </is>
      </c>
    </row>
    <row r="227" hidden="1" ht="18" customHeight="1" s="506">
      <c r="A227" s="259" t="n">
        <v>113900</v>
      </c>
      <c r="B227" s="224" t="inlineStr">
        <is>
          <t>Mick Collins</t>
        </is>
      </c>
      <c r="C227" s="317" t="inlineStr">
        <is>
          <t>Manager, Service Performance &amp; Assurance</t>
        </is>
      </c>
      <c r="D227" s="224" t="inlineStr">
        <is>
          <t>Rajini Onteddu Reddy</t>
        </is>
      </c>
      <c r="E227" s="224" t="n"/>
      <c r="F227" s="224" t="inlineStr">
        <is>
          <t>Cyber, Risk &amp; Operations</t>
        </is>
      </c>
      <c r="G227" s="318" t="inlineStr">
        <is>
          <t>Service Op &amp; Assurance</t>
        </is>
      </c>
      <c r="H227" s="224" t="inlineStr">
        <is>
          <t>NA</t>
        </is>
      </c>
      <c r="I227" s="224" t="inlineStr">
        <is>
          <t>NA</t>
        </is>
      </c>
      <c r="J227" s="224" t="inlineStr">
        <is>
          <t>NA</t>
        </is>
      </c>
      <c r="K227" s="224" t="inlineStr">
        <is>
          <t>NA</t>
        </is>
      </c>
      <c r="L227" s="224" t="n"/>
      <c r="M227" s="319" t="inlineStr">
        <is>
          <t>Australia</t>
        </is>
      </c>
      <c r="N227" s="320" t="inlineStr">
        <is>
          <t>CSB</t>
        </is>
      </c>
      <c r="O227" s="320" t="n">
        <v>1</v>
      </c>
      <c r="P227" s="320" t="n"/>
      <c r="Q227" s="320" t="inlineStr">
        <is>
          <t>Permanent - Full Time</t>
        </is>
      </c>
      <c r="R227" s="322" t="n"/>
      <c r="S227" s="322" t="n"/>
      <c r="T227" s="334" t="n">
        <v>200790</v>
      </c>
      <c r="U227" s="705" t="n">
        <v>200790</v>
      </c>
      <c r="V227" s="325" t="n">
        <v>0.14</v>
      </c>
      <c r="W227" s="702" t="n">
        <v>0.055</v>
      </c>
      <c r="X227" s="702" t="n">
        <v>0.12</v>
      </c>
      <c r="Y227" s="703" t="n"/>
      <c r="Z227" s="702" t="n">
        <v>0.04</v>
      </c>
      <c r="AA227" s="701">
        <f>U227*(1+V227+W227+X227+Y227+Z227)</f>
        <v>272070.45</v>
      </c>
      <c r="AC227" t="inlineStr">
        <is>
          <t>TDD Cyber</t>
        </is>
      </c>
      <c r="AD227" t="inlineStr">
        <is>
          <t>TDD Cyber, Risk &amp; Service Ops</t>
        </is>
      </c>
      <c r="AE227" t="inlineStr">
        <is>
          <t>TDD Cyber</t>
        </is>
      </c>
      <c r="AF227" t="inlineStr">
        <is>
          <t>Squad</t>
        </is>
      </c>
      <c r="AG227" t="inlineStr">
        <is>
          <t>Filled</t>
        </is>
      </c>
    </row>
    <row r="228" hidden="1" ht="18" customHeight="1" s="506">
      <c r="A228" s="259" t="n">
        <v>97425</v>
      </c>
      <c r="B228" s="224" t="inlineStr">
        <is>
          <t>Nischal Bhusal</t>
        </is>
      </c>
      <c r="C228" s="317" t="inlineStr">
        <is>
          <t>Cyber Security Analyst</t>
        </is>
      </c>
      <c r="D228" s="224" t="inlineStr">
        <is>
          <t>Steven Atcheson</t>
        </is>
      </c>
      <c r="E228" s="224" t="n"/>
      <c r="F228" s="224" t="inlineStr">
        <is>
          <t>Cyber, Risk &amp; Operations</t>
        </is>
      </c>
      <c r="G228" s="318" t="inlineStr">
        <is>
          <t>Cyber Sec Ops</t>
        </is>
      </c>
      <c r="H228" s="224" t="inlineStr">
        <is>
          <t>NA</t>
        </is>
      </c>
      <c r="I228" s="224" t="inlineStr">
        <is>
          <t>NA</t>
        </is>
      </c>
      <c r="J228" s="224" t="inlineStr">
        <is>
          <t>NA</t>
        </is>
      </c>
      <c r="K228" s="224" t="inlineStr">
        <is>
          <t>NA</t>
        </is>
      </c>
      <c r="L228" s="224" t="n"/>
      <c r="M228" s="319" t="inlineStr">
        <is>
          <t>Australia</t>
        </is>
      </c>
      <c r="N228" s="320" t="inlineStr">
        <is>
          <t>CIB</t>
        </is>
      </c>
      <c r="O228" s="320" t="n">
        <v>1</v>
      </c>
      <c r="P228" s="320" t="n"/>
      <c r="Q228" s="320" t="inlineStr">
        <is>
          <t>Permanent - Full Time</t>
        </is>
      </c>
      <c r="R228" s="322" t="n"/>
      <c r="S228" s="322" t="n"/>
      <c r="T228" s="334" t="n">
        <v>161520</v>
      </c>
      <c r="U228" s="705" t="n">
        <v>161520</v>
      </c>
      <c r="V228" s="325" t="n">
        <v>0.12</v>
      </c>
      <c r="W228" s="702" t="n">
        <v>0.055</v>
      </c>
      <c r="X228" s="702" t="n">
        <v>0.12</v>
      </c>
      <c r="Y228" s="703" t="n"/>
      <c r="Z228" s="702" t="n">
        <v>0.04</v>
      </c>
      <c r="AA228" s="701">
        <f>U228*(1+V228+W228+X228+Y228+Z228)</f>
        <v>215629.19999999998</v>
      </c>
      <c r="AC228" t="inlineStr">
        <is>
          <t>TDD Cyber</t>
        </is>
      </c>
      <c r="AD228" t="inlineStr">
        <is>
          <t>TDD Cyber, Risk &amp; Service Ops</t>
        </is>
      </c>
      <c r="AE228" t="inlineStr">
        <is>
          <t>TDD Cyber</t>
        </is>
      </c>
      <c r="AF228" t="inlineStr">
        <is>
          <t>Squad</t>
        </is>
      </c>
      <c r="AG228" t="inlineStr">
        <is>
          <t>Filled</t>
        </is>
      </c>
    </row>
    <row r="229" hidden="1" ht="18" customHeight="1" s="506">
      <c r="A229" s="259" t="n">
        <v>109491</v>
      </c>
      <c r="B229" s="224" t="inlineStr">
        <is>
          <t>Pooja Kuperkar</t>
        </is>
      </c>
      <c r="C229" s="317" t="inlineStr">
        <is>
          <t>Cyber GRC Analyst</t>
        </is>
      </c>
      <c r="D229" s="224" t="inlineStr">
        <is>
          <t>Diya Thomas</t>
        </is>
      </c>
      <c r="E229" s="224" t="n"/>
      <c r="F229" s="224" t="inlineStr">
        <is>
          <t>Cyber, Risk &amp; Operations</t>
        </is>
      </c>
      <c r="G229" s="318" t="inlineStr">
        <is>
          <t>Cyber GRC</t>
        </is>
      </c>
      <c r="H229" s="224" t="inlineStr">
        <is>
          <t>NA</t>
        </is>
      </c>
      <c r="I229" s="224" t="inlineStr">
        <is>
          <t>NA</t>
        </is>
      </c>
      <c r="J229" s="224" t="inlineStr">
        <is>
          <t>NA</t>
        </is>
      </c>
      <c r="K229" s="224" t="inlineStr">
        <is>
          <t>NA</t>
        </is>
      </c>
      <c r="L229" s="224" t="n"/>
      <c r="M229" s="319" t="inlineStr">
        <is>
          <t>Australia</t>
        </is>
      </c>
      <c r="N229" s="320" t="inlineStr">
        <is>
          <t>CIB</t>
        </is>
      </c>
      <c r="O229" s="320" t="n">
        <v>1</v>
      </c>
      <c r="P229" s="320" t="n"/>
      <c r="Q229" s="320" t="inlineStr">
        <is>
          <t>Permanent - Full Time</t>
        </is>
      </c>
      <c r="R229" s="322" t="n"/>
      <c r="S229" s="322" t="n"/>
      <c r="T229" s="334" t="n">
        <v>152390</v>
      </c>
      <c r="U229" s="705" t="n">
        <v>152390</v>
      </c>
      <c r="V229" s="325" t="n">
        <v>0.12</v>
      </c>
      <c r="W229" s="702" t="n">
        <v>0.055</v>
      </c>
      <c r="X229" s="702" t="n">
        <v>0.12</v>
      </c>
      <c r="Y229" s="703" t="n"/>
      <c r="Z229" s="702" t="n">
        <v>0.04</v>
      </c>
      <c r="AA229" s="701">
        <f>U229*(1+V229+W229+X229+Y229+Z229)</f>
        <v>203440.65</v>
      </c>
      <c r="AC229" t="inlineStr">
        <is>
          <t>TDD Cyber</t>
        </is>
      </c>
      <c r="AD229" t="inlineStr">
        <is>
          <t>TDD Cyber, Risk &amp; Service Ops</t>
        </is>
      </c>
      <c r="AE229" t="inlineStr">
        <is>
          <t>TDD Cyber</t>
        </is>
      </c>
      <c r="AF229" t="inlineStr">
        <is>
          <t>Squad</t>
        </is>
      </c>
      <c r="AG229" t="inlineStr">
        <is>
          <t>Filled</t>
        </is>
      </c>
    </row>
    <row r="230" hidden="1" ht="18" customHeight="1" s="506">
      <c r="A230" s="259" t="n">
        <v>114683</v>
      </c>
      <c r="B230" s="224" t="inlineStr">
        <is>
          <t>Prashanth Chandran</t>
        </is>
      </c>
      <c r="C230" s="317" t="inlineStr">
        <is>
          <t>Senior Cyber GRC Specialist</t>
        </is>
      </c>
      <c r="D230" s="224" t="inlineStr">
        <is>
          <t>Diya Thomas</t>
        </is>
      </c>
      <c r="E230" s="224" t="inlineStr">
        <is>
          <t>Manager Cyber Security GRC</t>
        </is>
      </c>
      <c r="F230" s="224" t="inlineStr">
        <is>
          <t>Cyber, Risk &amp; Operations</t>
        </is>
      </c>
      <c r="G230" s="318" t="inlineStr">
        <is>
          <t>Cyber GRC</t>
        </is>
      </c>
      <c r="H230" s="224" t="inlineStr">
        <is>
          <t>NA</t>
        </is>
      </c>
      <c r="I230" s="224" t="inlineStr">
        <is>
          <t>NA</t>
        </is>
      </c>
      <c r="J230" s="224" t="inlineStr">
        <is>
          <t>NA</t>
        </is>
      </c>
      <c r="K230" s="224" t="inlineStr">
        <is>
          <t>NA</t>
        </is>
      </c>
      <c r="L230" s="224" t="n"/>
      <c r="M230" s="319" t="inlineStr">
        <is>
          <t>Australia</t>
        </is>
      </c>
      <c r="N230" s="320" t="inlineStr">
        <is>
          <t>CIC</t>
        </is>
      </c>
      <c r="O230" s="320" t="n">
        <v>1</v>
      </c>
      <c r="P230" s="320" t="n"/>
      <c r="Q230" s="320" t="inlineStr">
        <is>
          <t>Permanent - Full Time</t>
        </is>
      </c>
      <c r="R230" s="322" t="n"/>
      <c r="S230" s="322" t="n"/>
      <c r="T230" s="334" t="n">
        <v>165000</v>
      </c>
      <c r="U230" s="705" t="n">
        <v>165000</v>
      </c>
      <c r="V230" s="325" t="n">
        <v>0.12</v>
      </c>
      <c r="W230" s="702" t="n">
        <v>0.055</v>
      </c>
      <c r="X230" s="702" t="n">
        <v>0.12</v>
      </c>
      <c r="Y230" s="703" t="n"/>
      <c r="Z230" s="702" t="n">
        <v>0.04</v>
      </c>
      <c r="AA230" s="701">
        <f>U230*(1+V230+W230+X230+Y230+Z230)</f>
        <v>220275.0</v>
      </c>
      <c r="AC230" t="inlineStr">
        <is>
          <t>TDD Cyber</t>
        </is>
      </c>
      <c r="AD230" t="inlineStr">
        <is>
          <t>TDD Cyber, Risk &amp; Service Ops</t>
        </is>
      </c>
      <c r="AE230" t="inlineStr">
        <is>
          <t>TDD Cyber</t>
        </is>
      </c>
      <c r="AF230" t="inlineStr">
        <is>
          <t>Squad</t>
        </is>
      </c>
      <c r="AG230" t="inlineStr">
        <is>
          <t>Filled</t>
        </is>
      </c>
    </row>
    <row r="231" hidden="1" ht="18" customHeight="1" s="506">
      <c r="A231" s="259" t="n">
        <v>104966</v>
      </c>
      <c r="B231" s="224" t="inlineStr">
        <is>
          <t>Rahul Sahni</t>
        </is>
      </c>
      <c r="C231" s="317" t="inlineStr">
        <is>
          <t>Cyber Security Architect</t>
        </is>
      </c>
      <c r="D231" s="224" t="inlineStr">
        <is>
          <t>Kevin Sheerin</t>
        </is>
      </c>
      <c r="E231" s="224" t="n"/>
      <c r="F231" s="224" t="inlineStr">
        <is>
          <t>Cyber, Risk &amp; Operations</t>
        </is>
      </c>
      <c r="G231" s="318" t="inlineStr">
        <is>
          <t>Cyber Strat &amp; Tech</t>
        </is>
      </c>
      <c r="H231" s="224" t="inlineStr">
        <is>
          <t>NA</t>
        </is>
      </c>
      <c r="I231" s="224" t="inlineStr">
        <is>
          <t>NA</t>
        </is>
      </c>
      <c r="J231" s="224" t="inlineStr">
        <is>
          <t>NA</t>
        </is>
      </c>
      <c r="K231" s="224" t="inlineStr">
        <is>
          <t>NA</t>
        </is>
      </c>
      <c r="L231" s="224" t="n"/>
      <c r="M231" s="319" t="inlineStr">
        <is>
          <t>Australia</t>
        </is>
      </c>
      <c r="N231" s="320" t="inlineStr">
        <is>
          <t>CIC</t>
        </is>
      </c>
      <c r="O231" s="320" t="n">
        <v>1</v>
      </c>
      <c r="P231" s="320" t="n"/>
      <c r="Q231" s="320" t="inlineStr">
        <is>
          <t>Permanent - Full Time</t>
        </is>
      </c>
      <c r="R231" s="322" t="n"/>
      <c r="S231" s="322" t="n"/>
      <c r="T231" s="334" t="n">
        <v>169500</v>
      </c>
      <c r="U231" s="705" t="n">
        <v>169500</v>
      </c>
      <c r="V231" s="325" t="n">
        <v>0.12</v>
      </c>
      <c r="W231" s="702" t="n">
        <v>0.055</v>
      </c>
      <c r="X231" s="702" t="n">
        <v>0.12</v>
      </c>
      <c r="Y231" s="703" t="n"/>
      <c r="Z231" s="702" t="n">
        <v>0.04</v>
      </c>
      <c r="AA231" s="701">
        <f>U231*(1+V231+W231+X231+Y231+Z231)</f>
        <v>226282.5</v>
      </c>
      <c r="AC231" t="inlineStr">
        <is>
          <t>TDD Cyber</t>
        </is>
      </c>
      <c r="AD231" t="inlineStr">
        <is>
          <t>TDD Cyber, Risk &amp; Service Ops</t>
        </is>
      </c>
      <c r="AE231" t="inlineStr">
        <is>
          <t>TDD Cyber</t>
        </is>
      </c>
      <c r="AF231" t="inlineStr">
        <is>
          <t>Squad</t>
        </is>
      </c>
      <c r="AG231" t="inlineStr">
        <is>
          <t>Filled</t>
        </is>
      </c>
    </row>
    <row r="232" hidden="1" ht="18" customHeight="1" s="506">
      <c r="A232" s="259" t="n">
        <v>105647</v>
      </c>
      <c r="B232" s="224" t="inlineStr">
        <is>
          <t>Rajini Onteddu Reddy</t>
        </is>
      </c>
      <c r="C232" s="317" t="inlineStr">
        <is>
          <t>Head of Service Operations &amp; Assurance</t>
        </is>
      </c>
      <c r="D232" s="224" t="inlineStr">
        <is>
          <t>Frances Bouzo</t>
        </is>
      </c>
      <c r="E232" s="224" t="inlineStr">
        <is>
          <t xml:space="preserve">Manager Service Management &amp; Major Incident Management Lead </t>
        </is>
      </c>
      <c r="F232" s="224" t="inlineStr">
        <is>
          <t>Cyber, Risk &amp; Operations</t>
        </is>
      </c>
      <c r="G232" s="318" t="inlineStr">
        <is>
          <t>Service Op &amp; Assurance</t>
        </is>
      </c>
      <c r="H232" s="224" t="inlineStr">
        <is>
          <t>NA</t>
        </is>
      </c>
      <c r="I232" s="224" t="inlineStr">
        <is>
          <t>NA</t>
        </is>
      </c>
      <c r="J232" s="224" t="inlineStr">
        <is>
          <t>NA</t>
        </is>
      </c>
      <c r="K232" s="224" t="inlineStr">
        <is>
          <t>NA</t>
        </is>
      </c>
      <c r="L232" s="224" t="n"/>
      <c r="M232" s="319" t="inlineStr">
        <is>
          <t>Australia</t>
        </is>
      </c>
      <c r="N232" s="320" t="inlineStr">
        <is>
          <t>CSC</t>
        </is>
      </c>
      <c r="O232" s="320" t="n">
        <v>1</v>
      </c>
      <c r="P232" s="320" t="n"/>
      <c r="Q232" s="320" t="inlineStr">
        <is>
          <t>Permanent - Full Time</t>
        </is>
      </c>
      <c r="R232" s="322" t="n"/>
      <c r="S232" s="322" t="n"/>
      <c r="T232" s="334" t="n">
        <v>283160</v>
      </c>
      <c r="U232" s="705" t="n">
        <v>283160</v>
      </c>
      <c r="V232" s="325" t="n">
        <v>0.2</v>
      </c>
      <c r="W232" s="702" t="n">
        <v>0.055</v>
      </c>
      <c r="X232" s="702" t="n">
        <v>0.12</v>
      </c>
      <c r="Y232" s="703" t="n"/>
      <c r="Z232" s="702" t="n">
        <v>0.04</v>
      </c>
      <c r="AA232" s="701">
        <f>U232*(1+V232+W232+X232+Y232+Z232)</f>
        <v>400671.4</v>
      </c>
      <c r="AC232" t="inlineStr">
        <is>
          <t>TDD Cyber</t>
        </is>
      </c>
      <c r="AD232" t="inlineStr">
        <is>
          <t>TDD Cyber, Risk &amp; Service Ops</t>
        </is>
      </c>
      <c r="AE232" t="inlineStr">
        <is>
          <t>TDD Cyber</t>
        </is>
      </c>
      <c r="AF232" t="inlineStr">
        <is>
          <t>Squad</t>
        </is>
      </c>
      <c r="AG232" t="inlineStr">
        <is>
          <t>Filled</t>
        </is>
      </c>
    </row>
    <row r="233" hidden="1" ht="18" customHeight="1" s="506">
      <c r="A233" s="259" t="n">
        <v>116241</v>
      </c>
      <c r="B233" s="224" t="inlineStr">
        <is>
          <t>Raymond Cheung</t>
        </is>
      </c>
      <c r="C233" s="317" t="inlineStr">
        <is>
          <t>Engineer - IDAM</t>
        </is>
      </c>
      <c r="D233" s="224" t="inlineStr">
        <is>
          <t>Joe Nahma</t>
        </is>
      </c>
      <c r="E233" s="224" t="inlineStr">
        <is>
          <t xml:space="preserve">Head Cyber Strategy &amp; Technology </t>
        </is>
      </c>
      <c r="F233" s="224" t="inlineStr">
        <is>
          <t>Cyber, Risk &amp; Operations</t>
        </is>
      </c>
      <c r="G233" s="318" t="inlineStr">
        <is>
          <t>Cyber Strat &amp; Tech</t>
        </is>
      </c>
      <c r="H233" s="224" t="inlineStr">
        <is>
          <t>NA</t>
        </is>
      </c>
      <c r="I233" s="224" t="inlineStr">
        <is>
          <t>NA</t>
        </is>
      </c>
      <c r="J233" s="224" t="inlineStr">
        <is>
          <t>NA</t>
        </is>
      </c>
      <c r="K233" s="224" t="inlineStr">
        <is>
          <t>NA</t>
        </is>
      </c>
      <c r="L233" s="224" t="n"/>
      <c r="M233" s="319" t="inlineStr">
        <is>
          <t>Australia</t>
        </is>
      </c>
      <c r="N233" s="320" t="inlineStr">
        <is>
          <t>CIA</t>
        </is>
      </c>
      <c r="O233" s="320" t="n">
        <v>1</v>
      </c>
      <c r="P233" s="320" t="n"/>
      <c r="Q233" s="320" t="inlineStr">
        <is>
          <t>Permanent - Full Time</t>
        </is>
      </c>
      <c r="R233" s="322" t="n"/>
      <c r="S233" s="322" t="n"/>
      <c r="T233" s="334" t="n">
        <v>145000</v>
      </c>
      <c r="U233" s="705" t="n">
        <v>145000</v>
      </c>
      <c r="V233" s="325" t="n">
        <v>0.1</v>
      </c>
      <c r="W233" s="702" t="n">
        <v>0.055</v>
      </c>
      <c r="X233" s="702" t="n">
        <v>0.12</v>
      </c>
      <c r="Y233" s="703" t="n"/>
      <c r="Z233" s="702" t="n">
        <v>0.04</v>
      </c>
      <c r="AA233" s="701">
        <f>U233*(1+V233+W233+X233+Y233+Z233)</f>
        <v>190675.0</v>
      </c>
      <c r="AC233" t="inlineStr">
        <is>
          <t>TDD Cyber</t>
        </is>
      </c>
      <c r="AD233" t="inlineStr">
        <is>
          <t>TDD Cyber, Risk &amp; Service Ops</t>
        </is>
      </c>
      <c r="AE233" t="inlineStr">
        <is>
          <t>TDD Cyber</t>
        </is>
      </c>
      <c r="AF233" t="inlineStr">
        <is>
          <t>Squad</t>
        </is>
      </c>
      <c r="AG233" t="inlineStr">
        <is>
          <t>Filled</t>
        </is>
      </c>
    </row>
    <row r="234" hidden="1" ht="18" customHeight="1" s="506">
      <c r="A234" s="259" t="n">
        <v>108728</v>
      </c>
      <c r="B234" s="224" t="inlineStr">
        <is>
          <t>Remya Pookat</t>
        </is>
      </c>
      <c r="C234" s="317" t="inlineStr">
        <is>
          <t>Lead – Change &amp; Release Management</t>
        </is>
      </c>
      <c r="D234" s="224" t="inlineStr">
        <is>
          <t>Darren Koller</t>
        </is>
      </c>
      <c r="E234" s="224" t="inlineStr">
        <is>
          <t>Manager Cyber Security GRC</t>
        </is>
      </c>
      <c r="F234" s="224" t="inlineStr">
        <is>
          <t>Cyber, Risk &amp; Operations</t>
        </is>
      </c>
      <c r="G234" s="318" t="inlineStr">
        <is>
          <t>Service Op &amp; Assurance</t>
        </is>
      </c>
      <c r="H234" s="224" t="inlineStr">
        <is>
          <t>NA</t>
        </is>
      </c>
      <c r="I234" s="224" t="inlineStr">
        <is>
          <t>NA</t>
        </is>
      </c>
      <c r="J234" s="224" t="inlineStr">
        <is>
          <t>NA</t>
        </is>
      </c>
      <c r="K234" s="224" t="inlineStr">
        <is>
          <t>NA</t>
        </is>
      </c>
      <c r="L234" s="224" t="n"/>
      <c r="M234" s="319" t="inlineStr">
        <is>
          <t>Australia</t>
        </is>
      </c>
      <c r="N234" s="320" t="inlineStr">
        <is>
          <t>CIB</t>
        </is>
      </c>
      <c r="O234" s="320" t="n">
        <v>1</v>
      </c>
      <c r="P234" s="320" t="n"/>
      <c r="Q234" s="320" t="inlineStr">
        <is>
          <t>Permanent - Full Time</t>
        </is>
      </c>
      <c r="R234" s="322" t="n"/>
      <c r="S234" s="322" t="n"/>
      <c r="T234" s="334" t="n">
        <v>165450</v>
      </c>
      <c r="U234" s="705" t="n">
        <v>165450</v>
      </c>
      <c r="V234" s="325" t="n">
        <v>0.12</v>
      </c>
      <c r="W234" s="702" t="n">
        <v>0.055</v>
      </c>
      <c r="X234" s="702" t="n">
        <v>0.12</v>
      </c>
      <c r="Y234" s="703" t="n"/>
      <c r="Z234" s="702" t="n">
        <v>0.04</v>
      </c>
      <c r="AA234" s="701">
        <f>U234*(1+V234+W234+X234+Y234+Z234)</f>
        <v>220875.75</v>
      </c>
      <c r="AC234" t="inlineStr">
        <is>
          <t>TDD Cyber</t>
        </is>
      </c>
      <c r="AD234" t="inlineStr">
        <is>
          <t>TDD Cyber, Risk &amp; Service Ops</t>
        </is>
      </c>
      <c r="AE234" t="inlineStr">
        <is>
          <t>TDD Cyber</t>
        </is>
      </c>
      <c r="AF234" t="inlineStr">
        <is>
          <t>Squad</t>
        </is>
      </c>
      <c r="AG234" t="inlineStr">
        <is>
          <t>Filled</t>
        </is>
      </c>
    </row>
    <row r="235" hidden="1" ht="18" customHeight="1" s="506">
      <c r="A235" s="259" t="n">
        <v>104555</v>
      </c>
      <c r="B235" s="224" t="inlineStr">
        <is>
          <t>Ritika Salaria</t>
        </is>
      </c>
      <c r="C235" s="317" t="inlineStr">
        <is>
          <t>Configuration Analyst</t>
        </is>
      </c>
      <c r="D235" s="224" t="inlineStr">
        <is>
          <t>Lead – Asset &amp; Configuration (Vacant)</t>
        </is>
      </c>
      <c r="E235" s="224" t="n"/>
      <c r="F235" s="224" t="inlineStr">
        <is>
          <t>Cyber, Risk &amp; Operations</t>
        </is>
      </c>
      <c r="G235" s="318" t="inlineStr">
        <is>
          <t>Service Op &amp; Assurance</t>
        </is>
      </c>
      <c r="H235" t="inlineStr">
        <is>
          <t>NA</t>
        </is>
      </c>
      <c r="I235" s="224" t="inlineStr">
        <is>
          <t>NA</t>
        </is>
      </c>
      <c r="J235" s="224" t="inlineStr">
        <is>
          <t>NA</t>
        </is>
      </c>
      <c r="K235" s="224" t="inlineStr">
        <is>
          <t>NA</t>
        </is>
      </c>
      <c r="L235" s="224" t="n"/>
      <c r="M235" s="319" t="inlineStr">
        <is>
          <t>Australia</t>
        </is>
      </c>
      <c r="N235" s="320" t="inlineStr">
        <is>
          <t>CIA</t>
        </is>
      </c>
      <c r="O235" s="320" t="n">
        <v>1</v>
      </c>
      <c r="P235" s="320" t="n"/>
      <c r="Q235" s="320" t="inlineStr">
        <is>
          <t>Permanent - Full Time</t>
        </is>
      </c>
      <c r="R235" s="322" t="n"/>
      <c r="S235" s="322" t="n"/>
      <c r="T235" s="334" t="n">
        <v>131640</v>
      </c>
      <c r="U235" s="705" t="n">
        <v>131640</v>
      </c>
      <c r="V235" s="325" t="n">
        <v>0.1</v>
      </c>
      <c r="W235" s="702" t="n">
        <v>0.055</v>
      </c>
      <c r="X235" s="702" t="n">
        <v>0.12</v>
      </c>
      <c r="Y235" s="703" t="n"/>
      <c r="Z235" s="702" t="n">
        <v>0.04</v>
      </c>
      <c r="AA235" s="701">
        <f>U235*(1+V235+W235+X235+Y235+Z235)</f>
        <v>173106.6</v>
      </c>
      <c r="AC235" t="inlineStr">
        <is>
          <t>TDD Cyber</t>
        </is>
      </c>
      <c r="AD235" t="inlineStr">
        <is>
          <t>TDD Cyber, Risk &amp; Service Ops</t>
        </is>
      </c>
      <c r="AE235" t="inlineStr">
        <is>
          <t>TDD Cyber</t>
        </is>
      </c>
      <c r="AF235" t="inlineStr">
        <is>
          <t>Squad</t>
        </is>
      </c>
      <c r="AG235" t="inlineStr">
        <is>
          <t>Filled</t>
        </is>
      </c>
    </row>
    <row r="236" hidden="1" ht="18" customHeight="1" s="506">
      <c r="A236" s="259" t="n">
        <v>99999101321</v>
      </c>
      <c r="B236" s="224" t="inlineStr">
        <is>
          <t>Sameer Pattanaik</t>
        </is>
      </c>
      <c r="C236" s="317" t="inlineStr">
        <is>
          <t>Cyber Security Operations Lead</t>
        </is>
      </c>
      <c r="D236" s="224" t="inlineStr">
        <is>
          <t>Steven Atcheson</t>
        </is>
      </c>
      <c r="E236" s="224" t="n"/>
      <c r="F236" s="224" t="inlineStr">
        <is>
          <t>Cyber, Risk &amp; Operations</t>
        </is>
      </c>
      <c r="G236" s="318" t="inlineStr">
        <is>
          <t>Cyber Sec Ops</t>
        </is>
      </c>
      <c r="H236" s="224" t="inlineStr">
        <is>
          <t>NA</t>
        </is>
      </c>
      <c r="I236" s="224" t="inlineStr">
        <is>
          <t>NA</t>
        </is>
      </c>
      <c r="J236" s="224" t="inlineStr">
        <is>
          <t>NA</t>
        </is>
      </c>
      <c r="K236" s="224" t="inlineStr">
        <is>
          <t>NA</t>
        </is>
      </c>
      <c r="L236" s="224" t="n"/>
      <c r="M236" s="319" t="inlineStr">
        <is>
          <t>NZ</t>
        </is>
      </c>
      <c r="N236" s="320" t="inlineStr">
        <is>
          <t>CIC</t>
        </is>
      </c>
      <c r="O236" s="321" t="n">
        <v>1</v>
      </c>
      <c r="P236" s="320" t="n"/>
      <c r="Q236" s="321" t="inlineStr">
        <is>
          <t>Permanent - Full Time</t>
        </is>
      </c>
      <c r="R236" s="322" t="n"/>
      <c r="S236" s="322" t="n"/>
      <c r="T236" s="334" t="n">
        <v>185550</v>
      </c>
      <c r="U236" s="705" t="n">
        <v>170706</v>
      </c>
      <c r="V236" s="324" t="n">
        <v>0.15</v>
      </c>
      <c r="W236" s="322" t="n"/>
      <c r="X236" s="325" t="n">
        <v>0.05</v>
      </c>
      <c r="Y236" s="700" t="n">
        <v>2910</v>
      </c>
      <c r="Z236" s="325" t="n">
        <v>0.03</v>
      </c>
      <c r="AA236" s="701">
        <f>U236*(1+V236+X236+Z236)+Y236</f>
        <v>212878.38</v>
      </c>
      <c r="AB236" t="n">
        <v>113609</v>
      </c>
      <c r="AC236" t="inlineStr">
        <is>
          <t>TDD Cyber</t>
        </is>
      </c>
      <c r="AD236" t="inlineStr">
        <is>
          <t>TDD Cyber, Risk &amp; Service Ops</t>
        </is>
      </c>
      <c r="AE236" t="inlineStr">
        <is>
          <t>TDD Cyber</t>
        </is>
      </c>
      <c r="AF236" t="inlineStr">
        <is>
          <t>Squad</t>
        </is>
      </c>
      <c r="AG236" t="inlineStr">
        <is>
          <t>Filled</t>
        </is>
      </c>
    </row>
    <row r="237" hidden="1" ht="18" customHeight="1" s="506">
      <c r="A237" s="259" t="n">
        <v>99999101346</v>
      </c>
      <c r="B237" s="224" t="inlineStr">
        <is>
          <t>Shomiya Shayal</t>
        </is>
      </c>
      <c r="C237" s="317" t="inlineStr">
        <is>
          <t>Risk &amp; Resilience Lead</t>
        </is>
      </c>
      <c r="D237" s="224" t="inlineStr">
        <is>
          <t>Brian Gates</t>
        </is>
      </c>
      <c r="E237" s="224" t="inlineStr">
        <is>
          <t xml:space="preserve">Manager Risk &amp; Resilience </t>
        </is>
      </c>
      <c r="F237" s="224" t="inlineStr">
        <is>
          <t>Cyber, Risk &amp; Operations</t>
        </is>
      </c>
      <c r="G237" s="318" t="inlineStr">
        <is>
          <t>Cyber Risk</t>
        </is>
      </c>
      <c r="H237" s="224" t="inlineStr">
        <is>
          <t>NA</t>
        </is>
      </c>
      <c r="I237" s="224" t="inlineStr">
        <is>
          <t>NA</t>
        </is>
      </c>
      <c r="J237" s="224" t="inlineStr">
        <is>
          <t>NA</t>
        </is>
      </c>
      <c r="K237" s="224" t="inlineStr">
        <is>
          <t>NA</t>
        </is>
      </c>
      <c r="L237" s="224" t="n"/>
      <c r="M237" s="319" t="inlineStr">
        <is>
          <t>NZ</t>
        </is>
      </c>
      <c r="N237" s="320" t="inlineStr">
        <is>
          <t>CIC</t>
        </is>
      </c>
      <c r="O237" s="321" t="n">
        <v>1</v>
      </c>
      <c r="P237" s="320" t="n"/>
      <c r="Q237" s="321" t="inlineStr">
        <is>
          <t>Permanent - Full Time</t>
        </is>
      </c>
      <c r="R237" s="322" t="n"/>
      <c r="S237" s="322" t="n"/>
      <c r="T237" s="334" t="n">
        <v>164020</v>
      </c>
      <c r="U237" s="705" t="n">
        <v>150898.4</v>
      </c>
      <c r="V237" s="324" t="n">
        <v>0.15</v>
      </c>
      <c r="W237" s="322" t="n"/>
      <c r="X237" s="325" t="n">
        <v>0.05</v>
      </c>
      <c r="Y237" s="700" t="n">
        <v>2910</v>
      </c>
      <c r="Z237" s="325" t="n">
        <v>0.03</v>
      </c>
      <c r="AA237" s="701">
        <f>U237*(1+V237+X237+Z237)+Y237</f>
        <v>188515.03199999998</v>
      </c>
      <c r="AB237" t="n">
        <v>113615</v>
      </c>
      <c r="AC237" t="inlineStr">
        <is>
          <t>TDD Cyber</t>
        </is>
      </c>
      <c r="AD237" t="inlineStr">
        <is>
          <t>TDD Cyber, Risk &amp; Service Ops</t>
        </is>
      </c>
      <c r="AE237" t="inlineStr">
        <is>
          <t>TDD Cyber</t>
        </is>
      </c>
      <c r="AF237" t="inlineStr">
        <is>
          <t>Squad</t>
        </is>
      </c>
      <c r="AG237" t="inlineStr">
        <is>
          <t>Filled</t>
        </is>
      </c>
    </row>
    <row r="238" hidden="1" ht="18" customHeight="1" s="506">
      <c r="A238" s="259" t="n">
        <v>104805</v>
      </c>
      <c r="B238" s="224" t="inlineStr">
        <is>
          <t>Shruti Manchanda</t>
        </is>
      </c>
      <c r="C238" s="317" t="inlineStr">
        <is>
          <t>Cyber GRC Analyst</t>
        </is>
      </c>
      <c r="D238" s="224" t="inlineStr">
        <is>
          <t>Diya Thomas</t>
        </is>
      </c>
      <c r="E238" s="224" t="n"/>
      <c r="F238" s="224" t="inlineStr">
        <is>
          <t>Cyber, Risk &amp; Operations</t>
        </is>
      </c>
      <c r="G238" s="318" t="inlineStr">
        <is>
          <t>Cyber GRC</t>
        </is>
      </c>
      <c r="H238" s="224" t="inlineStr">
        <is>
          <t>NA</t>
        </is>
      </c>
      <c r="I238" s="224" t="inlineStr">
        <is>
          <t>NA</t>
        </is>
      </c>
      <c r="J238" s="224" t="inlineStr">
        <is>
          <t>NA</t>
        </is>
      </c>
      <c r="K238" s="224" t="inlineStr">
        <is>
          <t>NA</t>
        </is>
      </c>
      <c r="L238" s="224" t="n"/>
      <c r="M238" s="319" t="inlineStr">
        <is>
          <t>Australia</t>
        </is>
      </c>
      <c r="N238" s="320" t="inlineStr">
        <is>
          <t>CIB</t>
        </is>
      </c>
      <c r="O238" s="320" t="n">
        <v>1</v>
      </c>
      <c r="P238" s="320" t="n"/>
      <c r="Q238" s="320" t="inlineStr">
        <is>
          <t>Permanent - Full Time</t>
        </is>
      </c>
      <c r="R238" s="322" t="n"/>
      <c r="S238" s="322" t="n"/>
      <c r="T238" s="334" t="n">
        <v>171450</v>
      </c>
      <c r="U238" s="705" t="n">
        <v>171450</v>
      </c>
      <c r="V238" s="325" t="n">
        <v>0.12</v>
      </c>
      <c r="W238" s="702" t="n">
        <v>0.055</v>
      </c>
      <c r="X238" s="702" t="n">
        <v>0.12</v>
      </c>
      <c r="Y238" s="703" t="n"/>
      <c r="Z238" s="702" t="n">
        <v>0.04</v>
      </c>
      <c r="AA238" s="701">
        <f>U238*(1+V238+W238+X238+Y238+Z238)</f>
        <v>228885.75</v>
      </c>
      <c r="AC238" t="inlineStr">
        <is>
          <t>TDD Cyber</t>
        </is>
      </c>
      <c r="AD238" t="inlineStr">
        <is>
          <t>TDD Cyber, Risk &amp; Service Ops</t>
        </is>
      </c>
      <c r="AE238" t="inlineStr">
        <is>
          <t>TDD Cyber</t>
        </is>
      </c>
      <c r="AF238" t="inlineStr">
        <is>
          <t>Squad</t>
        </is>
      </c>
      <c r="AG238" t="inlineStr">
        <is>
          <t>Filled</t>
        </is>
      </c>
    </row>
    <row r="239" hidden="1" ht="18" customHeight="1" s="506">
      <c r="A239" s="259" t="n">
        <v>99999100770</v>
      </c>
      <c r="B239" s="224" t="inlineStr">
        <is>
          <t>Spoilagi Bhutwala</t>
        </is>
      </c>
      <c r="C239" s="317" t="inlineStr">
        <is>
          <t>Tech Support Technician</t>
        </is>
      </c>
      <c r="D239" s="224" t="inlineStr">
        <is>
          <t>Mark Pearson</t>
        </is>
      </c>
      <c r="E239" s="224" t="inlineStr">
        <is>
          <t xml:space="preserve">Lead Technology Support </t>
        </is>
      </c>
      <c r="F239" s="224" t="inlineStr">
        <is>
          <t>Cyber, Risk &amp; Operations</t>
        </is>
      </c>
      <c r="G239" s="318" t="inlineStr">
        <is>
          <t>Service Op &amp; Assurance</t>
        </is>
      </c>
      <c r="H239" s="224" t="inlineStr">
        <is>
          <t>NA</t>
        </is>
      </c>
      <c r="I239" s="224" t="inlineStr">
        <is>
          <t>NA</t>
        </is>
      </c>
      <c r="J239" s="224" t="inlineStr">
        <is>
          <t>NA</t>
        </is>
      </c>
      <c r="K239" s="224" t="inlineStr">
        <is>
          <t>NA</t>
        </is>
      </c>
      <c r="L239" s="224" t="n"/>
      <c r="M239" s="319" t="inlineStr">
        <is>
          <t>NZ</t>
        </is>
      </c>
      <c r="N239" s="320" t="inlineStr">
        <is>
          <t>CDB</t>
        </is>
      </c>
      <c r="O239" s="321" t="n">
        <v>1</v>
      </c>
      <c r="P239" s="320" t="n"/>
      <c r="Q239" s="321" t="inlineStr">
        <is>
          <t>Permanent - Full Time</t>
        </is>
      </c>
      <c r="R239" s="322" t="n"/>
      <c r="S239" s="322" t="n"/>
      <c r="T239" s="334" t="n">
        <v>86890</v>
      </c>
      <c r="U239" s="705" t="n">
        <v>79938.8</v>
      </c>
      <c r="V239" s="324" t="n">
        <v>0.1</v>
      </c>
      <c r="W239" s="322" t="n"/>
      <c r="X239" s="325" t="n">
        <v>0.05</v>
      </c>
      <c r="Y239" s="700" t="n">
        <v>2910</v>
      </c>
      <c r="Z239" s="325" t="n">
        <v>0.03</v>
      </c>
      <c r="AA239" s="701">
        <f>U239*(1+V239+X239+Z239)+Y239</f>
        <v>97237.78400000001</v>
      </c>
      <c r="AB239" t="n">
        <v>113569</v>
      </c>
      <c r="AC239" t="inlineStr">
        <is>
          <t>TDD Cyber</t>
        </is>
      </c>
      <c r="AD239" t="inlineStr">
        <is>
          <t>TDD Cyber, Risk &amp; Service Ops</t>
        </is>
      </c>
      <c r="AE239" t="inlineStr">
        <is>
          <t>TDD Cyber</t>
        </is>
      </c>
      <c r="AF239" t="inlineStr">
        <is>
          <t>Squad</t>
        </is>
      </c>
      <c r="AG239" t="inlineStr">
        <is>
          <t>Filled</t>
        </is>
      </c>
    </row>
    <row r="240" hidden="1" ht="18" customHeight="1" s="506">
      <c r="A240" s="259" t="n">
        <v>98371</v>
      </c>
      <c r="B240" s="224" t="inlineStr">
        <is>
          <t>Stafford Dowling</t>
        </is>
      </c>
      <c r="C240" s="317" t="inlineStr">
        <is>
          <t>Cyber Security Analyst</t>
        </is>
      </c>
      <c r="D240" s="224" t="inlineStr">
        <is>
          <t>Steven Atcheson</t>
        </is>
      </c>
      <c r="E240" s="224" t="n"/>
      <c r="F240" s="224" t="inlineStr">
        <is>
          <t>Cyber, Risk &amp; Operations</t>
        </is>
      </c>
      <c r="G240" s="318" t="inlineStr">
        <is>
          <t>Cyber Sec Ops</t>
        </is>
      </c>
      <c r="H240" s="224" t="inlineStr">
        <is>
          <t>NA</t>
        </is>
      </c>
      <c r="I240" s="224" t="inlineStr">
        <is>
          <t>NA</t>
        </is>
      </c>
      <c r="J240" s="224" t="inlineStr">
        <is>
          <t>NA</t>
        </is>
      </c>
      <c r="K240" s="224" t="inlineStr">
        <is>
          <t>NA</t>
        </is>
      </c>
      <c r="L240" s="224" t="n"/>
      <c r="M240" s="319" t="inlineStr">
        <is>
          <t>Australia</t>
        </is>
      </c>
      <c r="N240" s="320" t="inlineStr">
        <is>
          <t>CIB</t>
        </is>
      </c>
      <c r="O240" s="320" t="n">
        <v>1</v>
      </c>
      <c r="P240" s="320" t="n"/>
      <c r="Q240" s="320" t="inlineStr">
        <is>
          <t>Permanent - Full Time</t>
        </is>
      </c>
      <c r="R240" s="322" t="n"/>
      <c r="S240" s="322" t="n"/>
      <c r="T240" s="334" t="n">
        <v>163830</v>
      </c>
      <c r="U240" s="705" t="n">
        <v>163830</v>
      </c>
      <c r="V240" s="325" t="n">
        <v>0.12</v>
      </c>
      <c r="W240" s="702" t="n">
        <v>0.055</v>
      </c>
      <c r="X240" s="702" t="n">
        <v>0.12</v>
      </c>
      <c r="Y240" s="703" t="n"/>
      <c r="Z240" s="702" t="n">
        <v>0.04</v>
      </c>
      <c r="AA240" s="701">
        <f>U240*(1+V240+W240+X240+Y240+Z240)</f>
        <v>218713.05</v>
      </c>
      <c r="AC240" t="inlineStr">
        <is>
          <t>TDD Cyber</t>
        </is>
      </c>
      <c r="AD240" t="inlineStr">
        <is>
          <t>TDD Cyber, Risk &amp; Service Ops</t>
        </is>
      </c>
      <c r="AE240" t="inlineStr">
        <is>
          <t>TDD Cyber</t>
        </is>
      </c>
      <c r="AF240" t="inlineStr">
        <is>
          <t>Squad</t>
        </is>
      </c>
      <c r="AG240" t="inlineStr">
        <is>
          <t>Filled</t>
        </is>
      </c>
    </row>
    <row r="241" hidden="1" ht="18" customHeight="1" s="506">
      <c r="A241" s="259" t="n">
        <v>101504</v>
      </c>
      <c r="B241" s="224" t="inlineStr">
        <is>
          <t>Steven Atcheson</t>
        </is>
      </c>
      <c r="C241" s="317" t="inlineStr">
        <is>
          <t>Manager Cyber Security Operations</t>
        </is>
      </c>
      <c r="D241" s="224" t="inlineStr">
        <is>
          <t>Frances Bouzo</t>
        </is>
      </c>
      <c r="E241" s="224" t="inlineStr">
        <is>
          <t xml:space="preserve">Manager, Risk &amp; Resilience </t>
        </is>
      </c>
      <c r="F241" s="224" t="inlineStr">
        <is>
          <t>Cyber, Risk &amp; Operations</t>
        </is>
      </c>
      <c r="G241" s="318" t="inlineStr">
        <is>
          <t>Cyber Sec Ops</t>
        </is>
      </c>
      <c r="H241" s="224" t="inlineStr">
        <is>
          <t>NA</t>
        </is>
      </c>
      <c r="I241" s="224" t="inlineStr">
        <is>
          <t>NA</t>
        </is>
      </c>
      <c r="J241" s="224" t="inlineStr">
        <is>
          <t>NA</t>
        </is>
      </c>
      <c r="K241" s="224" t="inlineStr">
        <is>
          <t>NA</t>
        </is>
      </c>
      <c r="L241" s="224" t="n"/>
      <c r="M241" s="319" t="inlineStr">
        <is>
          <t>Australia</t>
        </is>
      </c>
      <c r="N241" s="320" t="inlineStr">
        <is>
          <t>CSB</t>
        </is>
      </c>
      <c r="O241" s="320" t="n">
        <v>1</v>
      </c>
      <c r="P241" s="320" t="n"/>
      <c r="Q241" s="320" t="inlineStr">
        <is>
          <t>Permanent - Full Time</t>
        </is>
      </c>
      <c r="R241" s="322" t="n"/>
      <c r="S241" s="322" t="n"/>
      <c r="T241" s="334" t="n">
        <v>233630</v>
      </c>
      <c r="U241" s="705" t="n">
        <v>233630</v>
      </c>
      <c r="V241" s="325" t="n">
        <v>0.14</v>
      </c>
      <c r="W241" s="702" t="n">
        <v>0.055</v>
      </c>
      <c r="X241" s="702" t="n">
        <v>0.12</v>
      </c>
      <c r="Y241" s="703" t="n"/>
      <c r="Z241" s="702" t="n">
        <v>0.04</v>
      </c>
      <c r="AA241" s="701">
        <f>U241*(1+V241+W241+X241+Y241+Z241)</f>
        <v>316568.65</v>
      </c>
      <c r="AC241" t="inlineStr">
        <is>
          <t>TDD Cyber</t>
        </is>
      </c>
      <c r="AD241" t="inlineStr">
        <is>
          <t>TDD Cyber, Risk &amp; Service Ops</t>
        </is>
      </c>
      <c r="AE241" t="inlineStr">
        <is>
          <t>TDD Cyber</t>
        </is>
      </c>
      <c r="AF241" t="inlineStr">
        <is>
          <t>Squad</t>
        </is>
      </c>
      <c r="AG241" t="inlineStr">
        <is>
          <t>Filled</t>
        </is>
      </c>
    </row>
    <row r="242" hidden="1" ht="18" customHeight="1" s="506">
      <c r="A242" s="259" t="n">
        <v>114383</v>
      </c>
      <c r="B242" s="224" t="inlineStr">
        <is>
          <t>Tony Keeler</t>
        </is>
      </c>
      <c r="C242" s="317" t="inlineStr">
        <is>
          <t>Cyber Business Analyst</t>
        </is>
      </c>
      <c r="D242" s="224" t="inlineStr">
        <is>
          <t>Vivienne Vasak</t>
        </is>
      </c>
      <c r="E242" s="224" t="inlineStr">
        <is>
          <t xml:space="preserve">Portfolio Manger Cyber Security </t>
        </is>
      </c>
      <c r="F242" s="224" t="inlineStr">
        <is>
          <t>Cyber, Risk &amp; Operations</t>
        </is>
      </c>
      <c r="G242" s="318" t="inlineStr">
        <is>
          <t>Cyber Strat &amp; Tech</t>
        </is>
      </c>
      <c r="H242" s="224" t="inlineStr">
        <is>
          <t>NA</t>
        </is>
      </c>
      <c r="I242" s="224" t="inlineStr">
        <is>
          <t>NA</t>
        </is>
      </c>
      <c r="J242" s="224" t="inlineStr">
        <is>
          <t>NA</t>
        </is>
      </c>
      <c r="K242" s="224" t="inlineStr">
        <is>
          <t>NA</t>
        </is>
      </c>
      <c r="L242" s="224" t="n"/>
      <c r="M242" s="319" t="inlineStr">
        <is>
          <t>Australia</t>
        </is>
      </c>
      <c r="N242" s="320" t="inlineStr">
        <is>
          <t>CIB</t>
        </is>
      </c>
      <c r="O242" s="320" t="n">
        <v>1</v>
      </c>
      <c r="P242" s="320" t="n"/>
      <c r="Q242" s="320" t="inlineStr">
        <is>
          <t>Permanent - Full Time</t>
        </is>
      </c>
      <c r="R242" s="322" t="n"/>
      <c r="S242" s="322" t="n"/>
      <c r="T242" s="334" t="n">
        <v>160000</v>
      </c>
      <c r="U242" s="705" t="n">
        <v>160000</v>
      </c>
      <c r="V242" s="325" t="n">
        <v>0.12</v>
      </c>
      <c r="W242" s="702" t="n">
        <v>0.055</v>
      </c>
      <c r="X242" s="702" t="n">
        <v>0.12</v>
      </c>
      <c r="Y242" s="703" t="n"/>
      <c r="Z242" s="702" t="n">
        <v>0.04</v>
      </c>
      <c r="AA242" s="701">
        <f>U242*(1+V242+W242+X242+Y242+Z242)</f>
        <v>213600.0</v>
      </c>
      <c r="AC242" t="inlineStr">
        <is>
          <t>TDD Cyber</t>
        </is>
      </c>
      <c r="AD242" t="inlineStr">
        <is>
          <t>TDD Cyber, Risk &amp; Service Ops</t>
        </is>
      </c>
      <c r="AE242" t="inlineStr">
        <is>
          <t>TDD Cyber</t>
        </is>
      </c>
      <c r="AF242" t="inlineStr">
        <is>
          <t>Squad</t>
        </is>
      </c>
      <c r="AG242" t="inlineStr">
        <is>
          <t>Filled</t>
        </is>
      </c>
    </row>
    <row r="243" hidden="1" ht="18" customHeight="1" s="506">
      <c r="A243" s="259" t="inlineStr">
        <is>
          <t>V</t>
        </is>
      </c>
      <c r="B243" s="224" t="inlineStr">
        <is>
          <t>Vacant</t>
        </is>
      </c>
      <c r="C243" s="317" t="inlineStr">
        <is>
          <t>Lead – Problem Management</t>
        </is>
      </c>
      <c r="D243" s="224" t="inlineStr">
        <is>
          <t>Darren Koller</t>
        </is>
      </c>
      <c r="E243" s="224" t="inlineStr">
        <is>
          <t>Manager Cyber Security GRC</t>
        </is>
      </c>
      <c r="F243" s="224" t="inlineStr">
        <is>
          <t>Cyber, Risk &amp; Operations</t>
        </is>
      </c>
      <c r="G243" s="318" t="inlineStr">
        <is>
          <t>Service Op &amp; Assurance</t>
        </is>
      </c>
      <c r="H243" s="224" t="inlineStr">
        <is>
          <t>NA</t>
        </is>
      </c>
      <c r="I243" s="224" t="inlineStr">
        <is>
          <t>NA</t>
        </is>
      </c>
      <c r="J243" s="224" t="inlineStr">
        <is>
          <t>NA</t>
        </is>
      </c>
      <c r="K243" s="224" t="inlineStr">
        <is>
          <t>NA</t>
        </is>
      </c>
      <c r="L243" s="224" t="n"/>
      <c r="M243" s="319" t="inlineStr">
        <is>
          <t>Australia</t>
        </is>
      </c>
      <c r="N243" s="320" t="inlineStr">
        <is>
          <t>CIA</t>
        </is>
      </c>
      <c r="O243" s="320" t="n">
        <v>1</v>
      </c>
      <c r="P243" s="320" t="n"/>
      <c r="Q243" s="320" t="inlineStr">
        <is>
          <t>v</t>
        </is>
      </c>
      <c r="R243" s="322" t="n"/>
      <c r="S243" s="322" t="n"/>
      <c r="T243" s="334" t="n">
        <v>129650</v>
      </c>
      <c r="U243" s="705" t="n">
        <v>129650</v>
      </c>
      <c r="V243" s="325" t="n">
        <v>0.1</v>
      </c>
      <c r="W243" s="702" t="n">
        <v>0.055</v>
      </c>
      <c r="X243" s="702" t="n">
        <v>0.12</v>
      </c>
      <c r="Y243" s="703" t="n"/>
      <c r="Z243" s="702" t="n">
        <v>0.04</v>
      </c>
      <c r="AA243" s="701">
        <f>U243*(1+V243+W243+X243+Y243+Z243)</f>
        <v>170489.75</v>
      </c>
      <c r="AC243" t="inlineStr">
        <is>
          <t>TDD Cyber</t>
        </is>
      </c>
      <c r="AD243" t="inlineStr">
        <is>
          <t>TDD Cyber, Risk &amp; Service Ops</t>
        </is>
      </c>
      <c r="AE243" t="inlineStr">
        <is>
          <t>TDD Cyber</t>
        </is>
      </c>
      <c r="AF243" t="inlineStr">
        <is>
          <t>Squad</t>
        </is>
      </c>
      <c r="AG243" t="inlineStr">
        <is>
          <t>Vacant</t>
        </is>
      </c>
    </row>
    <row r="244" hidden="1" ht="18" customHeight="1" s="506">
      <c r="A244" s="259" t="inlineStr">
        <is>
          <t>V</t>
        </is>
      </c>
      <c r="B244" s="224" t="inlineStr">
        <is>
          <t>Vacant</t>
        </is>
      </c>
      <c r="C244" s="317" t="inlineStr">
        <is>
          <t>Cyber Architect (backfill for EGI Secondment)</t>
        </is>
      </c>
      <c r="D244" s="224" t="inlineStr">
        <is>
          <t>Kevin Sheerin</t>
        </is>
      </c>
      <c r="E244" s="224" t="n"/>
      <c r="F244" s="224" t="inlineStr">
        <is>
          <t>Cyber, Risk &amp; Operations</t>
        </is>
      </c>
      <c r="G244" s="318" t="inlineStr">
        <is>
          <t>Cyber Strat &amp; Tech</t>
        </is>
      </c>
      <c r="H244" s="224" t="inlineStr">
        <is>
          <t>NA</t>
        </is>
      </c>
      <c r="I244" s="224" t="inlineStr">
        <is>
          <t>NA</t>
        </is>
      </c>
      <c r="J244" s="224" t="inlineStr">
        <is>
          <t>NA</t>
        </is>
      </c>
      <c r="K244" s="224" t="inlineStr">
        <is>
          <t>NA</t>
        </is>
      </c>
      <c r="L244" s="224" t="n"/>
      <c r="M244" s="319" t="inlineStr">
        <is>
          <t>Australia</t>
        </is>
      </c>
      <c r="N244" s="320" t="inlineStr">
        <is>
          <t>CIB</t>
        </is>
      </c>
      <c r="O244" s="320" t="n">
        <v>1</v>
      </c>
      <c r="P244" s="320" t="n"/>
      <c r="Q244" s="320" t="inlineStr">
        <is>
          <t>V</t>
        </is>
      </c>
      <c r="R244" s="322" t="n"/>
      <c r="S244" s="322" t="n"/>
      <c r="T244" s="334" t="n">
        <v>160000</v>
      </c>
      <c r="U244" s="705" t="n">
        <v>160000</v>
      </c>
      <c r="V244" s="325" t="n">
        <v>0.12</v>
      </c>
      <c r="W244" s="702" t="n">
        <v>0.055</v>
      </c>
      <c r="X244" s="702" t="n">
        <v>0.12</v>
      </c>
      <c r="Y244" s="703" t="n"/>
      <c r="Z244" s="702" t="n">
        <v>0.04</v>
      </c>
      <c r="AA244" s="701">
        <f>U244*(1+V244+W244+X244+Y244+Z244)</f>
        <v>213600.0</v>
      </c>
      <c r="AC244" t="inlineStr">
        <is>
          <t>TDD Cyber</t>
        </is>
      </c>
      <c r="AD244" t="inlineStr">
        <is>
          <t>TDD Cyber, Risk &amp; Service Ops</t>
        </is>
      </c>
      <c r="AE244" t="inlineStr">
        <is>
          <t>TDD Cyber</t>
        </is>
      </c>
      <c r="AF244" t="inlineStr">
        <is>
          <t>Squad</t>
        </is>
      </c>
      <c r="AG244" t="inlineStr">
        <is>
          <t>Vacant</t>
        </is>
      </c>
    </row>
    <row r="245" hidden="1" ht="18" customHeight="1" s="506">
      <c r="A245" s="259" t="inlineStr">
        <is>
          <t>V</t>
        </is>
      </c>
      <c r="B245" s="224" t="inlineStr">
        <is>
          <t>Vacant</t>
        </is>
      </c>
      <c r="C245" s="317" t="inlineStr">
        <is>
          <t>Lead – Asset &amp; Configuration</t>
        </is>
      </c>
      <c r="D245" s="224" t="inlineStr">
        <is>
          <t>Mick Collins</t>
        </is>
      </c>
      <c r="E245" s="224" t="inlineStr">
        <is>
          <t xml:space="preserve">Manager Cyber Security Operations </t>
        </is>
      </c>
      <c r="F245" s="224" t="inlineStr">
        <is>
          <t>Cyber, Risk &amp; Operations</t>
        </is>
      </c>
      <c r="G245" s="318" t="inlineStr">
        <is>
          <t>Service Op &amp; Assurance</t>
        </is>
      </c>
      <c r="H245" s="224" t="inlineStr">
        <is>
          <t>NA</t>
        </is>
      </c>
      <c r="I245" t="inlineStr">
        <is>
          <t>NA</t>
        </is>
      </c>
      <c r="J245" s="224" t="inlineStr">
        <is>
          <t>NA</t>
        </is>
      </c>
      <c r="K245" s="224" t="inlineStr">
        <is>
          <t>NA</t>
        </is>
      </c>
      <c r="L245" s="224" t="n"/>
      <c r="M245" s="319" t="inlineStr">
        <is>
          <t>Australia</t>
        </is>
      </c>
      <c r="N245" s="320" t="inlineStr">
        <is>
          <t>CIB</t>
        </is>
      </c>
      <c r="O245" s="320" t="n">
        <v>1</v>
      </c>
      <c r="P245" s="320" t="n"/>
      <c r="Q245" s="320" t="inlineStr">
        <is>
          <t>v</t>
        </is>
      </c>
      <c r="R245" s="322" t="n"/>
      <c r="S245" s="322" t="n"/>
      <c r="T245" s="334" t="n">
        <v>151950</v>
      </c>
      <c r="U245" s="705" t="n">
        <v>151950</v>
      </c>
      <c r="V245" s="325" t="n">
        <v>0.12</v>
      </c>
      <c r="W245" s="702" t="n">
        <v>0.055</v>
      </c>
      <c r="X245" s="702" t="n">
        <v>0.12</v>
      </c>
      <c r="Y245" s="703" t="n"/>
      <c r="Z245" s="702" t="n">
        <v>0.04</v>
      </c>
      <c r="AA245" s="701">
        <f>U245*(1+V245+W245+X245+Y245+Z245)</f>
        <v>202853.25</v>
      </c>
      <c r="AC245" t="inlineStr">
        <is>
          <t>TDD Cyber</t>
        </is>
      </c>
      <c r="AD245" t="inlineStr">
        <is>
          <t>TDD Cyber, Risk &amp; Service Ops</t>
        </is>
      </c>
      <c r="AE245" t="inlineStr">
        <is>
          <t>TDD Cyber</t>
        </is>
      </c>
      <c r="AF245" t="inlineStr">
        <is>
          <t>Squad</t>
        </is>
      </c>
      <c r="AG245" t="inlineStr">
        <is>
          <t>Vacant</t>
        </is>
      </c>
    </row>
    <row r="246" hidden="1" ht="18" customHeight="1" s="506">
      <c r="A246" s="259" t="inlineStr">
        <is>
          <t>V</t>
        </is>
      </c>
      <c r="B246" s="224" t="inlineStr">
        <is>
          <t>Vacant</t>
        </is>
      </c>
      <c r="C246" s="317" t="inlineStr">
        <is>
          <t>Lead – Service Performance &amp; Insights</t>
        </is>
      </c>
      <c r="D246" s="224" t="inlineStr">
        <is>
          <t>Mick Collins</t>
        </is>
      </c>
      <c r="E246" s="224" t="inlineStr">
        <is>
          <t xml:space="preserve">Manager Identity &amp; Access Management </t>
        </is>
      </c>
      <c r="F246" s="224" t="inlineStr">
        <is>
          <t>Cyber, Risk &amp; Operations</t>
        </is>
      </c>
      <c r="G246" s="318" t="inlineStr">
        <is>
          <t>Service Op &amp; Assurance</t>
        </is>
      </c>
      <c r="H246" s="224" t="inlineStr">
        <is>
          <t>NA</t>
        </is>
      </c>
      <c r="I246" s="224" t="inlineStr">
        <is>
          <t>NA</t>
        </is>
      </c>
      <c r="J246" s="224" t="inlineStr">
        <is>
          <t>NA</t>
        </is>
      </c>
      <c r="K246" s="224" t="inlineStr">
        <is>
          <t>NA</t>
        </is>
      </c>
      <c r="L246" s="224" t="n"/>
      <c r="M246" s="319" t="inlineStr">
        <is>
          <t>Australia</t>
        </is>
      </c>
      <c r="N246" s="320" t="inlineStr">
        <is>
          <t>CIB</t>
        </is>
      </c>
      <c r="O246" s="320" t="n">
        <v>1</v>
      </c>
      <c r="P246" s="320" t="n"/>
      <c r="Q246" s="320" t="inlineStr">
        <is>
          <t>v</t>
        </is>
      </c>
      <c r="R246" s="322" t="n"/>
      <c r="S246" s="322" t="n"/>
      <c r="T246" s="334" t="n">
        <v>151950</v>
      </c>
      <c r="U246" s="705" t="n">
        <v>151950</v>
      </c>
      <c r="V246" s="325" t="n">
        <v>0.12</v>
      </c>
      <c r="W246" s="702" t="n">
        <v>0.055</v>
      </c>
      <c r="X246" s="702" t="n">
        <v>0.12</v>
      </c>
      <c r="Y246" s="703" t="n"/>
      <c r="Z246" s="702" t="n">
        <v>0.04</v>
      </c>
      <c r="AA246" s="701">
        <f>U246*(1+V246+W246+X246+Y246+Z246)</f>
        <v>202853.25</v>
      </c>
      <c r="AC246" t="inlineStr">
        <is>
          <t>TDD Cyber</t>
        </is>
      </c>
      <c r="AD246" t="inlineStr">
        <is>
          <t>TDD Cyber, Risk &amp; Service Ops</t>
        </is>
      </c>
      <c r="AE246" t="inlineStr">
        <is>
          <t>TDD Cyber</t>
        </is>
      </c>
      <c r="AF246" t="inlineStr">
        <is>
          <t>Squad</t>
        </is>
      </c>
      <c r="AG246" t="inlineStr">
        <is>
          <t>Vacant</t>
        </is>
      </c>
    </row>
    <row r="247" hidden="1" ht="18" customHeight="1" s="506">
      <c r="A247" s="259" t="inlineStr">
        <is>
          <t>V</t>
        </is>
      </c>
      <c r="B247" s="224" t="inlineStr">
        <is>
          <t>Vacant</t>
        </is>
      </c>
      <c r="C247" s="317" t="inlineStr">
        <is>
          <t>Operations Analyst</t>
        </is>
      </c>
      <c r="D247" s="224" t="inlineStr">
        <is>
          <t>Mick Collins</t>
        </is>
      </c>
      <c r="E247" s="224" t="inlineStr">
        <is>
          <t>Cyber Architecture Lead</t>
        </is>
      </c>
      <c r="F247" s="224" t="inlineStr">
        <is>
          <t>Cyber, Risk &amp; Operations</t>
        </is>
      </c>
      <c r="G247" s="318" t="inlineStr">
        <is>
          <t>Service Op &amp; Assurance</t>
        </is>
      </c>
      <c r="H247" s="224" t="inlineStr">
        <is>
          <t>NA</t>
        </is>
      </c>
      <c r="I247" s="224" t="inlineStr">
        <is>
          <t>NA</t>
        </is>
      </c>
      <c r="J247" s="224" t="inlineStr">
        <is>
          <t>NA</t>
        </is>
      </c>
      <c r="K247" s="224" t="inlineStr">
        <is>
          <t>NA</t>
        </is>
      </c>
      <c r="L247" s="224" t="n"/>
      <c r="M247" s="319" t="inlineStr">
        <is>
          <t>Australia</t>
        </is>
      </c>
      <c r="N247" s="320" t="inlineStr">
        <is>
          <t>cia</t>
        </is>
      </c>
      <c r="O247" s="320" t="n">
        <v>1</v>
      </c>
      <c r="P247" s="320" t="n"/>
      <c r="Q247" s="320" t="inlineStr">
        <is>
          <t>v</t>
        </is>
      </c>
      <c r="R247" s="322" t="n"/>
      <c r="S247" s="322" t="n"/>
      <c r="T247" s="334" t="n">
        <v>129650</v>
      </c>
      <c r="U247" s="705" t="n">
        <v>129650</v>
      </c>
      <c r="V247" s="325" t="n">
        <v>0.1</v>
      </c>
      <c r="W247" s="702" t="n">
        <v>0.055</v>
      </c>
      <c r="X247" s="702" t="n">
        <v>0.12</v>
      </c>
      <c r="Y247" s="703" t="n"/>
      <c r="Z247" s="702" t="n">
        <v>0.04</v>
      </c>
      <c r="AA247" s="701">
        <f>U247*(1+V247+W247+X247+Y247+Z247)</f>
        <v>170489.75</v>
      </c>
      <c r="AC247" t="inlineStr">
        <is>
          <t>TDD Cyber</t>
        </is>
      </c>
      <c r="AD247" t="inlineStr">
        <is>
          <t>TDD Cyber, Risk &amp; Service Ops</t>
        </is>
      </c>
      <c r="AE247" t="inlineStr">
        <is>
          <t>TDD Cyber</t>
        </is>
      </c>
      <c r="AF247" t="inlineStr">
        <is>
          <t>Squad</t>
        </is>
      </c>
      <c r="AG247" t="inlineStr">
        <is>
          <t>Vacant</t>
        </is>
      </c>
    </row>
    <row r="248" hidden="1" ht="18" customHeight="1" s="506">
      <c r="A248" s="259" t="inlineStr">
        <is>
          <t>V</t>
        </is>
      </c>
      <c r="B248" s="224" t="inlineStr">
        <is>
          <t>Vacant</t>
        </is>
      </c>
      <c r="C248" s="317" t="inlineStr">
        <is>
          <t>Operations Analyst</t>
        </is>
      </c>
      <c r="D248" s="224" t="inlineStr">
        <is>
          <t>Mick Collins</t>
        </is>
      </c>
      <c r="E248" s="224" t="inlineStr">
        <is>
          <t xml:space="preserve">Manager Service Management &amp; Major Incident Management Lead </t>
        </is>
      </c>
      <c r="F248" s="224" t="inlineStr">
        <is>
          <t>Cyber, Risk &amp; Operations</t>
        </is>
      </c>
      <c r="G248" s="318" t="inlineStr">
        <is>
          <t>Service Op &amp; Assurance</t>
        </is>
      </c>
      <c r="H248" s="224" t="inlineStr">
        <is>
          <t>NA</t>
        </is>
      </c>
      <c r="I248" s="224" t="inlineStr">
        <is>
          <t>NA</t>
        </is>
      </c>
      <c r="J248" s="224" t="inlineStr">
        <is>
          <t>NA</t>
        </is>
      </c>
      <c r="K248" s="224" t="inlineStr">
        <is>
          <t>NA</t>
        </is>
      </c>
      <c r="L248" s="224" t="n"/>
      <c r="M248" s="319" t="inlineStr">
        <is>
          <t>Australia</t>
        </is>
      </c>
      <c r="N248" s="320" t="inlineStr">
        <is>
          <t>cia</t>
        </is>
      </c>
      <c r="O248" s="320" t="n">
        <v>1</v>
      </c>
      <c r="P248" s="320" t="n"/>
      <c r="Q248" s="320" t="inlineStr">
        <is>
          <t>v</t>
        </is>
      </c>
      <c r="R248" s="322" t="n"/>
      <c r="S248" s="322" t="n"/>
      <c r="T248" s="334" t="n">
        <v>129650</v>
      </c>
      <c r="U248" s="705" t="n">
        <v>129650</v>
      </c>
      <c r="V248" s="325" t="n">
        <v>0.1</v>
      </c>
      <c r="W248" s="702" t="n">
        <v>0.055</v>
      </c>
      <c r="X248" s="702" t="n">
        <v>0.12</v>
      </c>
      <c r="Y248" s="703" t="n"/>
      <c r="Z248" s="702" t="n">
        <v>0.04</v>
      </c>
      <c r="AA248" s="701">
        <f>U248*(1+V248+W248+X248+Y248+Z248)</f>
        <v>170489.75</v>
      </c>
      <c r="AC248" t="inlineStr">
        <is>
          <t>TDD Cyber</t>
        </is>
      </c>
      <c r="AD248" t="inlineStr">
        <is>
          <t>TDD Cyber, Risk &amp; Service Ops</t>
        </is>
      </c>
      <c r="AE248" t="inlineStr">
        <is>
          <t>TDD Cyber</t>
        </is>
      </c>
      <c r="AF248" t="inlineStr">
        <is>
          <t>Squad</t>
        </is>
      </c>
      <c r="AG248" t="inlineStr">
        <is>
          <t>Vacant</t>
        </is>
      </c>
    </row>
    <row r="249" hidden="1" ht="18" customHeight="1" s="506">
      <c r="A249" s="259" t="inlineStr">
        <is>
          <t>V</t>
        </is>
      </c>
      <c r="B249" s="224" t="inlineStr">
        <is>
          <t xml:space="preserve">Vacant </t>
        </is>
      </c>
      <c r="C249" s="317" t="inlineStr">
        <is>
          <t>Data Risk Analyst</t>
        </is>
      </c>
      <c r="D249" s="224" t="inlineStr">
        <is>
          <t>Brian Gates</t>
        </is>
      </c>
      <c r="E249" s="224" t="n"/>
      <c r="F249" s="224" t="inlineStr">
        <is>
          <t>Cyber, Risk &amp; Operations</t>
        </is>
      </c>
      <c r="G249" s="318" t="inlineStr">
        <is>
          <t>Cyber Risk</t>
        </is>
      </c>
      <c r="H249" s="224" t="inlineStr">
        <is>
          <t>NA</t>
        </is>
      </c>
      <c r="I249" s="224" t="inlineStr">
        <is>
          <t>NA</t>
        </is>
      </c>
      <c r="J249" s="224" t="inlineStr">
        <is>
          <t>NA</t>
        </is>
      </c>
      <c r="K249" s="224" t="inlineStr">
        <is>
          <t>NA</t>
        </is>
      </c>
      <c r="L249" s="224" t="n"/>
      <c r="M249" s="319" t="inlineStr">
        <is>
          <t>Australia</t>
        </is>
      </c>
      <c r="N249" s="320" t="inlineStr">
        <is>
          <t>CIA</t>
        </is>
      </c>
      <c r="O249" s="320" t="n">
        <v>1</v>
      </c>
      <c r="P249" s="320" t="n"/>
      <c r="Q249" s="320" t="inlineStr">
        <is>
          <t>V</t>
        </is>
      </c>
      <c r="R249" s="322" t="n"/>
      <c r="S249" s="322" t="n"/>
      <c r="T249" s="334" t="n">
        <v>129650</v>
      </c>
      <c r="U249" s="705" t="n">
        <v>129650</v>
      </c>
      <c r="V249" s="325" t="n">
        <v>0.1</v>
      </c>
      <c r="W249" s="702" t="n">
        <v>0.055</v>
      </c>
      <c r="X249" s="702" t="n">
        <v>0.12</v>
      </c>
      <c r="Y249" s="703" t="n"/>
      <c r="Z249" s="702" t="n">
        <v>0.04</v>
      </c>
      <c r="AA249" s="701">
        <f>U249*(1+V249+W249+X249+Y249+Z249)</f>
        <v>170489.75</v>
      </c>
      <c r="AC249" t="inlineStr">
        <is>
          <t>TDD Cyber</t>
        </is>
      </c>
      <c r="AD249" t="inlineStr">
        <is>
          <t>TDD Cyber, Risk &amp; Service Ops</t>
        </is>
      </c>
      <c r="AE249" t="inlineStr">
        <is>
          <t>TDD Cyber</t>
        </is>
      </c>
      <c r="AF249" t="inlineStr">
        <is>
          <t>Squad</t>
        </is>
      </c>
      <c r="AG249" t="inlineStr">
        <is>
          <t>Vacant</t>
        </is>
      </c>
    </row>
    <row r="250" hidden="1" ht="18" customHeight="1" s="506">
      <c r="A250" s="259" t="inlineStr">
        <is>
          <t>V</t>
        </is>
      </c>
      <c r="B250" s="224" t="inlineStr">
        <is>
          <t xml:space="preserve">Vacant </t>
        </is>
      </c>
      <c r="C250" s="317" t="inlineStr">
        <is>
          <t>Data Risk Analyst</t>
        </is>
      </c>
      <c r="D250" s="224" t="inlineStr">
        <is>
          <t>Brian Gates</t>
        </is>
      </c>
      <c r="E250" s="224" t="n"/>
      <c r="F250" s="224" t="inlineStr">
        <is>
          <t>Cyber, Risk &amp; Operations</t>
        </is>
      </c>
      <c r="G250" s="318" t="inlineStr">
        <is>
          <t>Cyber Risk</t>
        </is>
      </c>
      <c r="H250" s="224" t="inlineStr">
        <is>
          <t>NA</t>
        </is>
      </c>
      <c r="I250" s="224" t="inlineStr">
        <is>
          <t>NA</t>
        </is>
      </c>
      <c r="J250" s="224" t="inlineStr">
        <is>
          <t>NA</t>
        </is>
      </c>
      <c r="K250" s="224" t="inlineStr">
        <is>
          <t>NA</t>
        </is>
      </c>
      <c r="L250" s="224" t="n"/>
      <c r="M250" s="319" t="inlineStr">
        <is>
          <t>Australia</t>
        </is>
      </c>
      <c r="N250" s="320" t="inlineStr">
        <is>
          <t>CIA</t>
        </is>
      </c>
      <c r="O250" s="320" t="n">
        <v>1</v>
      </c>
      <c r="P250" s="320" t="n"/>
      <c r="Q250" s="320" t="inlineStr">
        <is>
          <t>V</t>
        </is>
      </c>
      <c r="R250" s="322" t="n"/>
      <c r="S250" s="322" t="n"/>
      <c r="T250" s="334" t="n">
        <v>129650</v>
      </c>
      <c r="U250" s="705" t="n">
        <v>129650</v>
      </c>
      <c r="V250" s="325" t="n">
        <v>0.1</v>
      </c>
      <c r="W250" s="702" t="n">
        <v>0.055</v>
      </c>
      <c r="X250" s="702" t="n">
        <v>0.12</v>
      </c>
      <c r="Y250" s="703" t="n"/>
      <c r="Z250" s="702" t="n">
        <v>0.04</v>
      </c>
      <c r="AA250" s="701">
        <f>U250*(1+V250+W250+X250+Y250+Z250)</f>
        <v>170489.75</v>
      </c>
      <c r="AC250" t="inlineStr">
        <is>
          <t>TDD Cyber</t>
        </is>
      </c>
      <c r="AD250" t="inlineStr">
        <is>
          <t>TDD Cyber, Risk &amp; Service Ops</t>
        </is>
      </c>
      <c r="AE250" t="inlineStr">
        <is>
          <t>TDD Cyber</t>
        </is>
      </c>
      <c r="AF250" t="inlineStr">
        <is>
          <t>Squad</t>
        </is>
      </c>
      <c r="AG250" t="inlineStr">
        <is>
          <t>Vacant</t>
        </is>
      </c>
    </row>
    <row r="251" hidden="1" ht="18" customHeight="1" s="506">
      <c r="A251" s="259" t="inlineStr">
        <is>
          <t>V</t>
        </is>
      </c>
      <c r="B251" s="224" t="inlineStr">
        <is>
          <t>Vacant  (AKL )</t>
        </is>
      </c>
      <c r="C251" s="317" t="inlineStr">
        <is>
          <t>Tech Support Technician</t>
        </is>
      </c>
      <c r="D251" s="224" t="inlineStr">
        <is>
          <t>Mark Pearson</t>
        </is>
      </c>
      <c r="E251" s="224" t="n"/>
      <c r="F251" s="224" t="inlineStr">
        <is>
          <t>Cyber, Risk &amp; Operations</t>
        </is>
      </c>
      <c r="G251" s="318" t="inlineStr">
        <is>
          <t>Service Op &amp; Assurance</t>
        </is>
      </c>
      <c r="H251" s="224" t="inlineStr">
        <is>
          <t>NA</t>
        </is>
      </c>
      <c r="I251" s="224" t="inlineStr">
        <is>
          <t>NA</t>
        </is>
      </c>
      <c r="J251" s="224" t="inlineStr">
        <is>
          <t>NA</t>
        </is>
      </c>
      <c r="K251" s="224" t="inlineStr">
        <is>
          <t>NA</t>
        </is>
      </c>
      <c r="L251" s="224" t="n"/>
      <c r="M251" s="319" t="inlineStr">
        <is>
          <t>Australia</t>
        </is>
      </c>
      <c r="N251" s="320" t="inlineStr">
        <is>
          <t>CDB</t>
        </is>
      </c>
      <c r="O251" s="320" t="n">
        <v>1</v>
      </c>
      <c r="P251" s="320" t="n"/>
      <c r="Q251" s="320" t="inlineStr">
        <is>
          <t>v</t>
        </is>
      </c>
      <c r="R251" s="322" t="n"/>
      <c r="S251" s="322" t="n"/>
      <c r="T251" s="334" t="n">
        <v>94650</v>
      </c>
      <c r="U251" s="705" t="n">
        <v>94650</v>
      </c>
      <c r="V251" s="325" t="n">
        <v>0.08</v>
      </c>
      <c r="W251" s="702" t="n">
        <v>0.055</v>
      </c>
      <c r="X251" s="702" t="n">
        <v>0.12</v>
      </c>
      <c r="Y251" s="703" t="n"/>
      <c r="Z251" s="702" t="n">
        <v>0.04</v>
      </c>
      <c r="AA251" s="701">
        <f>U251*(1+V251+W251+X251+Y251+Z251)</f>
        <v>122571.75</v>
      </c>
      <c r="AC251" t="inlineStr">
        <is>
          <t>TDD Cyber</t>
        </is>
      </c>
      <c r="AD251" t="inlineStr">
        <is>
          <t>TDD Cyber, Risk &amp; Service Ops</t>
        </is>
      </c>
      <c r="AE251" t="inlineStr">
        <is>
          <t>TDD Cyber</t>
        </is>
      </c>
      <c r="AF251" t="inlineStr">
        <is>
          <t>Squad</t>
        </is>
      </c>
      <c r="AG251" t="inlineStr">
        <is>
          <t>Filled</t>
        </is>
      </c>
    </row>
    <row r="252" hidden="1" ht="18" customHeight="1" s="506">
      <c r="A252" s="259" t="inlineStr">
        <is>
          <t>V</t>
        </is>
      </c>
      <c r="B252" s="224" t="inlineStr">
        <is>
          <t>Vacant (SYD)</t>
        </is>
      </c>
      <c r="C252" s="317" t="inlineStr">
        <is>
          <t>Tech Support Technician</t>
        </is>
      </c>
      <c r="D252" s="224" t="inlineStr">
        <is>
          <t>Mark Pearson</t>
        </is>
      </c>
      <c r="E252" s="224" t="n"/>
      <c r="F252" s="224" t="inlineStr">
        <is>
          <t>Cyber, Risk &amp; Operations</t>
        </is>
      </c>
      <c r="G252" s="318" t="inlineStr">
        <is>
          <t>Service Op &amp; Assurance</t>
        </is>
      </c>
      <c r="H252" s="224" t="inlineStr">
        <is>
          <t>NA</t>
        </is>
      </c>
      <c r="I252" s="224" t="inlineStr">
        <is>
          <t>NA</t>
        </is>
      </c>
      <c r="J252" s="224" t="inlineStr">
        <is>
          <t>NA</t>
        </is>
      </c>
      <c r="K252" s="224" t="inlineStr">
        <is>
          <t>NA</t>
        </is>
      </c>
      <c r="L252" s="224" t="n"/>
      <c r="M252" s="319" t="inlineStr">
        <is>
          <t>Australia</t>
        </is>
      </c>
      <c r="N252" s="320" t="inlineStr">
        <is>
          <t>CDB</t>
        </is>
      </c>
      <c r="O252" s="320" t="n">
        <v>1</v>
      </c>
      <c r="P252" s="320" t="n"/>
      <c r="Q252" s="320" t="inlineStr">
        <is>
          <t>v</t>
        </is>
      </c>
      <c r="R252" s="322" t="n"/>
      <c r="S252" s="322" t="n"/>
      <c r="T252" s="334" t="n">
        <v>94650</v>
      </c>
      <c r="U252" s="705" t="n">
        <v>94650</v>
      </c>
      <c r="V252" s="325" t="n">
        <v>0.08</v>
      </c>
      <c r="W252" s="702" t="n">
        <v>0.055</v>
      </c>
      <c r="X252" s="702" t="n">
        <v>0.12</v>
      </c>
      <c r="Y252" s="703" t="n"/>
      <c r="Z252" s="702" t="n">
        <v>0.04</v>
      </c>
      <c r="AA252" s="701">
        <f>U252*(1+V252+W252+X252+Y252+Z252)</f>
        <v>122571.75</v>
      </c>
      <c r="AC252" t="inlineStr">
        <is>
          <t>TDD Cyber</t>
        </is>
      </c>
      <c r="AD252" t="inlineStr">
        <is>
          <t>TDD Cyber, Risk &amp; Service Ops</t>
        </is>
      </c>
      <c r="AE252" t="inlineStr">
        <is>
          <t>TDD Cyber</t>
        </is>
      </c>
      <c r="AF252" t="inlineStr">
        <is>
          <t>Squad</t>
        </is>
      </c>
      <c r="AG252" t="inlineStr">
        <is>
          <t>Filled</t>
        </is>
      </c>
    </row>
    <row r="253" hidden="1" ht="18" customHeight="1" s="506">
      <c r="A253" s="259" t="n">
        <v>99999101697</v>
      </c>
      <c r="B253" s="224" t="inlineStr">
        <is>
          <t>Vanessa Castro</t>
        </is>
      </c>
      <c r="C253" s="317" t="inlineStr">
        <is>
          <t>Cyber GRC Analyst</t>
        </is>
      </c>
      <c r="D253" s="224" t="inlineStr">
        <is>
          <t>Diya Thomas</t>
        </is>
      </c>
      <c r="E253" s="224" t="n"/>
      <c r="F253" s="224" t="inlineStr">
        <is>
          <t>Cyber, Risk &amp; Operations</t>
        </is>
      </c>
      <c r="G253" s="318" t="inlineStr">
        <is>
          <t>Cyber GRC</t>
        </is>
      </c>
      <c r="H253" s="224" t="inlineStr">
        <is>
          <t>NA</t>
        </is>
      </c>
      <c r="I253" s="224" t="inlineStr">
        <is>
          <t>NA</t>
        </is>
      </c>
      <c r="J253" s="224" t="inlineStr">
        <is>
          <t>NA</t>
        </is>
      </c>
      <c r="K253" s="224" t="inlineStr">
        <is>
          <t>NA</t>
        </is>
      </c>
      <c r="L253" s="224" t="n"/>
      <c r="M253" s="319" t="inlineStr">
        <is>
          <t>NZ</t>
        </is>
      </c>
      <c r="N253" s="320" t="inlineStr">
        <is>
          <t>CIA</t>
        </is>
      </c>
      <c r="O253" s="321" t="n">
        <v>1</v>
      </c>
      <c r="P253" s="320" t="n"/>
      <c r="Q253" s="321" t="inlineStr">
        <is>
          <t>Permanent - Full Time</t>
        </is>
      </c>
      <c r="R253" s="322" t="n"/>
      <c r="S253" s="322" t="n"/>
      <c r="T253" s="334" t="n">
        <v>113930</v>
      </c>
      <c r="U253" s="705" t="n">
        <v>104815.6</v>
      </c>
      <c r="V253" s="324" t="n">
        <v>0.15</v>
      </c>
      <c r="W253" s="322" t="n"/>
      <c r="X253" s="325" t="n">
        <v>0.05</v>
      </c>
      <c r="Y253" s="700" t="n">
        <v>2910</v>
      </c>
      <c r="Z253" s="325" t="n">
        <v>0.03</v>
      </c>
      <c r="AA253" s="701">
        <f>U253*(1+V253+X253+Z253)+Y253</f>
        <v>131833.18800000002</v>
      </c>
      <c r="AB253" t="n">
        <v>113621</v>
      </c>
      <c r="AC253" t="inlineStr">
        <is>
          <t>TDD Cyber</t>
        </is>
      </c>
      <c r="AD253" t="inlineStr">
        <is>
          <t>TDD Cyber, Risk &amp; Service Ops</t>
        </is>
      </c>
      <c r="AE253" t="inlineStr">
        <is>
          <t>TDD Cyber</t>
        </is>
      </c>
      <c r="AF253" t="inlineStr">
        <is>
          <t>Squad</t>
        </is>
      </c>
      <c r="AG253" t="inlineStr">
        <is>
          <t>Filled</t>
        </is>
      </c>
    </row>
    <row r="254" hidden="1" ht="18" customHeight="1" s="506">
      <c r="A254" s="259" t="n">
        <v>101830</v>
      </c>
      <c r="B254" s="224" t="inlineStr">
        <is>
          <t>Vivienne Vasak</t>
        </is>
      </c>
      <c r="C254" s="317" t="inlineStr">
        <is>
          <t>Portfolio Manager Cyber Security</t>
        </is>
      </c>
      <c r="D254" s="224" t="inlineStr">
        <is>
          <t>James Byrne</t>
        </is>
      </c>
      <c r="E254" s="224" t="inlineStr">
        <is>
          <t xml:space="preserve">Manager Service Perforance &amp; Assurance </t>
        </is>
      </c>
      <c r="F254" s="224" t="inlineStr">
        <is>
          <t>Cyber, Risk &amp; Operations</t>
        </is>
      </c>
      <c r="G254" s="318" t="inlineStr">
        <is>
          <t>Cyber Strat &amp; Tech</t>
        </is>
      </c>
      <c r="H254" s="224" t="inlineStr">
        <is>
          <t>NA</t>
        </is>
      </c>
      <c r="I254" s="224" t="inlineStr">
        <is>
          <t>NA</t>
        </is>
      </c>
      <c r="J254" s="224" t="inlineStr">
        <is>
          <t>NA</t>
        </is>
      </c>
      <c r="K254" s="224" t="inlineStr">
        <is>
          <t>NA</t>
        </is>
      </c>
      <c r="L254" s="224" t="n"/>
      <c r="M254" s="319" t="inlineStr">
        <is>
          <t>Australia</t>
        </is>
      </c>
      <c r="N254" s="320" t="inlineStr">
        <is>
          <t>CSB</t>
        </is>
      </c>
      <c r="O254" s="320" t="n">
        <v>1</v>
      </c>
      <c r="P254" s="320" t="n"/>
      <c r="Q254" s="320" t="inlineStr">
        <is>
          <t>Permanent - Full Time</t>
        </is>
      </c>
      <c r="R254" s="322" t="n"/>
      <c r="S254" s="322" t="n"/>
      <c r="T254" s="334" t="n">
        <v>232970</v>
      </c>
      <c r="U254" s="705" t="n">
        <v>232970</v>
      </c>
      <c r="V254" s="325" t="n">
        <v>0.14</v>
      </c>
      <c r="W254" s="702" t="n">
        <v>0.055</v>
      </c>
      <c r="X254" s="702" t="n">
        <v>0.12</v>
      </c>
      <c r="Y254" s="703" t="n"/>
      <c r="Z254" s="702" t="n">
        <v>0.04</v>
      </c>
      <c r="AA254" s="701">
        <f>U254*(1+V254+W254+X254+Y254+Z254)</f>
        <v>315674.35</v>
      </c>
      <c r="AC254" t="inlineStr">
        <is>
          <t>TDD Cyber</t>
        </is>
      </c>
      <c r="AD254" t="inlineStr">
        <is>
          <t>TDD Cyber, Risk &amp; Service Ops</t>
        </is>
      </c>
      <c r="AE254" t="inlineStr">
        <is>
          <t>TDD Cyber</t>
        </is>
      </c>
      <c r="AF254" t="inlineStr">
        <is>
          <t>Squad</t>
        </is>
      </c>
      <c r="AG254" t="inlineStr">
        <is>
          <t>Filled</t>
        </is>
      </c>
    </row>
    <row r="255" hidden="1" ht="18" customHeight="1" s="506">
      <c r="A255" s="259" t="inlineStr">
        <is>
          <t>C</t>
        </is>
      </c>
      <c r="B255" s="224" t="inlineStr">
        <is>
          <t>Ahmed Yehya</t>
        </is>
      </c>
      <c r="C255" s="317" t="inlineStr">
        <is>
          <t>TDD Strategic Delivery</t>
        </is>
      </c>
      <c r="D255" s="224" t="inlineStr">
        <is>
          <t>Greg Cassis</t>
        </is>
      </c>
      <c r="E255" s="318" t="inlineStr">
        <is>
          <t>GM TDD, EGI</t>
        </is>
      </c>
      <c r="F255" s="224" t="inlineStr">
        <is>
          <t>EGI</t>
        </is>
      </c>
      <c r="G255" s="318" t="inlineStr">
        <is>
          <t>EGI</t>
        </is>
      </c>
      <c r="H255" s="318" t="inlineStr">
        <is>
          <t>EGI</t>
        </is>
      </c>
      <c r="I255" s="318" t="inlineStr">
        <is>
          <t>EGI</t>
        </is>
      </c>
      <c r="J255" s="318" t="inlineStr">
        <is>
          <t>EGI</t>
        </is>
      </c>
      <c r="K255" s="318" t="inlineStr">
        <is>
          <t>EGI</t>
        </is>
      </c>
      <c r="L255" s="318" t="n"/>
      <c r="M255" s="319" t="inlineStr">
        <is>
          <t>Australia</t>
        </is>
      </c>
      <c r="N255" s="320" t="inlineStr">
        <is>
          <t>na</t>
        </is>
      </c>
      <c r="O255" s="320" t="n">
        <v>1</v>
      </c>
      <c r="P255" s="320" t="n"/>
      <c r="Q255" s="322" t="inlineStr">
        <is>
          <t>cxc</t>
        </is>
      </c>
      <c r="R255" s="322" t="inlineStr">
        <is>
          <t>Daily</t>
        </is>
      </c>
      <c r="S255" s="322" t="n">
        <v>1250</v>
      </c>
      <c r="T255" s="334" t="n">
        <v>0</v>
      </c>
      <c r="U255" s="705" t="n"/>
      <c r="V255" s="325" t="n"/>
      <c r="W255" s="702" t="n"/>
      <c r="X255" s="702" t="n"/>
      <c r="Y255" s="703" t="n"/>
      <c r="Z255" s="702" t="n"/>
      <c r="AA255" s="704">
        <f>S255*222</f>
        <v>277500.0</v>
      </c>
      <c r="AC255" t="inlineStr">
        <is>
          <t>EGI</t>
        </is>
      </c>
      <c r="AD255" t="inlineStr">
        <is>
          <t>EGI</t>
        </is>
      </c>
      <c r="AE255" t="inlineStr">
        <is>
          <t>EGI (unassigned)</t>
        </is>
      </c>
      <c r="AF255" t="inlineStr">
        <is>
          <t>Unmapped</t>
        </is>
      </c>
      <c r="AG255" t="inlineStr">
        <is>
          <t>Filled</t>
        </is>
      </c>
    </row>
    <row r="256" hidden="1" ht="18" customHeight="1" s="506">
      <c r="A256" s="259" t="inlineStr">
        <is>
          <t>C</t>
        </is>
      </c>
      <c r="B256" s="224" t="inlineStr">
        <is>
          <t>Anthony Huynh</t>
        </is>
      </c>
      <c r="C256" s="317" t="inlineStr">
        <is>
          <t>Strategic Delivery Consultant</t>
        </is>
      </c>
      <c r="D256" s="224" t="inlineStr">
        <is>
          <t>Greg Cassis</t>
        </is>
      </c>
      <c r="E256" s="318" t="inlineStr">
        <is>
          <t>GM TDD, EGI</t>
        </is>
      </c>
      <c r="F256" s="224" t="inlineStr">
        <is>
          <t>EGI</t>
        </is>
      </c>
      <c r="G256" s="318" t="inlineStr">
        <is>
          <t>EGI</t>
        </is>
      </c>
      <c r="H256" s="318" t="inlineStr">
        <is>
          <t>EGI</t>
        </is>
      </c>
      <c r="I256" s="318" t="inlineStr">
        <is>
          <t>EGI</t>
        </is>
      </c>
      <c r="J256" s="224" t="inlineStr">
        <is>
          <t>EGI</t>
        </is>
      </c>
      <c r="K256" s="224" t="inlineStr">
        <is>
          <t>EGI</t>
        </is>
      </c>
      <c r="L256" s="318" t="n"/>
      <c r="M256" s="319" t="inlineStr">
        <is>
          <t>australia</t>
        </is>
      </c>
      <c r="N256" s="320" t="inlineStr">
        <is>
          <t>NA</t>
        </is>
      </c>
      <c r="O256" s="320" t="n">
        <v>1</v>
      </c>
      <c r="P256" s="320" t="n"/>
      <c r="Q256" s="322" t="inlineStr">
        <is>
          <t>cxc</t>
        </is>
      </c>
      <c r="R256" s="322" t="inlineStr">
        <is>
          <t>daily</t>
        </is>
      </c>
      <c r="S256" s="322" t="n">
        <v>1357</v>
      </c>
      <c r="T256" s="334" t="n">
        <v>0</v>
      </c>
      <c r="U256" s="705" t="n"/>
      <c r="V256" s="325" t="n"/>
      <c r="W256" s="702" t="n"/>
      <c r="X256" s="702" t="n"/>
      <c r="Y256" s="703" t="n"/>
      <c r="Z256" s="702" t="n"/>
      <c r="AA256" s="704">
        <f>S256*222</f>
        <v>301254.0</v>
      </c>
      <c r="AC256" t="inlineStr">
        <is>
          <t>EGI</t>
        </is>
      </c>
      <c r="AD256" t="inlineStr">
        <is>
          <t>EGI</t>
        </is>
      </c>
      <c r="AE256" t="inlineStr">
        <is>
          <t>EGI (unassigned)</t>
        </is>
      </c>
      <c r="AF256" t="inlineStr">
        <is>
          <t>Unmapped</t>
        </is>
      </c>
      <c r="AG256" t="inlineStr">
        <is>
          <t>Filled</t>
        </is>
      </c>
    </row>
    <row r="257" hidden="1" ht="18" customHeight="1" s="506">
      <c r="A257" s="259" t="inlineStr">
        <is>
          <t>C</t>
        </is>
      </c>
      <c r="B257" s="224" t="inlineStr">
        <is>
          <t>Areum Kim Lee</t>
        </is>
      </c>
      <c r="C257" s="317" t="inlineStr">
        <is>
          <t>Program Manager (PEP13-EGI-UKG)</t>
        </is>
      </c>
      <c r="D257" s="224" t="inlineStr">
        <is>
          <t>Greg Cassis</t>
        </is>
      </c>
      <c r="E257" s="318" t="inlineStr">
        <is>
          <t>GM TDD, EGI</t>
        </is>
      </c>
      <c r="F257" s="224" t="inlineStr">
        <is>
          <t>EGI</t>
        </is>
      </c>
      <c r="G257" s="318" t="inlineStr">
        <is>
          <t>EGI</t>
        </is>
      </c>
      <c r="H257" s="318" t="inlineStr">
        <is>
          <t>EGI</t>
        </is>
      </c>
      <c r="I257" s="318" t="inlineStr">
        <is>
          <t>EGI</t>
        </is>
      </c>
      <c r="J257" s="318" t="inlineStr">
        <is>
          <t>EGI</t>
        </is>
      </c>
      <c r="K257" s="224" t="inlineStr">
        <is>
          <t>EGI</t>
        </is>
      </c>
      <c r="L257" s="318" t="n"/>
      <c r="M257" s="319" t="inlineStr">
        <is>
          <t>Australia</t>
        </is>
      </c>
      <c r="N257" s="322" t="inlineStr">
        <is>
          <t>NA</t>
        </is>
      </c>
      <c r="O257" s="320" t="n">
        <v>1</v>
      </c>
      <c r="P257" s="322" t="n"/>
      <c r="Q257" s="322" t="inlineStr">
        <is>
          <t>cxc</t>
        </is>
      </c>
      <c r="R257" s="331" t="inlineStr">
        <is>
          <t>Daily</t>
        </is>
      </c>
      <c r="S257" s="322" t="n">
        <v>1545.76</v>
      </c>
      <c r="T257" s="334" t="n">
        <v>0</v>
      </c>
      <c r="U257" s="334" t="n"/>
      <c r="V257" s="318" t="n"/>
      <c r="W257" s="318" t="n"/>
      <c r="X257" s="318" t="n"/>
      <c r="Y257" s="318" t="n"/>
      <c r="Z257" s="318" t="n"/>
      <c r="AA257" s="704">
        <f>S257*222</f>
        <v>343158.72</v>
      </c>
      <c r="AC257" t="inlineStr">
        <is>
          <t>EGI</t>
        </is>
      </c>
      <c r="AD257" t="inlineStr">
        <is>
          <t>EGI</t>
        </is>
      </c>
      <c r="AE257" t="inlineStr">
        <is>
          <t>EGI (unassigned)</t>
        </is>
      </c>
      <c r="AF257" t="inlineStr">
        <is>
          <t>Unmapped</t>
        </is>
      </c>
      <c r="AG257" t="inlineStr">
        <is>
          <t>Filled</t>
        </is>
      </c>
    </row>
    <row r="258" hidden="1" ht="18" customHeight="1" s="506">
      <c r="A258" s="259" t="inlineStr">
        <is>
          <t>C</t>
        </is>
      </c>
      <c r="B258" s="224" t="inlineStr">
        <is>
          <t>Ernesto Pereira</t>
        </is>
      </c>
      <c r="C258" s="317" t="inlineStr">
        <is>
          <t>Project Manger</t>
        </is>
      </c>
      <c r="D258" s="224" t="inlineStr">
        <is>
          <t>Trena Foote</t>
        </is>
      </c>
      <c r="E258" s="224" t="inlineStr">
        <is>
          <t>Project Manger</t>
        </is>
      </c>
      <c r="F258" s="224" t="inlineStr">
        <is>
          <t>EGI</t>
        </is>
      </c>
      <c r="G258" s="318" t="inlineStr">
        <is>
          <t>EGI</t>
        </is>
      </c>
      <c r="H258" s="318" t="inlineStr">
        <is>
          <t>EGI</t>
        </is>
      </c>
      <c r="I258" s="318" t="inlineStr">
        <is>
          <t>EGI</t>
        </is>
      </c>
      <c r="J258" s="318" t="inlineStr">
        <is>
          <t>EGI</t>
        </is>
      </c>
      <c r="K258" s="318" t="inlineStr">
        <is>
          <t>EGI</t>
        </is>
      </c>
      <c r="L258" s="318" t="n"/>
      <c r="M258" s="319" t="inlineStr">
        <is>
          <t>Australia</t>
        </is>
      </c>
      <c r="N258" s="322" t="inlineStr">
        <is>
          <t>na</t>
        </is>
      </c>
      <c r="O258" s="322" t="n">
        <v>1</v>
      </c>
      <c r="P258" s="322" t="n"/>
      <c r="Q258" s="322" t="inlineStr">
        <is>
          <t>cxc</t>
        </is>
      </c>
      <c r="R258" s="322" t="inlineStr">
        <is>
          <t>daily</t>
        </is>
      </c>
      <c r="S258" s="322" t="n">
        <v>1000</v>
      </c>
      <c r="T258" s="334" t="n">
        <v>0</v>
      </c>
      <c r="U258" s="705" t="n"/>
      <c r="V258" s="325" t="n"/>
      <c r="W258" s="702" t="n"/>
      <c r="X258" s="702" t="n"/>
      <c r="Y258" s="703" t="n"/>
      <c r="Z258" s="702" t="n"/>
      <c r="AA258" s="704">
        <f>S258*222</f>
        <v>222000.0</v>
      </c>
      <c r="AC258" t="inlineStr">
        <is>
          <t>EGI</t>
        </is>
      </c>
      <c r="AD258" t="inlineStr">
        <is>
          <t>EGI</t>
        </is>
      </c>
      <c r="AE258" t="inlineStr">
        <is>
          <t>EGI (unassigned)</t>
        </is>
      </c>
      <c r="AF258" t="inlineStr">
        <is>
          <t>Unmapped</t>
        </is>
      </c>
      <c r="AG258" t="inlineStr">
        <is>
          <t>Filled</t>
        </is>
      </c>
    </row>
    <row r="259" hidden="1" ht="18" customHeight="1" s="506">
      <c r="A259" s="259" t="inlineStr">
        <is>
          <t>C</t>
        </is>
      </c>
      <c r="B259" s="224" t="inlineStr">
        <is>
          <t>Harish Dasari</t>
        </is>
      </c>
      <c r="C259" s="317" t="inlineStr">
        <is>
          <t>Business Analyst (SAP Payroll)</t>
        </is>
      </c>
      <c r="D259" s="224" t="inlineStr">
        <is>
          <t>Areum Kim-Lee</t>
        </is>
      </c>
      <c r="E259" s="318" t="inlineStr">
        <is>
          <t>GM TDD, EGI</t>
        </is>
      </c>
      <c r="F259" s="224" t="inlineStr">
        <is>
          <t>EGI</t>
        </is>
      </c>
      <c r="G259" s="318" t="inlineStr">
        <is>
          <t>EGI</t>
        </is>
      </c>
      <c r="H259" s="318" t="inlineStr">
        <is>
          <t>EGI</t>
        </is>
      </c>
      <c r="I259" s="318" t="inlineStr">
        <is>
          <t>EGI</t>
        </is>
      </c>
      <c r="J259" s="318" t="inlineStr">
        <is>
          <t>EGI</t>
        </is>
      </c>
      <c r="K259" s="318" t="inlineStr">
        <is>
          <t>EGI</t>
        </is>
      </c>
      <c r="L259" s="318" t="n"/>
      <c r="M259" s="319" t="inlineStr">
        <is>
          <t>Australia</t>
        </is>
      </c>
      <c r="N259" s="320" t="inlineStr">
        <is>
          <t>na</t>
        </is>
      </c>
      <c r="O259" s="320" t="n">
        <v>1</v>
      </c>
      <c r="P259" s="320" t="n"/>
      <c r="Q259" s="322" t="inlineStr">
        <is>
          <t>cxc</t>
        </is>
      </c>
      <c r="R259" s="322" t="inlineStr">
        <is>
          <t>daily</t>
        </is>
      </c>
      <c r="S259" s="322" t="n">
        <v>1100</v>
      </c>
      <c r="T259" s="334" t="n">
        <v>0</v>
      </c>
      <c r="U259" s="705" t="n"/>
      <c r="V259" s="325" t="n"/>
      <c r="W259" s="322" t="n"/>
      <c r="X259" s="325" t="n"/>
      <c r="Y259" s="700" t="n"/>
      <c r="Z259" s="347" t="n"/>
      <c r="AA259" s="704">
        <f>S259*222</f>
        <v>244200.0</v>
      </c>
      <c r="AC259" t="inlineStr">
        <is>
          <t>EGI</t>
        </is>
      </c>
      <c r="AD259" t="inlineStr">
        <is>
          <t>EGI</t>
        </is>
      </c>
      <c r="AE259" t="inlineStr">
        <is>
          <t>EGI (unassigned)</t>
        </is>
      </c>
      <c r="AF259" t="inlineStr">
        <is>
          <t>Unmapped</t>
        </is>
      </c>
      <c r="AG259" t="inlineStr">
        <is>
          <t>Filled</t>
        </is>
      </c>
    </row>
    <row r="260" hidden="1" ht="18" customHeight="1" s="506">
      <c r="A260" s="259" t="inlineStr">
        <is>
          <t>C</t>
        </is>
      </c>
      <c r="B260" s="224" t="inlineStr">
        <is>
          <t>James Munt</t>
        </is>
      </c>
      <c r="C260" s="317" t="inlineStr">
        <is>
          <t>Program Manager Tech &amp; P&amp;C</t>
        </is>
      </c>
      <c r="D260" s="318" t="inlineStr">
        <is>
          <t>Greg Cassis</t>
        </is>
      </c>
      <c r="E260" s="318" t="inlineStr">
        <is>
          <t>GM TDD, EGI</t>
        </is>
      </c>
      <c r="F260" s="224" t="inlineStr">
        <is>
          <t>EGI</t>
        </is>
      </c>
      <c r="G260" s="318" t="inlineStr">
        <is>
          <t>EGI</t>
        </is>
      </c>
      <c r="H260" s="318" t="inlineStr">
        <is>
          <t>EGI</t>
        </is>
      </c>
      <c r="I260" s="318" t="inlineStr">
        <is>
          <t>EGI</t>
        </is>
      </c>
      <c r="J260" s="318" t="inlineStr">
        <is>
          <t>EGI</t>
        </is>
      </c>
      <c r="K260" s="318" t="inlineStr">
        <is>
          <t>EGI</t>
        </is>
      </c>
      <c r="L260" s="318" t="n"/>
      <c r="M260" s="319" t="inlineStr">
        <is>
          <t>Australia</t>
        </is>
      </c>
      <c r="N260" s="320" t="inlineStr">
        <is>
          <t>na</t>
        </is>
      </c>
      <c r="O260" s="320" t="n">
        <v>1</v>
      </c>
      <c r="P260" s="320" t="n"/>
      <c r="Q260" s="322" t="inlineStr">
        <is>
          <t>cxc</t>
        </is>
      </c>
      <c r="R260" s="322" t="inlineStr">
        <is>
          <t>daily</t>
        </is>
      </c>
      <c r="S260" s="322" t="n">
        <v>1200</v>
      </c>
      <c r="T260" s="334" t="n">
        <v>0</v>
      </c>
      <c r="U260" s="705" t="n"/>
      <c r="V260" s="325" t="n"/>
      <c r="W260" s="702" t="n"/>
      <c r="X260" s="702" t="n"/>
      <c r="Y260" s="703" t="n"/>
      <c r="Z260" s="702" t="n"/>
      <c r="AA260" s="704">
        <f>S260*222</f>
        <v>266400.0</v>
      </c>
      <c r="AC260" t="inlineStr">
        <is>
          <t>EGI</t>
        </is>
      </c>
      <c r="AD260" t="inlineStr">
        <is>
          <t>EGI</t>
        </is>
      </c>
      <c r="AE260" t="inlineStr">
        <is>
          <t>EGI (unassigned)</t>
        </is>
      </c>
      <c r="AF260" t="inlineStr">
        <is>
          <t>Unmapped</t>
        </is>
      </c>
      <c r="AG260" t="inlineStr">
        <is>
          <t>Filled</t>
        </is>
      </c>
    </row>
    <row r="261" hidden="1" ht="18" customHeight="1" s="506">
      <c r="A261" s="259" t="inlineStr">
        <is>
          <t>c</t>
        </is>
      </c>
      <c r="B261" s="224" t="inlineStr">
        <is>
          <t>Jason McNamara</t>
        </is>
      </c>
      <c r="C261" s="317" t="inlineStr">
        <is>
          <t>Project Manager Retail</t>
        </is>
      </c>
      <c r="D261" s="224" t="inlineStr">
        <is>
          <t>Greg Cassis</t>
        </is>
      </c>
      <c r="E261" s="318" t="inlineStr">
        <is>
          <t>GM TDD, EGI</t>
        </is>
      </c>
      <c r="F261" s="224" t="inlineStr">
        <is>
          <t>EGI</t>
        </is>
      </c>
      <c r="G261" s="318" t="inlineStr">
        <is>
          <t>EGI</t>
        </is>
      </c>
      <c r="H261" s="318" t="inlineStr">
        <is>
          <t>EGI</t>
        </is>
      </c>
      <c r="I261" s="318" t="inlineStr">
        <is>
          <t>EGI</t>
        </is>
      </c>
      <c r="J261" s="318" t="inlineStr">
        <is>
          <t>EGI</t>
        </is>
      </c>
      <c r="K261" s="318" t="inlineStr">
        <is>
          <t>EGI</t>
        </is>
      </c>
      <c r="L261" s="318" t="n"/>
      <c r="M261" s="319" t="inlineStr">
        <is>
          <t>Australia</t>
        </is>
      </c>
      <c r="N261" s="320" t="inlineStr">
        <is>
          <t>na</t>
        </is>
      </c>
      <c r="O261" s="321" t="n">
        <v>1</v>
      </c>
      <c r="P261" s="320" t="n"/>
      <c r="Q261" s="322" t="inlineStr">
        <is>
          <t>cxc</t>
        </is>
      </c>
      <c r="R261" s="322" t="inlineStr">
        <is>
          <t>daily</t>
        </is>
      </c>
      <c r="S261" s="322" t="n">
        <v>2200</v>
      </c>
      <c r="T261" s="334" t="n">
        <v>0</v>
      </c>
      <c r="U261" s="705" t="n"/>
      <c r="V261" s="324" t="n"/>
      <c r="W261" s="321" t="n"/>
      <c r="X261" s="325" t="n"/>
      <c r="Y261" s="700" t="n"/>
      <c r="Z261" s="325" t="n"/>
      <c r="AA261" s="704">
        <f>S261*222</f>
        <v>488400.0</v>
      </c>
      <c r="AC261" t="inlineStr">
        <is>
          <t>EGI</t>
        </is>
      </c>
      <c r="AD261" t="inlineStr">
        <is>
          <t>EGI</t>
        </is>
      </c>
      <c r="AE261" t="inlineStr">
        <is>
          <t>EGI (unassigned)</t>
        </is>
      </c>
      <c r="AF261" t="inlineStr">
        <is>
          <t>Unmapped</t>
        </is>
      </c>
      <c r="AG261" t="inlineStr">
        <is>
          <t>Filled</t>
        </is>
      </c>
    </row>
    <row r="262" hidden="1" ht="18" customHeight="1" s="506">
      <c r="A262" s="259" t="inlineStr">
        <is>
          <t>c</t>
        </is>
      </c>
      <c r="B262" s="224" t="inlineStr">
        <is>
          <t>Jason Sipkovic</t>
        </is>
      </c>
      <c r="C262" s="317" t="inlineStr">
        <is>
          <t>strategic program architect</t>
        </is>
      </c>
      <c r="D262" s="224" t="inlineStr">
        <is>
          <t>Trena Foote</t>
        </is>
      </c>
      <c r="E262" s="224" t="inlineStr">
        <is>
          <t>Project Manger</t>
        </is>
      </c>
      <c r="F262" s="224" t="inlineStr">
        <is>
          <t>EGI</t>
        </is>
      </c>
      <c r="G262" s="318" t="inlineStr">
        <is>
          <t>EGI</t>
        </is>
      </c>
      <c r="H262" s="318" t="inlineStr">
        <is>
          <t>EGI</t>
        </is>
      </c>
      <c r="I262" s="318" t="inlineStr">
        <is>
          <t>EGI</t>
        </is>
      </c>
      <c r="J262" s="318" t="inlineStr">
        <is>
          <t>EGI</t>
        </is>
      </c>
      <c r="K262" s="318" t="inlineStr">
        <is>
          <t>EGI</t>
        </is>
      </c>
      <c r="L262" s="318" t="n"/>
      <c r="M262" s="319" t="inlineStr">
        <is>
          <t>Australia</t>
        </is>
      </c>
      <c r="N262" s="320" t="inlineStr">
        <is>
          <t>na</t>
        </is>
      </c>
      <c r="O262" s="321" t="n">
        <v>1</v>
      </c>
      <c r="P262" s="320" t="n"/>
      <c r="Q262" s="322" t="inlineStr">
        <is>
          <t>cxc</t>
        </is>
      </c>
      <c r="R262" s="322" t="inlineStr">
        <is>
          <t>daily</t>
        </is>
      </c>
      <c r="S262" s="322" t="n">
        <v>1500</v>
      </c>
      <c r="T262" s="334" t="n">
        <v>0</v>
      </c>
      <c r="U262" s="705" t="n"/>
      <c r="V262" s="324" t="n"/>
      <c r="W262" s="321" t="n"/>
      <c r="X262" s="325" t="n"/>
      <c r="Y262" s="700" t="n"/>
      <c r="Z262" s="325" t="n"/>
      <c r="AA262" s="704">
        <f>S262*222</f>
        <v>333000.0</v>
      </c>
      <c r="AC262" t="inlineStr">
        <is>
          <t>EGI</t>
        </is>
      </c>
      <c r="AD262" t="inlineStr">
        <is>
          <t>EGI</t>
        </is>
      </c>
      <c r="AE262" t="inlineStr">
        <is>
          <t>EGI (unassigned)</t>
        </is>
      </c>
      <c r="AF262" t="inlineStr">
        <is>
          <t>Unmapped</t>
        </is>
      </c>
      <c r="AG262" t="inlineStr">
        <is>
          <t>Filled</t>
        </is>
      </c>
    </row>
    <row r="263" hidden="1" ht="18" customHeight="1" s="506">
      <c r="A263" s="259" t="inlineStr">
        <is>
          <t>c</t>
        </is>
      </c>
      <c r="B263" s="224" t="inlineStr">
        <is>
          <t>Kanika Narula</t>
        </is>
      </c>
      <c r="C263" s="317" t="inlineStr">
        <is>
          <t>Business Analyst Digital</t>
        </is>
      </c>
      <c r="D263" s="224" t="inlineStr">
        <is>
          <t>Mitesh Shah</t>
        </is>
      </c>
      <c r="E263" s="224" t="inlineStr">
        <is>
          <t>Technology Manager, Digitial</t>
        </is>
      </c>
      <c r="F263" s="224" t="inlineStr">
        <is>
          <t>EGI</t>
        </is>
      </c>
      <c r="G263" s="318" t="inlineStr">
        <is>
          <t>EGI</t>
        </is>
      </c>
      <c r="H263" s="318" t="inlineStr">
        <is>
          <t>EGI</t>
        </is>
      </c>
      <c r="I263" s="318" t="inlineStr">
        <is>
          <t>EGI</t>
        </is>
      </c>
      <c r="J263" s="318" t="inlineStr">
        <is>
          <t>EGI</t>
        </is>
      </c>
      <c r="K263" s="318" t="inlineStr">
        <is>
          <t>EGI</t>
        </is>
      </c>
      <c r="L263" s="224" t="n"/>
      <c r="M263" s="319" t="inlineStr">
        <is>
          <t>Australia</t>
        </is>
      </c>
      <c r="N263" s="320" t="inlineStr">
        <is>
          <t>na</t>
        </is>
      </c>
      <c r="O263" s="320" t="n">
        <v>1</v>
      </c>
      <c r="P263" s="320" t="n"/>
      <c r="Q263" s="322" t="inlineStr">
        <is>
          <t>cxc</t>
        </is>
      </c>
      <c r="R263" s="322" t="inlineStr">
        <is>
          <t>daily</t>
        </is>
      </c>
      <c r="S263" s="322" t="n">
        <v>1078.84</v>
      </c>
      <c r="T263" s="334" t="n">
        <v>0</v>
      </c>
      <c r="U263" s="705" t="n"/>
      <c r="V263" s="325" t="n"/>
      <c r="W263" s="702" t="n"/>
      <c r="X263" s="702" t="n"/>
      <c r="Y263" s="703" t="n"/>
      <c r="Z263" s="702" t="n"/>
      <c r="AA263" s="704">
        <f>S263*222</f>
        <v>239502.47999999998</v>
      </c>
      <c r="AC263" t="inlineStr">
        <is>
          <t>EGI</t>
        </is>
      </c>
      <c r="AD263" t="inlineStr">
        <is>
          <t>EGI</t>
        </is>
      </c>
      <c r="AE263" t="inlineStr">
        <is>
          <t>EGI (unassigned)</t>
        </is>
      </c>
      <c r="AF263" t="inlineStr">
        <is>
          <t>Unmapped</t>
        </is>
      </c>
      <c r="AG263" t="inlineStr">
        <is>
          <t>Filled</t>
        </is>
      </c>
    </row>
    <row r="264" hidden="1" ht="18" customHeight="1" s="506">
      <c r="A264" s="259" t="inlineStr">
        <is>
          <t>c</t>
        </is>
      </c>
      <c r="B264" s="224" t="inlineStr">
        <is>
          <t>Karl Reyneke</t>
        </is>
      </c>
      <c r="C264" s="317" t="inlineStr">
        <is>
          <t>Strategic Delivery Consultant</t>
        </is>
      </c>
      <c r="D264" s="224" t="inlineStr">
        <is>
          <t>Greg Cassis</t>
        </is>
      </c>
      <c r="E264" s="318" t="inlineStr">
        <is>
          <t>GM TDD, EGI</t>
        </is>
      </c>
      <c r="F264" s="224" t="inlineStr">
        <is>
          <t>EGI</t>
        </is>
      </c>
      <c r="G264" s="318" t="inlineStr">
        <is>
          <t>EGI</t>
        </is>
      </c>
      <c r="H264" s="318" t="inlineStr">
        <is>
          <t>EGI</t>
        </is>
      </c>
      <c r="I264" s="318" t="inlineStr">
        <is>
          <t>EGI</t>
        </is>
      </c>
      <c r="J264" s="318" t="inlineStr">
        <is>
          <t>EGI</t>
        </is>
      </c>
      <c r="K264" s="318" t="inlineStr">
        <is>
          <t>EGI</t>
        </is>
      </c>
      <c r="L264" s="318" t="n"/>
      <c r="M264" s="319" t="inlineStr">
        <is>
          <t>australia</t>
        </is>
      </c>
      <c r="N264" s="322" t="inlineStr">
        <is>
          <t>na</t>
        </is>
      </c>
      <c r="O264" s="320" t="n">
        <v>1</v>
      </c>
      <c r="P264" s="322" t="n"/>
      <c r="Q264" s="322" t="inlineStr">
        <is>
          <t>cxc</t>
        </is>
      </c>
      <c r="R264" s="331" t="inlineStr">
        <is>
          <t>daily</t>
        </is>
      </c>
      <c r="S264" s="322" t="n">
        <v>1350</v>
      </c>
      <c r="T264" s="334" t="n">
        <v>0</v>
      </c>
      <c r="U264" s="334" t="n"/>
      <c r="V264" s="318" t="n"/>
      <c r="W264" s="318" t="n"/>
      <c r="X264" s="318" t="n"/>
      <c r="Y264" s="318" t="n"/>
      <c r="Z264" s="318" t="n"/>
      <c r="AA264" s="704">
        <f>S264*222</f>
        <v>299700.0</v>
      </c>
      <c r="AC264" t="inlineStr">
        <is>
          <t>EGI</t>
        </is>
      </c>
      <c r="AD264" t="inlineStr">
        <is>
          <t>EGI</t>
        </is>
      </c>
      <c r="AE264" t="inlineStr">
        <is>
          <t>EGI (unassigned)</t>
        </is>
      </c>
      <c r="AF264" t="inlineStr">
        <is>
          <t>Unmapped</t>
        </is>
      </c>
      <c r="AG264" t="inlineStr">
        <is>
          <t>Filled</t>
        </is>
      </c>
    </row>
    <row r="265" hidden="1" ht="18" customHeight="1" s="506">
      <c r="A265" s="259" t="inlineStr">
        <is>
          <t>c</t>
        </is>
      </c>
      <c r="B265" s="224" t="inlineStr">
        <is>
          <t>michelle Siegman</t>
        </is>
      </c>
      <c r="C265" s="317" t="inlineStr">
        <is>
          <t>Strategic Delivery Consultant</t>
        </is>
      </c>
      <c r="D265" s="224" t="inlineStr">
        <is>
          <t>Greg Cassis</t>
        </is>
      </c>
      <c r="E265" s="318" t="inlineStr">
        <is>
          <t>GM TDD, EGI</t>
        </is>
      </c>
      <c r="F265" s="224" t="inlineStr">
        <is>
          <t>EGI</t>
        </is>
      </c>
      <c r="G265" s="318" t="inlineStr">
        <is>
          <t>EGI</t>
        </is>
      </c>
      <c r="H265" s="318" t="inlineStr">
        <is>
          <t>EGI</t>
        </is>
      </c>
      <c r="I265" s="318" t="inlineStr">
        <is>
          <t>EGI</t>
        </is>
      </c>
      <c r="J265" s="318" t="inlineStr">
        <is>
          <t>EGI</t>
        </is>
      </c>
      <c r="K265" s="318" t="inlineStr">
        <is>
          <t>EGI</t>
        </is>
      </c>
      <c r="L265" s="318" t="n"/>
      <c r="M265" s="319" t="inlineStr">
        <is>
          <t>Australia</t>
        </is>
      </c>
      <c r="N265" s="320" t="inlineStr">
        <is>
          <t>na</t>
        </is>
      </c>
      <c r="O265" s="321" t="n">
        <v>1</v>
      </c>
      <c r="P265" s="320" t="n"/>
      <c r="Q265" s="322" t="inlineStr">
        <is>
          <t>cxc</t>
        </is>
      </c>
      <c r="R265" s="322" t="inlineStr">
        <is>
          <t>Daily</t>
        </is>
      </c>
      <c r="S265" s="322" t="n">
        <v>1038</v>
      </c>
      <c r="T265" s="334" t="n">
        <v>0</v>
      </c>
      <c r="U265" s="705" t="n"/>
      <c r="V265" s="324" t="n"/>
      <c r="W265" s="322" t="n"/>
      <c r="X265" s="325" t="n"/>
      <c r="Y265" s="700" t="n"/>
      <c r="Z265" s="325" t="n"/>
      <c r="AA265" s="704">
        <f>S265*222</f>
        <v>230436.0</v>
      </c>
      <c r="AC265" t="inlineStr">
        <is>
          <t>EGI</t>
        </is>
      </c>
      <c r="AD265" t="inlineStr">
        <is>
          <t>EGI</t>
        </is>
      </c>
      <c r="AE265" t="inlineStr">
        <is>
          <t>EGI (unassigned)</t>
        </is>
      </c>
      <c r="AF265" t="inlineStr">
        <is>
          <t>Unmapped</t>
        </is>
      </c>
      <c r="AG265" t="inlineStr">
        <is>
          <t>Filled</t>
        </is>
      </c>
    </row>
    <row r="266" hidden="1" ht="18" customHeight="1" s="506">
      <c r="A266" s="301" t="n">
        <v>106830</v>
      </c>
      <c r="B266" s="224" t="inlineStr">
        <is>
          <t>Moitri Pal</t>
        </is>
      </c>
      <c r="C266" s="317" t="inlineStr">
        <is>
          <t>Portfolio Mnager</t>
        </is>
      </c>
      <c r="D266" s="224" t="inlineStr">
        <is>
          <t>Greg Cassis</t>
        </is>
      </c>
      <c r="E266" s="224" t="inlineStr">
        <is>
          <t>GM TDD, EGI</t>
        </is>
      </c>
      <c r="F266" s="224" t="inlineStr">
        <is>
          <t>EGI</t>
        </is>
      </c>
      <c r="G266" s="318" t="inlineStr">
        <is>
          <t>EGI</t>
        </is>
      </c>
      <c r="H266" s="318" t="inlineStr">
        <is>
          <t>EGI</t>
        </is>
      </c>
      <c r="I266" s="318" t="inlineStr">
        <is>
          <t>EGI</t>
        </is>
      </c>
      <c r="J266" s="318" t="inlineStr">
        <is>
          <t>EGI</t>
        </is>
      </c>
      <c r="K266" s="318" t="inlineStr">
        <is>
          <t>EGI</t>
        </is>
      </c>
      <c r="L266" s="318" t="n"/>
      <c r="M266" s="319" t="inlineStr">
        <is>
          <t>Australia</t>
        </is>
      </c>
      <c r="N266" s="320" t="inlineStr">
        <is>
          <t>CSC</t>
        </is>
      </c>
      <c r="O266" s="320" t="n">
        <v>1</v>
      </c>
      <c r="P266" s="320" t="n"/>
      <c r="Q266" s="320" t="inlineStr">
        <is>
          <t>Permanent - Full Time</t>
        </is>
      </c>
      <c r="R266" s="322" t="n"/>
      <c r="S266" s="322" t="n"/>
      <c r="T266" s="334" t="n">
        <v>230010</v>
      </c>
      <c r="U266" s="705">
        <f>T266</f>
        <v>230010.0</v>
      </c>
      <c r="V266" s="325" t="n">
        <v>0.2</v>
      </c>
      <c r="W266" s="702" t="n">
        <v>0.055</v>
      </c>
      <c r="X266" s="702" t="n">
        <v>0.12</v>
      </c>
      <c r="Y266" s="703" t="n"/>
      <c r="Z266" s="702" t="n">
        <v>0.04</v>
      </c>
      <c r="AA266" s="701">
        <f>U266*(1+V266+W266+X266+Y266+Z266)</f>
        <v>325464.15</v>
      </c>
      <c r="AC266" t="inlineStr">
        <is>
          <t>EGI</t>
        </is>
      </c>
      <c r="AD266" t="inlineStr">
        <is>
          <t>EGI</t>
        </is>
      </c>
      <c r="AE266" t="inlineStr">
        <is>
          <t>EGI (unassigned)</t>
        </is>
      </c>
      <c r="AF266" t="inlineStr">
        <is>
          <t>Unmapped</t>
        </is>
      </c>
      <c r="AG266" t="inlineStr">
        <is>
          <t>Filled</t>
        </is>
      </c>
    </row>
    <row r="267" hidden="1" ht="18" customHeight="1" s="506">
      <c r="A267" s="259" t="inlineStr">
        <is>
          <t>C</t>
        </is>
      </c>
      <c r="B267" s="224" t="inlineStr">
        <is>
          <t>Niall Greene</t>
        </is>
      </c>
      <c r="C267" s="317" t="inlineStr">
        <is>
          <t>Project Manager (PEP13-EGI-UKG)</t>
        </is>
      </c>
      <c r="D267" s="224" t="inlineStr">
        <is>
          <t>Areum Kim-Lee</t>
        </is>
      </c>
      <c r="E267" s="318" t="inlineStr">
        <is>
          <t>GM TDD, EGI</t>
        </is>
      </c>
      <c r="F267" s="224" t="inlineStr">
        <is>
          <t>EGI</t>
        </is>
      </c>
      <c r="G267" s="318" t="inlineStr">
        <is>
          <t>EGI</t>
        </is>
      </c>
      <c r="H267" s="318" t="inlineStr">
        <is>
          <t>EGI</t>
        </is>
      </c>
      <c r="I267" s="318" t="inlineStr">
        <is>
          <t>EGI</t>
        </is>
      </c>
      <c r="J267" s="318" t="inlineStr">
        <is>
          <t>EGI</t>
        </is>
      </c>
      <c r="K267" s="224" t="inlineStr">
        <is>
          <t>EGI</t>
        </is>
      </c>
      <c r="L267" s="318" t="n"/>
      <c r="M267" s="319" t="inlineStr">
        <is>
          <t>Australia</t>
        </is>
      </c>
      <c r="N267" s="322" t="inlineStr">
        <is>
          <t>NA</t>
        </is>
      </c>
      <c r="O267" s="320" t="n">
        <v>1</v>
      </c>
      <c r="P267" s="322" t="n"/>
      <c r="Q267" s="322" t="inlineStr">
        <is>
          <t>cxc</t>
        </is>
      </c>
      <c r="R267" s="331" t="inlineStr">
        <is>
          <t>Daily</t>
        </is>
      </c>
      <c r="S267" s="322" t="n">
        <v>1100</v>
      </c>
      <c r="T267" s="334" t="n">
        <v>0</v>
      </c>
      <c r="U267" s="334" t="n"/>
      <c r="V267" s="318" t="n"/>
      <c r="W267" s="318" t="n"/>
      <c r="X267" s="318" t="n"/>
      <c r="Y267" s="318" t="n"/>
      <c r="Z267" s="318" t="n"/>
      <c r="AA267" s="704">
        <f>S267*222</f>
        <v>244200.0</v>
      </c>
      <c r="AC267" t="inlineStr">
        <is>
          <t>EGI</t>
        </is>
      </c>
      <c r="AD267" t="inlineStr">
        <is>
          <t>EGI</t>
        </is>
      </c>
      <c r="AE267" t="inlineStr">
        <is>
          <t>EGI (unassigned)</t>
        </is>
      </c>
      <c r="AF267" t="inlineStr">
        <is>
          <t>Unmapped</t>
        </is>
      </c>
      <c r="AG267" t="inlineStr">
        <is>
          <t>Filled</t>
        </is>
      </c>
    </row>
    <row r="268" hidden="1" ht="18" customHeight="1" s="506">
      <c r="A268" s="259" t="inlineStr">
        <is>
          <t>c</t>
        </is>
      </c>
      <c r="B268" s="224" t="inlineStr">
        <is>
          <t>Paul Hassey</t>
        </is>
      </c>
      <c r="C268" s="317" t="inlineStr">
        <is>
          <t>Program Architect</t>
        </is>
      </c>
      <c r="D268" s="318" t="inlineStr">
        <is>
          <t>Ed Tacey</t>
        </is>
      </c>
      <c r="E268" s="224" t="n"/>
      <c r="F268" s="224" t="inlineStr">
        <is>
          <t>EGI</t>
        </is>
      </c>
      <c r="G268" s="318" t="inlineStr">
        <is>
          <t>EGI</t>
        </is>
      </c>
      <c r="H268" s="318" t="inlineStr">
        <is>
          <t>EGI</t>
        </is>
      </c>
      <c r="I268" s="318" t="inlineStr">
        <is>
          <t>EGI</t>
        </is>
      </c>
      <c r="J268" s="318" t="inlineStr">
        <is>
          <t>EGI</t>
        </is>
      </c>
      <c r="K268" s="318" t="inlineStr">
        <is>
          <t>EGI</t>
        </is>
      </c>
      <c r="L268" s="224" t="n"/>
      <c r="M268" s="319" t="inlineStr">
        <is>
          <t>Australia</t>
        </is>
      </c>
      <c r="N268" s="320" t="inlineStr">
        <is>
          <t>na</t>
        </is>
      </c>
      <c r="O268" s="320" t="n">
        <v>1</v>
      </c>
      <c r="P268" s="320" t="n"/>
      <c r="Q268" s="322" t="inlineStr">
        <is>
          <t>cxc</t>
        </is>
      </c>
      <c r="R268" s="322" t="inlineStr">
        <is>
          <t>Daily</t>
        </is>
      </c>
      <c r="S268" s="322" t="n">
        <v>1400</v>
      </c>
      <c r="T268" s="334" t="n">
        <v>0</v>
      </c>
      <c r="U268" s="705" t="n"/>
      <c r="V268" s="325" t="n"/>
      <c r="W268" s="702" t="n"/>
      <c r="X268" s="702" t="n"/>
      <c r="Y268" s="703" t="n"/>
      <c r="Z268" s="702" t="n"/>
      <c r="AA268" s="704">
        <f>S268*222</f>
        <v>310800.0</v>
      </c>
      <c r="AC268" t="inlineStr">
        <is>
          <t>EGI</t>
        </is>
      </c>
      <c r="AD268" t="inlineStr">
        <is>
          <t>EGI</t>
        </is>
      </c>
      <c r="AE268" t="inlineStr">
        <is>
          <t>EGI (unassigned)</t>
        </is>
      </c>
      <c r="AF268" t="inlineStr">
        <is>
          <t>Unmapped</t>
        </is>
      </c>
      <c r="AG268" t="inlineStr">
        <is>
          <t>Filled</t>
        </is>
      </c>
    </row>
    <row r="269" hidden="1" ht="18" customHeight="1" s="506">
      <c r="A269" s="259" t="inlineStr">
        <is>
          <t>c</t>
        </is>
      </c>
      <c r="B269" s="224" t="inlineStr">
        <is>
          <t>vijay Solanki</t>
        </is>
      </c>
      <c r="C269" s="317" t="inlineStr">
        <is>
          <t>Project Manager Deployment</t>
        </is>
      </c>
      <c r="D269" s="224" t="inlineStr">
        <is>
          <t>greg Cassis</t>
        </is>
      </c>
      <c r="E269" s="224" t="n"/>
      <c r="F269" s="224" t="inlineStr">
        <is>
          <t>EGI</t>
        </is>
      </c>
      <c r="G269" s="318" t="n"/>
      <c r="H269" s="224" t="n"/>
      <c r="I269" s="224" t="n"/>
      <c r="J269" s="339" t="inlineStr">
        <is>
          <t>EGI</t>
        </is>
      </c>
      <c r="K269" s="224" t="inlineStr">
        <is>
          <t>EGI</t>
        </is>
      </c>
      <c r="L269" s="318" t="n"/>
      <c r="M269" s="319" t="inlineStr">
        <is>
          <t>Australia</t>
        </is>
      </c>
      <c r="N269" s="320" t="inlineStr">
        <is>
          <t>na</t>
        </is>
      </c>
      <c r="O269" s="320" t="n">
        <v>1</v>
      </c>
      <c r="P269" s="320" t="n"/>
      <c r="Q269" s="322" t="inlineStr">
        <is>
          <t>cxc</t>
        </is>
      </c>
      <c r="R269" s="322" t="inlineStr">
        <is>
          <t>Daily</t>
        </is>
      </c>
      <c r="S269" s="322" t="n">
        <v>1200</v>
      </c>
      <c r="T269" s="334" t="n">
        <v>0</v>
      </c>
      <c r="U269" s="705" t="n"/>
      <c r="V269" s="325" t="n"/>
      <c r="W269" s="702" t="n"/>
      <c r="X269" s="702" t="n"/>
      <c r="Y269" s="703" t="n"/>
      <c r="Z269" s="702" t="n"/>
      <c r="AA269" s="704">
        <f>S269*222</f>
        <v>266400.0</v>
      </c>
      <c r="AC269" t="inlineStr">
        <is>
          <t>EGI</t>
        </is>
      </c>
      <c r="AD269" t="inlineStr">
        <is>
          <t>EGI</t>
        </is>
      </c>
      <c r="AE269" t="inlineStr">
        <is>
          <t>EGI (unassigned)</t>
        </is>
      </c>
      <c r="AF269" t="inlineStr">
        <is>
          <t>Unmapped</t>
        </is>
      </c>
      <c r="AG269" t="inlineStr">
        <is>
          <t>Filled</t>
        </is>
      </c>
    </row>
    <row r="270" hidden="1" ht="18" customHeight="1" s="506">
      <c r="A270" s="259" t="inlineStr">
        <is>
          <t>C</t>
        </is>
      </c>
      <c r="B270" s="224" t="inlineStr">
        <is>
          <t>Winnie Fernandes</t>
        </is>
      </c>
      <c r="C270" s="317" t="inlineStr">
        <is>
          <t>Delivery Lead - Integration</t>
        </is>
      </c>
      <c r="D270" s="224" t="inlineStr">
        <is>
          <t>Moitri Pal</t>
        </is>
      </c>
      <c r="E270" s="224" t="inlineStr">
        <is>
          <t>Program Manager - EGI</t>
        </is>
      </c>
      <c r="F270" s="224" t="inlineStr">
        <is>
          <t>EGI</t>
        </is>
      </c>
      <c r="G270" s="318" t="inlineStr">
        <is>
          <t>EGI</t>
        </is>
      </c>
      <c r="H270" s="318" t="inlineStr">
        <is>
          <t>EGI</t>
        </is>
      </c>
      <c r="I270" s="318" t="inlineStr">
        <is>
          <t>EGI</t>
        </is>
      </c>
      <c r="J270" s="318" t="inlineStr">
        <is>
          <t>EGI</t>
        </is>
      </c>
      <c r="K270" s="224" t="inlineStr">
        <is>
          <t>EGI</t>
        </is>
      </c>
      <c r="L270" s="318" t="n"/>
      <c r="M270" s="319" t="inlineStr">
        <is>
          <t>Australia</t>
        </is>
      </c>
      <c r="N270" s="322" t="inlineStr">
        <is>
          <t>NA</t>
        </is>
      </c>
      <c r="O270" s="320" t="n">
        <v>1</v>
      </c>
      <c r="P270" s="322" t="n"/>
      <c r="Q270" s="322" t="inlineStr">
        <is>
          <t>cxc</t>
        </is>
      </c>
      <c r="R270" s="331" t="inlineStr">
        <is>
          <t>Daily</t>
        </is>
      </c>
      <c r="S270" s="322" t="n">
        <v>1232</v>
      </c>
      <c r="T270" s="334" t="n">
        <v>0</v>
      </c>
      <c r="U270" s="334" t="n"/>
      <c r="V270" s="318" t="n"/>
      <c r="W270" s="318" t="n"/>
      <c r="X270" s="318" t="n"/>
      <c r="Y270" s="318" t="n"/>
      <c r="Z270" s="318" t="n"/>
      <c r="AA270" s="704">
        <f>S270*222</f>
        <v>273504.0</v>
      </c>
      <c r="AC270" t="inlineStr">
        <is>
          <t>EGI</t>
        </is>
      </c>
      <c r="AD270" t="inlineStr">
        <is>
          <t>EGI</t>
        </is>
      </c>
      <c r="AE270" t="inlineStr">
        <is>
          <t>EGI (unassigned)</t>
        </is>
      </c>
      <c r="AF270" t="inlineStr">
        <is>
          <t>Unmapped</t>
        </is>
      </c>
      <c r="AG270" t="inlineStr">
        <is>
          <t>Filled</t>
        </is>
      </c>
    </row>
    <row r="271" hidden="1" ht="18" customHeight="1" s="506">
      <c r="A271" s="259" t="inlineStr">
        <is>
          <t>C</t>
        </is>
      </c>
      <c r="B271" s="224" t="inlineStr">
        <is>
          <t>Ashish Gupte</t>
        </is>
      </c>
      <c r="C271" s="317" t="inlineStr">
        <is>
          <t>DeveloperSAP ECC</t>
        </is>
      </c>
      <c r="D271" s="318" t="inlineStr">
        <is>
          <t>Vasso Vucovic</t>
        </is>
      </c>
      <c r="E271" s="224" t="inlineStr">
        <is>
          <t>Head of Technology Finance, P&amp;C Legal</t>
        </is>
      </c>
      <c r="F271" s="224" t="inlineStr">
        <is>
          <t>Group Functions</t>
        </is>
      </c>
      <c r="G271" s="318" t="inlineStr">
        <is>
          <t>EGI</t>
        </is>
      </c>
      <c r="H271" s="318" t="inlineStr">
        <is>
          <t>EGI</t>
        </is>
      </c>
      <c r="I271" s="318" t="inlineStr">
        <is>
          <t>EGI</t>
        </is>
      </c>
      <c r="J271" s="318" t="inlineStr">
        <is>
          <t>EGI</t>
        </is>
      </c>
      <c r="K271" s="318" t="inlineStr">
        <is>
          <t>EGI</t>
        </is>
      </c>
      <c r="L271" s="318" t="n"/>
      <c r="M271" s="319" t="inlineStr">
        <is>
          <t>australia</t>
        </is>
      </c>
      <c r="N271" s="320" t="inlineStr">
        <is>
          <t>na</t>
        </is>
      </c>
      <c r="O271" s="321" t="n">
        <v>1</v>
      </c>
      <c r="P271" s="320" t="n"/>
      <c r="Q271" s="322" t="inlineStr">
        <is>
          <t>cxc</t>
        </is>
      </c>
      <c r="R271" s="322" t="inlineStr">
        <is>
          <t>Daily</t>
        </is>
      </c>
      <c r="S271" s="322" t="n">
        <v>1250</v>
      </c>
      <c r="T271" s="334" t="n">
        <v>0</v>
      </c>
      <c r="U271" s="705" t="n"/>
      <c r="V271" s="324" t="n"/>
      <c r="W271" s="321" t="n"/>
      <c r="X271" s="325" t="n"/>
      <c r="Y271" s="700" t="n"/>
      <c r="Z271" s="325" t="n"/>
      <c r="AA271" s="704">
        <f>S271*222</f>
        <v>277500.0</v>
      </c>
      <c r="AC271" t="inlineStr">
        <is>
          <t>EGI</t>
        </is>
      </c>
      <c r="AD271" t="inlineStr">
        <is>
          <t>EGI</t>
        </is>
      </c>
      <c r="AE271" t="inlineStr">
        <is>
          <t>EGI (unassigned)</t>
        </is>
      </c>
      <c r="AF271" t="inlineStr">
        <is>
          <t>Unmapped</t>
        </is>
      </c>
      <c r="AG271" t="inlineStr">
        <is>
          <t>Filled</t>
        </is>
      </c>
    </row>
    <row r="272" ht="18" customHeight="1" s="506">
      <c r="A272" s="259" t="n">
        <v>95835</v>
      </c>
      <c r="B272" s="224" t="inlineStr">
        <is>
          <t>Briony Scott</t>
        </is>
      </c>
      <c r="C272" s="317" t="inlineStr">
        <is>
          <t>Service &amp; Contract Specialist AU</t>
        </is>
      </c>
      <c r="D272" s="318" t="inlineStr">
        <is>
          <t>Vacant</t>
        </is>
      </c>
      <c r="E272" s="224" t="inlineStr">
        <is>
          <t>Commercial Director</t>
        </is>
      </c>
      <c r="F272" s="224" t="inlineStr">
        <is>
          <t>Partnering &amp; Transformation</t>
        </is>
      </c>
      <c r="G272" s="224" t="inlineStr">
        <is>
          <t>Commercial</t>
        </is>
      </c>
      <c r="H272" s="224" t="inlineStr">
        <is>
          <t>NA</t>
        </is>
      </c>
      <c r="I272" s="224" t="inlineStr">
        <is>
          <t>NA</t>
        </is>
      </c>
      <c r="J272" s="224" t="inlineStr">
        <is>
          <t>NA</t>
        </is>
      </c>
      <c r="K272" s="224" t="inlineStr">
        <is>
          <t>NA</t>
        </is>
      </c>
      <c r="L272" s="318" t="n"/>
      <c r="M272" s="319" t="inlineStr">
        <is>
          <t>Australia</t>
        </is>
      </c>
      <c r="N272" s="320" t="inlineStr">
        <is>
          <t>CIB</t>
        </is>
      </c>
      <c r="O272" s="320" t="n">
        <v>1</v>
      </c>
      <c r="P272" s="320" t="n"/>
      <c r="Q272" s="320" t="inlineStr">
        <is>
          <t>Permanent - Full Time</t>
        </is>
      </c>
      <c r="R272" s="322" t="n"/>
      <c r="S272" s="322" t="n"/>
      <c r="T272" s="334" t="n">
        <v>153600</v>
      </c>
      <c r="U272" s="705" t="n">
        <v>153600</v>
      </c>
      <c r="V272" s="325" t="n">
        <v>0.12</v>
      </c>
      <c r="W272" s="702" t="n">
        <v>0.055</v>
      </c>
      <c r="X272" s="702" t="n">
        <v>0.12</v>
      </c>
      <c r="Y272" s="703" t="n"/>
      <c r="Z272" s="702" t="n">
        <v>0.04</v>
      </c>
      <c r="AA272" s="701">
        <f>U272*(1+V272+W272+X272+Y272+Z272)</f>
        <v>205056.0</v>
      </c>
      <c r="AC272" t="inlineStr">
        <is>
          <t>COE</t>
        </is>
      </c>
      <c r="AD272" t="inlineStr">
        <is>
          <t>COE - Business Partnering</t>
        </is>
      </c>
      <c r="AE272" t="inlineStr">
        <is>
          <t>COE - Business Partnering</t>
        </is>
      </c>
      <c r="AF272" t="inlineStr">
        <is>
          <t>COE</t>
        </is>
      </c>
      <c r="AG272" t="inlineStr">
        <is>
          <t>Filled</t>
        </is>
      </c>
    </row>
    <row r="273" ht="18" customHeight="1" s="506">
      <c r="A273" s="259" t="n">
        <v>102411</v>
      </c>
      <c r="B273" s="224" t="inlineStr">
        <is>
          <t>Conli Mills</t>
        </is>
      </c>
      <c r="C273" s="317" t="inlineStr">
        <is>
          <t>TDD BP - Infrastructure</t>
        </is>
      </c>
      <c r="D273" t="inlineStr">
        <is>
          <t>Michael Schofield</t>
        </is>
      </c>
      <c r="E273" s="224" t="inlineStr">
        <is>
          <t>GM TDD, Partnering &amp; Transformation</t>
        </is>
      </c>
      <c r="F273" s="224" t="inlineStr">
        <is>
          <t>Partnering &amp; Transformation</t>
        </is>
      </c>
      <c r="G273" s="224" t="inlineStr">
        <is>
          <t>TDD Business Partner</t>
        </is>
      </c>
      <c r="H273" s="224" t="inlineStr">
        <is>
          <t>NA</t>
        </is>
      </c>
      <c r="I273" s="224" t="inlineStr">
        <is>
          <t>NA</t>
        </is>
      </c>
      <c r="J273" s="224" t="inlineStr">
        <is>
          <t>NA</t>
        </is>
      </c>
      <c r="K273" s="224" t="inlineStr">
        <is>
          <t>NA</t>
        </is>
      </c>
      <c r="L273" s="318" t="n"/>
      <c r="M273" s="319" t="inlineStr">
        <is>
          <t>Australia</t>
        </is>
      </c>
      <c r="N273" s="320" t="inlineStr">
        <is>
          <t>CSC</t>
        </is>
      </c>
      <c r="O273" s="320" t="n">
        <v>1</v>
      </c>
      <c r="P273" s="320" t="n"/>
      <c r="Q273" s="320" t="inlineStr">
        <is>
          <t>Permanent - Full Time</t>
        </is>
      </c>
      <c r="R273" s="322" t="n"/>
      <c r="S273" s="322" t="n"/>
      <c r="T273" s="334" t="n">
        <v>210000</v>
      </c>
      <c r="U273" s="705" t="n">
        <v>210000</v>
      </c>
      <c r="V273" s="325" t="n">
        <v>0.2</v>
      </c>
      <c r="W273" s="702" t="n">
        <v>0.055</v>
      </c>
      <c r="X273" s="702" t="n">
        <v>0.12</v>
      </c>
      <c r="Y273" s="703" t="n"/>
      <c r="Z273" s="702" t="n">
        <v>0.04</v>
      </c>
      <c r="AA273" s="701">
        <f>U273*(1+V273+W273+X273+Y273+Z273)</f>
        <v>297150.0</v>
      </c>
      <c r="AC273" t="inlineStr">
        <is>
          <t>COE</t>
        </is>
      </c>
      <c r="AD273" t="inlineStr">
        <is>
          <t>COE - Business Partnering</t>
        </is>
      </c>
      <c r="AE273" t="inlineStr">
        <is>
          <t>COE - Business Partnering</t>
        </is>
      </c>
      <c r="AF273" t="inlineStr">
        <is>
          <t>COE</t>
        </is>
      </c>
      <c r="AG273" t="inlineStr">
        <is>
          <t>Filled</t>
        </is>
      </c>
    </row>
    <row r="274" ht="18" customHeight="1" s="506">
      <c r="A274" s="259" t="n">
        <v>99999170371</v>
      </c>
      <c r="B274" s="224" t="inlineStr">
        <is>
          <t>Helen Ngu</t>
        </is>
      </c>
      <c r="C274" s="317" t="inlineStr">
        <is>
          <t>Service &amp; Contract Specialist NZ</t>
        </is>
      </c>
      <c r="D274" s="318" t="inlineStr">
        <is>
          <t>Vacant</t>
        </is>
      </c>
      <c r="E274" s="224" t="inlineStr">
        <is>
          <t>Commercial Director</t>
        </is>
      </c>
      <c r="F274" s="224" t="inlineStr">
        <is>
          <t>Partnering &amp; Transformation</t>
        </is>
      </c>
      <c r="G274" s="224" t="inlineStr">
        <is>
          <t>Commercial</t>
        </is>
      </c>
      <c r="H274" s="224" t="inlineStr">
        <is>
          <t>NA</t>
        </is>
      </c>
      <c r="I274" s="224" t="inlineStr">
        <is>
          <t>NA</t>
        </is>
      </c>
      <c r="J274" s="224" t="inlineStr">
        <is>
          <t>NA</t>
        </is>
      </c>
      <c r="K274" s="224" t="inlineStr">
        <is>
          <t>NA</t>
        </is>
      </c>
      <c r="L274" s="318" t="n"/>
      <c r="M274" s="319" t="inlineStr">
        <is>
          <t>NZ</t>
        </is>
      </c>
      <c r="N274" s="320" t="inlineStr">
        <is>
          <t>CIA</t>
        </is>
      </c>
      <c r="O274" s="321" t="n">
        <v>1</v>
      </c>
      <c r="P274" s="320" t="n"/>
      <c r="Q274" s="321" t="inlineStr">
        <is>
          <t>Permanent - Full Time</t>
        </is>
      </c>
      <c r="R274" s="322" t="n"/>
      <c r="S274" s="322" t="n"/>
      <c r="T274" s="334" t="n">
        <v>130870</v>
      </c>
      <c r="U274" s="705" t="n">
        <v>120400.4</v>
      </c>
      <c r="V274" s="324" t="n">
        <v>0.15</v>
      </c>
      <c r="W274" s="321" t="n"/>
      <c r="X274" s="325" t="n">
        <v>0.05</v>
      </c>
      <c r="Y274" s="700" t="n">
        <v>2910</v>
      </c>
      <c r="Z274" s="325" t="n">
        <v>0.03</v>
      </c>
      <c r="AA274" s="701">
        <f>U274*(1+V274+X274+Z274)+Y274</f>
        <v>151002.492</v>
      </c>
      <c r="AB274" t="n">
        <v>113546</v>
      </c>
      <c r="AC274" t="inlineStr">
        <is>
          <t>COE</t>
        </is>
      </c>
      <c r="AD274" t="inlineStr">
        <is>
          <t>COE - Business Partnering</t>
        </is>
      </c>
      <c r="AE274" t="inlineStr">
        <is>
          <t>COE - Business Partnering</t>
        </is>
      </c>
      <c r="AF274" t="inlineStr">
        <is>
          <t>COE</t>
        </is>
      </c>
      <c r="AG274" t="inlineStr">
        <is>
          <t>Filled</t>
        </is>
      </c>
    </row>
    <row r="275" ht="18" customHeight="1" s="506">
      <c r="A275" s="259" t="n">
        <v>113362</v>
      </c>
      <c r="B275" s="224" t="inlineStr">
        <is>
          <t>Jane Esclandra</t>
        </is>
      </c>
      <c r="C275" s="317" t="inlineStr">
        <is>
          <t>Software Asset Specialist</t>
        </is>
      </c>
      <c r="D275" s="318" t="inlineStr">
        <is>
          <t>Vacant</t>
        </is>
      </c>
      <c r="E275" s="224" t="inlineStr">
        <is>
          <t>Commercial Director</t>
        </is>
      </c>
      <c r="F275" s="224" t="inlineStr">
        <is>
          <t>Partnering &amp; Transformation</t>
        </is>
      </c>
      <c r="G275" s="224" t="inlineStr">
        <is>
          <t>Commercial</t>
        </is>
      </c>
      <c r="H275" s="224" t="inlineStr">
        <is>
          <t>NA</t>
        </is>
      </c>
      <c r="I275" s="224" t="inlineStr">
        <is>
          <t>NA</t>
        </is>
      </c>
      <c r="J275" s="224" t="inlineStr">
        <is>
          <t>NA</t>
        </is>
      </c>
      <c r="K275" s="224" t="inlineStr">
        <is>
          <t>NA</t>
        </is>
      </c>
      <c r="L275" s="318" t="n"/>
      <c r="M275" s="319" t="inlineStr">
        <is>
          <t>Australia</t>
        </is>
      </c>
      <c r="N275" s="320" t="inlineStr">
        <is>
          <t>CIB</t>
        </is>
      </c>
      <c r="O275" s="320" t="n">
        <v>1</v>
      </c>
      <c r="P275" s="320" t="n"/>
      <c r="Q275" s="320" t="inlineStr">
        <is>
          <t>Permanent - Full Time</t>
        </is>
      </c>
      <c r="R275" s="322" t="n"/>
      <c r="S275" s="322" t="n"/>
      <c r="T275" s="334" t="n">
        <v>137420</v>
      </c>
      <c r="U275" s="705" t="n">
        <v>137420</v>
      </c>
      <c r="V275" s="325" t="n">
        <v>0.12</v>
      </c>
      <c r="W275" s="702" t="n">
        <v>0.055</v>
      </c>
      <c r="X275" s="702" t="n">
        <v>0.12</v>
      </c>
      <c r="Y275" s="703" t="n"/>
      <c r="Z275" s="702" t="n">
        <v>0.04</v>
      </c>
      <c r="AA275" s="701">
        <f>U275*(1+V275+W275+X275+Y275+Z275)</f>
        <v>183455.69999999998</v>
      </c>
      <c r="AC275" t="inlineStr">
        <is>
          <t>COE</t>
        </is>
      </c>
      <c r="AD275" t="inlineStr">
        <is>
          <t>COE - Business Partnering</t>
        </is>
      </c>
      <c r="AE275" t="inlineStr">
        <is>
          <t>COE - Business Partnering</t>
        </is>
      </c>
      <c r="AF275" t="inlineStr">
        <is>
          <t>COE</t>
        </is>
      </c>
      <c r="AG275" t="inlineStr">
        <is>
          <t>Filled</t>
        </is>
      </c>
    </row>
    <row r="276" ht="18" customHeight="1" s="506">
      <c r="A276" s="259" t="n">
        <v>12992</v>
      </c>
      <c r="B276" s="224" t="inlineStr">
        <is>
          <t>Jeannie Chu</t>
        </is>
      </c>
      <c r="C276" s="317" t="inlineStr">
        <is>
          <t>Snr Finance Support Administrator</t>
        </is>
      </c>
      <c r="D276" t="inlineStr">
        <is>
          <t>Sam Chan</t>
        </is>
      </c>
      <c r="E276" s="224" t="inlineStr">
        <is>
          <t>Fin Ops Manager</t>
        </is>
      </c>
      <c r="F276" s="224" t="inlineStr">
        <is>
          <t>Partnering &amp; Transformation</t>
        </is>
      </c>
      <c r="G276" s="224" t="inlineStr">
        <is>
          <t>Transformation</t>
        </is>
      </c>
      <c r="H276" s="224" t="inlineStr">
        <is>
          <t>NA</t>
        </is>
      </c>
      <c r="I276" s="224" t="inlineStr">
        <is>
          <t>NA</t>
        </is>
      </c>
      <c r="J276" s="224" t="inlineStr">
        <is>
          <t>NA</t>
        </is>
      </c>
      <c r="K276" s="224" t="inlineStr">
        <is>
          <t>NA</t>
        </is>
      </c>
      <c r="L276" s="318" t="n"/>
      <c r="M276" s="319" t="inlineStr">
        <is>
          <t>Australia</t>
        </is>
      </c>
      <c r="N276" s="322" t="inlineStr">
        <is>
          <t>CDC</t>
        </is>
      </c>
      <c r="O276" s="322" t="n">
        <v>1</v>
      </c>
      <c r="P276" s="322" t="n"/>
      <c r="Q276" s="322" t="inlineStr">
        <is>
          <t>Permanent - Full Time</t>
        </is>
      </c>
      <c r="R276" s="322" t="n"/>
      <c r="S276" s="322" t="n"/>
      <c r="T276" s="334" t="n">
        <v>112310</v>
      </c>
      <c r="U276" s="705" t="n">
        <v>112310</v>
      </c>
      <c r="V276" s="325" t="n">
        <v>0.1</v>
      </c>
      <c r="W276" s="702" t="n">
        <v>0.055</v>
      </c>
      <c r="X276" s="702" t="n">
        <v>0.12</v>
      </c>
      <c r="Y276" s="703" t="n"/>
      <c r="Z276" s="702" t="n">
        <v>0.04</v>
      </c>
      <c r="AA276" s="701">
        <f>U276*(1+V276+W276+X276+Y276+Z276)</f>
        <v>147687.65</v>
      </c>
      <c r="AC276" t="inlineStr">
        <is>
          <t>COE</t>
        </is>
      </c>
      <c r="AD276" t="inlineStr">
        <is>
          <t>COE - Transformation</t>
        </is>
      </c>
      <c r="AE276" t="inlineStr">
        <is>
          <t>COE - Transformation</t>
        </is>
      </c>
      <c r="AF276" t="inlineStr">
        <is>
          <t>COE</t>
        </is>
      </c>
      <c r="AG276" t="inlineStr">
        <is>
          <t>Filled</t>
        </is>
      </c>
    </row>
    <row r="277" ht="18" customHeight="1" s="506">
      <c r="A277" s="259" t="n">
        <v>82561</v>
      </c>
      <c r="B277" s="224" t="inlineStr">
        <is>
          <t>Jenny Chan</t>
        </is>
      </c>
      <c r="C277" s="317" t="inlineStr">
        <is>
          <t>Project Finance Lead</t>
        </is>
      </c>
      <c r="D277" s="224" t="inlineStr">
        <is>
          <t>Sam Chan</t>
        </is>
      </c>
      <c r="E277" s="224" t="inlineStr">
        <is>
          <t xml:space="preserve">Manager Risk &amp; Resilience </t>
        </is>
      </c>
      <c r="F277" s="224" t="inlineStr">
        <is>
          <t>Partnering &amp; Transformation</t>
        </is>
      </c>
      <c r="G277" s="224" t="inlineStr">
        <is>
          <t>Transformation</t>
        </is>
      </c>
      <c r="H277" s="224" t="inlineStr">
        <is>
          <t>NA</t>
        </is>
      </c>
      <c r="I277" s="224" t="inlineStr">
        <is>
          <t>NA</t>
        </is>
      </c>
      <c r="J277" s="224" t="inlineStr">
        <is>
          <t>NA</t>
        </is>
      </c>
      <c r="K277" s="224" t="inlineStr">
        <is>
          <t>NA</t>
        </is>
      </c>
      <c r="L277" s="318" t="n"/>
      <c r="M277" s="319" t="inlineStr">
        <is>
          <t>Australia</t>
        </is>
      </c>
      <c r="N277" s="322" t="inlineStr">
        <is>
          <t>CIB</t>
        </is>
      </c>
      <c r="O277" s="322" t="n">
        <v>1</v>
      </c>
      <c r="P277" s="322" t="n"/>
      <c r="Q277" s="322" t="inlineStr">
        <is>
          <t>Permanent - Full Time</t>
        </is>
      </c>
      <c r="R277" s="322" t="n"/>
      <c r="S277" s="322" t="n"/>
      <c r="T277" s="334" t="n">
        <v>154400</v>
      </c>
      <c r="U277" s="705" t="n">
        <v>154400</v>
      </c>
      <c r="V277" s="325" t="n">
        <v>0.12</v>
      </c>
      <c r="W277" s="702" t="n">
        <v>0.055</v>
      </c>
      <c r="X277" s="702" t="n">
        <v>0.12</v>
      </c>
      <c r="Y277" s="703" t="n"/>
      <c r="Z277" s="702" t="n">
        <v>0.04</v>
      </c>
      <c r="AA277" s="701">
        <f>U277*(1+V277+W277+X277+Y277+Z277)</f>
        <v>206124.0</v>
      </c>
      <c r="AC277" t="inlineStr">
        <is>
          <t>COE</t>
        </is>
      </c>
      <c r="AD277" t="inlineStr">
        <is>
          <t>COE - Transformation</t>
        </is>
      </c>
      <c r="AE277" t="inlineStr">
        <is>
          <t>COE - Transformation</t>
        </is>
      </c>
      <c r="AF277" t="inlineStr">
        <is>
          <t>COE</t>
        </is>
      </c>
      <c r="AG277" t="inlineStr">
        <is>
          <t>Filled</t>
        </is>
      </c>
    </row>
    <row r="278" ht="18" customHeight="1" s="506">
      <c r="A278" s="259" t="inlineStr">
        <is>
          <t>tbc</t>
        </is>
      </c>
      <c r="B278" s="224" t="inlineStr">
        <is>
          <t>Malcolm Deare</t>
        </is>
      </c>
      <c r="C278" s="317" t="inlineStr">
        <is>
          <t>TDD BP, Group Functions</t>
        </is>
      </c>
      <c r="D278" s="224" t="inlineStr">
        <is>
          <t>Michael Schofield</t>
        </is>
      </c>
      <c r="E278" s="224" t="inlineStr">
        <is>
          <t>GM TDD, Partnering &amp; Transformation</t>
        </is>
      </c>
      <c r="F278" s="224" t="inlineStr">
        <is>
          <t>Partnering &amp; Transformation</t>
        </is>
      </c>
      <c r="G278" s="224" t="inlineStr">
        <is>
          <t>TDD Business Partner</t>
        </is>
      </c>
      <c r="H278" s="224" t="inlineStr">
        <is>
          <t>NA</t>
        </is>
      </c>
      <c r="I278" s="224" t="inlineStr">
        <is>
          <t>NA</t>
        </is>
      </c>
      <c r="J278" s="224" t="inlineStr">
        <is>
          <t>NA</t>
        </is>
      </c>
      <c r="K278" s="224" t="inlineStr">
        <is>
          <t>NA</t>
        </is>
      </c>
      <c r="L278" s="318" t="n"/>
      <c r="M278" s="319" t="inlineStr">
        <is>
          <t>Australia</t>
        </is>
      </c>
      <c r="N278" s="320" t="inlineStr">
        <is>
          <t>CSB</t>
        </is>
      </c>
      <c r="O278" s="320" t="n">
        <v>1</v>
      </c>
      <c r="P278" s="320" t="n"/>
      <c r="Q278" s="320" t="inlineStr">
        <is>
          <t>Permanent - Full Time</t>
        </is>
      </c>
      <c r="R278" s="322" t="n"/>
      <c r="S278" s="322" t="n"/>
      <c r="T278" s="334" t="n">
        <v>220000</v>
      </c>
      <c r="U278" s="705" t="n">
        <v>220000</v>
      </c>
      <c r="V278" s="325" t="n">
        <v>0.14</v>
      </c>
      <c r="W278" s="702" t="n">
        <v>0.055</v>
      </c>
      <c r="X278" s="702" t="n">
        <v>0.12</v>
      </c>
      <c r="Y278" s="703" t="n"/>
      <c r="Z278" s="702" t="n">
        <v>0.04</v>
      </c>
      <c r="AA278" s="701">
        <f>U278*(1+V278+W278+X278+Y278+Z278)</f>
        <v>298100.0</v>
      </c>
      <c r="AC278" t="inlineStr">
        <is>
          <t>COE</t>
        </is>
      </c>
      <c r="AD278" t="inlineStr">
        <is>
          <t>COE - Business Partnering</t>
        </is>
      </c>
      <c r="AE278" t="inlineStr">
        <is>
          <t>COE - Business Partnering</t>
        </is>
      </c>
      <c r="AF278" t="inlineStr">
        <is>
          <t>COE</t>
        </is>
      </c>
      <c r="AG278" t="inlineStr">
        <is>
          <t>Filled</t>
        </is>
      </c>
    </row>
    <row r="279" ht="18" customHeight="1" s="506">
      <c r="A279" s="259" t="n">
        <v>5607</v>
      </c>
      <c r="B279" s="224" t="inlineStr">
        <is>
          <t>Maria Somera</t>
        </is>
      </c>
      <c r="C279" s="317" t="inlineStr">
        <is>
          <t>Technology Finance Analyst</t>
        </is>
      </c>
      <c r="D279" s="224" t="inlineStr">
        <is>
          <t>Sam Chan</t>
        </is>
      </c>
      <c r="E279" s="224" t="inlineStr">
        <is>
          <t>Fin Ops Manager</t>
        </is>
      </c>
      <c r="F279" s="224" t="inlineStr">
        <is>
          <t>Partnering &amp; Transformation</t>
        </is>
      </c>
      <c r="G279" s="224" t="inlineStr">
        <is>
          <t>Transformation</t>
        </is>
      </c>
      <c r="H279" s="224" t="inlineStr">
        <is>
          <t>NA</t>
        </is>
      </c>
      <c r="I279" s="224" t="inlineStr">
        <is>
          <t>NA</t>
        </is>
      </c>
      <c r="J279" s="224" t="inlineStr">
        <is>
          <t>NA</t>
        </is>
      </c>
      <c r="K279" s="224" t="inlineStr">
        <is>
          <t>NA</t>
        </is>
      </c>
      <c r="L279" s="318" t="n"/>
      <c r="M279" s="319" t="inlineStr">
        <is>
          <t>Australia</t>
        </is>
      </c>
      <c r="N279" s="322" t="inlineStr">
        <is>
          <t>CIA</t>
        </is>
      </c>
      <c r="O279" s="322" t="n">
        <v>1</v>
      </c>
      <c r="P279" s="322" t="n"/>
      <c r="Q279" s="322" t="inlineStr">
        <is>
          <t>Permanent - Full Time</t>
        </is>
      </c>
      <c r="R279" s="322" t="n"/>
      <c r="S279" s="322" t="n"/>
      <c r="T279" s="334" t="n">
        <v>136360</v>
      </c>
      <c r="U279" s="705" t="n">
        <v>136360</v>
      </c>
      <c r="V279" s="325" t="n">
        <v>0.1</v>
      </c>
      <c r="W279" s="702" t="n">
        <v>0.055</v>
      </c>
      <c r="X279" s="702" t="n">
        <v>0.12</v>
      </c>
      <c r="Y279" s="703" t="n"/>
      <c r="Z279" s="702" t="n">
        <v>0.04</v>
      </c>
      <c r="AA279" s="701">
        <f>U279*(1+V279+W279+X279+Y279+Z279)</f>
        <v>179313.4</v>
      </c>
      <c r="AC279" t="inlineStr">
        <is>
          <t>COE</t>
        </is>
      </c>
      <c r="AD279" t="inlineStr">
        <is>
          <t>COE - Transformation</t>
        </is>
      </c>
      <c r="AE279" t="inlineStr">
        <is>
          <t>COE - Transformation</t>
        </is>
      </c>
      <c r="AF279" t="inlineStr">
        <is>
          <t>COE</t>
        </is>
      </c>
      <c r="AG279" t="inlineStr">
        <is>
          <t>Filled</t>
        </is>
      </c>
    </row>
    <row r="280" ht="18" customHeight="1" s="506">
      <c r="A280" s="259" t="n">
        <v>99999102029</v>
      </c>
      <c r="B280" s="224" t="inlineStr">
        <is>
          <t>Matt Saunders</t>
        </is>
      </c>
      <c r="C280" s="317" t="inlineStr">
        <is>
          <t>Scrum Master</t>
        </is>
      </c>
      <c r="D280" s="318" t="inlineStr">
        <is>
          <t>Vacant</t>
        </is>
      </c>
      <c r="E280" s="224" t="inlineStr">
        <is>
          <t xml:space="preserve">Lead Technology Support </t>
        </is>
      </c>
      <c r="F280" s="224" t="inlineStr">
        <is>
          <t>Partnering &amp; Transformation</t>
        </is>
      </c>
      <c r="G280" s="224" t="inlineStr">
        <is>
          <t>Transformation</t>
        </is>
      </c>
      <c r="H280" s="224" t="inlineStr">
        <is>
          <t>NA</t>
        </is>
      </c>
      <c r="I280" s="224" t="inlineStr">
        <is>
          <t>NA</t>
        </is>
      </c>
      <c r="J280" s="224" t="inlineStr">
        <is>
          <t>NA</t>
        </is>
      </c>
      <c r="K280" s="224" t="inlineStr">
        <is>
          <t>NA</t>
        </is>
      </c>
      <c r="L280" s="318" t="n"/>
      <c r="M280" s="319" t="inlineStr">
        <is>
          <t>NZ</t>
        </is>
      </c>
      <c r="N280" s="320" t="inlineStr">
        <is>
          <t>CIA</t>
        </is>
      </c>
      <c r="O280" s="321" t="n">
        <v>1</v>
      </c>
      <c r="P280" s="320" t="n"/>
      <c r="Q280" s="321" t="inlineStr">
        <is>
          <t>Permanent - Full Time</t>
        </is>
      </c>
      <c r="R280" s="322" t="n"/>
      <c r="S280" s="322" t="n"/>
      <c r="T280" s="334" t="n">
        <v>128000</v>
      </c>
      <c r="U280" s="705" t="n">
        <v>117760</v>
      </c>
      <c r="V280" s="324" t="n">
        <v>0.15</v>
      </c>
      <c r="W280" s="322" t="n"/>
      <c r="X280" s="325" t="n">
        <v>0.05</v>
      </c>
      <c r="Y280" s="700" t="n">
        <v>2910</v>
      </c>
      <c r="Z280" s="325" t="n">
        <v>0.03</v>
      </c>
      <c r="AA280" s="701">
        <f>U280*(1+V280+X280+Z280)+Y280</f>
        <v>147754.8</v>
      </c>
      <c r="AB280" t="n">
        <v>115827</v>
      </c>
      <c r="AC280" t="inlineStr">
        <is>
          <t>COE</t>
        </is>
      </c>
      <c r="AD280" t="inlineStr">
        <is>
          <t>COE - Transformation</t>
        </is>
      </c>
      <c r="AE280" t="inlineStr">
        <is>
          <t>COE - Transformation</t>
        </is>
      </c>
      <c r="AF280" t="inlineStr">
        <is>
          <t>COE</t>
        </is>
      </c>
      <c r="AG280" t="inlineStr">
        <is>
          <t>Filled</t>
        </is>
      </c>
    </row>
    <row r="281" ht="18" customHeight="1" s="506">
      <c r="A281" s="259" t="n">
        <v>116540</v>
      </c>
      <c r="B281" s="224" t="inlineStr">
        <is>
          <t>Neil Reilly</t>
        </is>
      </c>
      <c r="C281" s="317" t="inlineStr">
        <is>
          <t>TDD BP - T&amp;S</t>
        </is>
      </c>
      <c r="D281" s="224" t="inlineStr">
        <is>
          <t>Michael Schofield</t>
        </is>
      </c>
      <c r="E281" s="224" t="inlineStr">
        <is>
          <t>GM TDD, Partnering &amp; Transformation</t>
        </is>
      </c>
      <c r="F281" s="224" t="inlineStr">
        <is>
          <t>Partnering &amp; Transformation</t>
        </is>
      </c>
      <c r="G281" s="224" t="inlineStr">
        <is>
          <t>TDD Business Partner</t>
        </is>
      </c>
      <c r="H281" s="224" t="inlineStr">
        <is>
          <t>NA</t>
        </is>
      </c>
      <c r="I281" s="224" t="inlineStr">
        <is>
          <t>NA</t>
        </is>
      </c>
      <c r="J281" s="224" t="inlineStr">
        <is>
          <t>NA</t>
        </is>
      </c>
      <c r="K281" s="224" t="inlineStr">
        <is>
          <t>NA</t>
        </is>
      </c>
      <c r="L281" s="318" t="n"/>
      <c r="M281" s="319" t="inlineStr">
        <is>
          <t>Singapore</t>
        </is>
      </c>
      <c r="N281" s="320" t="inlineStr">
        <is>
          <t>CSC</t>
        </is>
      </c>
      <c r="O281" s="320" t="n">
        <v>1</v>
      </c>
      <c r="P281" s="320" t="n"/>
      <c r="Q281" s="320" t="inlineStr">
        <is>
          <t>Permanent - Full Time</t>
        </is>
      </c>
      <c r="R281" s="322" t="n"/>
      <c r="S281" s="322" t="n"/>
      <c r="T281" s="334" t="n">
        <v>350000</v>
      </c>
      <c r="U281" s="705" t="n">
        <v>423500</v>
      </c>
      <c r="V281" s="325" t="n">
        <v>0.35</v>
      </c>
      <c r="W281" s="322" t="n"/>
      <c r="X281" s="325" t="n">
        <v>0.17</v>
      </c>
      <c r="Y281" s="700" t="n">
        <v>3310</v>
      </c>
      <c r="Z281" s="347" t="n">
        <v>0.045</v>
      </c>
      <c r="AA281" s="701">
        <f>U281*(1+V281+X281+Z281)+Y281</f>
        <v>666087.5</v>
      </c>
      <c r="AC281" t="inlineStr">
        <is>
          <t>COE</t>
        </is>
      </c>
      <c r="AD281" t="inlineStr">
        <is>
          <t>COE - Business Partnering</t>
        </is>
      </c>
      <c r="AE281" t="inlineStr">
        <is>
          <t>COE - Business Partnering</t>
        </is>
      </c>
      <c r="AF281" t="inlineStr">
        <is>
          <t>COE</t>
        </is>
      </c>
      <c r="AG281" t="inlineStr">
        <is>
          <t>Filled</t>
        </is>
      </c>
    </row>
    <row r="282" ht="18" customHeight="1" s="506">
      <c r="A282" s="259" t="n">
        <v>113835</v>
      </c>
      <c r="B282" s="224" t="inlineStr">
        <is>
          <t>Ruth Chou</t>
        </is>
      </c>
      <c r="C282" s="317" t="inlineStr">
        <is>
          <t>Portfolio Reporting Manager</t>
        </is>
      </c>
      <c r="D282" s="318" t="inlineStr">
        <is>
          <t>Vacant</t>
        </is>
      </c>
      <c r="E282" s="224" t="inlineStr">
        <is>
          <t xml:space="preserve">Manager Service Perforance &amp; Assurance </t>
        </is>
      </c>
      <c r="F282" s="224" t="inlineStr">
        <is>
          <t>Partnering &amp; Transformation</t>
        </is>
      </c>
      <c r="G282" s="224" t="inlineStr">
        <is>
          <t>Transformation</t>
        </is>
      </c>
      <c r="H282" s="224" t="inlineStr">
        <is>
          <t>NA</t>
        </is>
      </c>
      <c r="I282" s="224" t="inlineStr">
        <is>
          <t>NA</t>
        </is>
      </c>
      <c r="J282" s="224" t="inlineStr">
        <is>
          <t>NA</t>
        </is>
      </c>
      <c r="K282" s="224" t="inlineStr">
        <is>
          <t>NA</t>
        </is>
      </c>
      <c r="L282" s="318" t="n"/>
      <c r="M282" s="319" t="inlineStr">
        <is>
          <t>Australia</t>
        </is>
      </c>
      <c r="N282" s="320" t="inlineStr">
        <is>
          <t>CSB</t>
        </is>
      </c>
      <c r="O282" s="320" t="n">
        <v>1</v>
      </c>
      <c r="P282" s="320" t="n"/>
      <c r="Q282" s="320" t="inlineStr">
        <is>
          <t>Permanent - Full Time</t>
        </is>
      </c>
      <c r="R282" s="322" t="n"/>
      <c r="S282" s="322" t="n"/>
      <c r="T282" s="334" t="n">
        <v>216470</v>
      </c>
      <c r="U282" s="705" t="n">
        <v>216470</v>
      </c>
      <c r="V282" s="325" t="n">
        <v>0.14</v>
      </c>
      <c r="W282" s="702" t="n">
        <v>0.055</v>
      </c>
      <c r="X282" s="702" t="n">
        <v>0.12</v>
      </c>
      <c r="Y282" s="703" t="n"/>
      <c r="Z282" s="702" t="n">
        <v>0.04</v>
      </c>
      <c r="AA282" s="701">
        <f>U282*(1+V282+W282+X282+Y282+Z282)</f>
        <v>293316.85</v>
      </c>
      <c r="AC282" t="inlineStr">
        <is>
          <t>COE</t>
        </is>
      </c>
      <c r="AD282" t="inlineStr">
        <is>
          <t>COE - Transformation</t>
        </is>
      </c>
      <c r="AE282" t="inlineStr">
        <is>
          <t>COE - Transformation</t>
        </is>
      </c>
      <c r="AF282" t="inlineStr">
        <is>
          <t>COE</t>
        </is>
      </c>
      <c r="AG282" t="inlineStr">
        <is>
          <t>Filled</t>
        </is>
      </c>
    </row>
    <row r="283" ht="18" customHeight="1" s="506">
      <c r="A283" s="259" t="n">
        <v>83658</v>
      </c>
      <c r="B283" s="224" t="inlineStr">
        <is>
          <t>Sam Chan</t>
        </is>
      </c>
      <c r="C283" s="317" t="inlineStr">
        <is>
          <t>FinOps Manager</t>
        </is>
      </c>
      <c r="D283" s="318" t="inlineStr">
        <is>
          <t>Vacant</t>
        </is>
      </c>
      <c r="E283" s="224" t="inlineStr">
        <is>
          <t xml:space="preserve">Manager Cyber Security Operations </t>
        </is>
      </c>
      <c r="F283" s="224" t="inlineStr">
        <is>
          <t>Partnering &amp; Transformation</t>
        </is>
      </c>
      <c r="G283" s="224" t="inlineStr">
        <is>
          <t>Transformation</t>
        </is>
      </c>
      <c r="H283" t="inlineStr">
        <is>
          <t>NA</t>
        </is>
      </c>
      <c r="I283" s="224" t="inlineStr">
        <is>
          <t>NA</t>
        </is>
      </c>
      <c r="J283" s="224" t="inlineStr">
        <is>
          <t>NA</t>
        </is>
      </c>
      <c r="K283" s="224" t="inlineStr">
        <is>
          <t>NA</t>
        </is>
      </c>
      <c r="L283" s="318" t="n"/>
      <c r="M283" s="319" t="inlineStr">
        <is>
          <t>Australia</t>
        </is>
      </c>
      <c r="N283" s="322" t="inlineStr">
        <is>
          <t>CIC</t>
        </is>
      </c>
      <c r="O283" s="322" t="n">
        <v>1</v>
      </c>
      <c r="P283" s="322" t="n"/>
      <c r="Q283" s="322" t="inlineStr">
        <is>
          <t>Permanent - Full Time</t>
        </is>
      </c>
      <c r="R283" s="322" t="n"/>
      <c r="S283" s="322" t="n"/>
      <c r="T283" s="334" t="n">
        <v>169130</v>
      </c>
      <c r="U283" s="705" t="n">
        <v>169130</v>
      </c>
      <c r="V283" s="325" t="n">
        <v>0.12</v>
      </c>
      <c r="W283" s="702" t="n">
        <v>0.055</v>
      </c>
      <c r="X283" s="702" t="n">
        <v>0.12</v>
      </c>
      <c r="Y283" s="703" t="n"/>
      <c r="Z283" s="702" t="n">
        <v>0.04</v>
      </c>
      <c r="AA283" s="701">
        <f>U283*(1+V283+W283+X283+Y283+Z283)</f>
        <v>225788.55</v>
      </c>
      <c r="AC283" t="inlineStr">
        <is>
          <t>COE</t>
        </is>
      </c>
      <c r="AD283" t="inlineStr">
        <is>
          <t>COE - Transformation</t>
        </is>
      </c>
      <c r="AE283" t="inlineStr">
        <is>
          <t>COE - Transformation</t>
        </is>
      </c>
      <c r="AF283" t="inlineStr">
        <is>
          <t>COE</t>
        </is>
      </c>
      <c r="AG283" t="inlineStr">
        <is>
          <t>Filled</t>
        </is>
      </c>
    </row>
    <row r="284" ht="18" customHeight="1" s="506">
      <c r="A284" s="259" t="n">
        <v>99999102144</v>
      </c>
      <c r="B284" s="224" t="inlineStr">
        <is>
          <t>Shelley Crawford</t>
        </is>
      </c>
      <c r="C284" s="317" t="inlineStr">
        <is>
          <t>TDD BP - Z</t>
        </is>
      </c>
      <c r="D284" s="224" t="inlineStr">
        <is>
          <t>Michael Schofield</t>
        </is>
      </c>
      <c r="E284" s="224" t="inlineStr">
        <is>
          <t>GM TDD, Partnering &amp; Transformation</t>
        </is>
      </c>
      <c r="F284" s="224" t="inlineStr">
        <is>
          <t>Partnering &amp; Transformation</t>
        </is>
      </c>
      <c r="G284" s="224" t="inlineStr">
        <is>
          <t>TDD Business Partner</t>
        </is>
      </c>
      <c r="H284" s="224" t="inlineStr">
        <is>
          <t>NA</t>
        </is>
      </c>
      <c r="I284" s="224" t="inlineStr">
        <is>
          <t>NA</t>
        </is>
      </c>
      <c r="J284" s="224" t="inlineStr">
        <is>
          <t>NA</t>
        </is>
      </c>
      <c r="K284" s="224" t="inlineStr">
        <is>
          <t>NA</t>
        </is>
      </c>
      <c r="L284" s="318" t="n"/>
      <c r="M284" s="319" t="inlineStr">
        <is>
          <t>NZ</t>
        </is>
      </c>
      <c r="N284" s="320" t="inlineStr">
        <is>
          <t>CSC</t>
        </is>
      </c>
      <c r="O284" s="321" t="n">
        <v>1</v>
      </c>
      <c r="P284" s="320" t="n"/>
      <c r="Q284" s="321" t="inlineStr">
        <is>
          <t>Permanent - Full Time</t>
        </is>
      </c>
      <c r="R284" s="322" t="n"/>
      <c r="S284" s="322" t="n"/>
      <c r="T284" s="334" t="n">
        <v>245000</v>
      </c>
      <c r="U284" s="705" t="n">
        <v>225400</v>
      </c>
      <c r="V284" s="324" t="n">
        <v>0.2</v>
      </c>
      <c r="W284" s="322" t="n"/>
      <c r="X284" s="325" t="n">
        <v>0.05</v>
      </c>
      <c r="Y284" s="700" t="n">
        <v>2910</v>
      </c>
      <c r="Z284" s="325" t="n">
        <v>0.03</v>
      </c>
      <c r="AA284" s="701">
        <f>U284*(1+V284+X284+Z284)+Y284</f>
        <v>291422.0</v>
      </c>
      <c r="AB284" t="n">
        <v>116452</v>
      </c>
      <c r="AC284" t="inlineStr">
        <is>
          <t>COE</t>
        </is>
      </c>
      <c r="AD284" t="inlineStr">
        <is>
          <t>COE - Business Partnering</t>
        </is>
      </c>
      <c r="AE284" t="inlineStr">
        <is>
          <t>COE - Business Partnering</t>
        </is>
      </c>
      <c r="AF284" t="inlineStr">
        <is>
          <t>COE</t>
        </is>
      </c>
      <c r="AG284" t="inlineStr">
        <is>
          <t>Filled</t>
        </is>
      </c>
    </row>
    <row r="285" ht="18" customHeight="1" s="506">
      <c r="A285" s="259" t="n">
        <v>113935</v>
      </c>
      <c r="B285" s="224" t="inlineStr">
        <is>
          <t>Thomas Reid</t>
        </is>
      </c>
      <c r="C285" s="317" t="inlineStr">
        <is>
          <t>TDD BP - Retail &amp; Customer - Store Digital</t>
        </is>
      </c>
      <c r="D285" s="224" t="inlineStr">
        <is>
          <t>Michael Schofield</t>
        </is>
      </c>
      <c r="E285" s="224" t="inlineStr">
        <is>
          <t>GM TDD, Partnering &amp; Transformation</t>
        </is>
      </c>
      <c r="F285" s="224" t="inlineStr">
        <is>
          <t>Partnering &amp; Transformation</t>
        </is>
      </c>
      <c r="G285" s="224" t="inlineStr">
        <is>
          <t>TDD Business Partner</t>
        </is>
      </c>
      <c r="H285" s="224" t="inlineStr">
        <is>
          <t>NA</t>
        </is>
      </c>
      <c r="I285" s="224" t="inlineStr">
        <is>
          <t>NA</t>
        </is>
      </c>
      <c r="J285" s="224" t="inlineStr">
        <is>
          <t>NA</t>
        </is>
      </c>
      <c r="K285" s="224" t="inlineStr">
        <is>
          <t>NA</t>
        </is>
      </c>
      <c r="L285" s="318" t="n"/>
      <c r="M285" s="319" t="inlineStr">
        <is>
          <t>Australia</t>
        </is>
      </c>
      <c r="N285" s="320" t="inlineStr">
        <is>
          <t>CSC</t>
        </is>
      </c>
      <c r="O285" s="320" t="n">
        <v>1</v>
      </c>
      <c r="P285" s="320" t="n"/>
      <c r="Q285" s="320" t="inlineStr">
        <is>
          <t>Permanent - Full Time</t>
        </is>
      </c>
      <c r="R285" s="322" t="n"/>
      <c r="S285" s="322" t="n"/>
      <c r="T285" s="334" t="n">
        <v>295000</v>
      </c>
      <c r="U285" s="705" t="n">
        <v>295000</v>
      </c>
      <c r="V285" s="325" t="n">
        <v>0.2</v>
      </c>
      <c r="W285" s="702" t="n">
        <v>0.055</v>
      </c>
      <c r="X285" s="702" t="n">
        <v>0.12</v>
      </c>
      <c r="Y285" s="703" t="n"/>
      <c r="Z285" s="702" t="n">
        <v>0.04</v>
      </c>
      <c r="AA285" s="701">
        <f>U285*(1+V285+W285+X285+Y285+Z285)</f>
        <v>417425.0</v>
      </c>
      <c r="AC285" t="inlineStr">
        <is>
          <t>COE</t>
        </is>
      </c>
      <c r="AD285" t="inlineStr">
        <is>
          <t>COE - Business Partnering</t>
        </is>
      </c>
      <c r="AE285" t="inlineStr">
        <is>
          <t>COE - Business Partnering</t>
        </is>
      </c>
      <c r="AF285" t="inlineStr">
        <is>
          <t>COE</t>
        </is>
      </c>
      <c r="AG285" t="inlineStr">
        <is>
          <t>Filled</t>
        </is>
      </c>
    </row>
    <row r="286" ht="18" customHeight="1" s="506">
      <c r="A286" s="259" t="inlineStr">
        <is>
          <t>V</t>
        </is>
      </c>
      <c r="B286" s="224" t="inlineStr">
        <is>
          <t>Vacant</t>
        </is>
      </c>
      <c r="C286" s="317" t="inlineStr">
        <is>
          <t>Commercial Director</t>
        </is>
      </c>
      <c r="D286" s="224" t="inlineStr">
        <is>
          <t>Michael Schofield</t>
        </is>
      </c>
      <c r="E286" s="224" t="inlineStr">
        <is>
          <t>GM TDD, Partnering &amp; Transformation</t>
        </is>
      </c>
      <c r="F286" s="224" t="inlineStr">
        <is>
          <t>Partnering &amp; Transformation</t>
        </is>
      </c>
      <c r="G286" s="224" t="inlineStr">
        <is>
          <t>Commercial</t>
        </is>
      </c>
      <c r="H286" s="224" t="inlineStr">
        <is>
          <t>NA</t>
        </is>
      </c>
      <c r="I286" s="224" t="inlineStr">
        <is>
          <t>NA</t>
        </is>
      </c>
      <c r="J286" s="224" t="inlineStr">
        <is>
          <t>NA</t>
        </is>
      </c>
      <c r="K286" s="224" t="inlineStr">
        <is>
          <t>NA</t>
        </is>
      </c>
      <c r="L286" s="318" t="n"/>
      <c r="M286" s="319" t="inlineStr">
        <is>
          <t>Australia</t>
        </is>
      </c>
      <c r="N286" s="320" t="inlineStr">
        <is>
          <t>LSB</t>
        </is>
      </c>
      <c r="O286" s="320" t="n">
        <v>1</v>
      </c>
      <c r="P286" s="320" t="n"/>
      <c r="Q286" s="320" t="inlineStr">
        <is>
          <t>v</t>
        </is>
      </c>
      <c r="R286" s="322" t="n"/>
      <c r="S286" s="322" t="n"/>
      <c r="T286" s="334" t="n">
        <v>300000</v>
      </c>
      <c r="U286" s="705" t="n">
        <v>300000</v>
      </c>
      <c r="V286" s="325" t="n">
        <v>0.25</v>
      </c>
      <c r="W286" s="702" t="n">
        <v>0.055</v>
      </c>
      <c r="X286" s="702" t="n">
        <v>0.12</v>
      </c>
      <c r="Y286" s="703" t="n"/>
      <c r="Z286" s="702" t="n">
        <v>0.04</v>
      </c>
      <c r="AA286" s="701">
        <f>U286*(1+V286+W286+X286+Y286+Z286)</f>
        <v>439499.99999999994</v>
      </c>
      <c r="AC286" s="328" t="inlineStr">
        <is>
          <t>COE</t>
        </is>
      </c>
      <c r="AD286" t="inlineStr">
        <is>
          <t>COE - Business Partnering</t>
        </is>
      </c>
      <c r="AE286" t="inlineStr">
        <is>
          <t>COE - Business Partnering</t>
        </is>
      </c>
      <c r="AF286" t="inlineStr">
        <is>
          <t>COE</t>
        </is>
      </c>
      <c r="AG286" t="inlineStr">
        <is>
          <t>Vacant</t>
        </is>
      </c>
    </row>
    <row r="287" ht="18" customHeight="1" s="506">
      <c r="A287" s="259" t="inlineStr">
        <is>
          <t>V</t>
        </is>
      </c>
      <c r="B287" s="224" t="inlineStr">
        <is>
          <t>Vacant</t>
        </is>
      </c>
      <c r="C287" s="317" t="inlineStr">
        <is>
          <t>Head of Transformation</t>
        </is>
      </c>
      <c r="D287" s="224" t="inlineStr">
        <is>
          <t>Michael Schofield</t>
        </is>
      </c>
      <c r="E287" s="224" t="inlineStr">
        <is>
          <t>Head of Service Operatoins &amp; Assurance</t>
        </is>
      </c>
      <c r="F287" s="224" t="inlineStr">
        <is>
          <t>Partnering &amp; Transformation</t>
        </is>
      </c>
      <c r="G287" s="224" t="inlineStr">
        <is>
          <t>Transformation</t>
        </is>
      </c>
      <c r="H287" s="224" t="inlineStr">
        <is>
          <t>NA</t>
        </is>
      </c>
      <c r="I287" s="224" t="inlineStr">
        <is>
          <t>NA</t>
        </is>
      </c>
      <c r="J287" s="224" t="inlineStr">
        <is>
          <t>NA</t>
        </is>
      </c>
      <c r="K287" s="224" t="inlineStr">
        <is>
          <t>NA</t>
        </is>
      </c>
      <c r="L287" s="318" t="n"/>
      <c r="M287" s="319" t="inlineStr">
        <is>
          <t>Australia</t>
        </is>
      </c>
      <c r="N287" s="320" t="inlineStr">
        <is>
          <t>CSC</t>
        </is>
      </c>
      <c r="O287" s="320" t="n">
        <v>1</v>
      </c>
      <c r="P287" s="320" t="n"/>
      <c r="Q287" s="320" t="inlineStr">
        <is>
          <t>v</t>
        </is>
      </c>
      <c r="R287" s="322" t="n"/>
      <c r="S287" s="322" t="n"/>
      <c r="T287" s="334" t="n">
        <v>260000</v>
      </c>
      <c r="U287" s="705" t="n">
        <v>260000</v>
      </c>
      <c r="V287" s="325" t="n">
        <v>0.2</v>
      </c>
      <c r="W287" s="702" t="n">
        <v>0.055</v>
      </c>
      <c r="X287" s="702" t="n">
        <v>0.12</v>
      </c>
      <c r="Y287" s="703" t="n"/>
      <c r="Z287" s="702" t="n">
        <v>0.04</v>
      </c>
      <c r="AA287" s="701">
        <f>U287*(1+V287+W287+X287+Y287+Z287)</f>
        <v>367900.0</v>
      </c>
      <c r="AC287" t="inlineStr">
        <is>
          <t>COE</t>
        </is>
      </c>
      <c r="AD287" t="inlineStr">
        <is>
          <t>COE - Transformation</t>
        </is>
      </c>
      <c r="AE287" t="inlineStr">
        <is>
          <t>COE - Transformation</t>
        </is>
      </c>
      <c r="AF287" t="inlineStr">
        <is>
          <t>COE</t>
        </is>
      </c>
      <c r="AG287" t="inlineStr">
        <is>
          <t>Vacant</t>
        </is>
      </c>
    </row>
    <row r="288" ht="18" customHeight="1" s="506">
      <c r="A288" s="259" t="inlineStr">
        <is>
          <t>V</t>
        </is>
      </c>
      <c r="B288" s="224" t="inlineStr">
        <is>
          <t>Vacant</t>
        </is>
      </c>
      <c r="C288" s="317" t="inlineStr">
        <is>
          <t>Delivery Systems Analyst</t>
        </is>
      </c>
      <c r="D288" s="224" t="inlineStr">
        <is>
          <t>Ruth Chou</t>
        </is>
      </c>
      <c r="E288" s="224" t="inlineStr">
        <is>
          <t>Portfolio Reporting Manger</t>
        </is>
      </c>
      <c r="F288" s="224" t="inlineStr">
        <is>
          <t>Partnering &amp; Transformation</t>
        </is>
      </c>
      <c r="G288" s="224" t="inlineStr">
        <is>
          <t>Transformation</t>
        </is>
      </c>
      <c r="H288" s="224" t="inlineStr">
        <is>
          <t>NA</t>
        </is>
      </c>
      <c r="I288" s="224" t="inlineStr">
        <is>
          <t>NA</t>
        </is>
      </c>
      <c r="J288" s="224" t="inlineStr">
        <is>
          <t>NA</t>
        </is>
      </c>
      <c r="K288" s="224" t="inlineStr">
        <is>
          <t>NA</t>
        </is>
      </c>
      <c r="L288" s="318" t="n"/>
      <c r="M288" s="319" t="inlineStr">
        <is>
          <t>Australia</t>
        </is>
      </c>
      <c r="N288" s="320" t="inlineStr">
        <is>
          <t>cib</t>
        </is>
      </c>
      <c r="O288" s="320" t="n">
        <v>1</v>
      </c>
      <c r="P288" s="320" t="n"/>
      <c r="Q288" s="320" t="inlineStr">
        <is>
          <t>V</t>
        </is>
      </c>
      <c r="R288" s="322" t="n"/>
      <c r="S288" s="322" t="n"/>
      <c r="T288" s="334" t="n">
        <v>151950</v>
      </c>
      <c r="U288" s="705" t="n">
        <v>151950</v>
      </c>
      <c r="V288" s="325" t="n">
        <v>0.12</v>
      </c>
      <c r="W288" s="702" t="n">
        <v>0.055</v>
      </c>
      <c r="X288" s="702" t="n">
        <v>0.12</v>
      </c>
      <c r="Y288" s="703" t="n"/>
      <c r="Z288" s="702" t="n">
        <v>0.04</v>
      </c>
      <c r="AA288" s="701">
        <f>U288*(1+V288+W288+X288+Y288+Z288)</f>
        <v>202853.25</v>
      </c>
      <c r="AC288" t="inlineStr">
        <is>
          <t>COE</t>
        </is>
      </c>
      <c r="AD288" t="inlineStr">
        <is>
          <t>COE - Transformation</t>
        </is>
      </c>
      <c r="AE288" t="inlineStr">
        <is>
          <t>COE - Transformation</t>
        </is>
      </c>
      <c r="AF288" t="inlineStr">
        <is>
          <t>COE</t>
        </is>
      </c>
      <c r="AG288" t="inlineStr">
        <is>
          <t>Vacant</t>
        </is>
      </c>
    </row>
    <row r="289" ht="18" customHeight="1" s="506">
      <c r="A289" s="259" t="inlineStr">
        <is>
          <t>V</t>
        </is>
      </c>
      <c r="B289" s="224" t="inlineStr">
        <is>
          <t>Vacant</t>
        </is>
      </c>
      <c r="C289" s="317" t="inlineStr">
        <is>
          <t>Business Analysis Practice Lead</t>
        </is>
      </c>
      <c r="D289" s="318" t="inlineStr">
        <is>
          <t>Vacant</t>
        </is>
      </c>
      <c r="E289" s="224" t="inlineStr">
        <is>
          <t>Delivery Excellence Manager</t>
        </is>
      </c>
      <c r="F289" s="224" t="inlineStr">
        <is>
          <t>Partnering &amp; Transformation</t>
        </is>
      </c>
      <c r="G289" s="224" t="inlineStr">
        <is>
          <t>Transformation</t>
        </is>
      </c>
      <c r="H289" t="inlineStr">
        <is>
          <t>NA</t>
        </is>
      </c>
      <c r="I289" s="224" t="inlineStr">
        <is>
          <t>NA</t>
        </is>
      </c>
      <c r="J289" s="224" t="inlineStr">
        <is>
          <t>NA</t>
        </is>
      </c>
      <c r="K289" s="224" t="inlineStr">
        <is>
          <t>NA</t>
        </is>
      </c>
      <c r="L289" s="318" t="n"/>
      <c r="M289" s="319" t="inlineStr">
        <is>
          <t>Australia</t>
        </is>
      </c>
      <c r="N289" s="320" t="inlineStr">
        <is>
          <t>CIC</t>
        </is>
      </c>
      <c r="O289" s="320" t="n">
        <v>1</v>
      </c>
      <c r="P289" s="320" t="n"/>
      <c r="Q289" s="320" t="inlineStr">
        <is>
          <t>V</t>
        </is>
      </c>
      <c r="R289" s="322" t="n"/>
      <c r="S289" s="322" t="n"/>
      <c r="T289" s="334" t="n">
        <v>173550</v>
      </c>
      <c r="U289" s="705" t="n">
        <v>173550</v>
      </c>
      <c r="V289" s="325" t="n">
        <v>0.12</v>
      </c>
      <c r="W289" s="702" t="n">
        <v>0.055</v>
      </c>
      <c r="X289" s="702" t="n">
        <v>0.12</v>
      </c>
      <c r="Y289" s="703" t="n"/>
      <c r="Z289" s="702" t="n">
        <v>0.04</v>
      </c>
      <c r="AA289" s="701">
        <f>U289*(1+V289+W289+X289+Y289+Z289)</f>
        <v>231689.25</v>
      </c>
      <c r="AC289" t="inlineStr">
        <is>
          <t>COE</t>
        </is>
      </c>
      <c r="AD289" t="inlineStr">
        <is>
          <t>COE - Transformation</t>
        </is>
      </c>
      <c r="AE289" t="inlineStr">
        <is>
          <t>COE - Transformation</t>
        </is>
      </c>
      <c r="AF289" t="inlineStr">
        <is>
          <t>COE</t>
        </is>
      </c>
      <c r="AG289" t="inlineStr">
        <is>
          <t>Vacant</t>
        </is>
      </c>
    </row>
    <row r="290" ht="18" customHeight="1" s="506">
      <c r="A290" s="259" t="inlineStr">
        <is>
          <t>V</t>
        </is>
      </c>
      <c r="B290" s="318" t="inlineStr">
        <is>
          <t>Vacant</t>
        </is>
      </c>
      <c r="C290" s="336" t="inlineStr">
        <is>
          <t>Delivery Assurance Manager</t>
        </is>
      </c>
      <c r="D290" s="318" t="inlineStr">
        <is>
          <t>Vacant</t>
        </is>
      </c>
      <c r="E290" s="318" t="inlineStr">
        <is>
          <t xml:space="preserve">Manager Identity &amp; Access Management </t>
        </is>
      </c>
      <c r="F290" s="224" t="inlineStr">
        <is>
          <t>Partnering &amp; Transformation</t>
        </is>
      </c>
      <c r="G290" s="318" t="inlineStr">
        <is>
          <t>Transformation</t>
        </is>
      </c>
      <c r="H290" s="224" t="inlineStr">
        <is>
          <t>NA</t>
        </is>
      </c>
      <c r="I290" s="224" t="inlineStr">
        <is>
          <t>NA</t>
        </is>
      </c>
      <c r="J290" s="224" t="inlineStr">
        <is>
          <t>NA</t>
        </is>
      </c>
      <c r="K290" s="224" t="inlineStr">
        <is>
          <t>NA</t>
        </is>
      </c>
      <c r="L290" s="318" t="n"/>
      <c r="M290" s="319" t="inlineStr">
        <is>
          <t>Australia</t>
        </is>
      </c>
      <c r="N290" s="320" t="inlineStr">
        <is>
          <t>CSB</t>
        </is>
      </c>
      <c r="O290" s="320" t="n">
        <v>1</v>
      </c>
      <c r="P290" s="320" t="n"/>
      <c r="Q290" s="320" t="inlineStr">
        <is>
          <t>V</t>
        </is>
      </c>
      <c r="R290" s="322" t="n"/>
      <c r="S290" s="322" t="n"/>
      <c r="T290" s="334" t="n">
        <v>203550</v>
      </c>
      <c r="U290" s="705" t="n">
        <v>203550</v>
      </c>
      <c r="V290" s="325" t="n">
        <v>0.14</v>
      </c>
      <c r="W290" s="702" t="n">
        <v>0.055</v>
      </c>
      <c r="X290" s="702" t="n">
        <v>0.12</v>
      </c>
      <c r="Y290" s="703" t="n"/>
      <c r="Z290" s="702" t="n">
        <v>0.04</v>
      </c>
      <c r="AA290" s="701">
        <f>U290*(1+V290+W290+X290+Y290+Z290)</f>
        <v>275810.25</v>
      </c>
      <c r="AC290" t="inlineStr">
        <is>
          <t>COE</t>
        </is>
      </c>
      <c r="AD290" t="inlineStr">
        <is>
          <t>COE - Transformation</t>
        </is>
      </c>
      <c r="AE290" t="inlineStr">
        <is>
          <t>COE - Transformation</t>
        </is>
      </c>
      <c r="AF290" t="inlineStr">
        <is>
          <t>COE</t>
        </is>
      </c>
      <c r="AG290" t="inlineStr">
        <is>
          <t>Vacant</t>
        </is>
      </c>
    </row>
    <row r="291" ht="18" customHeight="1" s="506">
      <c r="A291" s="259" t="inlineStr">
        <is>
          <t>V</t>
        </is>
      </c>
      <c r="B291" s="224" t="inlineStr">
        <is>
          <t>Vacant</t>
        </is>
      </c>
      <c r="C291" s="317" t="inlineStr">
        <is>
          <t>Delivery Capacity &amp; Assurance Lead</t>
        </is>
      </c>
      <c r="D291" s="395" t="inlineStr">
        <is>
          <t>Vacant</t>
        </is>
      </c>
      <c r="E291" s="318" t="inlineStr">
        <is>
          <t>vacant</t>
        </is>
      </c>
      <c r="F291" s="224" t="inlineStr">
        <is>
          <t>Partnering &amp; Transformation</t>
        </is>
      </c>
      <c r="G291" s="224" t="inlineStr">
        <is>
          <t>Transformation</t>
        </is>
      </c>
      <c r="H291" s="224" t="inlineStr">
        <is>
          <t>NA</t>
        </is>
      </c>
      <c r="I291" s="224" t="inlineStr">
        <is>
          <t>NA</t>
        </is>
      </c>
      <c r="J291" s="224" t="inlineStr">
        <is>
          <t>NA</t>
        </is>
      </c>
      <c r="K291" s="224" t="inlineStr">
        <is>
          <t>NA</t>
        </is>
      </c>
      <c r="L291" s="318" t="n"/>
      <c r="M291" s="319" t="inlineStr">
        <is>
          <t>Australia</t>
        </is>
      </c>
      <c r="N291" s="320" t="inlineStr">
        <is>
          <t>CIC</t>
        </is>
      </c>
      <c r="O291" s="320" t="n">
        <v>1</v>
      </c>
      <c r="P291" s="320" t="n"/>
      <c r="Q291" s="320" t="inlineStr">
        <is>
          <t>V</t>
        </is>
      </c>
      <c r="R291" s="322" t="n"/>
      <c r="S291" s="322" t="n"/>
      <c r="T291" s="334" t="n">
        <v>173550</v>
      </c>
      <c r="U291" s="705" t="n">
        <v>173550</v>
      </c>
      <c r="V291" s="325" t="n">
        <v>0.12</v>
      </c>
      <c r="W291" s="702" t="n">
        <v>0.055</v>
      </c>
      <c r="X291" s="702" t="n">
        <v>0.12</v>
      </c>
      <c r="Y291" s="703" t="n"/>
      <c r="Z291" s="702" t="n">
        <v>0.04</v>
      </c>
      <c r="AA291" s="701">
        <f>U291*(1+V291+W291+X291+Y291+Z291)</f>
        <v>231689.25</v>
      </c>
      <c r="AC291" t="inlineStr">
        <is>
          <t>COE</t>
        </is>
      </c>
      <c r="AD291" t="inlineStr">
        <is>
          <t>COE - Transformation</t>
        </is>
      </c>
      <c r="AE291" t="inlineStr">
        <is>
          <t>COE - Transformation</t>
        </is>
      </c>
      <c r="AF291" t="inlineStr">
        <is>
          <t>COE</t>
        </is>
      </c>
      <c r="AG291" t="inlineStr">
        <is>
          <t>Vacant</t>
        </is>
      </c>
    </row>
    <row r="292" ht="18" customHeight="1" s="506">
      <c r="A292" s="259" t="inlineStr">
        <is>
          <t>V</t>
        </is>
      </c>
      <c r="B292" s="224" t="inlineStr">
        <is>
          <t>Vacant</t>
        </is>
      </c>
      <c r="C292" s="317" t="inlineStr">
        <is>
          <t>Delivery Excellence Manager</t>
        </is>
      </c>
      <c r="D292" s="318" t="inlineStr">
        <is>
          <t>Vacant</t>
        </is>
      </c>
      <c r="E292" s="224" t="inlineStr">
        <is>
          <t xml:space="preserve">CISO </t>
        </is>
      </c>
      <c r="F292" s="224" t="inlineStr">
        <is>
          <t>Partnering &amp; Transformation</t>
        </is>
      </c>
      <c r="G292" s="224" t="inlineStr">
        <is>
          <t>Transformation</t>
        </is>
      </c>
      <c r="H292" s="224" t="inlineStr">
        <is>
          <t>NA</t>
        </is>
      </c>
      <c r="I292" s="224" t="inlineStr">
        <is>
          <t>NA</t>
        </is>
      </c>
      <c r="J292" s="224" t="inlineStr">
        <is>
          <t>NA</t>
        </is>
      </c>
      <c r="K292" s="224" t="inlineStr">
        <is>
          <t>NA</t>
        </is>
      </c>
      <c r="L292" s="318" t="n"/>
      <c r="M292" s="319" t="inlineStr">
        <is>
          <t>Australia</t>
        </is>
      </c>
      <c r="N292" s="320" t="inlineStr">
        <is>
          <t>CSB</t>
        </is>
      </c>
      <c r="O292" s="320" t="n">
        <v>1</v>
      </c>
      <c r="P292" s="320" t="n"/>
      <c r="Q292" s="320" t="inlineStr">
        <is>
          <t>V</t>
        </is>
      </c>
      <c r="R292" s="322" t="n"/>
      <c r="S292" s="322" t="n"/>
      <c r="T292" s="334" t="n">
        <v>203550</v>
      </c>
      <c r="U292" s="705" t="n">
        <v>203550</v>
      </c>
      <c r="V292" s="325" t="n">
        <v>0.14</v>
      </c>
      <c r="W292" s="702" t="n">
        <v>0.055</v>
      </c>
      <c r="X292" s="702" t="n">
        <v>0.12</v>
      </c>
      <c r="Y292" s="703" t="n"/>
      <c r="Z292" s="702" t="n">
        <v>0.04</v>
      </c>
      <c r="AA292" s="701">
        <f>U292*(1+V292+W292+X292+Y292+Z292)</f>
        <v>275810.25</v>
      </c>
      <c r="AC292" t="inlineStr">
        <is>
          <t>COE</t>
        </is>
      </c>
      <c r="AD292" t="inlineStr">
        <is>
          <t>COE - Transformation</t>
        </is>
      </c>
      <c r="AE292" t="inlineStr">
        <is>
          <t>COE - Transformation</t>
        </is>
      </c>
      <c r="AF292" t="inlineStr">
        <is>
          <t>COE</t>
        </is>
      </c>
      <c r="AG292" t="inlineStr">
        <is>
          <t>Vacant</t>
        </is>
      </c>
    </row>
    <row r="293" ht="18" customHeight="1" s="506">
      <c r="A293" s="259" t="inlineStr">
        <is>
          <t>V</t>
        </is>
      </c>
      <c r="B293" s="224" t="inlineStr">
        <is>
          <t>Vacant</t>
        </is>
      </c>
      <c r="C293" s="317" t="inlineStr">
        <is>
          <t>Scrum Master</t>
        </is>
      </c>
      <c r="D293" s="318" t="inlineStr">
        <is>
          <t>Vacant</t>
        </is>
      </c>
      <c r="E293" s="224" t="inlineStr">
        <is>
          <t xml:space="preserve">Lead Technology Support </t>
        </is>
      </c>
      <c r="F293" s="224" t="inlineStr">
        <is>
          <t>Partnering &amp; Transformation</t>
        </is>
      </c>
      <c r="G293" s="224" t="inlineStr">
        <is>
          <t>Transformation</t>
        </is>
      </c>
      <c r="H293" s="224" t="inlineStr">
        <is>
          <t>NA</t>
        </is>
      </c>
      <c r="I293" s="224" t="inlineStr">
        <is>
          <t>NA</t>
        </is>
      </c>
      <c r="J293" s="224" t="inlineStr">
        <is>
          <t>NA</t>
        </is>
      </c>
      <c r="K293" s="224" t="inlineStr">
        <is>
          <t>NA</t>
        </is>
      </c>
      <c r="L293" s="318" t="n"/>
      <c r="M293" s="319" t="inlineStr">
        <is>
          <t>NZ</t>
        </is>
      </c>
      <c r="N293" s="320" t="inlineStr">
        <is>
          <t>CIA</t>
        </is>
      </c>
      <c r="O293" s="320" t="n">
        <v>1</v>
      </c>
      <c r="P293" s="320" t="n"/>
      <c r="Q293" s="320" t="inlineStr">
        <is>
          <t>v</t>
        </is>
      </c>
      <c r="R293" s="322" t="n"/>
      <c r="S293" s="322" t="n"/>
      <c r="T293" s="334" t="n">
        <v>131550</v>
      </c>
      <c r="U293" s="705" t="n">
        <v>121026</v>
      </c>
      <c r="V293" s="324" t="n">
        <v>0.15</v>
      </c>
      <c r="W293" s="322" t="n"/>
      <c r="X293" s="325" t="n">
        <v>0.05</v>
      </c>
      <c r="Y293" s="700" t="n">
        <v>2910</v>
      </c>
      <c r="Z293" s="325" t="n">
        <v>0.03</v>
      </c>
      <c r="AA293" s="701">
        <f>U293*(1+V293+X293+Z293)+Y293</f>
        <v>151771.98</v>
      </c>
      <c r="AC293" t="inlineStr">
        <is>
          <t>COE</t>
        </is>
      </c>
      <c r="AD293" t="inlineStr">
        <is>
          <t>COE - Transformation</t>
        </is>
      </c>
      <c r="AE293" t="inlineStr">
        <is>
          <t>COE - Transformation</t>
        </is>
      </c>
      <c r="AF293" t="inlineStr">
        <is>
          <t>COE</t>
        </is>
      </c>
      <c r="AG293" t="inlineStr">
        <is>
          <t>Vacant</t>
        </is>
      </c>
    </row>
    <row r="294" ht="18" customHeight="1" s="506">
      <c r="A294" s="259" t="inlineStr">
        <is>
          <t>V</t>
        </is>
      </c>
      <c r="B294" s="224" t="inlineStr">
        <is>
          <t xml:space="preserve">Vacant </t>
        </is>
      </c>
      <c r="C294" s="317" t="inlineStr">
        <is>
          <t>Portfolio Analyst</t>
        </is>
      </c>
      <c r="D294" s="224" t="inlineStr">
        <is>
          <t>Ruth Chou</t>
        </is>
      </c>
      <c r="E294" s="224" t="inlineStr">
        <is>
          <t xml:space="preserve">Manager Service Perforance &amp; Assurance </t>
        </is>
      </c>
      <c r="F294" s="224" t="inlineStr">
        <is>
          <t>Partnering &amp; Transformation</t>
        </is>
      </c>
      <c r="G294" s="224" t="inlineStr">
        <is>
          <t>Transformation</t>
        </is>
      </c>
      <c r="H294" s="224" t="inlineStr">
        <is>
          <t>NA</t>
        </is>
      </c>
      <c r="I294" s="224" t="inlineStr">
        <is>
          <t>NA</t>
        </is>
      </c>
      <c r="J294" s="224" t="inlineStr">
        <is>
          <t>NA</t>
        </is>
      </c>
      <c r="K294" s="224" t="inlineStr">
        <is>
          <t>NA</t>
        </is>
      </c>
      <c r="L294" s="318" t="n"/>
      <c r="M294" s="319" t="inlineStr">
        <is>
          <t>Australia</t>
        </is>
      </c>
      <c r="N294" s="320" t="inlineStr">
        <is>
          <t>CIA</t>
        </is>
      </c>
      <c r="O294" s="320" t="n">
        <v>1</v>
      </c>
      <c r="P294" s="320" t="n"/>
      <c r="Q294" s="320" t="inlineStr">
        <is>
          <t>v</t>
        </is>
      </c>
      <c r="R294" s="322" t="n"/>
      <c r="S294" s="322" t="n"/>
      <c r="T294" s="334" t="n">
        <v>129650</v>
      </c>
      <c r="U294" s="705" t="n">
        <v>129650</v>
      </c>
      <c r="V294" s="325" t="n">
        <v>0.1</v>
      </c>
      <c r="W294" s="702" t="n">
        <v>0.055</v>
      </c>
      <c r="X294" s="702" t="n">
        <v>0.12</v>
      </c>
      <c r="Y294" s="703" t="n"/>
      <c r="Z294" s="702" t="n">
        <v>0.04</v>
      </c>
      <c r="AA294" s="701">
        <f>U294*(1+V294+W294+X294+Y294+Z294)</f>
        <v>170489.75</v>
      </c>
      <c r="AC294" t="inlineStr">
        <is>
          <t>COE</t>
        </is>
      </c>
      <c r="AD294" t="inlineStr">
        <is>
          <t>COE - Transformation</t>
        </is>
      </c>
      <c r="AE294" t="inlineStr">
        <is>
          <t>COE - Transformation</t>
        </is>
      </c>
      <c r="AF294" t="inlineStr">
        <is>
          <t>COE</t>
        </is>
      </c>
      <c r="AG294" t="inlineStr">
        <is>
          <t>Vacant</t>
        </is>
      </c>
    </row>
    <row r="295" ht="18" customHeight="1" s="506">
      <c r="A295" s="259" t="n">
        <v>101862</v>
      </c>
      <c r="B295" s="224" t="inlineStr">
        <is>
          <t>Vaughn Scott</t>
        </is>
      </c>
      <c r="C295" s="317" t="inlineStr">
        <is>
          <t>TDD BP - ES</t>
        </is>
      </c>
      <c r="D295" s="224" t="inlineStr">
        <is>
          <t>Michael Schofield</t>
        </is>
      </c>
      <c r="E295" s="224" t="inlineStr">
        <is>
          <t>GM TDD, Partnering &amp; Transformation</t>
        </is>
      </c>
      <c r="F295" s="224" t="inlineStr">
        <is>
          <t>Partnering &amp; Transformation</t>
        </is>
      </c>
      <c r="G295" s="224" t="inlineStr">
        <is>
          <t>TDD Business Partner</t>
        </is>
      </c>
      <c r="H295" s="224" t="inlineStr">
        <is>
          <t>NA</t>
        </is>
      </c>
      <c r="I295" s="224" t="inlineStr">
        <is>
          <t>NA</t>
        </is>
      </c>
      <c r="J295" s="224" t="inlineStr">
        <is>
          <t>NA</t>
        </is>
      </c>
      <c r="K295" s="224" t="inlineStr">
        <is>
          <t>NA</t>
        </is>
      </c>
      <c r="L295" s="318" t="n"/>
      <c r="M295" s="319" t="inlineStr">
        <is>
          <t>Australia</t>
        </is>
      </c>
      <c r="N295" s="320" t="inlineStr">
        <is>
          <t>CSC</t>
        </is>
      </c>
      <c r="O295" s="320" t="n">
        <v>1</v>
      </c>
      <c r="P295" s="320" t="n"/>
      <c r="Q295" s="320" t="inlineStr">
        <is>
          <t>Permanent - Full Time</t>
        </is>
      </c>
      <c r="R295" s="322" t="n"/>
      <c r="S295" s="322" t="n"/>
      <c r="T295" s="334" t="n">
        <v>242660</v>
      </c>
      <c r="U295" s="705" t="n">
        <v>242660</v>
      </c>
      <c r="V295" s="325" t="n">
        <v>0.2</v>
      </c>
      <c r="W295" s="702" t="n">
        <v>0.055</v>
      </c>
      <c r="X295" s="702" t="n">
        <v>0.12</v>
      </c>
      <c r="Y295" s="703" t="n"/>
      <c r="Z295" s="702" t="n">
        <v>0.04</v>
      </c>
      <c r="AA295" s="701">
        <f>U295*(1+V295+W295+X295+Y295+Z295)</f>
        <v>343363.9</v>
      </c>
      <c r="AC295" t="inlineStr">
        <is>
          <t>COE</t>
        </is>
      </c>
      <c r="AD295" t="inlineStr">
        <is>
          <t>COE - Business Partnering</t>
        </is>
      </c>
      <c r="AE295" t="inlineStr">
        <is>
          <t>COE - Business Partnering</t>
        </is>
      </c>
      <c r="AF295" t="inlineStr">
        <is>
          <t>COE</t>
        </is>
      </c>
      <c r="AG295" t="inlineStr">
        <is>
          <t>Filled</t>
        </is>
      </c>
    </row>
    <row r="296" hidden="1" ht="18" customHeight="1" s="506">
      <c r="A296" s="259" t="n">
        <v>116032</v>
      </c>
      <c r="B296" s="318" t="inlineStr">
        <is>
          <t>Abdul Ghaffar</t>
        </is>
      </c>
      <c r="C296" s="336" t="inlineStr">
        <is>
          <t>Applications Specialist - Demand Planning</t>
        </is>
      </c>
      <c r="D296" s="224" t="inlineStr">
        <is>
          <t>Sai Konka</t>
        </is>
      </c>
      <c r="E296" s="224" t="inlineStr">
        <is>
          <t>Applications &amp; Analytics Manager</t>
        </is>
      </c>
      <c r="F296" s="335" t="inlineStr">
        <is>
          <t>Strategy, Architecture &amp; Data</t>
        </is>
      </c>
      <c r="G296" s="318" t="inlineStr">
        <is>
          <t>Group Data</t>
        </is>
      </c>
      <c r="H296" s="335" t="inlineStr">
        <is>
          <t>Data Engineering &amp; Platforms</t>
        </is>
      </c>
      <c r="I296" s="335" t="inlineStr">
        <is>
          <t>Enterprise Data</t>
        </is>
      </c>
      <c r="J296" s="335" t="inlineStr">
        <is>
          <t>EGI</t>
        </is>
      </c>
      <c r="K296" s="335" t="inlineStr">
        <is>
          <t>Reporting &amp; Analytics</t>
        </is>
      </c>
      <c r="L296" s="318" t="n"/>
      <c r="M296" s="319" t="inlineStr">
        <is>
          <t>Australia</t>
        </is>
      </c>
      <c r="N296" s="320" t="inlineStr">
        <is>
          <t>CIB</t>
        </is>
      </c>
      <c r="O296" s="320" t="n">
        <v>1</v>
      </c>
      <c r="P296" s="320" t="n"/>
      <c r="Q296" s="320" t="inlineStr">
        <is>
          <t>Permanent - Full Time</t>
        </is>
      </c>
      <c r="R296" s="322" t="n"/>
      <c r="S296" s="322" t="n"/>
      <c r="T296" s="334" t="n">
        <v>180000</v>
      </c>
      <c r="U296" s="705" t="n">
        <v>180000</v>
      </c>
      <c r="V296" s="325" t="n">
        <v>0.12</v>
      </c>
      <c r="W296" s="702" t="n">
        <v>0.055</v>
      </c>
      <c r="X296" s="702" t="n">
        <v>0.12</v>
      </c>
      <c r="Y296" s="703" t="n"/>
      <c r="Z296" s="702" t="n">
        <v>0.04</v>
      </c>
      <c r="AA296" s="701">
        <f>U296*(1+V296+W296+X296+Y296+Z296)</f>
        <v>240300.0</v>
      </c>
      <c r="AC296" t="inlineStr">
        <is>
          <t>Enterprise Data</t>
        </is>
      </c>
      <c r="AD296" t="inlineStr">
        <is>
          <t>Group Data</t>
        </is>
      </c>
      <c r="AE296" t="inlineStr">
        <is>
          <t>Reporting &amp; Analytics</t>
        </is>
      </c>
      <c r="AF296" t="inlineStr">
        <is>
          <t>Squad</t>
        </is>
      </c>
      <c r="AG296" t="inlineStr">
        <is>
          <t>Filled</t>
        </is>
      </c>
    </row>
    <row r="297" hidden="1" ht="18" customHeight="1" s="506">
      <c r="A297" s="259" t="n">
        <v>102098</v>
      </c>
      <c r="B297" s="224" t="inlineStr">
        <is>
          <t>Bobby Mason</t>
        </is>
      </c>
      <c r="C297" s="317" t="inlineStr">
        <is>
          <t>Reporting Analyst</t>
        </is>
      </c>
      <c r="D297" s="224" t="inlineStr">
        <is>
          <t>Prashanth Krishnankutty</t>
        </is>
      </c>
      <c r="E297" s="224" t="inlineStr">
        <is>
          <t>Lead, Reporting &amp; Insights</t>
        </is>
      </c>
      <c r="F297" s="335" t="inlineStr">
        <is>
          <t>Strategy, Architecture &amp; Data</t>
        </is>
      </c>
      <c r="G297" s="318" t="inlineStr">
        <is>
          <t>Group Data</t>
        </is>
      </c>
      <c r="H297" s="335" t="inlineStr">
        <is>
          <t>Data Engineering &amp; Platforms</t>
        </is>
      </c>
      <c r="I297" s="335" t="inlineStr">
        <is>
          <t>Enterprise Data</t>
        </is>
      </c>
      <c r="J297" s="335" t="inlineStr">
        <is>
          <t>Group Data</t>
        </is>
      </c>
      <c r="K297" s="335" t="inlineStr">
        <is>
          <t>Reporting &amp; Analytics</t>
        </is>
      </c>
      <c r="L297" s="318" t="n"/>
      <c r="M297" s="319" t="inlineStr">
        <is>
          <t>Australia</t>
        </is>
      </c>
      <c r="N297" s="320" t="inlineStr">
        <is>
          <t>CIB</t>
        </is>
      </c>
      <c r="O297" s="320" t="n">
        <v>1</v>
      </c>
      <c r="P297" s="320" t="n"/>
      <c r="Q297" s="320" t="inlineStr">
        <is>
          <t>Permanent - Full Time</t>
        </is>
      </c>
      <c r="R297" s="322" t="n"/>
      <c r="S297" s="322" t="n"/>
      <c r="T297" s="334" t="n">
        <v>166560</v>
      </c>
      <c r="U297" s="705" t="n">
        <v>166560</v>
      </c>
      <c r="V297" s="325" t="n">
        <v>0.12</v>
      </c>
      <c r="W297" s="702" t="n">
        <v>0.055</v>
      </c>
      <c r="X297" s="702" t="n">
        <v>0.12</v>
      </c>
      <c r="Y297" s="703" t="n"/>
      <c r="Z297" s="702" t="n">
        <v>0.04</v>
      </c>
      <c r="AA297" s="701">
        <f>U297*(1+V297+W297+X297+Y297+Z297)</f>
        <v>222357.6</v>
      </c>
      <c r="AC297" t="inlineStr">
        <is>
          <t>Enterprise Data</t>
        </is>
      </c>
      <c r="AD297" t="inlineStr">
        <is>
          <t>Group Data</t>
        </is>
      </c>
      <c r="AE297" t="inlineStr">
        <is>
          <t>Reporting &amp; Analytics</t>
        </is>
      </c>
      <c r="AF297" t="inlineStr">
        <is>
          <t>Squad</t>
        </is>
      </c>
      <c r="AG297" t="inlineStr">
        <is>
          <t>Filled</t>
        </is>
      </c>
    </row>
    <row r="298" hidden="1" ht="18" customHeight="1" s="506">
      <c r="A298" s="259" t="n">
        <v>99999101507</v>
      </c>
      <c r="B298" s="224" t="inlineStr">
        <is>
          <t>Carol Kuang</t>
        </is>
      </c>
      <c r="C298" s="317" t="inlineStr">
        <is>
          <t>Senior Data Scientist</t>
        </is>
      </c>
      <c r="D298" s="224" t="inlineStr">
        <is>
          <t>Jonathan Robinson</t>
        </is>
      </c>
      <c r="E298" s="224" t="inlineStr">
        <is>
          <t>Technology Manager, Data Science</t>
        </is>
      </c>
      <c r="F298" s="335" t="inlineStr">
        <is>
          <t>Strategy, Architecture &amp; Data</t>
        </is>
      </c>
      <c r="G298" s="318" t="inlineStr">
        <is>
          <t>Group Data</t>
        </is>
      </c>
      <c r="H298" s="335" t="inlineStr">
        <is>
          <t>Data Science</t>
        </is>
      </c>
      <c r="I298" s="335" t="inlineStr">
        <is>
          <t>Enterprise Data</t>
        </is>
      </c>
      <c r="J298" s="335" t="inlineStr">
        <is>
          <t>Group Data</t>
        </is>
      </c>
      <c r="K298" s="318" t="inlineStr">
        <is>
          <t>Data Science</t>
        </is>
      </c>
      <c r="L298" s="318" t="n"/>
      <c r="M298" s="319" t="inlineStr">
        <is>
          <t>NZ</t>
        </is>
      </c>
      <c r="N298" s="320" t="inlineStr">
        <is>
          <t>CIC</t>
        </is>
      </c>
      <c r="O298" s="321" t="n">
        <v>1</v>
      </c>
      <c r="P298" s="320" t="n"/>
      <c r="Q298" s="321" t="inlineStr">
        <is>
          <t>Permanent - Full Time</t>
        </is>
      </c>
      <c r="R298" s="322" t="n"/>
      <c r="S298" s="322" t="n"/>
      <c r="T298" s="334" t="n">
        <v>160800</v>
      </c>
      <c r="U298" s="705" t="n">
        <v>147936</v>
      </c>
      <c r="V298" s="324" t="n">
        <v>0.15</v>
      </c>
      <c r="W298" s="321" t="n"/>
      <c r="X298" s="325" t="n">
        <v>0.05</v>
      </c>
      <c r="Y298" s="700" t="n">
        <v>2910</v>
      </c>
      <c r="Z298" s="325" t="n">
        <v>0.03</v>
      </c>
      <c r="AA298" s="701">
        <f>U298*(1+V298+X298+Z298)+Y298</f>
        <v>184871.28</v>
      </c>
      <c r="AB298" t="n">
        <v>113527</v>
      </c>
      <c r="AC298" t="inlineStr">
        <is>
          <t>Enterprise Data</t>
        </is>
      </c>
      <c r="AD298" t="inlineStr">
        <is>
          <t>Group Data</t>
        </is>
      </c>
      <c r="AE298" t="inlineStr">
        <is>
          <t>Data Science</t>
        </is>
      </c>
      <c r="AF298" t="inlineStr">
        <is>
          <t>Squad</t>
        </is>
      </c>
      <c r="AG298" t="inlineStr">
        <is>
          <t>Filled</t>
        </is>
      </c>
    </row>
    <row r="299" hidden="1" ht="18" customHeight="1" s="506">
      <c r="A299" s="322" t="n">
        <v>115483</v>
      </c>
      <c r="B299" s="259" t="inlineStr">
        <is>
          <t>Craig Ambrose</t>
        </is>
      </c>
      <c r="C299" s="317" t="inlineStr">
        <is>
          <t>Domain Architect - Group Functions</t>
        </is>
      </c>
      <c r="D299" s="224" t="inlineStr">
        <is>
          <t>Vacant</t>
        </is>
      </c>
      <c r="E299" s="224" t="inlineStr">
        <is>
          <t>Head of Architecture</t>
        </is>
      </c>
      <c r="F299" s="335" t="inlineStr">
        <is>
          <t>Strategy, Architecture &amp; Data</t>
        </is>
      </c>
      <c r="G299" s="318" t="inlineStr">
        <is>
          <t>Architecture</t>
        </is>
      </c>
      <c r="H299" s="335" t="inlineStr">
        <is>
          <t>Architecture</t>
        </is>
      </c>
      <c r="I299" s="335" t="n"/>
      <c r="J299" s="335" t="n"/>
      <c r="K299" s="318" t="n"/>
      <c r="L299" s="318" t="n"/>
      <c r="M299" s="319" t="inlineStr">
        <is>
          <t>NZ</t>
        </is>
      </c>
      <c r="N299" s="320" t="inlineStr">
        <is>
          <t>CSB</t>
        </is>
      </c>
      <c r="O299" s="320" t="n">
        <v>1</v>
      </c>
      <c r="P299" s="320" t="n"/>
      <c r="Q299" s="320" t="inlineStr">
        <is>
          <t>Permanent - Full Time</t>
        </is>
      </c>
      <c r="R299" s="322" t="n"/>
      <c r="S299" s="322" t="n"/>
      <c r="T299" s="334" t="n">
        <v>211940</v>
      </c>
      <c r="U299" s="705" t="n">
        <v>194984.8</v>
      </c>
      <c r="V299" s="324" t="n">
        <v>0.15</v>
      </c>
      <c r="W299" s="322" t="n"/>
      <c r="X299" s="325" t="n">
        <v>0.05</v>
      </c>
      <c r="Y299" s="700" t="n">
        <v>2910</v>
      </c>
      <c r="Z299" s="325" t="n">
        <v>0.03</v>
      </c>
      <c r="AA299" s="701">
        <f>U299*(1+V299+X299+Z299)+Y299</f>
        <v>242741.30399999997</v>
      </c>
      <c r="AC299" t="inlineStr">
        <is>
          <t>COE</t>
        </is>
      </c>
      <c r="AD299" t="inlineStr">
        <is>
          <t>COE - Strategy Architecture</t>
        </is>
      </c>
      <c r="AE299" t="inlineStr">
        <is>
          <t>COE - Strategy Architecture</t>
        </is>
      </c>
      <c r="AF299" t="inlineStr">
        <is>
          <t>COE</t>
        </is>
      </c>
      <c r="AG299" t="inlineStr">
        <is>
          <t>Filled</t>
        </is>
      </c>
    </row>
    <row r="300" hidden="1" ht="18" customHeight="1" s="506">
      <c r="A300" s="259" t="n">
        <v>113956</v>
      </c>
      <c r="B300" s="224" t="inlineStr">
        <is>
          <t>Deepali Mahajan</t>
        </is>
      </c>
      <c r="C300" s="317" t="inlineStr">
        <is>
          <t>Data Operations Manager</t>
        </is>
      </c>
      <c r="D300" s="224" t="inlineStr">
        <is>
          <t>James Holgate</t>
        </is>
      </c>
      <c r="E300" s="224" t="inlineStr">
        <is>
          <t>Head of Technology,  Group Data</t>
        </is>
      </c>
      <c r="F300" s="335" t="inlineStr">
        <is>
          <t>Strategy, Architecture &amp; Data</t>
        </is>
      </c>
      <c r="G300" s="318" t="inlineStr">
        <is>
          <t>Group Data</t>
        </is>
      </c>
      <c r="H300" s="318" t="inlineStr">
        <is>
          <t>Data Operations</t>
        </is>
      </c>
      <c r="I300" s="335" t="inlineStr">
        <is>
          <t>Enterprise Data</t>
        </is>
      </c>
      <c r="J300" s="335" t="inlineStr">
        <is>
          <t>Leadership</t>
        </is>
      </c>
      <c r="K300" s="318" t="n"/>
      <c r="L300" s="318" t="n"/>
      <c r="M300" s="319" t="inlineStr">
        <is>
          <t>Australia</t>
        </is>
      </c>
      <c r="N300" s="320" t="inlineStr">
        <is>
          <t>CSB</t>
        </is>
      </c>
      <c r="O300" s="320" t="n">
        <v>1</v>
      </c>
      <c r="P300" s="320" t="n"/>
      <c r="Q300" s="320" t="inlineStr">
        <is>
          <t>Permanent - Full Time</t>
        </is>
      </c>
      <c r="R300" s="322" t="n"/>
      <c r="S300" s="322" t="n"/>
      <c r="T300" s="334" t="n">
        <v>218390</v>
      </c>
      <c r="U300" s="705" t="n">
        <v>218390</v>
      </c>
      <c r="V300" s="325" t="n">
        <v>0.14</v>
      </c>
      <c r="W300" s="702" t="n">
        <v>0.055</v>
      </c>
      <c r="X300" s="702" t="n">
        <v>0.12</v>
      </c>
      <c r="Y300" s="703" t="n"/>
      <c r="Z300" s="702" t="n">
        <v>0.04</v>
      </c>
      <c r="AA300" s="701">
        <f>U300*(1+V300+W300+X300+Y300+Z300)</f>
        <v>295918.45</v>
      </c>
      <c r="AC300" s="342" t="inlineStr">
        <is>
          <t>Enterprise Data</t>
        </is>
      </c>
      <c r="AD300" t="inlineStr">
        <is>
          <t>Leadership</t>
        </is>
      </c>
      <c r="AE300" t="inlineStr">
        <is>
          <t>Leadership</t>
        </is>
      </c>
      <c r="AF300" t="inlineStr">
        <is>
          <t>Leadership</t>
        </is>
      </c>
      <c r="AG300" t="inlineStr">
        <is>
          <t>Filled</t>
        </is>
      </c>
    </row>
    <row r="301" hidden="1" ht="18" customHeight="1" s="506">
      <c r="A301" s="391" t="n">
        <v>105010</v>
      </c>
      <c r="B301" s="224" t="inlineStr">
        <is>
          <t>Dinesh Chandrasekaran</t>
        </is>
      </c>
      <c r="C301" s="317" t="inlineStr">
        <is>
          <t>Lead Engineer (Snowflake)</t>
        </is>
      </c>
      <c r="D301" s="224" t="inlineStr">
        <is>
          <t>Jason Gleason</t>
        </is>
      </c>
      <c r="E301" s="224" t="inlineStr">
        <is>
          <t>Technology Manager, Data Engineering &amp; Platforms</t>
        </is>
      </c>
      <c r="F301" s="224" t="inlineStr">
        <is>
          <t>Strategy, Architecture &amp; Data</t>
        </is>
      </c>
      <c r="G301" s="224" t="inlineStr">
        <is>
          <t>Group Data</t>
        </is>
      </c>
      <c r="H301" s="335" t="inlineStr">
        <is>
          <t>Data Engineering &amp; Platforms</t>
        </is>
      </c>
      <c r="I301" s="318" t="inlineStr">
        <is>
          <t>Enterprise Data</t>
        </is>
      </c>
      <c r="J301" s="335" t="inlineStr">
        <is>
          <t>Group Data</t>
        </is>
      </c>
      <c r="K301" s="318" t="inlineStr">
        <is>
          <t>Data Platform</t>
        </is>
      </c>
      <c r="L301" s="318" t="n"/>
      <c r="M301" s="319" t="inlineStr">
        <is>
          <t>Australia</t>
        </is>
      </c>
      <c r="N301" s="392" t="inlineStr">
        <is>
          <t xml:space="preserve">CIB </t>
        </is>
      </c>
      <c r="O301" s="392" t="n">
        <v>1</v>
      </c>
      <c r="P301" s="392" t="n"/>
      <c r="Q301" s="392" t="inlineStr">
        <is>
          <t>Permanent - Full Time</t>
        </is>
      </c>
      <c r="R301" s="224" t="n"/>
      <c r="S301" s="224" t="n"/>
      <c r="T301" s="389" t="n">
        <v>182760</v>
      </c>
      <c r="U301" s="705" t="n">
        <v>182760</v>
      </c>
      <c r="V301" s="325" t="n">
        <v>0.12</v>
      </c>
      <c r="W301" s="702" t="n">
        <v>0.055</v>
      </c>
      <c r="X301" s="702" t="n">
        <v>0.12</v>
      </c>
      <c r="Y301" s="703" t="n"/>
      <c r="Z301" s="702" t="n">
        <v>0.04</v>
      </c>
      <c r="AA301" s="701">
        <f>U301*(1+V301+W301+X301+Y301+Z301)</f>
        <v>243984.6</v>
      </c>
      <c r="AC301" t="inlineStr">
        <is>
          <t>Enterprise Data</t>
        </is>
      </c>
      <c r="AD301" t="inlineStr">
        <is>
          <t>Group Data</t>
        </is>
      </c>
      <c r="AE301" t="inlineStr">
        <is>
          <t>Data Platforms</t>
        </is>
      </c>
      <c r="AF301" t="inlineStr">
        <is>
          <t>Squad</t>
        </is>
      </c>
      <c r="AG301" t="inlineStr">
        <is>
          <t>Filled</t>
        </is>
      </c>
    </row>
    <row r="302" hidden="1" ht="18" customHeight="1" s="506">
      <c r="A302" s="259" t="n">
        <v>80469</v>
      </c>
      <c r="B302" s="224" t="inlineStr">
        <is>
          <t>James Holgate</t>
        </is>
      </c>
      <c r="C302" s="317" t="inlineStr">
        <is>
          <t>Head of Technology,  Group Data</t>
        </is>
      </c>
      <c r="D302" s="224" t="inlineStr">
        <is>
          <t>Matt Ashley</t>
        </is>
      </c>
      <c r="E302" s="224" t="inlineStr">
        <is>
          <t>GM TDD, Strategy, Architecture, Data</t>
        </is>
      </c>
      <c r="F302" s="335" t="inlineStr">
        <is>
          <t>Strategy, Architecture &amp; Data</t>
        </is>
      </c>
      <c r="G302" s="318" t="inlineStr">
        <is>
          <t>Group Data</t>
        </is>
      </c>
      <c r="H302" s="335" t="n"/>
      <c r="I302" s="318" t="n"/>
      <c r="J302" s="335" t="inlineStr">
        <is>
          <t>Leadership</t>
        </is>
      </c>
      <c r="K302" s="335" t="n"/>
      <c r="L302" s="318" t="n"/>
      <c r="M302" s="319" t="inlineStr">
        <is>
          <t>Australia</t>
        </is>
      </c>
      <c r="N302" s="322" t="inlineStr">
        <is>
          <t>CSC</t>
        </is>
      </c>
      <c r="O302" s="322" t="n">
        <v>1</v>
      </c>
      <c r="P302" s="322" t="n"/>
      <c r="Q302" s="322" t="inlineStr">
        <is>
          <t>Permanent - Full Time</t>
        </is>
      </c>
      <c r="R302" s="322" t="n"/>
      <c r="S302" s="322" t="n"/>
      <c r="T302" s="334" t="n">
        <v>289580</v>
      </c>
      <c r="U302" s="705" t="n">
        <v>289580</v>
      </c>
      <c r="V302" s="325" t="n">
        <v>0.2</v>
      </c>
      <c r="W302" s="702" t="n">
        <v>0.055</v>
      </c>
      <c r="X302" s="702" t="n">
        <v>0.12</v>
      </c>
      <c r="Y302" s="703" t="n"/>
      <c r="Z302" s="702" t="n">
        <v>0.04</v>
      </c>
      <c r="AA302" s="701">
        <f>U302*(1+V302+W302+X302+Y302+Z302)</f>
        <v>409755.7</v>
      </c>
      <c r="AC302" s="328" t="inlineStr">
        <is>
          <t>COE</t>
        </is>
      </c>
      <c r="AD302" t="inlineStr">
        <is>
          <t>COE - Data</t>
        </is>
      </c>
      <c r="AE302" t="inlineStr">
        <is>
          <t>COE - Data</t>
        </is>
      </c>
      <c r="AF302" t="inlineStr">
        <is>
          <t>COE</t>
        </is>
      </c>
      <c r="AG302" t="inlineStr">
        <is>
          <t>Filled</t>
        </is>
      </c>
    </row>
    <row r="303" hidden="1" ht="18" customHeight="1" s="506">
      <c r="A303" s="259" t="n">
        <v>99999102152</v>
      </c>
      <c r="B303" s="224" t="inlineStr">
        <is>
          <t>Jason Gleason</t>
        </is>
      </c>
      <c r="C303" s="317" t="inlineStr">
        <is>
          <t>Technology Manager, Data Engineering &amp; Platforms</t>
        </is>
      </c>
      <c r="D303" s="224" t="inlineStr">
        <is>
          <t>James Holgate</t>
        </is>
      </c>
      <c r="E303" s="224" t="inlineStr">
        <is>
          <t>Head of Technology,  Group Data</t>
        </is>
      </c>
      <c r="F303" s="335" t="inlineStr">
        <is>
          <t>Strategy, Architecture &amp; Data</t>
        </is>
      </c>
      <c r="G303" s="318" t="inlineStr">
        <is>
          <t>Group Data</t>
        </is>
      </c>
      <c r="H303" s="335" t="inlineStr">
        <is>
          <t>Data Engineering &amp; Platforms</t>
        </is>
      </c>
      <c r="I303" s="335" t="inlineStr">
        <is>
          <t>Enterprise Data</t>
        </is>
      </c>
      <c r="J303" s="396" t="inlineStr">
        <is>
          <t>Leadership</t>
        </is>
      </c>
      <c r="K303" s="318" t="n"/>
      <c r="L303" s="318" t="n"/>
      <c r="M303" s="319" t="inlineStr">
        <is>
          <t>NZ</t>
        </is>
      </c>
      <c r="N303" s="320" t="inlineStr">
        <is>
          <t>CSC</t>
        </is>
      </c>
      <c r="O303" s="321" t="n">
        <v>1</v>
      </c>
      <c r="P303" s="320" t="n"/>
      <c r="Q303" s="321" t="inlineStr">
        <is>
          <t>Permanent - Full Time</t>
        </is>
      </c>
      <c r="R303" s="322" t="n"/>
      <c r="S303" s="322" t="n"/>
      <c r="T303" s="334" t="n">
        <v>270000</v>
      </c>
      <c r="U303" s="705" t="n">
        <v>248400</v>
      </c>
      <c r="V303" s="324" t="n">
        <v>0.2</v>
      </c>
      <c r="W303" s="321" t="n"/>
      <c r="X303" s="325" t="n">
        <v>0.05</v>
      </c>
      <c r="Y303" s="700" t="n">
        <v>2910</v>
      </c>
      <c r="Z303" s="325" t="n">
        <v>0.03</v>
      </c>
      <c r="AA303" s="701">
        <f>U303*(1+V303+X303+Z303)+Y303</f>
        <v>320862.0</v>
      </c>
      <c r="AB303" t="n">
        <v>116999</v>
      </c>
      <c r="AC303" t="inlineStr">
        <is>
          <t>Enterprise Data</t>
        </is>
      </c>
      <c r="AD303" t="inlineStr">
        <is>
          <t>Leadership</t>
        </is>
      </c>
      <c r="AE303" t="inlineStr">
        <is>
          <t>Leadership</t>
        </is>
      </c>
      <c r="AF303" t="inlineStr">
        <is>
          <t>Leadership</t>
        </is>
      </c>
      <c r="AG303" t="inlineStr">
        <is>
          <t>Filled</t>
        </is>
      </c>
    </row>
    <row r="304" hidden="1" ht="18" customHeight="1" s="506">
      <c r="A304" s="259" t="n">
        <v>113381</v>
      </c>
      <c r="B304" s="224" t="inlineStr">
        <is>
          <t>Joel Vijayakumar</t>
        </is>
      </c>
      <c r="C304" s="317" t="inlineStr">
        <is>
          <t>Delivery Manager, Strategy, Architecture &amp; Data</t>
        </is>
      </c>
      <c r="D304" s="224" t="inlineStr">
        <is>
          <t>Matt Ashley</t>
        </is>
      </c>
      <c r="E304" s="224" t="inlineStr">
        <is>
          <t>GM TDD, Strategy, Architecture, Data</t>
        </is>
      </c>
      <c r="F304" s="335" t="inlineStr">
        <is>
          <t>Strategy, Architecture &amp; Data</t>
        </is>
      </c>
      <c r="G304" s="318" t="inlineStr">
        <is>
          <t>Delivery, SADA</t>
        </is>
      </c>
      <c r="H304" s="318" t="n"/>
      <c r="I304" s="318" t="n"/>
      <c r="J304" s="335" t="inlineStr">
        <is>
          <t>Leadership</t>
        </is>
      </c>
      <c r="K304" s="335" t="n"/>
      <c r="L304" s="318" t="n"/>
      <c r="M304" s="319" t="inlineStr">
        <is>
          <t>Australia</t>
        </is>
      </c>
      <c r="N304" s="320" t="inlineStr">
        <is>
          <t>CSC</t>
        </is>
      </c>
      <c r="O304" s="320" t="n">
        <v>1</v>
      </c>
      <c r="P304" s="320" t="n"/>
      <c r="Q304" s="320" t="inlineStr">
        <is>
          <t>Permanent - Full Time</t>
        </is>
      </c>
      <c r="R304" s="322" t="n"/>
      <c r="S304" s="322" t="n"/>
      <c r="T304" s="334" t="n">
        <v>260840</v>
      </c>
      <c r="U304" s="705" t="n">
        <v>260840</v>
      </c>
      <c r="V304" s="325" t="n">
        <v>0.2</v>
      </c>
      <c r="W304" s="702" t="n">
        <v>0.055</v>
      </c>
      <c r="X304" s="702" t="n">
        <v>0.12</v>
      </c>
      <c r="Y304" s="703" t="n"/>
      <c r="Z304" s="702" t="n">
        <v>0.04</v>
      </c>
      <c r="AA304" s="701">
        <f>U304*(1+V304+W304+X304+Y304+Z304)</f>
        <v>369088.60000000003</v>
      </c>
      <c r="AC304" t="inlineStr">
        <is>
          <t>COE</t>
        </is>
      </c>
      <c r="AD304" t="inlineStr">
        <is>
          <t>COE - Strategy Architecture</t>
        </is>
      </c>
      <c r="AE304" t="inlineStr">
        <is>
          <t>COE - Strategy Architecture</t>
        </is>
      </c>
      <c r="AF304" t="inlineStr">
        <is>
          <t>COE</t>
        </is>
      </c>
      <c r="AG304" t="inlineStr">
        <is>
          <t>Filled</t>
        </is>
      </c>
    </row>
    <row r="305" hidden="1" ht="18" customHeight="1" s="506">
      <c r="A305" s="259" t="n"/>
      <c r="B305" s="224" t="inlineStr">
        <is>
          <t>John Forde</t>
        </is>
      </c>
      <c r="C305" s="317" t="inlineStr">
        <is>
          <t>Enterprise Architect</t>
        </is>
      </c>
      <c r="D305" s="224" t="inlineStr">
        <is>
          <t>Vacant</t>
        </is>
      </c>
      <c r="E305" s="224" t="inlineStr">
        <is>
          <t>Head of Architecture</t>
        </is>
      </c>
      <c r="F305" s="335" t="inlineStr">
        <is>
          <t>Strategy, Architecture &amp; Data</t>
        </is>
      </c>
      <c r="G305" s="318" t="inlineStr">
        <is>
          <t>Architecture</t>
        </is>
      </c>
      <c r="H305" s="335" t="inlineStr">
        <is>
          <t>Architecture</t>
        </is>
      </c>
      <c r="I305" s="335" t="n"/>
      <c r="J305" s="335" t="n"/>
      <c r="K305" s="318" t="n"/>
      <c r="L305" s="318" t="n"/>
      <c r="M305" s="319" t="inlineStr">
        <is>
          <t>NZ</t>
        </is>
      </c>
      <c r="N305" s="320" t="inlineStr">
        <is>
          <t>CSB</t>
        </is>
      </c>
      <c r="O305" s="320" t="n">
        <v>1</v>
      </c>
      <c r="P305" s="320" t="n"/>
      <c r="Q305" s="320" t="inlineStr">
        <is>
          <t>Permanent - Full Time</t>
        </is>
      </c>
      <c r="R305" s="331" t="n"/>
      <c r="S305" s="322" t="n"/>
      <c r="T305" s="334" t="n">
        <v>186780</v>
      </c>
      <c r="U305" s="705" t="n">
        <v>171837.6</v>
      </c>
      <c r="V305" s="324" t="n">
        <v>0.15</v>
      </c>
      <c r="W305" s="322" t="n"/>
      <c r="X305" s="325" t="n">
        <v>0.05</v>
      </c>
      <c r="Y305" s="700" t="n">
        <v>2910</v>
      </c>
      <c r="Z305" s="325" t="n">
        <v>0.03</v>
      </c>
      <c r="AA305" s="701">
        <f>U305*(1+V305+X305+Z305)+Y305</f>
        <v>214270.248</v>
      </c>
      <c r="AC305" t="inlineStr">
        <is>
          <t>COE</t>
        </is>
      </c>
      <c r="AD305" t="inlineStr">
        <is>
          <t>COE - Strategy Architecture</t>
        </is>
      </c>
      <c r="AE305" t="inlineStr">
        <is>
          <t>COE - Strategy Architecture</t>
        </is>
      </c>
      <c r="AF305" t="inlineStr">
        <is>
          <t>COE</t>
        </is>
      </c>
      <c r="AG305" t="inlineStr">
        <is>
          <t>Filled</t>
        </is>
      </c>
    </row>
    <row r="306" hidden="1" ht="18" customHeight="1" s="506">
      <c r="A306" s="259" t="n">
        <v>114067</v>
      </c>
      <c r="B306" s="224" t="inlineStr">
        <is>
          <t>Jonathan Robinson</t>
        </is>
      </c>
      <c r="C306" s="317" t="inlineStr">
        <is>
          <t>Technology Manager  Data Science</t>
        </is>
      </c>
      <c r="D306" s="224" t="inlineStr">
        <is>
          <t>James Holgate</t>
        </is>
      </c>
      <c r="E306" s="224" t="inlineStr">
        <is>
          <t>Head of Technology,  Group Data</t>
        </is>
      </c>
      <c r="F306" s="335" t="inlineStr">
        <is>
          <t>Strategy, Architecture &amp; Data</t>
        </is>
      </c>
      <c r="G306" s="318" t="inlineStr">
        <is>
          <t>Group Data</t>
        </is>
      </c>
      <c r="H306" s="318" t="inlineStr">
        <is>
          <t>Data Science</t>
        </is>
      </c>
      <c r="I306" s="335" t="inlineStr">
        <is>
          <t>Enterprise Data</t>
        </is>
      </c>
      <c r="J306" s="335" t="inlineStr">
        <is>
          <t>Leadership</t>
        </is>
      </c>
      <c r="K306" s="318" t="n"/>
      <c r="L306" s="318" t="n"/>
      <c r="M306" s="319" t="inlineStr">
        <is>
          <t>Australia</t>
        </is>
      </c>
      <c r="N306" s="320" t="inlineStr">
        <is>
          <t>CSB</t>
        </is>
      </c>
      <c r="O306" s="320" t="n">
        <v>1</v>
      </c>
      <c r="P306" s="320" t="n"/>
      <c r="Q306" s="320" t="inlineStr">
        <is>
          <t>Permanent - Full Time</t>
        </is>
      </c>
      <c r="R306" s="322" t="n"/>
      <c r="S306" s="322" t="n"/>
      <c r="T306" s="334" t="n">
        <v>243850</v>
      </c>
      <c r="U306" s="705" t="n">
        <v>243850</v>
      </c>
      <c r="V306" s="325" t="n">
        <v>0.14</v>
      </c>
      <c r="W306" s="702" t="n">
        <v>0.055</v>
      </c>
      <c r="X306" s="702" t="n">
        <v>0.12</v>
      </c>
      <c r="Y306" s="703" t="n"/>
      <c r="Z306" s="702" t="n">
        <v>0.04</v>
      </c>
      <c r="AA306" s="701">
        <f>U306*(1+V306+W306+X306+Y306+Z306)</f>
        <v>330416.75</v>
      </c>
      <c r="AC306" t="inlineStr">
        <is>
          <t>Enterprise Data</t>
        </is>
      </c>
      <c r="AD306" t="inlineStr">
        <is>
          <t>Leadership</t>
        </is>
      </c>
      <c r="AE306" t="inlineStr">
        <is>
          <t>Leadership</t>
        </is>
      </c>
      <c r="AF306" t="inlineStr">
        <is>
          <t>Leadership</t>
        </is>
      </c>
      <c r="AG306" t="inlineStr">
        <is>
          <t>Filled</t>
        </is>
      </c>
    </row>
    <row r="307" hidden="1" ht="18" customHeight="1" s="506">
      <c r="A307" s="259" t="n">
        <v>80477</v>
      </c>
      <c r="B307" s="224" t="inlineStr">
        <is>
          <t>Kina Birkby</t>
        </is>
      </c>
      <c r="C307" s="317" t="inlineStr">
        <is>
          <t>Delivery Lead</t>
        </is>
      </c>
      <c r="D307" s="224" t="inlineStr">
        <is>
          <t>Joel Vijayakumar</t>
        </is>
      </c>
      <c r="E307" s="224" t="inlineStr">
        <is>
          <t>Delivery Manager, Strategy, Architecture &amp; Data</t>
        </is>
      </c>
      <c r="F307" s="335" t="inlineStr">
        <is>
          <t>Strategy, Architecture &amp; Data</t>
        </is>
      </c>
      <c r="G307" s="318" t="inlineStr">
        <is>
          <t>Delivery, SADA</t>
        </is>
      </c>
      <c r="H307" s="318" t="n"/>
      <c r="I307" s="335" t="inlineStr">
        <is>
          <t>Enterprise Data</t>
        </is>
      </c>
      <c r="J307" s="335" t="inlineStr">
        <is>
          <t>Group Data</t>
        </is>
      </c>
      <c r="K307" s="335" t="inlineStr">
        <is>
          <t>Reporting &amp; Analytics</t>
        </is>
      </c>
      <c r="L307" s="318" t="n"/>
      <c r="M307" s="319" t="inlineStr">
        <is>
          <t>Australia</t>
        </is>
      </c>
      <c r="N307" s="322" t="inlineStr">
        <is>
          <t>CIC</t>
        </is>
      </c>
      <c r="O307" s="322" t="n">
        <v>0.6</v>
      </c>
      <c r="P307" s="322" t="n"/>
      <c r="Q307" s="322" t="inlineStr">
        <is>
          <t>Permanent - Part Time</t>
        </is>
      </c>
      <c r="R307" s="322" t="n"/>
      <c r="S307" s="322" t="n"/>
      <c r="T307" s="334" t="n">
        <v>197180</v>
      </c>
      <c r="U307" s="705" t="n">
        <v>197180</v>
      </c>
      <c r="V307" s="325" t="n">
        <v>0.12</v>
      </c>
      <c r="W307" s="702" t="n">
        <v>0.055</v>
      </c>
      <c r="X307" s="702" t="n">
        <v>0.12</v>
      </c>
      <c r="Y307" s="703" t="n"/>
      <c r="Z307" s="702" t="n">
        <v>0.04</v>
      </c>
      <c r="AA307" s="701">
        <f>U307*(1+V307+W307+X307+Y307+Z307)</f>
        <v>263235.3</v>
      </c>
      <c r="AC307" t="inlineStr">
        <is>
          <t>Enterprise Data</t>
        </is>
      </c>
      <c r="AD307" t="inlineStr">
        <is>
          <t>Group Data</t>
        </is>
      </c>
      <c r="AE307" t="inlineStr">
        <is>
          <t>Reporting &amp; Analytics</t>
        </is>
      </c>
      <c r="AF307" t="inlineStr">
        <is>
          <t>Squad</t>
        </is>
      </c>
      <c r="AG307" t="inlineStr">
        <is>
          <t>Filled</t>
        </is>
      </c>
    </row>
    <row r="308" hidden="1" ht="18" customHeight="1" s="506">
      <c r="A308" s="259" t="n">
        <v>99999101535</v>
      </c>
      <c r="B308" s="224" t="inlineStr">
        <is>
          <t>Lynn Yiew</t>
        </is>
      </c>
      <c r="C308" s="317" t="inlineStr">
        <is>
          <t>Data Governance Specialist</t>
        </is>
      </c>
      <c r="D308" s="318" t="inlineStr">
        <is>
          <t>Sanjay Tikoo</t>
        </is>
      </c>
      <c r="E308" s="224" t="inlineStr">
        <is>
          <t>Data Capability Manager</t>
        </is>
      </c>
      <c r="F308" s="335" t="inlineStr">
        <is>
          <t>Strategy, Architecture &amp; Data</t>
        </is>
      </c>
      <c r="G308" s="318" t="inlineStr">
        <is>
          <t>Group Data</t>
        </is>
      </c>
      <c r="H308" s="318" t="inlineStr">
        <is>
          <t>Data Capability</t>
        </is>
      </c>
      <c r="I308" s="335" t="inlineStr">
        <is>
          <t>Enterprise Data</t>
        </is>
      </c>
      <c r="J308" s="335" t="n"/>
      <c r="K308" s="318" t="n"/>
      <c r="L308" s="318" t="n"/>
      <c r="M308" s="319" t="inlineStr">
        <is>
          <t>NZ</t>
        </is>
      </c>
      <c r="N308" s="320" t="inlineStr">
        <is>
          <t>CIB</t>
        </is>
      </c>
      <c r="O308" s="321" t="n">
        <v>1</v>
      </c>
      <c r="P308" s="320" t="n"/>
      <c r="Q308" s="321" t="inlineStr">
        <is>
          <t>Permanent - Full Time</t>
        </is>
      </c>
      <c r="R308" s="322" t="n"/>
      <c r="S308" s="322" t="n"/>
      <c r="T308" s="334" t="n">
        <v>129760</v>
      </c>
      <c r="U308" s="705" t="n">
        <v>119379.2</v>
      </c>
      <c r="V308" s="324" t="n">
        <v>0.15</v>
      </c>
      <c r="W308" s="322" t="n"/>
      <c r="X308" s="325" t="n">
        <v>0.05</v>
      </c>
      <c r="Y308" s="700" t="n">
        <v>2910</v>
      </c>
      <c r="Z308" s="325" t="n">
        <v>0.03</v>
      </c>
      <c r="AA308" s="701">
        <f>U308*(1+V308+X308+Z308)+Y308</f>
        <v>149746.416</v>
      </c>
      <c r="AB308" t="n">
        <v>113582</v>
      </c>
      <c r="AC308" t="inlineStr">
        <is>
          <t>COE</t>
        </is>
      </c>
      <c r="AD308" t="inlineStr">
        <is>
          <t>COE - Data</t>
        </is>
      </c>
      <c r="AE308" t="inlineStr">
        <is>
          <t>COE - Data</t>
        </is>
      </c>
      <c r="AF308" t="inlineStr">
        <is>
          <t>COE</t>
        </is>
      </c>
      <c r="AG308" t="inlineStr">
        <is>
          <t>Filled</t>
        </is>
      </c>
    </row>
    <row r="309" hidden="1" ht="18" customHeight="1" s="506">
      <c r="A309" s="322" t="n">
        <v>113595</v>
      </c>
      <c r="B309" s="259" t="inlineStr">
        <is>
          <t>Mike Gilbert</t>
        </is>
      </c>
      <c r="C309" s="317" t="inlineStr">
        <is>
          <t xml:space="preserve">Domain Architect - CFE &amp; Infrastructure </t>
        </is>
      </c>
      <c r="D309" s="224" t="inlineStr">
        <is>
          <t>Vacant</t>
        </is>
      </c>
      <c r="E309" s="224" t="inlineStr">
        <is>
          <t>Head of Architecture</t>
        </is>
      </c>
      <c r="F309" s="335" t="inlineStr">
        <is>
          <t>Strategy, Architecture &amp; Data</t>
        </is>
      </c>
      <c r="G309" s="318" t="inlineStr">
        <is>
          <t>Architecture</t>
        </is>
      </c>
      <c r="H309" s="397" t="inlineStr">
        <is>
          <t>Architecture</t>
        </is>
      </c>
      <c r="I309" s="335" t="n"/>
      <c r="J309" s="335" t="n"/>
      <c r="K309" s="318" t="n"/>
      <c r="L309" s="318" t="n"/>
      <c r="M309" s="319" t="inlineStr">
        <is>
          <t>NZ</t>
        </is>
      </c>
      <c r="N309" s="320" t="inlineStr">
        <is>
          <t>CSB</t>
        </is>
      </c>
      <c r="O309" s="320" t="n">
        <v>1</v>
      </c>
      <c r="P309" s="320" t="n"/>
      <c r="Q309" s="320" t="inlineStr">
        <is>
          <t>Permanent - Full Time</t>
        </is>
      </c>
      <c r="R309" s="322" t="n"/>
      <c r="S309" s="322" t="n"/>
      <c r="T309" s="334" t="n">
        <v>206740</v>
      </c>
      <c r="U309" s="705" t="n">
        <v>190200.8</v>
      </c>
      <c r="V309" s="324" t="n">
        <v>0.15</v>
      </c>
      <c r="W309" s="322" t="n"/>
      <c r="X309" s="325" t="n">
        <v>0.05</v>
      </c>
      <c r="Y309" s="700" t="n">
        <v>2910</v>
      </c>
      <c r="Z309" s="325" t="n">
        <v>0.03</v>
      </c>
      <c r="AA309" s="701">
        <f>U309*(1+V309+X309+Z309)+Y309</f>
        <v>236856.984</v>
      </c>
      <c r="AC309" t="inlineStr">
        <is>
          <t>COE</t>
        </is>
      </c>
      <c r="AD309" t="inlineStr">
        <is>
          <t>COE - Strategy Architecture</t>
        </is>
      </c>
      <c r="AE309" t="inlineStr">
        <is>
          <t>COE - Strategy Architecture</t>
        </is>
      </c>
      <c r="AF309" t="inlineStr">
        <is>
          <t>COE</t>
        </is>
      </c>
      <c r="AG309" t="inlineStr">
        <is>
          <t>Filled</t>
        </is>
      </c>
    </row>
    <row r="310" hidden="1" ht="18" customHeight="1" s="506">
      <c r="A310" s="259" t="n">
        <v>100330</v>
      </c>
      <c r="B310" s="224" t="inlineStr">
        <is>
          <t>Milan Patel</t>
        </is>
      </c>
      <c r="C310" s="317" t="inlineStr">
        <is>
          <t>Platform Architect</t>
        </is>
      </c>
      <c r="D310" s="318" t="inlineStr">
        <is>
          <t>Sanjay Tikoo</t>
        </is>
      </c>
      <c r="E310" s="224" t="inlineStr">
        <is>
          <t>Data Capability Manager</t>
        </is>
      </c>
      <c r="F310" s="335" t="inlineStr">
        <is>
          <t>Strategy, Architecture &amp; Data</t>
        </is>
      </c>
      <c r="G310" s="318" t="inlineStr">
        <is>
          <t>Group Data</t>
        </is>
      </c>
      <c r="H310" s="318" t="inlineStr">
        <is>
          <t>Data Capability</t>
        </is>
      </c>
      <c r="I310" s="335" t="inlineStr">
        <is>
          <t>Enterprise Data</t>
        </is>
      </c>
      <c r="J310" s="335" t="inlineStr">
        <is>
          <t>Group Data</t>
        </is>
      </c>
      <c r="K310" s="318" t="inlineStr">
        <is>
          <t>Data Platform</t>
        </is>
      </c>
      <c r="L310" s="318" t="n"/>
      <c r="M310" s="319" t="inlineStr">
        <is>
          <t>Australia</t>
        </is>
      </c>
      <c r="N310" s="320" t="inlineStr">
        <is>
          <t>CIC</t>
        </is>
      </c>
      <c r="O310" s="320" t="n">
        <v>1</v>
      </c>
      <c r="P310" s="320" t="n"/>
      <c r="Q310" s="320" t="inlineStr">
        <is>
          <t>Permanent - Full Time</t>
        </is>
      </c>
      <c r="R310" s="322" t="n"/>
      <c r="S310" s="322" t="n"/>
      <c r="T310" s="334" t="n">
        <v>198940</v>
      </c>
      <c r="U310" s="705" t="n">
        <v>198940</v>
      </c>
      <c r="V310" s="325" t="n">
        <v>0.12</v>
      </c>
      <c r="W310" s="702" t="n">
        <v>0.055</v>
      </c>
      <c r="X310" s="702" t="n">
        <v>0.12</v>
      </c>
      <c r="Y310" s="703" t="n"/>
      <c r="Z310" s="702" t="n">
        <v>0.04</v>
      </c>
      <c r="AA310" s="701">
        <f>U310*(1+V310+W310+X310+Y310+Z310)</f>
        <v>265584.89999999997</v>
      </c>
      <c r="AC310" t="inlineStr">
        <is>
          <t>COE</t>
        </is>
      </c>
      <c r="AD310" t="inlineStr">
        <is>
          <t>COE - Data</t>
        </is>
      </c>
      <c r="AE310" t="inlineStr">
        <is>
          <t>COE - Data</t>
        </is>
      </c>
      <c r="AF310" t="inlineStr">
        <is>
          <t>COE</t>
        </is>
      </c>
      <c r="AG310" t="inlineStr">
        <is>
          <t>Filled</t>
        </is>
      </c>
    </row>
    <row r="311" hidden="1" ht="18" customHeight="1" s="506">
      <c r="A311" s="259" t="n">
        <v>99522</v>
      </c>
      <c r="B311" s="224" t="inlineStr">
        <is>
          <t>Mitchell Clarke</t>
        </is>
      </c>
      <c r="C311" s="317" t="inlineStr">
        <is>
          <t>Snr Data Governance Specialist</t>
        </is>
      </c>
      <c r="D311" s="318" t="inlineStr">
        <is>
          <t>Sanjay Tikoo</t>
        </is>
      </c>
      <c r="E311" s="224" t="inlineStr">
        <is>
          <t>Data Capability Manager</t>
        </is>
      </c>
      <c r="F311" s="335" t="inlineStr">
        <is>
          <t>Strategy, Architecture &amp; Data</t>
        </is>
      </c>
      <c r="G311" s="318" t="inlineStr">
        <is>
          <t>Group Data</t>
        </is>
      </c>
      <c r="H311" s="318" t="inlineStr">
        <is>
          <t>Data Capability</t>
        </is>
      </c>
      <c r="I311" s="335" t="inlineStr">
        <is>
          <t>Enterprise Data</t>
        </is>
      </c>
      <c r="J311" s="335" t="n"/>
      <c r="K311" s="318" t="n"/>
      <c r="L311" s="318" t="n"/>
      <c r="M311" s="319" t="inlineStr">
        <is>
          <t>Australia</t>
        </is>
      </c>
      <c r="N311" s="320" t="inlineStr">
        <is>
          <t>CIC</t>
        </is>
      </c>
      <c r="O311" s="320" t="n">
        <v>1</v>
      </c>
      <c r="P311" s="320" t="n"/>
      <c r="Q311" s="320" t="inlineStr">
        <is>
          <t>Permanent - Full Time</t>
        </is>
      </c>
      <c r="R311" s="322" t="n"/>
      <c r="S311" s="322" t="n"/>
      <c r="T311" s="334" t="n">
        <v>169280</v>
      </c>
      <c r="U311" s="705" t="n">
        <v>169280</v>
      </c>
      <c r="V311" s="325" t="n">
        <v>0.12</v>
      </c>
      <c r="W311" s="702" t="n">
        <v>0.055</v>
      </c>
      <c r="X311" s="702" t="n">
        <v>0.12</v>
      </c>
      <c r="Y311" s="703" t="n"/>
      <c r="Z311" s="702" t="n">
        <v>0.04</v>
      </c>
      <c r="AA311" s="701">
        <f>U311*(1+V311+W311+X311+Y311+Z311)</f>
        <v>225988.8</v>
      </c>
      <c r="AC311" t="inlineStr">
        <is>
          <t>COE</t>
        </is>
      </c>
      <c r="AD311" t="inlineStr">
        <is>
          <t>COE - Data</t>
        </is>
      </c>
      <c r="AE311" t="inlineStr">
        <is>
          <t>COE - Data</t>
        </is>
      </c>
      <c r="AF311" t="inlineStr">
        <is>
          <t>COE</t>
        </is>
      </c>
      <c r="AG311" t="inlineStr">
        <is>
          <t>Filled</t>
        </is>
      </c>
    </row>
    <row r="312" hidden="1" ht="18" customHeight="1" s="506">
      <c r="A312" s="259" t="n">
        <v>107048</v>
      </c>
      <c r="B312" s="224" t="inlineStr">
        <is>
          <t>Om Singh</t>
        </is>
      </c>
      <c r="C312" s="317" t="inlineStr">
        <is>
          <t>Data Scientist</t>
        </is>
      </c>
      <c r="D312" s="224" t="inlineStr">
        <is>
          <t>Jonathan Robinson</t>
        </is>
      </c>
      <c r="E312" s="224" t="inlineStr">
        <is>
          <t>Technology Manager, Data Science</t>
        </is>
      </c>
      <c r="F312" s="335" t="inlineStr">
        <is>
          <t>Strategy, Architecture &amp; Data</t>
        </is>
      </c>
      <c r="G312" s="318" t="inlineStr">
        <is>
          <t>Group Data</t>
        </is>
      </c>
      <c r="H312" s="335" t="inlineStr">
        <is>
          <t>Data Science</t>
        </is>
      </c>
      <c r="I312" s="335" t="inlineStr">
        <is>
          <t>Enterprise Data</t>
        </is>
      </c>
      <c r="J312" s="335" t="inlineStr">
        <is>
          <t>Group Data</t>
        </is>
      </c>
      <c r="K312" s="318" t="inlineStr">
        <is>
          <t>Data Science</t>
        </is>
      </c>
      <c r="L312" s="318" t="n"/>
      <c r="M312" s="319" t="inlineStr">
        <is>
          <t>Australia</t>
        </is>
      </c>
      <c r="N312" s="320" t="inlineStr">
        <is>
          <t>CIA</t>
        </is>
      </c>
      <c r="O312" s="320" t="n">
        <v>1</v>
      </c>
      <c r="P312" s="320" t="n"/>
      <c r="Q312" s="320" t="inlineStr">
        <is>
          <t>Temporary - Full Time</t>
        </is>
      </c>
      <c r="R312" s="322" t="n"/>
      <c r="S312" s="322" t="n"/>
      <c r="T312" s="334" t="n">
        <v>138000</v>
      </c>
      <c r="U312" s="705" t="n">
        <v>138000</v>
      </c>
      <c r="V312" s="325" t="n">
        <v>0.1</v>
      </c>
      <c r="W312" s="702" t="n">
        <v>0.055</v>
      </c>
      <c r="X312" s="702" t="n">
        <v>0.12</v>
      </c>
      <c r="Y312" s="703" t="n"/>
      <c r="Z312" s="702" t="n">
        <v>0.04</v>
      </c>
      <c r="AA312" s="701">
        <f>U312*(1+V312+W312+X312+Y312+Z312)</f>
        <v>181470.0</v>
      </c>
      <c r="AC312" t="inlineStr">
        <is>
          <t>Enterprise Data</t>
        </is>
      </c>
      <c r="AD312" t="inlineStr">
        <is>
          <t>Group Data</t>
        </is>
      </c>
      <c r="AE312" t="inlineStr">
        <is>
          <t>Data Science</t>
        </is>
      </c>
      <c r="AF312" t="inlineStr">
        <is>
          <t>Squad</t>
        </is>
      </c>
      <c r="AG312" t="inlineStr">
        <is>
          <t>Filled</t>
        </is>
      </c>
    </row>
    <row r="313" hidden="1" ht="18" customHeight="1" s="506">
      <c r="A313" s="259" t="n">
        <v>107154</v>
      </c>
      <c r="B313" s="224" t="inlineStr">
        <is>
          <t>Prashant Tataskar</t>
        </is>
      </c>
      <c r="C313" s="317" t="inlineStr">
        <is>
          <t>Data Scientist</t>
        </is>
      </c>
      <c r="D313" s="224" t="inlineStr">
        <is>
          <t>Jonathan Robinson</t>
        </is>
      </c>
      <c r="E313" s="224" t="inlineStr">
        <is>
          <t>Technology Manager, Data Science</t>
        </is>
      </c>
      <c r="F313" s="335" t="inlineStr">
        <is>
          <t>Strategy, Architecture &amp; Data</t>
        </is>
      </c>
      <c r="G313" s="318" t="inlineStr">
        <is>
          <t>Group Data</t>
        </is>
      </c>
      <c r="H313" s="335" t="inlineStr">
        <is>
          <t>Data Science</t>
        </is>
      </c>
      <c r="I313" s="335" t="inlineStr">
        <is>
          <t>Enterprise Data</t>
        </is>
      </c>
      <c r="J313" s="335" t="inlineStr">
        <is>
          <t>Group Data</t>
        </is>
      </c>
      <c r="K313" s="318" t="inlineStr">
        <is>
          <t>Data Science</t>
        </is>
      </c>
      <c r="L313" s="318" t="n"/>
      <c r="M313" s="319" t="inlineStr">
        <is>
          <t>Australia</t>
        </is>
      </c>
      <c r="N313" s="320" t="inlineStr">
        <is>
          <t>CIB</t>
        </is>
      </c>
      <c r="O313" s="320" t="n">
        <v>1</v>
      </c>
      <c r="P313" s="320" t="n"/>
      <c r="Q313" s="320" t="inlineStr">
        <is>
          <t>Permanent - Full Time</t>
        </is>
      </c>
      <c r="R313" s="322" t="n"/>
      <c r="S313" s="322" t="n"/>
      <c r="T313" s="334" t="n">
        <v>156160</v>
      </c>
      <c r="U313" s="705" t="n">
        <v>156160</v>
      </c>
      <c r="V313" s="325" t="n">
        <v>0.12</v>
      </c>
      <c r="W313" s="702" t="n">
        <v>0.055</v>
      </c>
      <c r="X313" s="702" t="n">
        <v>0.12</v>
      </c>
      <c r="Y313" s="703" t="n"/>
      <c r="Z313" s="702" t="n">
        <v>0.04</v>
      </c>
      <c r="AA313" s="701">
        <f>U313*(1+V313+W313+X313+Y313+Z313)</f>
        <v>208473.6</v>
      </c>
      <c r="AC313" t="inlineStr">
        <is>
          <t>Enterprise Data</t>
        </is>
      </c>
      <c r="AD313" t="inlineStr">
        <is>
          <t>Group Data</t>
        </is>
      </c>
      <c r="AE313" t="inlineStr">
        <is>
          <t>Data Science</t>
        </is>
      </c>
      <c r="AF313" t="inlineStr">
        <is>
          <t>Squad</t>
        </is>
      </c>
      <c r="AG313" t="inlineStr">
        <is>
          <t>Filled</t>
        </is>
      </c>
    </row>
    <row r="314" hidden="1" ht="18" customHeight="1" s="506">
      <c r="A314" s="259" t="n">
        <v>113451</v>
      </c>
      <c r="B314" s="224" t="inlineStr">
        <is>
          <t>Prashanth Krishnankutty</t>
        </is>
      </c>
      <c r="C314" s="317" t="inlineStr">
        <is>
          <t>Lead Reporting &amp; Insights</t>
        </is>
      </c>
      <c r="D314" s="224" t="inlineStr">
        <is>
          <t>Jason Gleason</t>
        </is>
      </c>
      <c r="E314" s="224" t="inlineStr">
        <is>
          <t>Technology Manager, Data Engineering &amp; Platforms</t>
        </is>
      </c>
      <c r="F314" s="335" t="inlineStr">
        <is>
          <t>Strategy, Architecture &amp; Data</t>
        </is>
      </c>
      <c r="G314" s="318" t="inlineStr">
        <is>
          <t>Group Data</t>
        </is>
      </c>
      <c r="H314" s="335" t="inlineStr">
        <is>
          <t>Data Engineering &amp; Platforms</t>
        </is>
      </c>
      <c r="I314" s="335" t="inlineStr">
        <is>
          <t>Enterprise Data</t>
        </is>
      </c>
      <c r="J314" s="335" t="inlineStr">
        <is>
          <t>Group Data</t>
        </is>
      </c>
      <c r="K314" s="335" t="inlineStr">
        <is>
          <t>Reporting &amp; Analytics</t>
        </is>
      </c>
      <c r="L314" s="318" t="n"/>
      <c r="M314" s="319" t="inlineStr">
        <is>
          <t>Australia</t>
        </is>
      </c>
      <c r="N314" s="320" t="inlineStr">
        <is>
          <t>CIC</t>
        </is>
      </c>
      <c r="O314" s="320" t="n">
        <v>1</v>
      </c>
      <c r="P314" s="320" t="n"/>
      <c r="Q314" s="320" t="inlineStr">
        <is>
          <t>Permanent - Full Time</t>
        </is>
      </c>
      <c r="R314" s="322" t="n"/>
      <c r="S314" s="322" t="n"/>
      <c r="T314" s="334" t="n">
        <v>191290</v>
      </c>
      <c r="U314" s="705" t="n">
        <v>191290</v>
      </c>
      <c r="V314" s="325" t="n">
        <v>0.12</v>
      </c>
      <c r="W314" s="702" t="n">
        <v>0.055</v>
      </c>
      <c r="X314" s="702" t="n">
        <v>0.12</v>
      </c>
      <c r="Y314" s="703" t="n"/>
      <c r="Z314" s="702" t="n">
        <v>0.04</v>
      </c>
      <c r="AA314" s="701">
        <f>U314*(1+V314+W314+X314+Y314+Z314)</f>
        <v>255372.15</v>
      </c>
      <c r="AC314" t="inlineStr">
        <is>
          <t>Enterprise Data</t>
        </is>
      </c>
      <c r="AD314" t="inlineStr">
        <is>
          <t>Group Data</t>
        </is>
      </c>
      <c r="AE314" t="inlineStr">
        <is>
          <t>Reporting &amp; Analytics</t>
        </is>
      </c>
      <c r="AF314" t="inlineStr">
        <is>
          <t>Squad</t>
        </is>
      </c>
      <c r="AG314" t="inlineStr">
        <is>
          <t>Filled</t>
        </is>
      </c>
    </row>
    <row r="315" hidden="1" ht="18" customHeight="1" s="506">
      <c r="A315" s="259" t="n">
        <v>83092</v>
      </c>
      <c r="B315" s="224" t="inlineStr">
        <is>
          <t>Rakshit Kaul</t>
        </is>
      </c>
      <c r="C315" s="317" t="inlineStr">
        <is>
          <t>Applications Specialist</t>
        </is>
      </c>
      <c r="D315" s="224" t="inlineStr">
        <is>
          <t>Sai Konka</t>
        </is>
      </c>
      <c r="E315" s="224" t="inlineStr">
        <is>
          <t>Applications &amp; Analytics Manager</t>
        </is>
      </c>
      <c r="F315" s="335" t="inlineStr">
        <is>
          <t>Strategy, Architecture &amp; Data</t>
        </is>
      </c>
      <c r="G315" s="318" t="inlineStr">
        <is>
          <t>Group Data</t>
        </is>
      </c>
      <c r="H315" s="335" t="inlineStr">
        <is>
          <t>Data Engineering &amp; Platforms</t>
        </is>
      </c>
      <c r="I315" s="335" t="inlineStr">
        <is>
          <t>Enterprise Data</t>
        </is>
      </c>
      <c r="J315" s="335" t="inlineStr">
        <is>
          <t>EGI</t>
        </is>
      </c>
      <c r="K315" s="335" t="inlineStr">
        <is>
          <t>Reporting &amp; Analytics</t>
        </is>
      </c>
      <c r="L315" s="318" t="n"/>
      <c r="M315" s="319" t="inlineStr">
        <is>
          <t>Australia</t>
        </is>
      </c>
      <c r="N315" s="322" t="inlineStr">
        <is>
          <t>CIB</t>
        </is>
      </c>
      <c r="O315" s="322" t="n">
        <v>1</v>
      </c>
      <c r="P315" s="322" t="n"/>
      <c r="Q315" s="322" t="inlineStr">
        <is>
          <t>Permanent - Full Time</t>
        </is>
      </c>
      <c r="R315" s="322" t="n"/>
      <c r="S315" s="322" t="n"/>
      <c r="T315" s="334" t="n">
        <v>178100</v>
      </c>
      <c r="U315" s="705" t="n">
        <v>178100</v>
      </c>
      <c r="V315" s="325" t="n">
        <v>0.12</v>
      </c>
      <c r="W315" s="702" t="n">
        <v>0.055</v>
      </c>
      <c r="X315" s="702" t="n">
        <v>0.12</v>
      </c>
      <c r="Y315" s="703" t="n"/>
      <c r="Z315" s="702" t="n">
        <v>0.04</v>
      </c>
      <c r="AA315" s="701">
        <f>U315*(1+V315+W315+X315+Y315+Z315)</f>
        <v>237763.5</v>
      </c>
      <c r="AC315" t="inlineStr">
        <is>
          <t>Enterprise Data</t>
        </is>
      </c>
      <c r="AD315" t="inlineStr">
        <is>
          <t>Group Data</t>
        </is>
      </c>
      <c r="AE315" t="inlineStr">
        <is>
          <t>Reporting &amp; Analytics</t>
        </is>
      </c>
      <c r="AF315" t="inlineStr">
        <is>
          <t>Squad</t>
        </is>
      </c>
      <c r="AG315" t="inlineStr">
        <is>
          <t>Filled</t>
        </is>
      </c>
    </row>
    <row r="316" hidden="1" ht="18" customHeight="1" s="506">
      <c r="A316" s="259" t="n">
        <v>98599</v>
      </c>
      <c r="B316" s="224" t="inlineStr">
        <is>
          <t>Raymond Bai</t>
        </is>
      </c>
      <c r="C316" s="317" t="inlineStr">
        <is>
          <t>Data Adoption Specialist</t>
        </is>
      </c>
      <c r="D316" s="318" t="inlineStr">
        <is>
          <t>Sanjay Tikoo</t>
        </is>
      </c>
      <c r="E316" s="224" t="inlineStr">
        <is>
          <t>Lead Engineer (Databricks)</t>
        </is>
      </c>
      <c r="F316" s="335" t="inlineStr">
        <is>
          <t>Strategy, Architecture &amp; Data</t>
        </is>
      </c>
      <c r="G316" s="318" t="inlineStr">
        <is>
          <t>Group Data</t>
        </is>
      </c>
      <c r="H316" s="335" t="inlineStr">
        <is>
          <t>Data Capability</t>
        </is>
      </c>
      <c r="I316" s="318" t="inlineStr">
        <is>
          <t>Enterprise Data</t>
        </is>
      </c>
      <c r="J316" s="335" t="inlineStr">
        <is>
          <t>Group Data</t>
        </is>
      </c>
      <c r="K316" s="318" t="n"/>
      <c r="L316" s="318" t="n"/>
      <c r="M316" s="319" t="inlineStr">
        <is>
          <t>Australia</t>
        </is>
      </c>
      <c r="N316" s="320" t="inlineStr">
        <is>
          <t>CIB</t>
        </is>
      </c>
      <c r="O316" s="320" t="n">
        <v>1</v>
      </c>
      <c r="P316" s="320" t="n"/>
      <c r="Q316" s="320" t="inlineStr">
        <is>
          <t>Permanent - Full Time</t>
        </is>
      </c>
      <c r="R316" s="322" t="n"/>
      <c r="S316" s="322" t="n"/>
      <c r="T316" s="334" t="n">
        <v>131740</v>
      </c>
      <c r="U316" s="705" t="n">
        <v>131740</v>
      </c>
      <c r="V316" s="325" t="n">
        <v>0.12</v>
      </c>
      <c r="W316" s="702" t="n">
        <v>0.055</v>
      </c>
      <c r="X316" s="702" t="n">
        <v>0.12</v>
      </c>
      <c r="Y316" s="703" t="n"/>
      <c r="Z316" s="702" t="n">
        <v>0.04</v>
      </c>
      <c r="AA316" s="701">
        <f>U316*(1+V316+W316+X316+Y316+Z316)</f>
        <v>175872.9</v>
      </c>
      <c r="AC316" t="inlineStr">
        <is>
          <t>COE</t>
        </is>
      </c>
      <c r="AD316" t="inlineStr">
        <is>
          <t>COE - Data</t>
        </is>
      </c>
      <c r="AE316" t="inlineStr">
        <is>
          <t>COE - Data</t>
        </is>
      </c>
      <c r="AF316" t="inlineStr">
        <is>
          <t>COE</t>
        </is>
      </c>
      <c r="AG316" t="inlineStr">
        <is>
          <t>Filled</t>
        </is>
      </c>
    </row>
    <row r="317" hidden="1" ht="18" customHeight="1" s="506">
      <c r="A317" s="259" t="n">
        <v>110146</v>
      </c>
      <c r="B317" s="224" t="inlineStr">
        <is>
          <t>Renosh Matthew Thomas</t>
        </is>
      </c>
      <c r="C317" s="317" t="inlineStr">
        <is>
          <t>Data Enablement Lead</t>
        </is>
      </c>
      <c r="D317" s="318" t="inlineStr">
        <is>
          <t>Sanjay Tikoo</t>
        </is>
      </c>
      <c r="E317" s="224" t="inlineStr">
        <is>
          <t>Data Capability Manager</t>
        </is>
      </c>
      <c r="F317" s="335" t="inlineStr">
        <is>
          <t>Strategy, Architecture &amp; Data</t>
        </is>
      </c>
      <c r="G317" s="318" t="inlineStr">
        <is>
          <t>Group Data</t>
        </is>
      </c>
      <c r="H317" s="318" t="inlineStr">
        <is>
          <t>Data Capability</t>
        </is>
      </c>
      <c r="I317" s="335" t="inlineStr">
        <is>
          <t>Enterprise Data</t>
        </is>
      </c>
      <c r="J317" s="335" t="inlineStr">
        <is>
          <t>Group Data</t>
        </is>
      </c>
      <c r="K317" s="318" t="n"/>
      <c r="L317" s="318" t="n"/>
      <c r="M317" s="319" t="inlineStr">
        <is>
          <t>Australia</t>
        </is>
      </c>
      <c r="N317" s="320" t="inlineStr">
        <is>
          <t>CIB</t>
        </is>
      </c>
      <c r="O317" s="320" t="n">
        <v>1</v>
      </c>
      <c r="P317" s="320" t="n"/>
      <c r="Q317" s="320" t="inlineStr">
        <is>
          <t>Permanent - Full Time</t>
        </is>
      </c>
      <c r="R317" s="322" t="n"/>
      <c r="S317" s="322" t="n"/>
      <c r="T317" s="334" t="n">
        <v>170080</v>
      </c>
      <c r="U317" s="705" t="n">
        <v>170080</v>
      </c>
      <c r="V317" s="325" t="n">
        <v>0.12</v>
      </c>
      <c r="W317" s="702" t="n">
        <v>0.055</v>
      </c>
      <c r="X317" s="702" t="n">
        <v>0.12</v>
      </c>
      <c r="Y317" s="703" t="n"/>
      <c r="Z317" s="702" t="n">
        <v>0.04</v>
      </c>
      <c r="AA317" s="701">
        <f>U317*(1+V317+W317+X317+Y317+Z317)</f>
        <v>227056.8</v>
      </c>
      <c r="AC317" t="inlineStr">
        <is>
          <t>COE</t>
        </is>
      </c>
      <c r="AD317" t="inlineStr">
        <is>
          <t>COE - Data</t>
        </is>
      </c>
      <c r="AE317" t="inlineStr">
        <is>
          <t>COE - Data</t>
        </is>
      </c>
      <c r="AF317" t="inlineStr">
        <is>
          <t>COE</t>
        </is>
      </c>
      <c r="AG317" t="inlineStr">
        <is>
          <t>Filled</t>
        </is>
      </c>
    </row>
    <row r="318" hidden="1" ht="18" customHeight="1" s="506">
      <c r="A318" s="259" t="n">
        <v>94631</v>
      </c>
      <c r="B318" s="224" t="inlineStr">
        <is>
          <t>Rihan Schalkwyk</t>
        </is>
      </c>
      <c r="C318" s="317" t="inlineStr">
        <is>
          <t>Senior Business Analyst</t>
        </is>
      </c>
      <c r="D318" s="224" t="inlineStr">
        <is>
          <t>Joel Vijayakumar</t>
        </is>
      </c>
      <c r="E318" s="224" t="inlineStr">
        <is>
          <t>Delivery Manager, Strategy, Architecture &amp; Data</t>
        </is>
      </c>
      <c r="F318" s="335" t="inlineStr">
        <is>
          <t>Strategy, Architecture &amp; Data</t>
        </is>
      </c>
      <c r="G318" s="318" t="inlineStr">
        <is>
          <t>Delivery, SADA</t>
        </is>
      </c>
      <c r="H318" s="318" t="inlineStr"/>
      <c r="I318" s="318" t="n"/>
      <c r="J318" s="335" t="n"/>
      <c r="K318" s="318" t="n"/>
      <c r="L318" s="318" t="n"/>
      <c r="M318" s="319" t="inlineStr">
        <is>
          <t>Australia</t>
        </is>
      </c>
      <c r="N318" s="320" t="inlineStr">
        <is>
          <t>CIC</t>
        </is>
      </c>
      <c r="O318" s="320" t="n">
        <v>1</v>
      </c>
      <c r="P318" s="320" t="n"/>
      <c r="Q318" s="320" t="inlineStr">
        <is>
          <t>Permanent - Full Time</t>
        </is>
      </c>
      <c r="R318" s="322" t="n"/>
      <c r="S318" s="322" t="n"/>
      <c r="T318" s="334" t="n">
        <v>186610</v>
      </c>
      <c r="U318" s="705" t="n">
        <v>186610</v>
      </c>
      <c r="V318" s="325" t="n">
        <v>0.12</v>
      </c>
      <c r="W318" s="702" t="n">
        <v>0.055</v>
      </c>
      <c r="X318" s="702" t="n">
        <v>0.12</v>
      </c>
      <c r="Y318" s="703" t="n"/>
      <c r="Z318" s="702" t="n">
        <v>0.04</v>
      </c>
      <c r="AA318" s="701">
        <f>U318*(1+V318+W318+X318+Y318+Z318)</f>
        <v>249124.35</v>
      </c>
      <c r="AC318" t="inlineStr">
        <is>
          <t>COE</t>
        </is>
      </c>
      <c r="AD318" t="inlineStr">
        <is>
          <t>COE - Strategy Architecture</t>
        </is>
      </c>
      <c r="AE318" t="inlineStr">
        <is>
          <t>COE - Strategy Architecture</t>
        </is>
      </c>
      <c r="AF318" t="inlineStr">
        <is>
          <t>COE</t>
        </is>
      </c>
      <c r="AG318" t="inlineStr">
        <is>
          <t>Filled</t>
        </is>
      </c>
    </row>
    <row r="319" hidden="1" ht="18" customHeight="1" s="506">
      <c r="A319" s="259" t="inlineStr">
        <is>
          <t>V</t>
        </is>
      </c>
      <c r="B319" s="224" t="inlineStr">
        <is>
          <t>ring fenced</t>
        </is>
      </c>
      <c r="C319" s="317" t="inlineStr">
        <is>
          <t>Enterprise Architect</t>
        </is>
      </c>
      <c r="D319" s="224" t="inlineStr">
        <is>
          <t>Vacant</t>
        </is>
      </c>
      <c r="E319" s="224" t="inlineStr">
        <is>
          <t>Head of Architecture</t>
        </is>
      </c>
      <c r="F319" s="335" t="inlineStr">
        <is>
          <t>Strategy, Architecture &amp; Data</t>
        </is>
      </c>
      <c r="G319" s="318" t="inlineStr">
        <is>
          <t>Architecture</t>
        </is>
      </c>
      <c r="H319" s="335" t="inlineStr">
        <is>
          <t>Architecture</t>
        </is>
      </c>
      <c r="I319" s="335" t="n"/>
      <c r="J319" s="335" t="n"/>
      <c r="K319" s="318" t="n"/>
      <c r="L319" s="318" t="n"/>
      <c r="M319" s="319" t="inlineStr">
        <is>
          <t>Australia</t>
        </is>
      </c>
      <c r="N319" s="320" t="inlineStr">
        <is>
          <t>CSB</t>
        </is>
      </c>
      <c r="O319" s="320" t="n">
        <v>1</v>
      </c>
      <c r="P319" s="320" t="n"/>
      <c r="Q319" s="320" t="inlineStr">
        <is>
          <t>V</t>
        </is>
      </c>
      <c r="R319" s="331" t="n"/>
      <c r="S319" s="322" t="n"/>
      <c r="T319" s="334" t="n">
        <v>203550</v>
      </c>
      <c r="U319" s="705" t="n">
        <v>203550</v>
      </c>
      <c r="V319" s="325" t="n">
        <v>0.14</v>
      </c>
      <c r="W319" s="702" t="n">
        <v>0.055</v>
      </c>
      <c r="X319" s="702" t="n">
        <v>0.12</v>
      </c>
      <c r="Y319" s="703" t="n"/>
      <c r="Z319" s="702" t="n">
        <v>0.04</v>
      </c>
      <c r="AA319" s="701">
        <f>U319*(1+V319+W319+X319+Y319+Z319)</f>
        <v>275810.25</v>
      </c>
      <c r="AC319" t="inlineStr">
        <is>
          <t>COE</t>
        </is>
      </c>
      <c r="AD319" t="inlineStr">
        <is>
          <t>COE - Strategy Architecture</t>
        </is>
      </c>
      <c r="AE319" t="inlineStr">
        <is>
          <t>COE - Strategy Architecture</t>
        </is>
      </c>
      <c r="AF319" t="inlineStr">
        <is>
          <t>COE</t>
        </is>
      </c>
      <c r="AG319" t="inlineStr">
        <is>
          <t>Filled</t>
        </is>
      </c>
    </row>
    <row r="320" hidden="1" ht="18" customHeight="1" s="506">
      <c r="A320" s="259" t="n"/>
      <c r="B320" s="224" t="inlineStr">
        <is>
          <t>ring fenced</t>
        </is>
      </c>
      <c r="C320" s="317" t="inlineStr">
        <is>
          <t>Domain Architect - Customer &amp; Digital Tech</t>
        </is>
      </c>
      <c r="D320" s="224" t="inlineStr">
        <is>
          <t>Vacant</t>
        </is>
      </c>
      <c r="E320" s="224" t="inlineStr">
        <is>
          <t>Head of Architecture</t>
        </is>
      </c>
      <c r="F320" s="335" t="inlineStr">
        <is>
          <t>Strategy, Architecture &amp; Data</t>
        </is>
      </c>
      <c r="G320" s="318" t="inlineStr">
        <is>
          <t>Architecture</t>
        </is>
      </c>
      <c r="H320" s="335" t="inlineStr">
        <is>
          <t>Architecture</t>
        </is>
      </c>
      <c r="I320" s="335" t="n"/>
      <c r="J320" s="335" t="n"/>
      <c r="K320" s="318" t="n"/>
      <c r="L320" s="318" t="n"/>
      <c r="M320" s="319" t="inlineStr">
        <is>
          <t>Australia</t>
        </is>
      </c>
      <c r="N320" s="320" t="inlineStr">
        <is>
          <t>CIC</t>
        </is>
      </c>
      <c r="O320" s="320" t="n">
        <v>1</v>
      </c>
      <c r="P320" s="320" t="n"/>
      <c r="Q320" s="320" t="inlineStr">
        <is>
          <t>v</t>
        </is>
      </c>
      <c r="R320" s="331" t="n"/>
      <c r="S320" s="322" t="n"/>
      <c r="T320" s="334" t="n">
        <v>173550</v>
      </c>
      <c r="U320" s="705" t="n">
        <v>173550</v>
      </c>
      <c r="V320" s="325" t="n">
        <v>0.12</v>
      </c>
      <c r="W320" s="702" t="n">
        <v>0.055</v>
      </c>
      <c r="X320" s="702" t="n">
        <v>0.12</v>
      </c>
      <c r="Y320" s="703" t="n"/>
      <c r="Z320" s="702" t="n">
        <v>0.04</v>
      </c>
      <c r="AA320" s="701">
        <f>U320*(1+V320+W320+X320+Y320+Z320)</f>
        <v>231689.25</v>
      </c>
      <c r="AC320" t="inlineStr">
        <is>
          <t>COE</t>
        </is>
      </c>
      <c r="AD320" t="inlineStr">
        <is>
          <t>COE - Strategy Architecture</t>
        </is>
      </c>
      <c r="AE320" t="inlineStr">
        <is>
          <t>COE - Strategy Architecture</t>
        </is>
      </c>
      <c r="AF320" t="inlineStr">
        <is>
          <t>COE</t>
        </is>
      </c>
      <c r="AG320" t="inlineStr">
        <is>
          <t>Filled</t>
        </is>
      </c>
    </row>
    <row r="321" hidden="1" ht="18" customHeight="1" s="506">
      <c r="A321" s="259" t="n"/>
      <c r="B321" s="224" t="inlineStr">
        <is>
          <t>ring fenced</t>
        </is>
      </c>
      <c r="C321" s="317" t="inlineStr">
        <is>
          <t>Domain Architect - Retail &amp; Z</t>
        </is>
      </c>
      <c r="D321" s="224" t="inlineStr">
        <is>
          <t>Vacant</t>
        </is>
      </c>
      <c r="E321" s="224" t="inlineStr">
        <is>
          <t>Head of Architecture</t>
        </is>
      </c>
      <c r="F321" s="335" t="inlineStr">
        <is>
          <t>Strategy, Architecture &amp; Data</t>
        </is>
      </c>
      <c r="G321" s="318" t="inlineStr">
        <is>
          <t>Architecture</t>
        </is>
      </c>
      <c r="H321" s="335" t="inlineStr">
        <is>
          <t>Architecture</t>
        </is>
      </c>
      <c r="I321" s="335" t="n"/>
      <c r="J321" s="335" t="n"/>
      <c r="K321" s="318" t="n"/>
      <c r="L321" s="318" t="n"/>
      <c r="M321" s="319" t="inlineStr">
        <is>
          <t>Australia</t>
        </is>
      </c>
      <c r="N321" s="320" t="inlineStr">
        <is>
          <t>CIC</t>
        </is>
      </c>
      <c r="O321" s="320" t="n">
        <v>1</v>
      </c>
      <c r="P321" s="320" t="n"/>
      <c r="Q321" s="320" t="inlineStr">
        <is>
          <t>v</t>
        </is>
      </c>
      <c r="R321" s="331" t="n"/>
      <c r="S321" s="322" t="n"/>
      <c r="T321" s="334" t="n">
        <v>173550</v>
      </c>
      <c r="U321" s="705" t="n">
        <v>173550</v>
      </c>
      <c r="V321" s="325" t="n">
        <v>0.12</v>
      </c>
      <c r="W321" s="702" t="n">
        <v>0.055</v>
      </c>
      <c r="X321" s="702" t="n">
        <v>0.12</v>
      </c>
      <c r="Y321" s="703" t="n"/>
      <c r="Z321" s="702" t="n">
        <v>0.04</v>
      </c>
      <c r="AA321" s="701">
        <f>U321*(1+V321+W321+X321+Y321+Z321)</f>
        <v>231689.25</v>
      </c>
      <c r="AC321" t="inlineStr">
        <is>
          <t>COE</t>
        </is>
      </c>
      <c r="AD321" t="inlineStr">
        <is>
          <t>COE - Strategy Architecture</t>
        </is>
      </c>
      <c r="AE321" t="inlineStr">
        <is>
          <t>COE - Strategy Architecture</t>
        </is>
      </c>
      <c r="AF321" t="inlineStr">
        <is>
          <t>COE</t>
        </is>
      </c>
      <c r="AG321" t="inlineStr">
        <is>
          <t>Filled</t>
        </is>
      </c>
    </row>
    <row r="322" hidden="1" ht="18" customHeight="1" s="506">
      <c r="A322" s="259" t="n"/>
      <c r="B322" s="224" t="inlineStr">
        <is>
          <t>ring fenced</t>
        </is>
      </c>
      <c r="C322" s="317" t="inlineStr">
        <is>
          <t>Domain Architect - TDD</t>
        </is>
      </c>
      <c r="D322" s="224" t="inlineStr">
        <is>
          <t>Vacant</t>
        </is>
      </c>
      <c r="E322" s="224" t="inlineStr">
        <is>
          <t>Head of Architecture</t>
        </is>
      </c>
      <c r="F322" s="335" t="inlineStr">
        <is>
          <t>Strategy, Architecture &amp; Data</t>
        </is>
      </c>
      <c r="G322" s="318" t="inlineStr">
        <is>
          <t>Architecture</t>
        </is>
      </c>
      <c r="H322" s="335" t="inlineStr">
        <is>
          <t>Architecture</t>
        </is>
      </c>
      <c r="I322" s="335" t="n"/>
      <c r="J322" s="335" t="n"/>
      <c r="K322" s="318" t="n"/>
      <c r="L322" s="318" t="n"/>
      <c r="M322" s="319" t="inlineStr">
        <is>
          <t>Australia</t>
        </is>
      </c>
      <c r="N322" s="320" t="inlineStr">
        <is>
          <t>CIC</t>
        </is>
      </c>
      <c r="O322" s="320" t="n">
        <v>1</v>
      </c>
      <c r="P322" s="320" t="n"/>
      <c r="Q322" s="320" t="inlineStr">
        <is>
          <t>v</t>
        </is>
      </c>
      <c r="R322" s="331" t="n"/>
      <c r="S322" s="322" t="n"/>
      <c r="T322" s="334" t="n">
        <v>173550</v>
      </c>
      <c r="U322" s="705" t="n">
        <v>173550</v>
      </c>
      <c r="V322" s="325" t="n">
        <v>0.12</v>
      </c>
      <c r="W322" s="702" t="n">
        <v>0.055</v>
      </c>
      <c r="X322" s="702" t="n">
        <v>0.12</v>
      </c>
      <c r="Y322" s="703" t="n"/>
      <c r="Z322" s="702" t="n">
        <v>0.04</v>
      </c>
      <c r="AA322" s="701">
        <f>U322*(1+V322+W322+X322+Y322+Z322)</f>
        <v>231689.25</v>
      </c>
      <c r="AC322" t="inlineStr">
        <is>
          <t>COE</t>
        </is>
      </c>
      <c r="AD322" t="inlineStr">
        <is>
          <t>COE - Strategy Architecture</t>
        </is>
      </c>
      <c r="AE322" t="inlineStr">
        <is>
          <t>COE - Strategy Architecture</t>
        </is>
      </c>
      <c r="AF322" t="inlineStr">
        <is>
          <t>COE</t>
        </is>
      </c>
      <c r="AG322" t="inlineStr">
        <is>
          <t>Filled</t>
        </is>
      </c>
    </row>
    <row r="323" hidden="1" ht="18" customHeight="1" s="506">
      <c r="A323" s="259" t="n">
        <v>109802</v>
      </c>
      <c r="B323" s="224" t="inlineStr">
        <is>
          <t>Roger Blazey</t>
        </is>
      </c>
      <c r="C323" s="317" t="inlineStr">
        <is>
          <t>Architect (AI Innovation)</t>
        </is>
      </c>
      <c r="D323" s="224" t="inlineStr">
        <is>
          <t>Vacant</t>
        </is>
      </c>
      <c r="E323" s="224" t="inlineStr">
        <is>
          <t>Head of Technology  Strategy &amp; AI Capability</t>
        </is>
      </c>
      <c r="F323" s="335" t="inlineStr">
        <is>
          <t>Strategy, Architecture &amp; Data</t>
        </is>
      </c>
      <c r="G323" s="318" t="inlineStr">
        <is>
          <t>Technology Strategy &amp; AI Capability</t>
        </is>
      </c>
      <c r="H323" s="318" t="inlineStr">
        <is>
          <t>Technology Strategy &amp; AI Capability</t>
        </is>
      </c>
      <c r="I323" s="335" t="n"/>
      <c r="J323" s="335" t="n"/>
      <c r="K323" s="318" t="n"/>
      <c r="L323" s="318" t="n"/>
      <c r="M323" s="319" t="inlineStr">
        <is>
          <t>Australia</t>
        </is>
      </c>
      <c r="N323" s="320" t="inlineStr">
        <is>
          <t>CIC</t>
        </is>
      </c>
      <c r="O323" s="320" t="n">
        <v>1</v>
      </c>
      <c r="P323" s="320" t="n"/>
      <c r="Q323" s="320" t="inlineStr">
        <is>
          <t>Permanent - Full Time</t>
        </is>
      </c>
      <c r="R323" s="322" t="n"/>
      <c r="S323" s="322" t="n"/>
      <c r="T323" s="334" t="n">
        <v>187450</v>
      </c>
      <c r="U323" s="705" t="n">
        <v>187450</v>
      </c>
      <c r="V323" s="325" t="n">
        <v>0.12</v>
      </c>
      <c r="W323" s="702" t="n">
        <v>0.055</v>
      </c>
      <c r="X323" s="702" t="n">
        <v>0.12</v>
      </c>
      <c r="Y323" s="703" t="n"/>
      <c r="Z323" s="702" t="n">
        <v>0.04</v>
      </c>
      <c r="AA323" s="701">
        <f>U323*(1+V323+W323+X323+Y323+Z323)</f>
        <v>250245.75</v>
      </c>
      <c r="AC323" t="inlineStr">
        <is>
          <t>COE</t>
        </is>
      </c>
      <c r="AD323" t="inlineStr">
        <is>
          <t>COE - Strategy Architecture</t>
        </is>
      </c>
      <c r="AE323" t="inlineStr">
        <is>
          <t>COE - Strategy Architecture</t>
        </is>
      </c>
      <c r="AF323" t="inlineStr">
        <is>
          <t>COE</t>
        </is>
      </c>
      <c r="AG323" t="inlineStr">
        <is>
          <t>Filled</t>
        </is>
      </c>
    </row>
    <row r="324" hidden="1" ht="18" customHeight="1" s="506">
      <c r="A324" s="259" t="n">
        <v>99999101674</v>
      </c>
      <c r="B324" s="224" t="inlineStr">
        <is>
          <t>Roozbeh Shahbazirad</t>
        </is>
      </c>
      <c r="C324" s="317" t="inlineStr">
        <is>
          <t>Lead Engineer</t>
        </is>
      </c>
      <c r="D324" s="224" t="inlineStr">
        <is>
          <t>Jason Gleason</t>
        </is>
      </c>
      <c r="E324" s="224" t="inlineStr">
        <is>
          <t>Technology Manager, Data Engineering &amp; Platforms</t>
        </is>
      </c>
      <c r="F324" s="335" t="inlineStr">
        <is>
          <t>Strategy, Architecture &amp; Data</t>
        </is>
      </c>
      <c r="G324" s="318" t="inlineStr">
        <is>
          <t>Group Data</t>
        </is>
      </c>
      <c r="H324" s="335" t="inlineStr">
        <is>
          <t>Data Engineering &amp; Platforms</t>
        </is>
      </c>
      <c r="I324" s="318" t="inlineStr">
        <is>
          <t>Enterprise Data</t>
        </is>
      </c>
      <c r="J324" s="335" t="inlineStr">
        <is>
          <t>Group Data</t>
        </is>
      </c>
      <c r="K324" s="318" t="inlineStr">
        <is>
          <t>Data Platform</t>
        </is>
      </c>
      <c r="L324" s="318" t="n"/>
      <c r="M324" s="319" t="inlineStr">
        <is>
          <t>NZ</t>
        </is>
      </c>
      <c r="N324" s="320" t="inlineStr">
        <is>
          <t>CIC</t>
        </is>
      </c>
      <c r="O324" s="321" t="n">
        <v>1</v>
      </c>
      <c r="P324" s="320" t="n"/>
      <c r="Q324" s="321" t="inlineStr">
        <is>
          <t>Permanent - Full Time</t>
        </is>
      </c>
      <c r="R324" s="322" t="n"/>
      <c r="S324" s="322" t="n"/>
      <c r="T324" s="334" t="n">
        <v>177710</v>
      </c>
      <c r="U324" s="705" t="n">
        <v>163493.2</v>
      </c>
      <c r="V324" s="324" t="n">
        <v>0.15</v>
      </c>
      <c r="W324" s="322" t="n"/>
      <c r="X324" s="325" t="n">
        <v>0.05</v>
      </c>
      <c r="Y324" s="700" t="n">
        <v>2910</v>
      </c>
      <c r="Z324" s="325" t="n">
        <v>0.03</v>
      </c>
      <c r="AA324" s="701">
        <f>U324*(1+V324+X324+Z324)+Y324</f>
        <v>204006.636</v>
      </c>
      <c r="AB324" t="n">
        <v>113607</v>
      </c>
      <c r="AC324" t="inlineStr">
        <is>
          <t>Enterprise Data</t>
        </is>
      </c>
      <c r="AD324" t="inlineStr">
        <is>
          <t>Group Data</t>
        </is>
      </c>
      <c r="AE324" t="inlineStr">
        <is>
          <t>Data Platforms</t>
        </is>
      </c>
      <c r="AF324" t="inlineStr">
        <is>
          <t>Squad</t>
        </is>
      </c>
      <c r="AG324" t="inlineStr">
        <is>
          <t>Filled</t>
        </is>
      </c>
    </row>
    <row r="325" hidden="1" ht="18" customHeight="1" s="506">
      <c r="A325" s="259" t="n">
        <v>12010</v>
      </c>
      <c r="B325" s="224" t="inlineStr">
        <is>
          <t>Sai Konka</t>
        </is>
      </c>
      <c r="C325" s="317" t="inlineStr">
        <is>
          <t>Application &amp; Analytics Manager</t>
        </is>
      </c>
      <c r="D325" s="224" t="inlineStr">
        <is>
          <t>Jason Gleason</t>
        </is>
      </c>
      <c r="E325" s="224" t="inlineStr">
        <is>
          <t>Technology Manager, Data Engineering &amp; Platforms</t>
        </is>
      </c>
      <c r="F325" s="335" t="inlineStr">
        <is>
          <t>Strategy, Architecture &amp; Data</t>
        </is>
      </c>
      <c r="G325" s="318" t="inlineStr">
        <is>
          <t>Group Data</t>
        </is>
      </c>
      <c r="H325" s="335" t="inlineStr">
        <is>
          <t>Data Engineering &amp; Platforms</t>
        </is>
      </c>
      <c r="I325" s="335" t="inlineStr">
        <is>
          <t>Enterprise Data</t>
        </is>
      </c>
      <c r="J325" s="335" t="inlineStr">
        <is>
          <t>EGI</t>
        </is>
      </c>
      <c r="K325" s="335" t="inlineStr">
        <is>
          <t>Reporting &amp; Analytics</t>
        </is>
      </c>
      <c r="L325" s="318" t="n"/>
      <c r="M325" s="319" t="inlineStr">
        <is>
          <t>Australia</t>
        </is>
      </c>
      <c r="N325" s="322" t="inlineStr">
        <is>
          <t>CIC</t>
        </is>
      </c>
      <c r="O325" s="322" t="n">
        <v>1</v>
      </c>
      <c r="P325" s="322" t="n"/>
      <c r="Q325" s="322" t="inlineStr">
        <is>
          <t>Permanent - Full Time</t>
        </is>
      </c>
      <c r="R325" s="322" t="n"/>
      <c r="S325" s="322" t="n"/>
      <c r="T325" s="334" t="n">
        <v>197480</v>
      </c>
      <c r="U325" s="705" t="n">
        <v>197480</v>
      </c>
      <c r="V325" s="325" t="n">
        <v>0.12</v>
      </c>
      <c r="W325" s="702" t="n">
        <v>0.055</v>
      </c>
      <c r="X325" s="702" t="n">
        <v>0.12</v>
      </c>
      <c r="Y325" s="703" t="n"/>
      <c r="Z325" s="702" t="n">
        <v>0.04</v>
      </c>
      <c r="AA325" s="701">
        <f>U325*(1+V325+W325+X325+Y325+Z325)</f>
        <v>263635.8</v>
      </c>
      <c r="AC325" t="inlineStr">
        <is>
          <t>Enterprise Data</t>
        </is>
      </c>
      <c r="AD325" t="inlineStr">
        <is>
          <t>Group Data</t>
        </is>
      </c>
      <c r="AE325" t="inlineStr">
        <is>
          <t>Reporting &amp; Analytics</t>
        </is>
      </c>
      <c r="AF325" t="inlineStr">
        <is>
          <t>Squad</t>
        </is>
      </c>
      <c r="AG325" t="inlineStr">
        <is>
          <t>Filled</t>
        </is>
      </c>
    </row>
    <row r="326" hidden="1" ht="18" customHeight="1" s="506">
      <c r="A326" s="259" t="n"/>
      <c r="B326" s="224" t="inlineStr">
        <is>
          <t>Sanjay Tikoo</t>
        </is>
      </c>
      <c r="C326" s="317" t="inlineStr">
        <is>
          <t>Principal, Data Architecture &amp; Governance</t>
        </is>
      </c>
      <c r="D326" s="224" t="inlineStr">
        <is>
          <t>James Holgate</t>
        </is>
      </c>
      <c r="E326" s="224" t="inlineStr">
        <is>
          <t>Head of Technology,  Group Data</t>
        </is>
      </c>
      <c r="F326" s="335" t="inlineStr">
        <is>
          <t>Strategy, Architecture &amp; Data</t>
        </is>
      </c>
      <c r="G326" s="318" t="inlineStr">
        <is>
          <t>Group Data</t>
        </is>
      </c>
      <c r="H326" s="318" t="inlineStr">
        <is>
          <t>Data Capability</t>
        </is>
      </c>
      <c r="I326" s="335" t="inlineStr">
        <is>
          <t>Enterprise Data</t>
        </is>
      </c>
      <c r="J326" s="335" t="inlineStr">
        <is>
          <t>Leadership</t>
        </is>
      </c>
      <c r="K326" s="318" t="n"/>
      <c r="L326" s="318" t="n"/>
      <c r="M326" s="319" t="inlineStr">
        <is>
          <t>Australia</t>
        </is>
      </c>
      <c r="N326" s="320" t="inlineStr">
        <is>
          <t>CSC</t>
        </is>
      </c>
      <c r="O326" s="320" t="n">
        <v>1</v>
      </c>
      <c r="P326" s="320" t="n"/>
      <c r="Q326" s="320" t="inlineStr">
        <is>
          <t>Permanent - Full Time</t>
        </is>
      </c>
      <c r="R326" s="322" t="n"/>
      <c r="S326" s="322" t="n"/>
      <c r="T326" s="334" t="n">
        <v>275000</v>
      </c>
      <c r="U326" s="705" t="n">
        <v>275000</v>
      </c>
      <c r="V326" s="325" t="n">
        <v>0.2</v>
      </c>
      <c r="W326" s="702" t="n">
        <v>0.055</v>
      </c>
      <c r="X326" s="702" t="n">
        <v>0.12</v>
      </c>
      <c r="Y326" s="703" t="n"/>
      <c r="Z326" s="702" t="n">
        <v>0.04</v>
      </c>
      <c r="AA326" s="701">
        <f>U326*(1+V326+W326+X326+Y326+Z326)</f>
        <v>389125.0</v>
      </c>
      <c r="AC326" t="inlineStr">
        <is>
          <t>COE</t>
        </is>
      </c>
      <c r="AD326" t="inlineStr">
        <is>
          <t>COE - Data</t>
        </is>
      </c>
      <c r="AE326" t="inlineStr">
        <is>
          <t>COE - Data</t>
        </is>
      </c>
      <c r="AF326" t="inlineStr">
        <is>
          <t>COE</t>
        </is>
      </c>
      <c r="AG326" t="inlineStr">
        <is>
          <t>Filled</t>
        </is>
      </c>
    </row>
    <row r="327" hidden="1" ht="18" customHeight="1" s="506">
      <c r="A327" s="259" t="n">
        <v>80549</v>
      </c>
      <c r="B327" s="224" t="inlineStr">
        <is>
          <t>Steve Murray</t>
        </is>
      </c>
      <c r="C327" s="317" t="inlineStr">
        <is>
          <t>Applications Specialist</t>
        </is>
      </c>
      <c r="D327" s="224" t="inlineStr">
        <is>
          <t>Sai Konka</t>
        </is>
      </c>
      <c r="E327" s="224" t="inlineStr">
        <is>
          <t>Applications &amp; Analytics Manager</t>
        </is>
      </c>
      <c r="F327" s="335" t="inlineStr">
        <is>
          <t>Strategy, Architecture &amp; Data</t>
        </is>
      </c>
      <c r="G327" s="318" t="inlineStr">
        <is>
          <t>Group Data</t>
        </is>
      </c>
      <c r="H327" s="335" t="inlineStr">
        <is>
          <t>Data Engineering &amp; Platforms</t>
        </is>
      </c>
      <c r="I327" s="335" t="inlineStr">
        <is>
          <t>Enterprise Data</t>
        </is>
      </c>
      <c r="J327" s="335" t="inlineStr">
        <is>
          <t>EGI</t>
        </is>
      </c>
      <c r="K327" s="335" t="inlineStr">
        <is>
          <t>Reporting &amp; Analytics</t>
        </is>
      </c>
      <c r="L327" s="318" t="n"/>
      <c r="M327" s="319" t="inlineStr">
        <is>
          <t>Australia</t>
        </is>
      </c>
      <c r="N327" s="322" t="inlineStr">
        <is>
          <t>CIB</t>
        </is>
      </c>
      <c r="O327" s="322" t="n">
        <v>1</v>
      </c>
      <c r="P327" s="322" t="n"/>
      <c r="Q327" s="322" t="inlineStr">
        <is>
          <t>Permanent - Full Time</t>
        </is>
      </c>
      <c r="R327" s="322" t="n"/>
      <c r="S327" s="322" t="n"/>
      <c r="T327" s="334" t="n">
        <v>182000</v>
      </c>
      <c r="U327" s="705" t="n">
        <v>182000</v>
      </c>
      <c r="V327" s="325" t="n">
        <v>0.12</v>
      </c>
      <c r="W327" s="702" t="n">
        <v>0.055</v>
      </c>
      <c r="X327" s="702" t="n">
        <v>0.12</v>
      </c>
      <c r="Y327" s="703" t="n"/>
      <c r="Z327" s="702" t="n">
        <v>0.04</v>
      </c>
      <c r="AA327" s="701">
        <f>U327*(1+V327+W327+X327+Y327+Z327)</f>
        <v>242970.0</v>
      </c>
      <c r="AC327" t="inlineStr">
        <is>
          <t>Enterprise Data</t>
        </is>
      </c>
      <c r="AD327" t="inlineStr">
        <is>
          <t>Group Data</t>
        </is>
      </c>
      <c r="AE327" t="inlineStr">
        <is>
          <t>Reporting &amp; Analytics</t>
        </is>
      </c>
      <c r="AF327" t="inlineStr">
        <is>
          <t>Squad</t>
        </is>
      </c>
      <c r="AG327" t="inlineStr">
        <is>
          <t>Filled</t>
        </is>
      </c>
    </row>
    <row r="328" hidden="1" ht="18" customHeight="1" s="506">
      <c r="A328" s="259" t="n">
        <v>114147</v>
      </c>
      <c r="B328" s="224" t="inlineStr">
        <is>
          <t>Sumathi Manikkampichai</t>
        </is>
      </c>
      <c r="C328" s="317" t="inlineStr">
        <is>
          <t>Data Architect</t>
        </is>
      </c>
      <c r="D328" s="224" t="inlineStr">
        <is>
          <t>Jason Gleason</t>
        </is>
      </c>
      <c r="E328" s="224" t="inlineStr">
        <is>
          <t>Technology Manager, Data Engineering &amp; Platforms</t>
        </is>
      </c>
      <c r="F328" s="335" t="inlineStr">
        <is>
          <t>Strategy, Architecture &amp; Data</t>
        </is>
      </c>
      <c r="G328" s="318" t="inlineStr">
        <is>
          <t>Group Data</t>
        </is>
      </c>
      <c r="H328" s="335" t="inlineStr">
        <is>
          <t>Data Engineering &amp; Platforms</t>
        </is>
      </c>
      <c r="I328" s="335" t="inlineStr">
        <is>
          <t>Enterprise Data</t>
        </is>
      </c>
      <c r="J328" s="335" t="inlineStr">
        <is>
          <t>EGI</t>
        </is>
      </c>
      <c r="K328" s="335" t="inlineStr">
        <is>
          <t>Reporting &amp; Analytics</t>
        </is>
      </c>
      <c r="L328" s="318" t="n"/>
      <c r="M328" s="319" t="inlineStr">
        <is>
          <t>Australia</t>
        </is>
      </c>
      <c r="N328" s="320" t="inlineStr">
        <is>
          <t>CIC</t>
        </is>
      </c>
      <c r="O328" s="320" t="n">
        <v>1</v>
      </c>
      <c r="P328" s="320" t="n"/>
      <c r="Q328" s="320" t="inlineStr">
        <is>
          <t>Permanent - Full Time</t>
        </is>
      </c>
      <c r="R328" s="322" t="n"/>
      <c r="S328" s="322" t="n"/>
      <c r="T328" s="334" t="n">
        <v>188010</v>
      </c>
      <c r="U328" s="705" t="n">
        <v>188010</v>
      </c>
      <c r="V328" s="325" t="n">
        <v>0.12</v>
      </c>
      <c r="W328" s="702" t="n">
        <v>0.055</v>
      </c>
      <c r="X328" s="702" t="n">
        <v>0.12</v>
      </c>
      <c r="Y328" s="703" t="n"/>
      <c r="Z328" s="702" t="n">
        <v>0.04</v>
      </c>
      <c r="AA328" s="701">
        <f>U328*(1+V328+W328+X328+Y328+Z328)</f>
        <v>250993.35</v>
      </c>
      <c r="AC328" t="inlineStr">
        <is>
          <t>Enterprise Data</t>
        </is>
      </c>
      <c r="AD328" t="inlineStr">
        <is>
          <t>Group Data</t>
        </is>
      </c>
      <c r="AE328" t="inlineStr">
        <is>
          <t>Reporting &amp; Analytics</t>
        </is>
      </c>
      <c r="AF328" t="inlineStr">
        <is>
          <t>Squad</t>
        </is>
      </c>
      <c r="AG328" t="inlineStr">
        <is>
          <t>Filled</t>
        </is>
      </c>
    </row>
    <row r="329" hidden="1" ht="18" customHeight="1" s="506">
      <c r="A329" s="259" t="n">
        <v>99999101251</v>
      </c>
      <c r="B329" s="224" t="inlineStr">
        <is>
          <t>Tim Snedden</t>
        </is>
      </c>
      <c r="C329" s="317" t="inlineStr">
        <is>
          <t>Delivery Lead</t>
        </is>
      </c>
      <c r="D329" s="224" t="inlineStr">
        <is>
          <t>Joel Vijayakumar</t>
        </is>
      </c>
      <c r="E329" s="224" t="inlineStr">
        <is>
          <t>Delivery Manager, Strategy, Architecture &amp; Data</t>
        </is>
      </c>
      <c r="F329" s="335" t="inlineStr">
        <is>
          <t>Strategy, Architecture &amp; Data</t>
        </is>
      </c>
      <c r="G329" s="318" t="inlineStr">
        <is>
          <t>Delivery, SADA</t>
        </is>
      </c>
      <c r="H329" s="318" t="n"/>
      <c r="I329" s="318" t="inlineStr">
        <is>
          <t>Enterprise Data</t>
        </is>
      </c>
      <c r="J329" s="335" t="inlineStr">
        <is>
          <t>Group Data</t>
        </is>
      </c>
      <c r="K329" s="318" t="inlineStr">
        <is>
          <t>Data Platform</t>
        </is>
      </c>
      <c r="L329" s="318" t="n"/>
      <c r="M329" s="319" t="inlineStr">
        <is>
          <t>NZ</t>
        </is>
      </c>
      <c r="N329" s="320" t="inlineStr">
        <is>
          <t>CSB</t>
        </is>
      </c>
      <c r="O329" s="321" t="n">
        <v>1</v>
      </c>
      <c r="P329" s="320" t="n"/>
      <c r="Q329" s="321" t="inlineStr">
        <is>
          <t>Permanent - Full Time</t>
        </is>
      </c>
      <c r="R329" s="322" t="n"/>
      <c r="S329" s="322" t="n"/>
      <c r="T329" s="334" t="n">
        <v>161600</v>
      </c>
      <c r="U329" s="705" t="n">
        <v>148672</v>
      </c>
      <c r="V329" s="324" t="n">
        <v>0.15</v>
      </c>
      <c r="W329" s="322" t="n"/>
      <c r="X329" s="325" t="n">
        <v>0.05</v>
      </c>
      <c r="Y329" s="700" t="n">
        <v>2910</v>
      </c>
      <c r="Z329" s="325" t="n">
        <v>0.03</v>
      </c>
      <c r="AA329" s="701">
        <f>U329*(1+V329+X329+Z329)+Y329</f>
        <v>185776.56</v>
      </c>
      <c r="AB329" t="n">
        <v>15175</v>
      </c>
      <c r="AC329" t="inlineStr">
        <is>
          <t>COE</t>
        </is>
      </c>
      <c r="AD329" t="inlineStr">
        <is>
          <t>COE - Strategy Architecture</t>
        </is>
      </c>
      <c r="AE329" t="inlineStr">
        <is>
          <t>COE - Strategy Architecture</t>
        </is>
      </c>
      <c r="AF329" t="inlineStr">
        <is>
          <t>COE</t>
        </is>
      </c>
      <c r="AG329" t="inlineStr">
        <is>
          <t>Filled</t>
        </is>
      </c>
    </row>
    <row r="330" hidden="1" ht="18" customHeight="1" s="506">
      <c r="A330" s="259" t="inlineStr">
        <is>
          <t>V</t>
        </is>
      </c>
      <c r="B330" s="224" t="inlineStr">
        <is>
          <t>Vacant</t>
        </is>
      </c>
      <c r="C330" s="317" t="inlineStr">
        <is>
          <t>Service Transition Lead</t>
        </is>
      </c>
      <c r="D330" s="224" t="inlineStr">
        <is>
          <t>Deepali Mahajan</t>
        </is>
      </c>
      <c r="E330" s="224" t="inlineStr">
        <is>
          <t>Data Operations Manager</t>
        </is>
      </c>
      <c r="F330" s="335" t="inlineStr">
        <is>
          <t>Strategy, Architecture &amp; Data</t>
        </is>
      </c>
      <c r="G330" s="318" t="inlineStr">
        <is>
          <t>Group Data</t>
        </is>
      </c>
      <c r="H330" s="335" t="inlineStr">
        <is>
          <t>Data Operations</t>
        </is>
      </c>
      <c r="I330" s="335" t="inlineStr">
        <is>
          <t>Enterprise Data</t>
        </is>
      </c>
      <c r="J330" s="318" t="inlineStr">
        <is>
          <t>Leadership</t>
        </is>
      </c>
      <c r="K330" s="318" t="n"/>
      <c r="L330" s="318" t="n"/>
      <c r="M330" s="319" t="inlineStr">
        <is>
          <t>Australia</t>
        </is>
      </c>
      <c r="N330" s="320" t="inlineStr">
        <is>
          <t>CIB</t>
        </is>
      </c>
      <c r="O330" s="320" t="n">
        <v>1</v>
      </c>
      <c r="P330" s="320" t="n"/>
      <c r="Q330" s="320" t="inlineStr">
        <is>
          <t>v</t>
        </is>
      </c>
      <c r="R330" s="322" t="n"/>
      <c r="S330" s="322" t="n"/>
      <c r="T330" s="334" t="n">
        <v>151950</v>
      </c>
      <c r="U330" s="705" t="n">
        <v>151950</v>
      </c>
      <c r="V330" s="325" t="n">
        <v>0.12</v>
      </c>
      <c r="W330" s="702" t="n">
        <v>0.055</v>
      </c>
      <c r="X330" s="702" t="n">
        <v>0.12</v>
      </c>
      <c r="Y330" s="703" t="n"/>
      <c r="Z330" s="702" t="n">
        <v>0.04</v>
      </c>
      <c r="AA330" s="701">
        <f>U330*(1+V330+W330+X330+Y330+Z330)</f>
        <v>202853.25</v>
      </c>
      <c r="AC330" t="inlineStr">
        <is>
          <t>Enterprise Data</t>
        </is>
      </c>
      <c r="AD330" t="inlineStr">
        <is>
          <t>Leadership</t>
        </is>
      </c>
      <c r="AE330" t="inlineStr">
        <is>
          <t>Leadership</t>
        </is>
      </c>
      <c r="AF330" t="inlineStr">
        <is>
          <t>Leadership</t>
        </is>
      </c>
      <c r="AG330" t="inlineStr">
        <is>
          <t>Vacant</t>
        </is>
      </c>
    </row>
    <row r="331" hidden="1" ht="18" customHeight="1" s="506">
      <c r="A331" s="259" t="inlineStr">
        <is>
          <t>V</t>
        </is>
      </c>
      <c r="B331" s="224" t="inlineStr">
        <is>
          <t>Vacant</t>
        </is>
      </c>
      <c r="C331" s="317" t="inlineStr">
        <is>
          <t xml:space="preserve">Engineer Data  </t>
        </is>
      </c>
      <c r="D331" s="224" t="inlineStr">
        <is>
          <t>Dinesh Chandrasekaran</t>
        </is>
      </c>
      <c r="E331" s="224" t="inlineStr">
        <is>
          <t>Lead Engineer (Snowflake)</t>
        </is>
      </c>
      <c r="F331" s="335" t="inlineStr">
        <is>
          <t>Strategy, Architecture &amp; Data</t>
        </is>
      </c>
      <c r="G331" s="318" t="inlineStr">
        <is>
          <t>Group Data</t>
        </is>
      </c>
      <c r="H331" s="335" t="inlineStr">
        <is>
          <t>Data Engineering &amp; Platforms</t>
        </is>
      </c>
      <c r="I331" s="318" t="inlineStr">
        <is>
          <t>Enterprise Data</t>
        </is>
      </c>
      <c r="J331" s="335" t="inlineStr">
        <is>
          <t>Group Data</t>
        </is>
      </c>
      <c r="K331" s="318" t="inlineStr">
        <is>
          <t>Data Platform</t>
        </is>
      </c>
      <c r="L331" s="318" t="n"/>
      <c r="M331" s="319" t="inlineStr">
        <is>
          <t>Australia</t>
        </is>
      </c>
      <c r="N331" s="320" t="inlineStr">
        <is>
          <t>CIB</t>
        </is>
      </c>
      <c r="O331" s="320" t="n">
        <v>1</v>
      </c>
      <c r="P331" s="320" t="n"/>
      <c r="Q331" s="320" t="inlineStr">
        <is>
          <t>V</t>
        </is>
      </c>
      <c r="R331" s="322" t="n"/>
      <c r="S331" s="322" t="n"/>
      <c r="T331" s="334" t="n">
        <v>151950</v>
      </c>
      <c r="U331" s="705" t="n">
        <v>151950</v>
      </c>
      <c r="V331" s="325" t="n">
        <v>0.12</v>
      </c>
      <c r="W331" s="702" t="n">
        <v>0.055</v>
      </c>
      <c r="X331" s="702" t="n">
        <v>0.12</v>
      </c>
      <c r="Y331" s="703" t="n"/>
      <c r="Z331" s="702" t="n">
        <v>0.04</v>
      </c>
      <c r="AA331" s="701">
        <f>U331*(1+V331+W331+X331+Y331+Z331)</f>
        <v>202853.25</v>
      </c>
      <c r="AC331" t="inlineStr">
        <is>
          <t>Enterprise Data</t>
        </is>
      </c>
      <c r="AD331" t="inlineStr">
        <is>
          <t>Group Data</t>
        </is>
      </c>
      <c r="AE331" t="inlineStr">
        <is>
          <t>Data Platforms</t>
        </is>
      </c>
      <c r="AF331" t="inlineStr">
        <is>
          <t>Squad</t>
        </is>
      </c>
      <c r="AG331" t="inlineStr">
        <is>
          <t>Vacant</t>
        </is>
      </c>
    </row>
    <row r="332" hidden="1" ht="18" customHeight="1" s="506">
      <c r="A332" s="259" t="inlineStr">
        <is>
          <t>V</t>
        </is>
      </c>
      <c r="B332" s="224" t="inlineStr">
        <is>
          <t>Vacant</t>
        </is>
      </c>
      <c r="C332" s="317" t="inlineStr">
        <is>
          <t>Engineer Data - Reporting</t>
        </is>
      </c>
      <c r="D332" s="224" t="inlineStr">
        <is>
          <t>Dinesh Chandrasekaran</t>
        </is>
      </c>
      <c r="E332" s="224" t="inlineStr">
        <is>
          <t>Lead Engineer (Snowflake)</t>
        </is>
      </c>
      <c r="F332" s="335" t="inlineStr">
        <is>
          <t>Strategy, Architecture &amp; Data</t>
        </is>
      </c>
      <c r="G332" s="318" t="inlineStr">
        <is>
          <t>Group Data</t>
        </is>
      </c>
      <c r="H332" s="335" t="inlineStr">
        <is>
          <t>Data Engineering &amp; Platforms</t>
        </is>
      </c>
      <c r="I332" s="335" t="inlineStr">
        <is>
          <t>Enterprise Data</t>
        </is>
      </c>
      <c r="J332" s="335" t="inlineStr">
        <is>
          <t>Group Data</t>
        </is>
      </c>
      <c r="K332" s="335" t="inlineStr">
        <is>
          <t>Reporting &amp; Analytics</t>
        </is>
      </c>
      <c r="L332" s="318" t="n"/>
      <c r="M332" s="319" t="inlineStr">
        <is>
          <t>Australia</t>
        </is>
      </c>
      <c r="N332" s="320" t="inlineStr">
        <is>
          <t>CIB</t>
        </is>
      </c>
      <c r="O332" s="320" t="n">
        <v>1</v>
      </c>
      <c r="P332" s="320" t="n"/>
      <c r="Q332" s="320" t="inlineStr">
        <is>
          <t>V</t>
        </is>
      </c>
      <c r="R332" s="322" t="n"/>
      <c r="S332" s="322" t="n"/>
      <c r="T332" s="334" t="n">
        <v>151950</v>
      </c>
      <c r="U332" s="705" t="n">
        <v>151950</v>
      </c>
      <c r="V332" s="325" t="n">
        <v>0.12</v>
      </c>
      <c r="W332" s="702" t="n">
        <v>0.055</v>
      </c>
      <c r="X332" s="702" t="n">
        <v>0.12</v>
      </c>
      <c r="Y332" s="703" t="n"/>
      <c r="Z332" s="702" t="n">
        <v>0.04</v>
      </c>
      <c r="AA332" s="701">
        <f>U332*(1+V332+W332+X332+Y332+Z332)</f>
        <v>202853.25</v>
      </c>
      <c r="AC332" t="inlineStr">
        <is>
          <t>Enterprise Data</t>
        </is>
      </c>
      <c r="AD332" t="inlineStr">
        <is>
          <t>Group Data</t>
        </is>
      </c>
      <c r="AE332" t="inlineStr">
        <is>
          <t>Reporting &amp; Analytics</t>
        </is>
      </c>
      <c r="AF332" t="inlineStr">
        <is>
          <t>Squad</t>
        </is>
      </c>
      <c r="AG332" t="inlineStr">
        <is>
          <t>Vacant</t>
        </is>
      </c>
    </row>
    <row r="333" hidden="1" ht="18" customHeight="1" s="506">
      <c r="A333" s="259" t="inlineStr">
        <is>
          <t>V</t>
        </is>
      </c>
      <c r="B333" s="224" t="inlineStr">
        <is>
          <t>Vacant</t>
        </is>
      </c>
      <c r="C333" s="317" t="inlineStr">
        <is>
          <t>Quality Assurance</t>
        </is>
      </c>
      <c r="D333" s="224" t="inlineStr">
        <is>
          <t>Dinesh Chandrasekaran</t>
        </is>
      </c>
      <c r="E333" s="224" t="inlineStr">
        <is>
          <t>Lead Engineer (Snowflake)</t>
        </is>
      </c>
      <c r="F333" s="335" t="inlineStr">
        <is>
          <t>Strategy, Architecture &amp; Data</t>
        </is>
      </c>
      <c r="G333" s="318" t="inlineStr">
        <is>
          <t>Group Data</t>
        </is>
      </c>
      <c r="H333" s="335" t="inlineStr">
        <is>
          <t>Data Engineering &amp; Platforms</t>
        </is>
      </c>
      <c r="I333" s="318" t="inlineStr">
        <is>
          <t>Enterprise Data</t>
        </is>
      </c>
      <c r="J333" s="335" t="inlineStr">
        <is>
          <t>Group Data</t>
        </is>
      </c>
      <c r="K333" s="318" t="inlineStr">
        <is>
          <t>Data Platform</t>
        </is>
      </c>
      <c r="L333" s="318" t="n"/>
      <c r="M333" s="319" t="inlineStr">
        <is>
          <t>Australia</t>
        </is>
      </c>
      <c r="N333" s="320" t="inlineStr">
        <is>
          <t>CIA</t>
        </is>
      </c>
      <c r="O333" s="320" t="n">
        <v>1</v>
      </c>
      <c r="P333" s="320" t="n"/>
      <c r="Q333" s="320" t="inlineStr">
        <is>
          <t>v</t>
        </is>
      </c>
      <c r="R333" s="322" t="n"/>
      <c r="S333" s="322" t="n"/>
      <c r="T333" s="334" t="n">
        <v>129650</v>
      </c>
      <c r="U333" s="705" t="n">
        <v>129650</v>
      </c>
      <c r="V333" s="325" t="n">
        <v>0.1</v>
      </c>
      <c r="W333" s="702" t="n">
        <v>0.055</v>
      </c>
      <c r="X333" s="702" t="n">
        <v>0.12</v>
      </c>
      <c r="Y333" s="703" t="n"/>
      <c r="Z333" s="702" t="n">
        <v>0.04</v>
      </c>
      <c r="AA333" s="701">
        <f>U333*(1+V333+W333+X333+Y333+Z333)</f>
        <v>170489.75</v>
      </c>
      <c r="AC333" t="inlineStr">
        <is>
          <t>Enterprise Data</t>
        </is>
      </c>
      <c r="AD333" t="inlineStr">
        <is>
          <t>Group Data</t>
        </is>
      </c>
      <c r="AE333" t="inlineStr">
        <is>
          <t>Data Platforms</t>
        </is>
      </c>
      <c r="AF333" t="inlineStr">
        <is>
          <t>Squad</t>
        </is>
      </c>
      <c r="AG333" t="inlineStr">
        <is>
          <t>Vacant</t>
        </is>
      </c>
    </row>
    <row r="334" hidden="1" ht="18" customHeight="1" s="506">
      <c r="A334" s="259" t="inlineStr">
        <is>
          <t>V</t>
        </is>
      </c>
      <c r="B334" s="224" t="inlineStr">
        <is>
          <t>Vacant</t>
        </is>
      </c>
      <c r="C334" s="317" t="inlineStr">
        <is>
          <t>Engineer - DevOps</t>
        </is>
      </c>
      <c r="D334" s="224" t="inlineStr">
        <is>
          <t>Jason Gleason</t>
        </is>
      </c>
      <c r="E334" s="224" t="inlineStr">
        <is>
          <t>Technology Manager, Data Engineering &amp; Platforms</t>
        </is>
      </c>
      <c r="F334" s="335" t="inlineStr">
        <is>
          <t>Strategy, Architecture &amp; Data</t>
        </is>
      </c>
      <c r="G334" s="328" t="inlineStr">
        <is>
          <t>Group Data</t>
        </is>
      </c>
      <c r="H334" s="396" t="inlineStr">
        <is>
          <t>Data Engineering &amp; Platforms</t>
        </is>
      </c>
      <c r="I334" s="318" t="inlineStr">
        <is>
          <t>Enterprise Data</t>
        </is>
      </c>
      <c r="J334" s="335" t="inlineStr">
        <is>
          <t>Group Data</t>
        </is>
      </c>
      <c r="K334" s="318" t="inlineStr">
        <is>
          <t>Data Platform</t>
        </is>
      </c>
      <c r="L334" s="318" t="n"/>
      <c r="M334" s="319" t="inlineStr">
        <is>
          <t>Australia</t>
        </is>
      </c>
      <c r="N334" s="320" t="inlineStr">
        <is>
          <t>cib</t>
        </is>
      </c>
      <c r="O334" s="320" t="n">
        <v>1</v>
      </c>
      <c r="P334" s="320" t="n"/>
      <c r="Q334" s="320" t="inlineStr">
        <is>
          <t>V</t>
        </is>
      </c>
      <c r="R334" s="322" t="n"/>
      <c r="S334" s="322" t="n"/>
      <c r="T334" s="334" t="n">
        <v>151950</v>
      </c>
      <c r="U334" s="705" t="n">
        <v>151950</v>
      </c>
      <c r="V334" s="325" t="n">
        <v>0.12</v>
      </c>
      <c r="W334" s="702" t="n">
        <v>0.055</v>
      </c>
      <c r="X334" s="702" t="n">
        <v>0.12</v>
      </c>
      <c r="Y334" s="703" t="n"/>
      <c r="Z334" s="702" t="n">
        <v>0.04</v>
      </c>
      <c r="AA334" s="701">
        <f>U334*(1+V334+W334+X334+Y334+Z334)</f>
        <v>202853.25</v>
      </c>
      <c r="AC334" t="inlineStr">
        <is>
          <t>Enterprise Data</t>
        </is>
      </c>
      <c r="AD334" t="inlineStr">
        <is>
          <t>Group Data</t>
        </is>
      </c>
      <c r="AE334" t="inlineStr">
        <is>
          <t>Data Platforms</t>
        </is>
      </c>
      <c r="AF334" t="inlineStr">
        <is>
          <t>Squad</t>
        </is>
      </c>
      <c r="AG334" t="inlineStr">
        <is>
          <t>Vacant</t>
        </is>
      </c>
    </row>
    <row r="335" hidden="1" ht="18" customHeight="1" s="506">
      <c r="A335" s="259" t="inlineStr">
        <is>
          <t>V</t>
        </is>
      </c>
      <c r="B335" s="224" t="inlineStr">
        <is>
          <t>Vacant</t>
        </is>
      </c>
      <c r="C335" s="317" t="inlineStr">
        <is>
          <t>Business Analyst</t>
        </is>
      </c>
      <c r="D335" s="224" t="inlineStr">
        <is>
          <t>Joel Vijayakumar</t>
        </is>
      </c>
      <c r="E335" s="224" t="inlineStr">
        <is>
          <t>Delivery Manager, Strategy, Architecture &amp; Data</t>
        </is>
      </c>
      <c r="F335" s="335" t="inlineStr">
        <is>
          <t>Strategy, Architecture &amp; Data</t>
        </is>
      </c>
      <c r="G335" s="318" t="inlineStr">
        <is>
          <t>Delivery, SADA</t>
        </is>
      </c>
      <c r="H335" s="318" t="n"/>
      <c r="I335" s="318" t="inlineStr">
        <is>
          <t>Enterprise Data</t>
        </is>
      </c>
      <c r="J335" s="335" t="inlineStr">
        <is>
          <t>Group Data</t>
        </is>
      </c>
      <c r="K335" s="318" t="inlineStr">
        <is>
          <t>Data Platform</t>
        </is>
      </c>
      <c r="L335" s="318" t="n"/>
      <c r="M335" s="319" t="inlineStr">
        <is>
          <t>Australia</t>
        </is>
      </c>
      <c r="N335" s="320" t="inlineStr">
        <is>
          <t>CIB</t>
        </is>
      </c>
      <c r="O335" s="320" t="n">
        <v>1</v>
      </c>
      <c r="P335" s="320" t="n"/>
      <c r="Q335" s="320" t="inlineStr">
        <is>
          <t>V</t>
        </is>
      </c>
      <c r="R335" s="322" t="n"/>
      <c r="S335" s="322" t="n"/>
      <c r="T335" s="334" t="n">
        <v>151950</v>
      </c>
      <c r="U335" s="705" t="n">
        <v>151950</v>
      </c>
      <c r="V335" s="325" t="n">
        <v>0.12</v>
      </c>
      <c r="W335" s="702" t="n">
        <v>0.055</v>
      </c>
      <c r="X335" s="702" t="n">
        <v>0.12</v>
      </c>
      <c r="Y335" s="703" t="n"/>
      <c r="Z335" s="702" t="n">
        <v>0.04</v>
      </c>
      <c r="AA335" s="701">
        <f>U335*(1+V335+W335+X335+Y335+Z335)</f>
        <v>202853.25</v>
      </c>
      <c r="AC335" t="inlineStr">
        <is>
          <t>COE</t>
        </is>
      </c>
      <c r="AD335" t="inlineStr">
        <is>
          <t>COE - Strategy Architecture</t>
        </is>
      </c>
      <c r="AE335" t="inlineStr">
        <is>
          <t>COE - Strategy Architecture</t>
        </is>
      </c>
      <c r="AF335" t="inlineStr">
        <is>
          <t>COE</t>
        </is>
      </c>
      <c r="AG335" t="inlineStr">
        <is>
          <t>Vacant</t>
        </is>
      </c>
    </row>
    <row r="336" hidden="1" ht="18" customHeight="1" s="506">
      <c r="A336" s="259" t="inlineStr">
        <is>
          <t>V</t>
        </is>
      </c>
      <c r="B336" s="224" t="inlineStr">
        <is>
          <t>Vacant</t>
        </is>
      </c>
      <c r="C336" s="317" t="inlineStr">
        <is>
          <t>Business Analyst</t>
        </is>
      </c>
      <c r="D336" s="224" t="inlineStr">
        <is>
          <t>Joel Vijayakumar</t>
        </is>
      </c>
      <c r="E336" s="224" t="inlineStr">
        <is>
          <t>Delivery Manager, Strategy, Architecture &amp; Data</t>
        </is>
      </c>
      <c r="F336" s="335" t="inlineStr">
        <is>
          <t>Strategy, Architecture &amp; Data</t>
        </is>
      </c>
      <c r="G336" s="318" t="inlineStr">
        <is>
          <t>Delivery, SADA</t>
        </is>
      </c>
      <c r="H336" s="318" t="n"/>
      <c r="I336" s="335" t="inlineStr">
        <is>
          <t>Enterprise Data</t>
        </is>
      </c>
      <c r="J336" s="335" t="inlineStr">
        <is>
          <t>EGI</t>
        </is>
      </c>
      <c r="K336" s="335" t="inlineStr">
        <is>
          <t>Reporting &amp; Analytics</t>
        </is>
      </c>
      <c r="L336" s="318" t="n"/>
      <c r="M336" s="319" t="inlineStr">
        <is>
          <t>Australia</t>
        </is>
      </c>
      <c r="N336" s="320" t="inlineStr">
        <is>
          <t>CIB</t>
        </is>
      </c>
      <c r="O336" s="320" t="n">
        <v>1</v>
      </c>
      <c r="P336" s="320" t="n"/>
      <c r="Q336" s="320" t="inlineStr">
        <is>
          <t>V</t>
        </is>
      </c>
      <c r="R336" s="322" t="n"/>
      <c r="S336" s="322" t="n"/>
      <c r="T336" s="334" t="n">
        <v>151950</v>
      </c>
      <c r="U336" s="705" t="n">
        <v>151950</v>
      </c>
      <c r="V336" s="325" t="n">
        <v>0.12</v>
      </c>
      <c r="W336" s="702" t="n">
        <v>0.055</v>
      </c>
      <c r="X336" s="702" t="n">
        <v>0.12</v>
      </c>
      <c r="Y336" s="703" t="n"/>
      <c r="Z336" s="702" t="n">
        <v>0.04</v>
      </c>
      <c r="AA336" s="701">
        <f>U336*(1+V336+W336+X336+Y336+Z336)</f>
        <v>202853.25</v>
      </c>
      <c r="AC336" t="inlineStr">
        <is>
          <t>COE</t>
        </is>
      </c>
      <c r="AD336" t="inlineStr">
        <is>
          <t>COE - Strategy Architecture</t>
        </is>
      </c>
      <c r="AE336" t="inlineStr">
        <is>
          <t>COE - Strategy Architecture</t>
        </is>
      </c>
      <c r="AF336" t="inlineStr">
        <is>
          <t>COE</t>
        </is>
      </c>
      <c r="AG336" t="inlineStr">
        <is>
          <t>Vacant</t>
        </is>
      </c>
    </row>
    <row r="337" hidden="1" ht="20.15" customHeight="1" s="506">
      <c r="A337" s="259" t="inlineStr">
        <is>
          <t>V</t>
        </is>
      </c>
      <c r="B337" s="224" t="inlineStr">
        <is>
          <t>vacant</t>
        </is>
      </c>
      <c r="C337" s="317" t="inlineStr">
        <is>
          <t>Data Analyst</t>
        </is>
      </c>
      <c r="D337" s="224" t="inlineStr">
        <is>
          <t>Jonathan Robinson</t>
        </is>
      </c>
      <c r="E337" s="224" t="inlineStr">
        <is>
          <t>Technology Manager, Data Science</t>
        </is>
      </c>
      <c r="F337" s="335" t="inlineStr">
        <is>
          <t>Strategy, Architecture &amp; Data</t>
        </is>
      </c>
      <c r="G337" s="318" t="inlineStr">
        <is>
          <t>Group Data</t>
        </is>
      </c>
      <c r="H337" s="335" t="inlineStr">
        <is>
          <t>Data Science</t>
        </is>
      </c>
      <c r="I337" s="335" t="inlineStr">
        <is>
          <t>Enterprise Data</t>
        </is>
      </c>
      <c r="J337" s="335" t="inlineStr">
        <is>
          <t>Group Data</t>
        </is>
      </c>
      <c r="K337" s="318" t="inlineStr">
        <is>
          <t>Data Science</t>
        </is>
      </c>
      <c r="L337" s="318" t="n"/>
      <c r="M337" s="319" t="inlineStr">
        <is>
          <t>Australia</t>
        </is>
      </c>
      <c r="N337" s="320" t="inlineStr">
        <is>
          <t>CIB</t>
        </is>
      </c>
      <c r="O337" s="320" t="n">
        <v>1</v>
      </c>
      <c r="P337" s="320" t="n"/>
      <c r="Q337" s="320" t="inlineStr">
        <is>
          <t>V</t>
        </is>
      </c>
      <c r="R337" s="322" t="n"/>
      <c r="S337" s="322" t="n"/>
      <c r="T337" s="334" t="n">
        <v>151000</v>
      </c>
      <c r="U337" s="705" t="n">
        <v>151000</v>
      </c>
      <c r="V337" s="325" t="n">
        <v>0.12</v>
      </c>
      <c r="W337" s="702" t="n">
        <v>0.055</v>
      </c>
      <c r="X337" s="702" t="n">
        <v>0.12</v>
      </c>
      <c r="Y337" s="703" t="n"/>
      <c r="Z337" s="702" t="n">
        <v>0.04</v>
      </c>
      <c r="AA337" s="701">
        <f>U337*(1+V337+W337+X337+Y337+Z337)</f>
        <v>201585.0</v>
      </c>
      <c r="AC337" t="inlineStr">
        <is>
          <t>Enterprise Data</t>
        </is>
      </c>
      <c r="AD337" t="inlineStr">
        <is>
          <t>Group Data</t>
        </is>
      </c>
      <c r="AE337" t="inlineStr">
        <is>
          <t>Data Science</t>
        </is>
      </c>
      <c r="AF337" t="inlineStr">
        <is>
          <t>Squad</t>
        </is>
      </c>
      <c r="AG337" t="inlineStr">
        <is>
          <t>Vacant</t>
        </is>
      </c>
    </row>
    <row r="338" hidden="1" ht="18" customHeight="1" s="506">
      <c r="A338" s="259" t="inlineStr">
        <is>
          <t>V</t>
        </is>
      </c>
      <c r="B338" s="224" t="inlineStr">
        <is>
          <t>Vacant</t>
        </is>
      </c>
      <c r="C338" s="317" t="inlineStr">
        <is>
          <t>Data Analyst</t>
        </is>
      </c>
      <c r="D338" s="224" t="inlineStr">
        <is>
          <t>Jonathan Robinson</t>
        </is>
      </c>
      <c r="E338" s="224" t="inlineStr">
        <is>
          <t>Technology Manager, Data Science</t>
        </is>
      </c>
      <c r="F338" s="335" t="inlineStr">
        <is>
          <t>Strategy, Architecture &amp; Data</t>
        </is>
      </c>
      <c r="G338" s="318" t="inlineStr">
        <is>
          <t>Group Data</t>
        </is>
      </c>
      <c r="H338" s="335" t="inlineStr">
        <is>
          <t>Data Science</t>
        </is>
      </c>
      <c r="I338" s="335" t="inlineStr">
        <is>
          <t>Enterprise Data</t>
        </is>
      </c>
      <c r="J338" s="335" t="inlineStr">
        <is>
          <t>Group Data</t>
        </is>
      </c>
      <c r="K338" s="318" t="inlineStr">
        <is>
          <t>Data Science</t>
        </is>
      </c>
      <c r="L338" s="318" t="n"/>
      <c r="M338" s="319" t="inlineStr">
        <is>
          <t>Australia</t>
        </is>
      </c>
      <c r="N338" s="320" t="inlineStr">
        <is>
          <t>CIB</t>
        </is>
      </c>
      <c r="O338" s="320" t="n">
        <v>1</v>
      </c>
      <c r="P338" s="320" t="n"/>
      <c r="Q338" s="320" t="inlineStr">
        <is>
          <t>V</t>
        </is>
      </c>
      <c r="R338" s="322" t="n"/>
      <c r="S338" s="322" t="n"/>
      <c r="T338" s="334" t="n">
        <v>151000</v>
      </c>
      <c r="U338" s="705" t="n">
        <v>151000</v>
      </c>
      <c r="V338" s="325" t="n">
        <v>0.12</v>
      </c>
      <c r="W338" s="702" t="n">
        <v>0.055</v>
      </c>
      <c r="X338" s="702" t="n">
        <v>0.12</v>
      </c>
      <c r="Y338" s="703" t="n"/>
      <c r="Z338" s="702" t="n">
        <v>0.04</v>
      </c>
      <c r="AA338" s="701">
        <f>U338*(1+V338+W338+X338+Y338+Z338)</f>
        <v>201585.0</v>
      </c>
      <c r="AC338" t="inlineStr">
        <is>
          <t>Enterprise Data</t>
        </is>
      </c>
      <c r="AD338" t="inlineStr">
        <is>
          <t>Group Data</t>
        </is>
      </c>
      <c r="AE338" t="inlineStr">
        <is>
          <t>Data Science</t>
        </is>
      </c>
      <c r="AF338" t="inlineStr">
        <is>
          <t>Squad</t>
        </is>
      </c>
      <c r="AG338" t="inlineStr">
        <is>
          <t>Vacant</t>
        </is>
      </c>
    </row>
    <row r="339" hidden="1" ht="18" customHeight="1" s="506">
      <c r="A339" s="259" t="inlineStr">
        <is>
          <t>V</t>
        </is>
      </c>
      <c r="B339" s="224" t="inlineStr">
        <is>
          <t>vacant</t>
        </is>
      </c>
      <c r="C339" s="317" t="inlineStr">
        <is>
          <t>Data Scientist</t>
        </is>
      </c>
      <c r="D339" s="224" t="inlineStr">
        <is>
          <t>Jonathan Robinson</t>
        </is>
      </c>
      <c r="E339" s="224" t="inlineStr">
        <is>
          <t>Technology Manager, Data Science</t>
        </is>
      </c>
      <c r="F339" s="335" t="inlineStr">
        <is>
          <t>Strategy, Architecture &amp; Data</t>
        </is>
      </c>
      <c r="G339" s="318" t="inlineStr">
        <is>
          <t>Group Data</t>
        </is>
      </c>
      <c r="H339" s="335" t="inlineStr">
        <is>
          <t>Data Science</t>
        </is>
      </c>
      <c r="I339" s="335" t="inlineStr">
        <is>
          <t>Enterprise Data</t>
        </is>
      </c>
      <c r="J339" s="335" t="inlineStr">
        <is>
          <t>Group Data</t>
        </is>
      </c>
      <c r="K339" s="318" t="inlineStr">
        <is>
          <t>Data Science</t>
        </is>
      </c>
      <c r="L339" s="318" t="n"/>
      <c r="M339" s="319" t="inlineStr">
        <is>
          <t>Australia</t>
        </is>
      </c>
      <c r="N339" s="320" t="inlineStr">
        <is>
          <t>CIB</t>
        </is>
      </c>
      <c r="O339" s="320" t="n">
        <v>1</v>
      </c>
      <c r="P339" s="320" t="n"/>
      <c r="Q339" s="320" t="inlineStr">
        <is>
          <t>V</t>
        </is>
      </c>
      <c r="R339" s="322" t="n"/>
      <c r="S339" s="322" t="n"/>
      <c r="T339" s="334" t="n">
        <v>151950</v>
      </c>
      <c r="U339" s="705" t="n">
        <v>151950</v>
      </c>
      <c r="V339" s="325" t="n">
        <v>0.12</v>
      </c>
      <c r="W339" s="702" t="n">
        <v>0.055</v>
      </c>
      <c r="X339" s="702" t="n">
        <v>0.12</v>
      </c>
      <c r="Y339" s="703" t="n"/>
      <c r="Z339" s="702" t="n">
        <v>0.04</v>
      </c>
      <c r="AA339" s="701">
        <f>U339*(1+V339+W339+X339+Y339+Z339)</f>
        <v>202853.25</v>
      </c>
      <c r="AC339" t="inlineStr">
        <is>
          <t>Enterprise Data</t>
        </is>
      </c>
      <c r="AD339" t="inlineStr">
        <is>
          <t>Group Data</t>
        </is>
      </c>
      <c r="AE339" t="inlineStr">
        <is>
          <t>Data Science</t>
        </is>
      </c>
      <c r="AF339" t="inlineStr">
        <is>
          <t>Squad</t>
        </is>
      </c>
      <c r="AG339" t="inlineStr">
        <is>
          <t>Vacant</t>
        </is>
      </c>
    </row>
    <row r="340" hidden="1" ht="18" customHeight="1" s="506">
      <c r="A340" s="259" t="inlineStr">
        <is>
          <t>V</t>
        </is>
      </c>
      <c r="B340" s="224" t="inlineStr">
        <is>
          <t>Vacant</t>
        </is>
      </c>
      <c r="C340" s="317" t="inlineStr">
        <is>
          <t xml:space="preserve">Reporting Lead </t>
        </is>
      </c>
      <c r="D340" s="224" t="inlineStr">
        <is>
          <t>Prashanth Krishnankutty</t>
        </is>
      </c>
      <c r="E340" s="224" t="inlineStr">
        <is>
          <t>Lead, Reporting &amp; Insights</t>
        </is>
      </c>
      <c r="F340" s="335" t="inlineStr">
        <is>
          <t>Strategy, Architecture &amp; Data</t>
        </is>
      </c>
      <c r="G340" s="318" t="inlineStr">
        <is>
          <t>Group Data</t>
        </is>
      </c>
      <c r="H340" s="335" t="inlineStr">
        <is>
          <t>Data Engineering &amp; Platforms</t>
        </is>
      </c>
      <c r="I340" s="335" t="inlineStr">
        <is>
          <t>Enterprise Data</t>
        </is>
      </c>
      <c r="J340" s="335" t="inlineStr">
        <is>
          <t>Group Data</t>
        </is>
      </c>
      <c r="K340" s="335" t="inlineStr">
        <is>
          <t>Reporting &amp; Analytics</t>
        </is>
      </c>
      <c r="L340" s="318" t="n"/>
      <c r="M340" s="319" t="inlineStr">
        <is>
          <t>Australia</t>
        </is>
      </c>
      <c r="N340" s="320" t="inlineStr">
        <is>
          <t>CIB</t>
        </is>
      </c>
      <c r="O340" s="320" t="n">
        <v>1</v>
      </c>
      <c r="P340" s="320" t="n"/>
      <c r="Q340" s="320" t="inlineStr">
        <is>
          <t>v</t>
        </is>
      </c>
      <c r="R340" s="322" t="n"/>
      <c r="S340" s="322" t="n"/>
      <c r="T340" s="334" t="n">
        <v>151950</v>
      </c>
      <c r="U340" s="705" t="n">
        <v>151950</v>
      </c>
      <c r="V340" s="325" t="n">
        <v>0.12</v>
      </c>
      <c r="W340" s="702" t="n">
        <v>0.055</v>
      </c>
      <c r="X340" s="702" t="n">
        <v>0.12</v>
      </c>
      <c r="Y340" s="703" t="n"/>
      <c r="Z340" s="702" t="n">
        <v>0.04</v>
      </c>
      <c r="AA340" s="701">
        <f>U340*(1+V340+W340+X340+Y340+Z340)</f>
        <v>202853.25</v>
      </c>
      <c r="AC340" t="inlineStr">
        <is>
          <t>Enterprise Data</t>
        </is>
      </c>
      <c r="AD340" t="inlineStr">
        <is>
          <t>Group Data</t>
        </is>
      </c>
      <c r="AE340" t="inlineStr">
        <is>
          <t>Reporting &amp; Analytics</t>
        </is>
      </c>
      <c r="AF340" t="inlineStr">
        <is>
          <t>Squad</t>
        </is>
      </c>
      <c r="AG340" t="inlineStr">
        <is>
          <t>Vacant</t>
        </is>
      </c>
    </row>
    <row r="341" hidden="1" ht="18" customHeight="1" s="506">
      <c r="A341" s="259" t="inlineStr">
        <is>
          <t>V</t>
        </is>
      </c>
      <c r="B341" s="224" t="inlineStr">
        <is>
          <t>vacant</t>
        </is>
      </c>
      <c r="C341" s="317" t="inlineStr">
        <is>
          <t>Engineer - Data</t>
        </is>
      </c>
      <c r="D341" s="224" t="inlineStr">
        <is>
          <t>Roozbeh Shahbazirad</t>
        </is>
      </c>
      <c r="E341" s="224" t="inlineStr">
        <is>
          <t>Lead Engineer (Databricks)</t>
        </is>
      </c>
      <c r="F341" s="335" t="inlineStr">
        <is>
          <t>Strategy, Architecture &amp; Data</t>
        </is>
      </c>
      <c r="G341" s="318" t="inlineStr">
        <is>
          <t>Group Data</t>
        </is>
      </c>
      <c r="H341" s="335" t="inlineStr">
        <is>
          <t>Data Engineering &amp; Platforms</t>
        </is>
      </c>
      <c r="I341" s="318" t="inlineStr">
        <is>
          <t>Enterprise Data</t>
        </is>
      </c>
      <c r="J341" s="335" t="inlineStr">
        <is>
          <t>Group Data</t>
        </is>
      </c>
      <c r="K341" s="318" t="inlineStr">
        <is>
          <t>Data Platform</t>
        </is>
      </c>
      <c r="L341" s="318" t="n"/>
      <c r="M341" s="319" t="inlineStr">
        <is>
          <t>Australia</t>
        </is>
      </c>
      <c r="N341" s="320" t="inlineStr">
        <is>
          <t>CIB</t>
        </is>
      </c>
      <c r="O341" s="320" t="n">
        <v>1</v>
      </c>
      <c r="P341" s="320" t="n"/>
      <c r="Q341" s="320" t="inlineStr">
        <is>
          <t>V</t>
        </is>
      </c>
      <c r="R341" s="322" t="n"/>
      <c r="S341" s="322" t="n"/>
      <c r="T341" s="334" t="n">
        <v>151950</v>
      </c>
      <c r="U341" s="705" t="n">
        <v>151950</v>
      </c>
      <c r="V341" s="325" t="n">
        <v>0.12</v>
      </c>
      <c r="W341" s="702" t="n">
        <v>0.055</v>
      </c>
      <c r="X341" s="702" t="n">
        <v>0.12</v>
      </c>
      <c r="Y341" s="703" t="n"/>
      <c r="Z341" s="702" t="n">
        <v>0.04</v>
      </c>
      <c r="AA341" s="701">
        <f>U341*(1+V341+W341+X341+Y341+Z341)</f>
        <v>202853.25</v>
      </c>
      <c r="AC341" t="inlineStr">
        <is>
          <t>Enterprise Data</t>
        </is>
      </c>
      <c r="AD341" t="inlineStr">
        <is>
          <t>Group Data</t>
        </is>
      </c>
      <c r="AE341" t="inlineStr">
        <is>
          <t>Data Platforms</t>
        </is>
      </c>
      <c r="AF341" t="inlineStr">
        <is>
          <t>Squad</t>
        </is>
      </c>
      <c r="AG341" t="inlineStr">
        <is>
          <t>Vacant</t>
        </is>
      </c>
    </row>
    <row r="342" hidden="1" ht="18" customHeight="1" s="506">
      <c r="A342" s="259" t="inlineStr">
        <is>
          <t>V</t>
        </is>
      </c>
      <c r="B342" s="224" t="inlineStr">
        <is>
          <t>vacant</t>
        </is>
      </c>
      <c r="C342" s="317" t="inlineStr">
        <is>
          <t>Quality Assurance</t>
        </is>
      </c>
      <c r="D342" s="224" t="inlineStr">
        <is>
          <t>Roozbeh Shahbazirad</t>
        </is>
      </c>
      <c r="E342" s="224" t="inlineStr">
        <is>
          <t>Lead Engineer (Databricks)</t>
        </is>
      </c>
      <c r="F342" s="335" t="inlineStr">
        <is>
          <t>Strategy, Architecture &amp; Data</t>
        </is>
      </c>
      <c r="G342" s="318" t="inlineStr">
        <is>
          <t>Group Data</t>
        </is>
      </c>
      <c r="H342" s="335" t="inlineStr">
        <is>
          <t>Data Engineering &amp; Platforms</t>
        </is>
      </c>
      <c r="I342" s="318" t="inlineStr">
        <is>
          <t>Enterprise Data</t>
        </is>
      </c>
      <c r="J342" s="335" t="inlineStr">
        <is>
          <t>EGI</t>
        </is>
      </c>
      <c r="K342" s="318" t="inlineStr">
        <is>
          <t>Data Platform</t>
        </is>
      </c>
      <c r="L342" s="318" t="n"/>
      <c r="M342" s="319" t="inlineStr">
        <is>
          <t>Australia</t>
        </is>
      </c>
      <c r="N342" s="320" t="inlineStr">
        <is>
          <t>CIA</t>
        </is>
      </c>
      <c r="O342" s="320" t="n">
        <v>1</v>
      </c>
      <c r="P342" s="320" t="n"/>
      <c r="Q342" s="320" t="inlineStr">
        <is>
          <t>v</t>
        </is>
      </c>
      <c r="R342" s="322" t="n"/>
      <c r="S342" s="322" t="n"/>
      <c r="T342" s="334" t="n">
        <v>129650</v>
      </c>
      <c r="U342" s="705" t="n">
        <v>129650</v>
      </c>
      <c r="V342" s="325" t="n">
        <v>0.1</v>
      </c>
      <c r="W342" s="702" t="n">
        <v>0.055</v>
      </c>
      <c r="X342" s="702" t="n">
        <v>0.12</v>
      </c>
      <c r="Y342" s="703" t="n"/>
      <c r="Z342" s="702" t="n">
        <v>0.04</v>
      </c>
      <c r="AA342" s="701">
        <f>U342*(1+V342+W342+X342+Y342+Z342)</f>
        <v>170489.75</v>
      </c>
      <c r="AC342" t="inlineStr">
        <is>
          <t>Enterprise Data</t>
        </is>
      </c>
      <c r="AD342" t="inlineStr">
        <is>
          <t>Group Data</t>
        </is>
      </c>
      <c r="AE342" t="inlineStr">
        <is>
          <t>Data Platforms</t>
        </is>
      </c>
      <c r="AF342" t="inlineStr">
        <is>
          <t>Squad</t>
        </is>
      </c>
      <c r="AG342" t="inlineStr">
        <is>
          <t>Vacant</t>
        </is>
      </c>
    </row>
    <row r="343" hidden="1" ht="18" customHeight="1" s="506">
      <c r="A343" s="259" t="inlineStr">
        <is>
          <t>V</t>
        </is>
      </c>
      <c r="B343" s="224" t="inlineStr">
        <is>
          <t>Vacant</t>
        </is>
      </c>
      <c r="C343" s="317" t="inlineStr">
        <is>
          <t>Data Governance Lead</t>
        </is>
      </c>
      <c r="D343" s="318" t="inlineStr">
        <is>
          <t>Sanjay Tikoo</t>
        </is>
      </c>
      <c r="E343" s="224" t="inlineStr">
        <is>
          <t>Data Capability Manager</t>
        </is>
      </c>
      <c r="F343" s="335" t="inlineStr">
        <is>
          <t>Strategy, Architecture &amp; Data</t>
        </is>
      </c>
      <c r="G343" s="395" t="inlineStr">
        <is>
          <t>Group Data</t>
        </is>
      </c>
      <c r="H343" s="397" t="inlineStr">
        <is>
          <t>Data Capability</t>
        </is>
      </c>
      <c r="I343" s="335" t="inlineStr">
        <is>
          <t>Enterprise Data</t>
        </is>
      </c>
      <c r="J343" s="335" t="n"/>
      <c r="K343" s="318" t="n"/>
      <c r="L343" s="318" t="n"/>
      <c r="M343" s="319" t="inlineStr">
        <is>
          <t>australia</t>
        </is>
      </c>
      <c r="N343" s="398" t="inlineStr">
        <is>
          <t>CSC</t>
        </is>
      </c>
      <c r="O343" s="320" t="n">
        <v>1</v>
      </c>
      <c r="P343" s="320" t="n"/>
      <c r="Q343" s="320" t="inlineStr">
        <is>
          <t>V</t>
        </is>
      </c>
      <c r="R343" s="322" t="n"/>
      <c r="S343" s="322" t="n"/>
      <c r="T343" s="334" t="n">
        <v>275340</v>
      </c>
      <c r="U343" s="705" t="n">
        <v>275340</v>
      </c>
      <c r="V343" s="325" t="n">
        <v>0.2</v>
      </c>
      <c r="W343" s="702" t="n">
        <v>0.055</v>
      </c>
      <c r="X343" s="702" t="n">
        <v>0.12</v>
      </c>
      <c r="Y343" s="703" t="n"/>
      <c r="Z343" s="702" t="n">
        <v>0.04</v>
      </c>
      <c r="AA343" s="701">
        <f>U343*(1+V343+W343+X343+Y343+Z343)</f>
        <v>389606.10000000003</v>
      </c>
      <c r="AC343" t="inlineStr">
        <is>
          <t>COE</t>
        </is>
      </c>
      <c r="AD343" t="inlineStr">
        <is>
          <t>COE - Data</t>
        </is>
      </c>
      <c r="AE343" t="inlineStr">
        <is>
          <t>COE - Data</t>
        </is>
      </c>
      <c r="AF343" t="inlineStr">
        <is>
          <t>COE</t>
        </is>
      </c>
      <c r="AG343" t="inlineStr">
        <is>
          <t>Vacant</t>
        </is>
      </c>
    </row>
    <row r="344" hidden="1" ht="18" customHeight="1" s="506">
      <c r="A344" s="259" t="inlineStr">
        <is>
          <t>V</t>
        </is>
      </c>
      <c r="B344" s="224" t="inlineStr">
        <is>
          <t>Vacant</t>
        </is>
      </c>
      <c r="C344" s="317" t="inlineStr">
        <is>
          <t>Head of Architecture</t>
        </is>
      </c>
      <c r="D344" s="224" t="inlineStr">
        <is>
          <t>Matt Ashley</t>
        </is>
      </c>
      <c r="E344" s="224" t="inlineStr">
        <is>
          <t>GM TDD, Strategy, Architecture, Data</t>
        </is>
      </c>
      <c r="F344" s="335" t="inlineStr">
        <is>
          <t>Strategy, Architecture &amp; Data</t>
        </is>
      </c>
      <c r="G344" s="318" t="inlineStr">
        <is>
          <t>Architecture</t>
        </is>
      </c>
      <c r="H344" s="318" t="n"/>
      <c r="I344" s="318" t="n"/>
      <c r="J344" s="335" t="inlineStr">
        <is>
          <t>Leadership</t>
        </is>
      </c>
      <c r="K344" s="335" t="n"/>
      <c r="L344" s="318" t="n"/>
      <c r="M344" s="319" t="inlineStr">
        <is>
          <t>Australia</t>
        </is>
      </c>
      <c r="N344" s="320" t="inlineStr">
        <is>
          <t>CSC</t>
        </is>
      </c>
      <c r="O344" s="320" t="n">
        <v>1</v>
      </c>
      <c r="P344" s="320" t="n"/>
      <c r="Q344" s="320" t="inlineStr">
        <is>
          <t>v</t>
        </is>
      </c>
      <c r="R344" s="322" t="n"/>
      <c r="S344" s="322" t="n"/>
      <c r="T344" s="334" t="n">
        <v>236730</v>
      </c>
      <c r="U344" s="705" t="n">
        <v>236730</v>
      </c>
      <c r="V344" s="325" t="n">
        <v>0.2</v>
      </c>
      <c r="W344" s="702" t="n">
        <v>0.055</v>
      </c>
      <c r="X344" s="702" t="n">
        <v>0.12</v>
      </c>
      <c r="Y344" s="703" t="n"/>
      <c r="Z344" s="702" t="n">
        <v>0.04</v>
      </c>
      <c r="AA344" s="701">
        <f>U344*(1+V344+W344+X344+Y344+Z344)</f>
        <v>334972.95</v>
      </c>
      <c r="AC344" t="inlineStr">
        <is>
          <t>Unmapped</t>
        </is>
      </c>
      <c r="AD344" t="inlineStr">
        <is>
          <t>Leadership</t>
        </is>
      </c>
      <c r="AE344" t="inlineStr">
        <is>
          <t>Leadership</t>
        </is>
      </c>
      <c r="AF344" t="inlineStr">
        <is>
          <t>Leadership</t>
        </is>
      </c>
      <c r="AG344" t="inlineStr">
        <is>
          <t>Vacant</t>
        </is>
      </c>
    </row>
    <row r="345" hidden="1" ht="18" customHeight="1" s="506">
      <c r="A345" s="259" t="inlineStr">
        <is>
          <t>V</t>
        </is>
      </c>
      <c r="B345" s="224" t="inlineStr">
        <is>
          <t>Vacant</t>
        </is>
      </c>
      <c r="C345" s="317" t="inlineStr">
        <is>
          <t>Head of Technology Strategy &amp; AI Capability</t>
        </is>
      </c>
      <c r="D345" s="224" t="inlineStr">
        <is>
          <t>Matt Ashley</t>
        </is>
      </c>
      <c r="E345" s="224" t="inlineStr">
        <is>
          <t>GM TDD, Strategy, Architecture, Data</t>
        </is>
      </c>
      <c r="F345" s="335" t="inlineStr">
        <is>
          <t>Strategy, Architecture &amp; Data</t>
        </is>
      </c>
      <c r="G345" s="318" t="inlineStr">
        <is>
          <t>Technology Strategy &amp; AI Capability</t>
        </is>
      </c>
      <c r="I345" s="318" t="n"/>
      <c r="J345" s="335" t="inlineStr">
        <is>
          <t>Leadership</t>
        </is>
      </c>
      <c r="K345" s="335" t="n"/>
      <c r="L345" s="318" t="n"/>
      <c r="M345" s="319" t="inlineStr">
        <is>
          <t>Australia</t>
        </is>
      </c>
      <c r="N345" s="320" t="inlineStr">
        <is>
          <t>CSC</t>
        </is>
      </c>
      <c r="O345" s="320" t="n">
        <v>1</v>
      </c>
      <c r="P345" s="320" t="n"/>
      <c r="Q345" s="320" t="inlineStr">
        <is>
          <t>v</t>
        </is>
      </c>
      <c r="R345" s="322" t="n"/>
      <c r="S345" s="322" t="n"/>
      <c r="T345" s="334" t="n">
        <v>235350</v>
      </c>
      <c r="U345" s="705" t="n">
        <v>235350</v>
      </c>
      <c r="V345" s="325" t="n">
        <v>0.2</v>
      </c>
      <c r="W345" s="702" t="n">
        <v>0.055</v>
      </c>
      <c r="X345" s="702" t="n">
        <v>0.12</v>
      </c>
      <c r="Y345" s="703" t="n"/>
      <c r="Z345" s="702" t="n">
        <v>0.04</v>
      </c>
      <c r="AA345" s="701">
        <f>U345*(1+V345+W345+X345+Y345+Z345)</f>
        <v>333020.25</v>
      </c>
      <c r="AC345" t="inlineStr">
        <is>
          <t>COE</t>
        </is>
      </c>
      <c r="AD345" t="inlineStr">
        <is>
          <t>COE - Strategy Architecture</t>
        </is>
      </c>
      <c r="AE345" t="inlineStr">
        <is>
          <t>COE - Strategy Architecture</t>
        </is>
      </c>
      <c r="AF345" t="inlineStr">
        <is>
          <t>COE</t>
        </is>
      </c>
      <c r="AG345" t="inlineStr">
        <is>
          <t>Vacant</t>
        </is>
      </c>
    </row>
    <row r="346" hidden="1" ht="18" customHeight="1" s="506">
      <c r="A346" s="259" t="inlineStr">
        <is>
          <t>V</t>
        </is>
      </c>
      <c r="B346" s="224" t="inlineStr">
        <is>
          <t>Vacant</t>
        </is>
      </c>
      <c r="C346" s="317" t="inlineStr">
        <is>
          <t>Senior Communications Advisor</t>
        </is>
      </c>
      <c r="D346" s="224" t="inlineStr">
        <is>
          <t>Matt Ashley</t>
        </is>
      </c>
      <c r="E346" s="224" t="inlineStr">
        <is>
          <t>GM TDD, Strategy, Architecture, Data</t>
        </is>
      </c>
      <c r="F346" s="335" t="inlineStr">
        <is>
          <t>Strategy, Architecture &amp; Data</t>
        </is>
      </c>
      <c r="G346" s="318" t="inlineStr">
        <is>
          <t>na</t>
        </is>
      </c>
      <c r="H346" s="318" t="n"/>
      <c r="I346" s="318" t="n"/>
      <c r="J346" s="335" t="inlineStr">
        <is>
          <t>Leadership</t>
        </is>
      </c>
      <c r="K346" s="335" t="n"/>
      <c r="L346" s="318" t="n"/>
      <c r="M346" s="319" t="inlineStr">
        <is>
          <t>Australia</t>
        </is>
      </c>
      <c r="N346" s="320" t="inlineStr">
        <is>
          <t>CIB</t>
        </is>
      </c>
      <c r="O346" s="320" t="n">
        <v>1</v>
      </c>
      <c r="P346" s="320" t="n"/>
      <c r="Q346" s="320" t="inlineStr">
        <is>
          <t>v</t>
        </is>
      </c>
      <c r="R346" s="322" t="n"/>
      <c r="S346" s="322" t="n"/>
      <c r="T346" s="334" t="n">
        <v>140000</v>
      </c>
      <c r="U346" s="705" t="n">
        <v>140000</v>
      </c>
      <c r="V346" s="325" t="n">
        <v>0.12</v>
      </c>
      <c r="W346" s="702" t="n">
        <v>0.055</v>
      </c>
      <c r="X346" s="702" t="n">
        <v>0.12</v>
      </c>
      <c r="Y346" s="703" t="n"/>
      <c r="Z346" s="702" t="n">
        <v>0.04</v>
      </c>
      <c r="AA346" s="701">
        <f>U346*(1+V346+W346+X346+Y346+Z346)</f>
        <v>186900.0</v>
      </c>
      <c r="AC346" t="inlineStr">
        <is>
          <t>COE</t>
        </is>
      </c>
      <c r="AD346" t="inlineStr">
        <is>
          <t>COE - Strategy Architecture</t>
        </is>
      </c>
      <c r="AE346" t="inlineStr">
        <is>
          <t>COE - Strategy Architecture</t>
        </is>
      </c>
      <c r="AF346" t="inlineStr">
        <is>
          <t>COE</t>
        </is>
      </c>
      <c r="AG346" t="inlineStr">
        <is>
          <t>Vacant</t>
        </is>
      </c>
    </row>
    <row r="347" hidden="1" ht="18" customHeight="1" s="506">
      <c r="A347" s="259" t="inlineStr">
        <is>
          <t>V</t>
        </is>
      </c>
      <c r="B347" s="287" t="inlineStr">
        <is>
          <t>Vacant</t>
        </is>
      </c>
      <c r="C347" s="399" t="inlineStr">
        <is>
          <t>Enterprise Data Architect</t>
        </is>
      </c>
      <c r="D347" s="346" t="inlineStr">
        <is>
          <t>Sanjay Tikoo</t>
        </is>
      </c>
      <c r="E347" s="287" t="inlineStr">
        <is>
          <t>Data Capability Manager</t>
        </is>
      </c>
      <c r="F347" s="400" t="inlineStr">
        <is>
          <t>Strategy, Architecture &amp; Data</t>
        </is>
      </c>
      <c r="G347" s="401" t="inlineStr">
        <is>
          <t>Group Data</t>
        </is>
      </c>
      <c r="H347" s="401" t="inlineStr">
        <is>
          <t>Data Capability</t>
        </is>
      </c>
      <c r="I347" s="400" t="n"/>
      <c r="J347" s="400" t="n"/>
      <c r="K347" s="401" t="n"/>
      <c r="L347" s="401" t="n"/>
      <c r="M347" s="319" t="inlineStr">
        <is>
          <t>Australia</t>
        </is>
      </c>
      <c r="N347" s="320" t="inlineStr">
        <is>
          <t>CSB</t>
        </is>
      </c>
      <c r="O347" s="320" t="n">
        <v>1</v>
      </c>
      <c r="P347" s="320" t="n"/>
      <c r="Q347" s="320" t="inlineStr">
        <is>
          <t>V</t>
        </is>
      </c>
      <c r="R347" s="331" t="n"/>
      <c r="S347" s="322" t="n"/>
      <c r="T347" s="334" t="n">
        <v>203550</v>
      </c>
      <c r="U347" s="705" t="n">
        <v>203550</v>
      </c>
      <c r="V347" s="325" t="n">
        <v>0.14</v>
      </c>
      <c r="W347" s="702" t="n">
        <v>0.055</v>
      </c>
      <c r="X347" s="702" t="n">
        <v>0.12</v>
      </c>
      <c r="Y347" s="703" t="n"/>
      <c r="Z347" s="702" t="n">
        <v>0.04</v>
      </c>
      <c r="AA347" s="701">
        <f>U347*(1+V347+W347+X347+Y347+Z347)</f>
        <v>275810.25</v>
      </c>
      <c r="AC347" t="inlineStr">
        <is>
          <t>COE</t>
        </is>
      </c>
      <c r="AD347" t="inlineStr">
        <is>
          <t>COE - Data</t>
        </is>
      </c>
      <c r="AE347" t="inlineStr">
        <is>
          <t>COE - Data</t>
        </is>
      </c>
      <c r="AF347" t="inlineStr">
        <is>
          <t>COE</t>
        </is>
      </c>
      <c r="AG347" t="inlineStr">
        <is>
          <t>Vacant</t>
        </is>
      </c>
    </row>
    <row r="348" hidden="1" ht="18" customHeight="1" s="506">
      <c r="A348" s="259" t="inlineStr">
        <is>
          <t>V</t>
        </is>
      </c>
      <c r="B348" s="224" t="inlineStr">
        <is>
          <t>Vacant</t>
        </is>
      </c>
      <c r="C348" s="317" t="inlineStr">
        <is>
          <t>AI Capability Lead</t>
        </is>
      </c>
      <c r="D348" t="inlineStr">
        <is>
          <t>Vacant</t>
        </is>
      </c>
      <c r="E348" s="224" t="inlineStr">
        <is>
          <t>Head of Technology  Strategy &amp; AI Capability</t>
        </is>
      </c>
      <c r="F348" s="335" t="inlineStr">
        <is>
          <t>Strategy, Architecture &amp; Data</t>
        </is>
      </c>
      <c r="G348" s="318" t="inlineStr">
        <is>
          <t>Technology Strategy &amp; AI Capability</t>
        </is>
      </c>
      <c r="H348" s="318" t="inlineStr">
        <is>
          <t>Technology Strategy &amp; AI Capability</t>
        </is>
      </c>
      <c r="I348" s="335" t="n"/>
      <c r="J348" s="335" t="n"/>
      <c r="K348" s="318" t="n"/>
      <c r="L348" s="318" t="n"/>
      <c r="M348" s="319" t="inlineStr">
        <is>
          <t>Australia</t>
        </is>
      </c>
      <c r="N348" s="320" t="inlineStr">
        <is>
          <t>CSB</t>
        </is>
      </c>
      <c r="O348" s="320" t="n">
        <v>1</v>
      </c>
      <c r="P348" s="320" t="n"/>
      <c r="Q348" s="320" t="inlineStr">
        <is>
          <t>V</t>
        </is>
      </c>
      <c r="R348" s="322" t="n"/>
      <c r="S348" s="322" t="n"/>
      <c r="T348" s="334" t="n">
        <v>203550</v>
      </c>
      <c r="U348" s="705" t="n">
        <v>203550</v>
      </c>
      <c r="V348" s="325" t="n">
        <v>0.14</v>
      </c>
      <c r="W348" s="702" t="n">
        <v>0.055</v>
      </c>
      <c r="X348" s="702" t="n">
        <v>0.12</v>
      </c>
      <c r="Y348" s="703" t="n"/>
      <c r="Z348" s="702" t="n">
        <v>0.04</v>
      </c>
      <c r="AA348" s="701">
        <f>U348*(1+V348+W348+X348+Y348+Z348)</f>
        <v>275810.25</v>
      </c>
      <c r="AC348" t="inlineStr">
        <is>
          <t>COE</t>
        </is>
      </c>
      <c r="AD348" t="inlineStr">
        <is>
          <t>COE - Strategy Architecture</t>
        </is>
      </c>
      <c r="AE348" t="inlineStr">
        <is>
          <t>COE - Strategy Architecture</t>
        </is>
      </c>
      <c r="AF348" t="inlineStr">
        <is>
          <t>COE</t>
        </is>
      </c>
      <c r="AG348" t="inlineStr">
        <is>
          <t>Vacant</t>
        </is>
      </c>
    </row>
    <row r="349" hidden="1" ht="18" customHeight="1" s="506">
      <c r="A349" s="259" t="inlineStr">
        <is>
          <t>V</t>
        </is>
      </c>
      <c r="B349" s="224" t="inlineStr">
        <is>
          <t>Vacant</t>
        </is>
      </c>
      <c r="C349" s="317" t="inlineStr">
        <is>
          <t>Enterprise Process Lead</t>
        </is>
      </c>
      <c r="D349" t="inlineStr">
        <is>
          <t>Vacant</t>
        </is>
      </c>
      <c r="E349" s="224" t="inlineStr">
        <is>
          <t>Head of Technology  Strategy &amp; AI Capability</t>
        </is>
      </c>
      <c r="F349" s="335" t="inlineStr">
        <is>
          <t>Strategy, Architecture &amp; Data</t>
        </is>
      </c>
      <c r="G349" s="318" t="inlineStr">
        <is>
          <t>Technology Strategy &amp; AI Capability</t>
        </is>
      </c>
      <c r="H349" s="318" t="inlineStr">
        <is>
          <t>Technology Strategy &amp; AI Capability</t>
        </is>
      </c>
      <c r="I349" s="335" t="n"/>
      <c r="J349" s="335" t="n"/>
      <c r="K349" s="318" t="n"/>
      <c r="L349" s="318" t="n"/>
      <c r="M349" s="319" t="inlineStr">
        <is>
          <t>Australia</t>
        </is>
      </c>
      <c r="N349" s="320" t="inlineStr">
        <is>
          <t>CIB</t>
        </is>
      </c>
      <c r="O349" s="320" t="n">
        <v>1</v>
      </c>
      <c r="P349" s="320" t="n"/>
      <c r="Q349" s="320" t="inlineStr">
        <is>
          <t>V</t>
        </is>
      </c>
      <c r="R349" s="322" t="n"/>
      <c r="S349" s="322" t="n"/>
      <c r="T349" s="334" t="n">
        <v>151950</v>
      </c>
      <c r="U349" s="705" t="n">
        <v>151950</v>
      </c>
      <c r="V349" s="325" t="n">
        <v>0.12</v>
      </c>
      <c r="W349" s="702" t="n">
        <v>0.055</v>
      </c>
      <c r="X349" s="702" t="n">
        <v>0.12</v>
      </c>
      <c r="Y349" s="703" t="n"/>
      <c r="Z349" s="702" t="n">
        <v>0.04</v>
      </c>
      <c r="AA349" s="701">
        <f>U349*(1+V349+W349+X349+Y349+Z349)</f>
        <v>202853.25</v>
      </c>
      <c r="AC349" t="inlineStr">
        <is>
          <t>COE</t>
        </is>
      </c>
      <c r="AD349" t="inlineStr">
        <is>
          <t>COE - Strategy Architecture</t>
        </is>
      </c>
      <c r="AE349" t="inlineStr">
        <is>
          <t>COE - Strategy Architecture</t>
        </is>
      </c>
      <c r="AF349" t="inlineStr">
        <is>
          <t>COE</t>
        </is>
      </c>
      <c r="AG349" t="inlineStr">
        <is>
          <t>Vacant</t>
        </is>
      </c>
    </row>
    <row r="350" hidden="1" ht="18" customHeight="1" s="506">
      <c r="A350" s="259" t="inlineStr">
        <is>
          <t>V</t>
        </is>
      </c>
      <c r="B350" s="224" t="inlineStr">
        <is>
          <t>Vacant</t>
        </is>
      </c>
      <c r="C350" s="317" t="inlineStr">
        <is>
          <t>EnterpriseProcess Analyst</t>
        </is>
      </c>
      <c r="D350" s="328" t="inlineStr">
        <is>
          <t>Vacant</t>
        </is>
      </c>
      <c r="E350" s="224" t="inlineStr">
        <is>
          <t>Enterprise Process Lead</t>
        </is>
      </c>
      <c r="F350" s="335" t="inlineStr">
        <is>
          <t>Strategy, Architecture &amp; Data</t>
        </is>
      </c>
      <c r="G350" s="318" t="inlineStr">
        <is>
          <t>Technology Strategy &amp; AI Capability</t>
        </is>
      </c>
      <c r="H350" s="318" t="inlineStr">
        <is>
          <t>Technology Strategy &amp; AI Capability</t>
        </is>
      </c>
      <c r="I350" s="335" t="n"/>
      <c r="J350" s="335" t="n"/>
      <c r="K350" s="318" t="n"/>
      <c r="L350" s="318" t="n"/>
      <c r="M350" s="319" t="inlineStr">
        <is>
          <t>Australia</t>
        </is>
      </c>
      <c r="N350" s="320" t="inlineStr">
        <is>
          <t>CIA</t>
        </is>
      </c>
      <c r="O350" s="320" t="n">
        <v>1</v>
      </c>
      <c r="P350" s="320" t="n"/>
      <c r="Q350" s="320" t="inlineStr">
        <is>
          <t>V</t>
        </is>
      </c>
      <c r="R350" s="322" t="n"/>
      <c r="S350" s="322" t="n"/>
      <c r="T350" s="334" t="n">
        <v>129650</v>
      </c>
      <c r="U350" s="705" t="n">
        <v>129650</v>
      </c>
      <c r="V350" s="325" t="n">
        <v>0.1</v>
      </c>
      <c r="W350" s="702" t="n">
        <v>0.055</v>
      </c>
      <c r="X350" s="702" t="n">
        <v>0.12</v>
      </c>
      <c r="Y350" s="703" t="n"/>
      <c r="Z350" s="702" t="n">
        <v>0.04</v>
      </c>
      <c r="AA350" s="701">
        <f>U350*(1+V350+W350+X350+Y350+Z350)</f>
        <v>170489.75</v>
      </c>
      <c r="AC350" t="inlineStr">
        <is>
          <t>COE</t>
        </is>
      </c>
      <c r="AD350" t="inlineStr">
        <is>
          <t>COE - Strategy Architecture</t>
        </is>
      </c>
      <c r="AE350" t="inlineStr">
        <is>
          <t>COE - Strategy Architecture</t>
        </is>
      </c>
      <c r="AF350" t="inlineStr">
        <is>
          <t>COE</t>
        </is>
      </c>
      <c r="AG350" t="inlineStr">
        <is>
          <t>Vacant</t>
        </is>
      </c>
    </row>
    <row r="351" hidden="1" ht="18" customHeight="1" s="506">
      <c r="A351" s="259" t="inlineStr">
        <is>
          <t>V</t>
        </is>
      </c>
      <c r="B351" s="224" t="inlineStr">
        <is>
          <t>Vacant</t>
        </is>
      </c>
      <c r="C351" s="317" t="inlineStr">
        <is>
          <t>Strategy Analyst</t>
        </is>
      </c>
      <c r="D351" t="inlineStr">
        <is>
          <t>Vacant</t>
        </is>
      </c>
      <c r="E351" s="224" t="inlineStr">
        <is>
          <t>Head of Technology  Strategy &amp; AI Capability</t>
        </is>
      </c>
      <c r="F351" s="335" t="inlineStr">
        <is>
          <t>Strategy, Architecture &amp; Data</t>
        </is>
      </c>
      <c r="G351" s="318" t="inlineStr">
        <is>
          <t>Technology Strategy &amp; AI Capability</t>
        </is>
      </c>
      <c r="H351" s="328" t="inlineStr">
        <is>
          <t>Technology Strategy &amp; AI Capability</t>
        </is>
      </c>
      <c r="I351" s="335" t="n"/>
      <c r="J351" s="335" t="n"/>
      <c r="K351" s="318" t="n"/>
      <c r="L351" s="318" t="n"/>
      <c r="M351" s="319" t="inlineStr">
        <is>
          <t>Australia</t>
        </is>
      </c>
      <c r="N351" s="320" t="inlineStr">
        <is>
          <t>CIA</t>
        </is>
      </c>
      <c r="O351" s="320" t="n">
        <v>1</v>
      </c>
      <c r="P351" s="320" t="n"/>
      <c r="Q351" s="320" t="inlineStr">
        <is>
          <t>v</t>
        </is>
      </c>
      <c r="R351" s="322" t="n"/>
      <c r="S351" s="322" t="n"/>
      <c r="T351" s="334" t="n">
        <v>129650</v>
      </c>
      <c r="U351" s="705" t="n">
        <v>129650</v>
      </c>
      <c r="V351" s="325" t="n">
        <v>0.1</v>
      </c>
      <c r="W351" s="702" t="n">
        <v>0.055</v>
      </c>
      <c r="X351" s="702" t="n">
        <v>0.12</v>
      </c>
      <c r="Y351" s="703" t="n"/>
      <c r="Z351" s="702" t="n">
        <v>0.04</v>
      </c>
      <c r="AA351" s="701">
        <f>U351*(1+V351+W351+X351+Y351+Z351)</f>
        <v>170489.75</v>
      </c>
      <c r="AC351" t="inlineStr">
        <is>
          <t>COE</t>
        </is>
      </c>
      <c r="AD351" t="inlineStr">
        <is>
          <t>COE - Strategy Architecture</t>
        </is>
      </c>
      <c r="AE351" t="inlineStr">
        <is>
          <t>COE - Strategy Architecture</t>
        </is>
      </c>
      <c r="AF351" t="inlineStr">
        <is>
          <t>COE</t>
        </is>
      </c>
      <c r="AG351" t="inlineStr">
        <is>
          <t>Vacant</t>
        </is>
      </c>
    </row>
    <row r="352" hidden="1" ht="18" customHeight="1" s="506">
      <c r="A352" s="259" t="inlineStr">
        <is>
          <t>V</t>
        </is>
      </c>
      <c r="B352" s="224" t="inlineStr">
        <is>
          <t>Vacant  (Contract)</t>
        </is>
      </c>
      <c r="C352" s="317" t="inlineStr">
        <is>
          <t>Applications Specialist - Strategic Programs</t>
        </is>
      </c>
      <c r="D352" t="inlineStr">
        <is>
          <t>Sai Konka</t>
        </is>
      </c>
      <c r="E352" t="inlineStr">
        <is>
          <t>Applications &amp; Analytics Manager</t>
        </is>
      </c>
      <c r="F352" s="335" t="inlineStr">
        <is>
          <t>Strategy, Architecture &amp; Data</t>
        </is>
      </c>
      <c r="G352" s="318" t="inlineStr">
        <is>
          <t>Group Data</t>
        </is>
      </c>
      <c r="H352" s="335" t="inlineStr">
        <is>
          <t>Data Engineering &amp; Platforms</t>
        </is>
      </c>
      <c r="I352" s="318" t="inlineStr">
        <is>
          <t>Enterprise Data</t>
        </is>
      </c>
      <c r="J352" s="335" t="inlineStr">
        <is>
          <t>EGI</t>
        </is>
      </c>
      <c r="K352" s="335" t="inlineStr">
        <is>
          <t>Reporting &amp; Analytics</t>
        </is>
      </c>
      <c r="L352" s="318" t="n"/>
      <c r="M352" s="319" t="inlineStr">
        <is>
          <t>Australia</t>
        </is>
      </c>
      <c r="N352" s="320" t="inlineStr">
        <is>
          <t>CIB</t>
        </is>
      </c>
      <c r="O352" s="320" t="n">
        <v>1</v>
      </c>
      <c r="P352" s="320" t="n"/>
      <c r="Q352" s="320" t="inlineStr">
        <is>
          <t>V</t>
        </is>
      </c>
      <c r="R352" s="322" t="n"/>
      <c r="S352" s="322" t="n"/>
      <c r="T352" s="334" t="n">
        <v>151950</v>
      </c>
      <c r="U352" s="705" t="n">
        <v>151950</v>
      </c>
      <c r="V352" s="325" t="n">
        <v>0.12</v>
      </c>
      <c r="W352" s="702" t="n">
        <v>0.055</v>
      </c>
      <c r="X352" s="702" t="n">
        <v>0.12</v>
      </c>
      <c r="Y352" s="703" t="n"/>
      <c r="Z352" s="702" t="n">
        <v>0.04</v>
      </c>
      <c r="AA352" s="701">
        <f>U352*(1+V352+W352+X352+Y352+Z352)</f>
        <v>202853.25</v>
      </c>
      <c r="AC352" t="inlineStr">
        <is>
          <t>Enterprise Data</t>
        </is>
      </c>
      <c r="AD352" t="inlineStr">
        <is>
          <t>Group Data</t>
        </is>
      </c>
      <c r="AE352" t="inlineStr">
        <is>
          <t>Reporting &amp; Analytics</t>
        </is>
      </c>
      <c r="AF352" t="inlineStr">
        <is>
          <t>Squad</t>
        </is>
      </c>
      <c r="AG352" t="inlineStr">
        <is>
          <t>Filled</t>
        </is>
      </c>
    </row>
    <row r="353" hidden="1" ht="18" customHeight="1" s="506">
      <c r="A353" s="259" t="inlineStr">
        <is>
          <t>V</t>
        </is>
      </c>
      <c r="B353" s="224" t="inlineStr">
        <is>
          <t>Vacant (contract)</t>
        </is>
      </c>
      <c r="C353" s="317" t="inlineStr">
        <is>
          <t>Reporting analysts - Strategic Programs</t>
        </is>
      </c>
      <c r="D353" t="inlineStr">
        <is>
          <t>Prashanth Krishnankutty</t>
        </is>
      </c>
      <c r="E353" s="224" t="inlineStr">
        <is>
          <t>Lead, Reporting &amp; Insights</t>
        </is>
      </c>
      <c r="F353" s="335" t="inlineStr">
        <is>
          <t>Strategy, Architecture &amp; Data</t>
        </is>
      </c>
      <c r="G353" s="318" t="inlineStr">
        <is>
          <t>Group Data</t>
        </is>
      </c>
      <c r="H353" s="335" t="inlineStr">
        <is>
          <t>Data Engineering &amp; Platforms</t>
        </is>
      </c>
      <c r="I353" s="318" t="inlineStr">
        <is>
          <t>Enterprise Data</t>
        </is>
      </c>
      <c r="J353" s="335" t="inlineStr">
        <is>
          <t>Group Data</t>
        </is>
      </c>
      <c r="K353" s="335" t="inlineStr">
        <is>
          <t>Reporting &amp; Analytics</t>
        </is>
      </c>
      <c r="L353" s="318" t="n"/>
      <c r="M353" s="319" t="inlineStr">
        <is>
          <t>Australia</t>
        </is>
      </c>
      <c r="N353" s="320" t="inlineStr">
        <is>
          <t>CIB</t>
        </is>
      </c>
      <c r="O353" s="320" t="n">
        <v>1</v>
      </c>
      <c r="P353" s="320" t="n"/>
      <c r="Q353" s="320" t="inlineStr">
        <is>
          <t>v</t>
        </is>
      </c>
      <c r="R353" s="322" t="n"/>
      <c r="S353" s="322" t="n"/>
      <c r="T353" s="334" t="n">
        <v>151950</v>
      </c>
      <c r="U353" s="705" t="n">
        <v>151950</v>
      </c>
      <c r="V353" s="325" t="n">
        <v>0.12</v>
      </c>
      <c r="W353" s="702" t="n">
        <v>0.055</v>
      </c>
      <c r="X353" s="702" t="n">
        <v>0.12</v>
      </c>
      <c r="Y353" s="703" t="n"/>
      <c r="Z353" s="702" t="n">
        <v>0.04</v>
      </c>
      <c r="AA353" s="701">
        <f>U353*(1+V353+W353+X353+Y353+Z353)</f>
        <v>202853.25</v>
      </c>
      <c r="AC353" t="inlineStr">
        <is>
          <t>Enterprise Data</t>
        </is>
      </c>
      <c r="AD353" t="inlineStr">
        <is>
          <t>Group Data</t>
        </is>
      </c>
      <c r="AE353" t="inlineStr">
        <is>
          <t>Reporting &amp; Analytics</t>
        </is>
      </c>
      <c r="AF353" t="inlineStr">
        <is>
          <t>Squad</t>
        </is>
      </c>
      <c r="AG353" t="inlineStr">
        <is>
          <t>Filled</t>
        </is>
      </c>
    </row>
    <row r="354" hidden="1" ht="18" customHeight="1" s="506">
      <c r="A354" s="259" t="n">
        <v>106026</v>
      </c>
      <c r="B354" s="224" t="inlineStr">
        <is>
          <t>Vincent Lu</t>
        </is>
      </c>
      <c r="C354" s="317" t="inlineStr">
        <is>
          <t>Reporting Analyst</t>
        </is>
      </c>
      <c r="D354" t="inlineStr">
        <is>
          <t>Prashanth Krishnankutty</t>
        </is>
      </c>
      <c r="E354" s="224" t="inlineStr">
        <is>
          <t>Lead, Reporting &amp; Insights</t>
        </is>
      </c>
      <c r="F354" s="335" t="inlineStr">
        <is>
          <t>Strategy, Architecture &amp; Data</t>
        </is>
      </c>
      <c r="G354" s="318" t="inlineStr">
        <is>
          <t>Group Data</t>
        </is>
      </c>
      <c r="H354" s="335" t="inlineStr">
        <is>
          <t>Data Engineering &amp; Platforms</t>
        </is>
      </c>
      <c r="I354" s="335" t="inlineStr">
        <is>
          <t>Enterprise Data</t>
        </is>
      </c>
      <c r="J354" s="335" t="inlineStr">
        <is>
          <t>Group Data</t>
        </is>
      </c>
      <c r="K354" s="335" t="inlineStr">
        <is>
          <t>Reporting &amp; Analytics</t>
        </is>
      </c>
      <c r="L354" s="318" t="n"/>
      <c r="M354" s="319" t="inlineStr">
        <is>
          <t>Australia</t>
        </is>
      </c>
      <c r="N354" s="320" t="inlineStr">
        <is>
          <t>CIB</t>
        </is>
      </c>
      <c r="O354" s="320" t="n">
        <v>1</v>
      </c>
      <c r="P354" s="320" t="n"/>
      <c r="Q354" s="320" t="inlineStr">
        <is>
          <t>Permanent - Full Time</t>
        </is>
      </c>
      <c r="R354" s="322" t="n"/>
      <c r="S354" s="322" t="n"/>
      <c r="T354" s="334" t="n">
        <v>134550</v>
      </c>
      <c r="U354" s="705" t="n">
        <v>134550</v>
      </c>
      <c r="V354" s="325" t="n">
        <v>0.12</v>
      </c>
      <c r="W354" s="702" t="n">
        <v>0.055</v>
      </c>
      <c r="X354" s="702" t="n">
        <v>0.12</v>
      </c>
      <c r="Y354" s="703" t="n"/>
      <c r="Z354" s="702" t="n">
        <v>0.04</v>
      </c>
      <c r="AA354" s="701">
        <f>U354*(1+V354+W354+X354+Y354+Z354)</f>
        <v>179624.25</v>
      </c>
      <c r="AC354" t="inlineStr">
        <is>
          <t>Enterprise Data</t>
        </is>
      </c>
      <c r="AD354" t="inlineStr">
        <is>
          <t>Group Data</t>
        </is>
      </c>
      <c r="AE354" t="inlineStr">
        <is>
          <t>Reporting &amp; Analytics</t>
        </is>
      </c>
      <c r="AF354" t="inlineStr">
        <is>
          <t>Squad</t>
        </is>
      </c>
      <c r="AG354" t="inlineStr">
        <is>
          <t>Filled</t>
        </is>
      </c>
    </row>
    <row r="355" hidden="1" ht="18" customHeight="1" s="506">
      <c r="A355" s="259" t="n">
        <v>101166</v>
      </c>
      <c r="B355" s="318" t="inlineStr">
        <is>
          <t>Yu Chen</t>
        </is>
      </c>
      <c r="C355" s="336" t="inlineStr">
        <is>
          <t>Senior Data Scientist</t>
        </is>
      </c>
      <c r="D355" t="inlineStr">
        <is>
          <t>Jonathan Robinson</t>
        </is>
      </c>
      <c r="E355" s="224" t="inlineStr">
        <is>
          <t>Technology Manager, Data Science</t>
        </is>
      </c>
      <c r="F355" s="335" t="inlineStr">
        <is>
          <t>Strategy, Architecture &amp; Data</t>
        </is>
      </c>
      <c r="G355" s="318" t="inlineStr">
        <is>
          <t>Group Data</t>
        </is>
      </c>
      <c r="H355" s="335" t="inlineStr">
        <is>
          <t>Data Science</t>
        </is>
      </c>
      <c r="I355" s="335" t="inlineStr">
        <is>
          <t>Enterprise Data</t>
        </is>
      </c>
      <c r="J355" s="335" t="inlineStr">
        <is>
          <t>Group Data</t>
        </is>
      </c>
      <c r="K355" s="318" t="inlineStr">
        <is>
          <t>Data Science</t>
        </is>
      </c>
      <c r="L355" s="318" t="n"/>
      <c r="M355" s="319" t="inlineStr">
        <is>
          <t>Australia</t>
        </is>
      </c>
      <c r="N355" s="320" t="inlineStr">
        <is>
          <t>CIC</t>
        </is>
      </c>
      <c r="O355" s="320" t="n">
        <v>1</v>
      </c>
      <c r="P355" s="320" t="n"/>
      <c r="Q355" s="320" t="inlineStr">
        <is>
          <t>Permanent - Full Time</t>
        </is>
      </c>
      <c r="R355" s="322" t="n"/>
      <c r="S355" s="322" t="n"/>
      <c r="T355" s="334" t="n">
        <v>173470</v>
      </c>
      <c r="U355" s="705" t="n">
        <v>173470</v>
      </c>
      <c r="V355" s="325" t="n">
        <v>0.12</v>
      </c>
      <c r="W355" s="702" t="n">
        <v>0.055</v>
      </c>
      <c r="X355" s="702" t="n">
        <v>0.12</v>
      </c>
      <c r="Y355" s="703" t="n"/>
      <c r="Z355" s="702" t="n">
        <v>0.04</v>
      </c>
      <c r="AA355" s="701">
        <f>U355*(1+V355+W355+X355+Y355+Z355)</f>
        <v>231582.44999999998</v>
      </c>
      <c r="AC355" t="inlineStr">
        <is>
          <t>Enterprise Data</t>
        </is>
      </c>
      <c r="AD355" t="inlineStr">
        <is>
          <t>Group Data</t>
        </is>
      </c>
      <c r="AE355" t="inlineStr">
        <is>
          <t>Data Science</t>
        </is>
      </c>
      <c r="AF355" t="inlineStr">
        <is>
          <t>Squad</t>
        </is>
      </c>
      <c r="AG355" t="inlineStr">
        <is>
          <t>Filled</t>
        </is>
      </c>
    </row>
    <row r="356" hidden="1" ht="18" customHeight="1" s="506">
      <c r="A356" s="259" t="n">
        <v>107588</v>
      </c>
      <c r="B356" s="224" t="inlineStr">
        <is>
          <t>Akhil Sriram</t>
        </is>
      </c>
      <c r="C356" s="317" t="inlineStr">
        <is>
          <t>Snr Business Analyst</t>
        </is>
      </c>
      <c r="D356" s="328" t="inlineStr">
        <is>
          <t>Vacant</t>
        </is>
      </c>
      <c r="E356" t="inlineStr">
        <is>
          <t>Delivery Manager</t>
        </is>
      </c>
      <c r="F356" s="224" t="inlineStr">
        <is>
          <t>TDD CFE&amp;I</t>
        </is>
      </c>
      <c r="G356" s="344" t="inlineStr">
        <is>
          <t>Fuel Infrastructure</t>
        </is>
      </c>
      <c r="H356" s="318" t="inlineStr">
        <is>
          <t>Fuel Infrastructure, Delivery</t>
        </is>
      </c>
      <c r="I356" s="318" t="inlineStr">
        <is>
          <t>Infrastructure</t>
        </is>
      </c>
      <c r="J356" s="318" t="inlineStr">
        <is>
          <t>Manufacturing</t>
        </is>
      </c>
      <c r="K356" s="224" t="inlineStr">
        <is>
          <t>Manufacturing Group Projects</t>
        </is>
      </c>
      <c r="L356" s="318" t="n"/>
      <c r="M356" s="319" t="inlineStr">
        <is>
          <t>Australia</t>
        </is>
      </c>
      <c r="N356" s="320" t="inlineStr">
        <is>
          <t>CIB</t>
        </is>
      </c>
      <c r="O356" s="320" t="n">
        <v>1</v>
      </c>
      <c r="P356" s="320" t="n"/>
      <c r="Q356" s="320" t="inlineStr">
        <is>
          <t>Permanent - Full Time</t>
        </is>
      </c>
      <c r="R356" s="322" t="n"/>
      <c r="S356" s="322" t="n"/>
      <c r="T356" s="334" t="n">
        <v>166140</v>
      </c>
      <c r="U356" s="705" t="n">
        <v>166140</v>
      </c>
      <c r="V356" s="325" t="n">
        <v>0.12</v>
      </c>
      <c r="W356" s="702" t="n">
        <v>0.055</v>
      </c>
      <c r="X356" s="702" t="n">
        <v>0.12</v>
      </c>
      <c r="Y356" s="703" t="n"/>
      <c r="Z356" s="702" t="n">
        <v>0.04</v>
      </c>
      <c r="AA356" s="701">
        <f>U356*(1+V356+W356+X356+Y356+Z356)</f>
        <v>221796.9</v>
      </c>
      <c r="AC356" t="inlineStr">
        <is>
          <t>Infrastructure</t>
        </is>
      </c>
      <c r="AD356" t="inlineStr">
        <is>
          <t>Manufacturing</t>
        </is>
      </c>
      <c r="AE356" t="inlineStr">
        <is>
          <t>Manufacturing &amp; Group Projects</t>
        </is>
      </c>
      <c r="AF356" t="inlineStr">
        <is>
          <t>Squad</t>
        </is>
      </c>
      <c r="AG356" t="inlineStr">
        <is>
          <t>Filled</t>
        </is>
      </c>
    </row>
    <row r="357" hidden="1" ht="13.5" customHeight="1" s="506">
      <c r="A357" s="259" t="n">
        <v>99999101912</v>
      </c>
      <c r="B357" s="224" t="inlineStr">
        <is>
          <t>Alex Abelita</t>
        </is>
      </c>
      <c r="C357" s="317" t="inlineStr">
        <is>
          <t>Associate Engineer - Automation Testing</t>
        </is>
      </c>
      <c r="D357" t="inlineStr">
        <is>
          <t>Elle Spencer</t>
        </is>
      </c>
      <c r="E357" t="inlineStr">
        <is>
          <t>Technology Manager, Energy Solutions</t>
        </is>
      </c>
      <c r="F357" s="224" t="inlineStr">
        <is>
          <t>TDD CFE&amp;I</t>
        </is>
      </c>
      <c r="G357" s="318" t="inlineStr">
        <is>
          <t>B2B &amp; Energy Solutions</t>
        </is>
      </c>
      <c r="H357" s="318" t="inlineStr">
        <is>
          <t>Technology B2B</t>
        </is>
      </c>
      <c r="I357" s="318" t="inlineStr">
        <is>
          <t>B2B &amp; Energy Solutions</t>
        </is>
      </c>
      <c r="J357" s="224" t="inlineStr">
        <is>
          <t>B2B</t>
        </is>
      </c>
      <c r="K357" s="224" t="inlineStr">
        <is>
          <t>B2B</t>
        </is>
      </c>
      <c r="L357" s="318" t="n"/>
      <c r="M357" s="319" t="inlineStr">
        <is>
          <t>NZ</t>
        </is>
      </c>
      <c r="N357" s="320" t="inlineStr">
        <is>
          <t>CDB</t>
        </is>
      </c>
      <c r="O357" s="321" t="n">
        <v>1</v>
      </c>
      <c r="P357" s="320" t="n"/>
      <c r="Q357" s="321" t="inlineStr">
        <is>
          <t>Permanent - Full Time</t>
        </is>
      </c>
      <c r="R357" s="322" t="n"/>
      <c r="S357" s="322" t="n"/>
      <c r="T357" s="334" t="n">
        <v>77500</v>
      </c>
      <c r="U357" s="705" t="n">
        <v>71300</v>
      </c>
      <c r="V357" s="324" t="n">
        <v>0.1</v>
      </c>
      <c r="W357" s="321" t="n"/>
      <c r="X357" s="325" t="n">
        <v>0.05</v>
      </c>
      <c r="Y357" s="700" t="n">
        <v>2910</v>
      </c>
      <c r="Z357" s="325" t="n">
        <v>0.03</v>
      </c>
      <c r="AA357" s="701">
        <f>U357*(1+V357+X357+Z357)+Y357</f>
        <v>87044.00000000001</v>
      </c>
      <c r="AB357" t="n">
        <v>113305</v>
      </c>
      <c r="AC357" t="inlineStr">
        <is>
          <t>Energy Solutions &amp; B2B</t>
        </is>
      </c>
      <c r="AD357" t="inlineStr">
        <is>
          <t>B2B</t>
        </is>
      </c>
      <c r="AE357" t="inlineStr">
        <is>
          <t>B2B</t>
        </is>
      </c>
      <c r="AF357" t="inlineStr">
        <is>
          <t>Squad</t>
        </is>
      </c>
      <c r="AG357" t="inlineStr">
        <is>
          <t>Filled</t>
        </is>
      </c>
    </row>
    <row r="358" hidden="1" ht="18" customHeight="1" s="506">
      <c r="A358" s="259" t="n">
        <v>92699</v>
      </c>
      <c r="B358" s="224" t="inlineStr">
        <is>
          <t>Alison Rosier</t>
        </is>
      </c>
      <c r="C358" s="358" t="inlineStr">
        <is>
          <t>Technology Support Engineer - Infrastructure</t>
        </is>
      </c>
      <c r="D358" t="inlineStr">
        <is>
          <t>Glenn Earl</t>
        </is>
      </c>
      <c r="E358" t="inlineStr">
        <is>
          <t>Lead Support, Infrastructure</t>
        </is>
      </c>
      <c r="F358" s="224" t="inlineStr">
        <is>
          <t>TDD CFE&amp;I</t>
        </is>
      </c>
      <c r="G358" s="318" t="inlineStr">
        <is>
          <t>Fuel Infrastructure</t>
        </is>
      </c>
      <c r="H358" s="318" t="inlineStr">
        <is>
          <t>Refinery Applications</t>
        </is>
      </c>
      <c r="I358" s="318" t="inlineStr">
        <is>
          <t>Infrastructure</t>
        </is>
      </c>
      <c r="J358" s="318" t="inlineStr">
        <is>
          <t>Fuel Infrastructure</t>
        </is>
      </c>
      <c r="K358" s="224" t="inlineStr">
        <is>
          <t>Technology Suport</t>
        </is>
      </c>
      <c r="L358" s="318" t="n"/>
      <c r="M358" s="319" t="inlineStr">
        <is>
          <t>Australia</t>
        </is>
      </c>
      <c r="N358" s="320" t="inlineStr">
        <is>
          <t>CIA</t>
        </is>
      </c>
      <c r="O358" s="320" t="n">
        <v>1</v>
      </c>
      <c r="P358" s="320" t="n"/>
      <c r="Q358" s="320" t="inlineStr">
        <is>
          <t>Permanent - Full Time</t>
        </is>
      </c>
      <c r="R358" s="322" t="n"/>
      <c r="S358" s="322" t="n"/>
      <c r="T358" s="334" t="n">
        <v>123906</v>
      </c>
      <c r="U358" s="705" t="n">
        <v>123906</v>
      </c>
      <c r="V358" s="325" t="n">
        <v>0.1</v>
      </c>
      <c r="W358" s="702" t="n">
        <v>0.055</v>
      </c>
      <c r="X358" s="702" t="n">
        <v>0.12</v>
      </c>
      <c r="Y358" s="703" t="n"/>
      <c r="Z358" s="702" t="n">
        <v>0.04</v>
      </c>
      <c r="AA358" s="701">
        <f>U358*(1+V358+W358+X358+Y358+Z358)</f>
        <v>162936.38999999998</v>
      </c>
      <c r="AC358" t="inlineStr">
        <is>
          <t>Infrastructure</t>
        </is>
      </c>
      <c r="AD358" t="inlineStr">
        <is>
          <t>Manufacturing</t>
        </is>
      </c>
      <c r="AE358" t="inlineStr">
        <is>
          <t>Technology Support</t>
        </is>
      </c>
      <c r="AF358" t="inlineStr">
        <is>
          <t>Squad</t>
        </is>
      </c>
      <c r="AG358" t="inlineStr">
        <is>
          <t>Filled</t>
        </is>
      </c>
    </row>
    <row r="359" hidden="1" ht="18" customHeight="1" s="506">
      <c r="A359" s="259" t="n">
        <v>13925</v>
      </c>
      <c r="B359" s="224" t="inlineStr">
        <is>
          <t>Allan Francia</t>
        </is>
      </c>
      <c r="C359" s="317" t="inlineStr">
        <is>
          <t>Technology Manager - T&amp;S</t>
        </is>
      </c>
      <c r="D359" s="318" t="inlineStr">
        <is>
          <t>Vacant</t>
        </is>
      </c>
      <c r="E359" s="224" t="inlineStr">
        <is>
          <t>Head of Technology, Commercial Fuels</t>
        </is>
      </c>
      <c r="F359" s="224" t="inlineStr">
        <is>
          <t>TDD CFE&amp;I</t>
        </is>
      </c>
      <c r="G359" s="318" t="inlineStr">
        <is>
          <t>Commercial Fuels</t>
        </is>
      </c>
      <c r="H359" s="318" t="inlineStr">
        <is>
          <t>Technology, Trading &amp; Shipping</t>
        </is>
      </c>
      <c r="I359" s="318" t="inlineStr">
        <is>
          <t>Commercial Fuels</t>
        </is>
      </c>
      <c r="J359" s="318" t="inlineStr">
        <is>
          <t>Leadership</t>
        </is>
      </c>
      <c r="K359" s="318" t="inlineStr">
        <is>
          <t>Leadership</t>
        </is>
      </c>
      <c r="L359" s="318" t="n"/>
      <c r="M359" s="319" t="inlineStr">
        <is>
          <t>Australia</t>
        </is>
      </c>
      <c r="N359" s="322" t="inlineStr">
        <is>
          <t>CSB</t>
        </is>
      </c>
      <c r="O359" s="322" t="n">
        <v>1</v>
      </c>
      <c r="P359" s="322" t="n"/>
      <c r="Q359" s="322" t="inlineStr">
        <is>
          <t>Permanent - Full Time</t>
        </is>
      </c>
      <c r="R359" s="322" t="n"/>
      <c r="S359" s="322" t="n"/>
      <c r="T359" s="334" t="n">
        <v>212020</v>
      </c>
      <c r="U359" s="705" t="n">
        <v>212020</v>
      </c>
      <c r="V359" s="325" t="n">
        <v>0.14</v>
      </c>
      <c r="W359" s="702" t="n">
        <v>0.055</v>
      </c>
      <c r="X359" s="702" t="n">
        <v>0.12</v>
      </c>
      <c r="Y359" s="703" t="n"/>
      <c r="Z359" s="702" t="n">
        <v>0.04</v>
      </c>
      <c r="AA359" s="701">
        <f>U359*(1+V359+W359+X359+Y359+Z359)</f>
        <v>287287.1</v>
      </c>
      <c r="AC359" t="inlineStr">
        <is>
          <t>Commercial Fuels</t>
        </is>
      </c>
      <c r="AD359" t="inlineStr">
        <is>
          <t>Leadership</t>
        </is>
      </c>
      <c r="AE359" t="inlineStr">
        <is>
          <t>Leadership</t>
        </is>
      </c>
      <c r="AF359" t="inlineStr">
        <is>
          <t>Leadership</t>
        </is>
      </c>
      <c r="AG359" t="inlineStr">
        <is>
          <t>Filled</t>
        </is>
      </c>
    </row>
    <row r="360" hidden="1" ht="18" customHeight="1" s="506">
      <c r="A360" s="259" t="n">
        <v>114366</v>
      </c>
      <c r="B360" s="224" t="inlineStr">
        <is>
          <t>Allyn Puente</t>
        </is>
      </c>
      <c r="C360" s="317" t="inlineStr">
        <is>
          <t>Graduate</t>
        </is>
      </c>
      <c r="D360" s="224" t="inlineStr">
        <is>
          <t>Elle Spencer</t>
        </is>
      </c>
      <c r="E360" s="224" t="inlineStr">
        <is>
          <t>Technology Manager, Energy Solutions</t>
        </is>
      </c>
      <c r="F360" s="224" t="inlineStr">
        <is>
          <t>TDD CFE&amp;I</t>
        </is>
      </c>
      <c r="G360" s="318" t="inlineStr">
        <is>
          <t>B2B &amp; Energy Solutions</t>
        </is>
      </c>
      <c r="H360" s="318" t="inlineStr">
        <is>
          <t>Technology B2B</t>
        </is>
      </c>
      <c r="I360" s="318" t="inlineStr">
        <is>
          <t>B2B &amp; Energy Solutions</t>
        </is>
      </c>
      <c r="J360" s="224" t="inlineStr">
        <is>
          <t>B2B</t>
        </is>
      </c>
      <c r="K360" s="224" t="inlineStr">
        <is>
          <t>B2B</t>
        </is>
      </c>
      <c r="L360" s="318" t="n"/>
      <c r="M360" s="319" t="inlineStr">
        <is>
          <t>Australia</t>
        </is>
      </c>
      <c r="N360" s="320" t="inlineStr">
        <is>
          <t>CDB</t>
        </is>
      </c>
      <c r="O360" s="320" t="n">
        <v>1</v>
      </c>
      <c r="P360" s="320" t="n"/>
      <c r="Q360" s="320" t="inlineStr">
        <is>
          <t>Permanent - Full Time</t>
        </is>
      </c>
      <c r="R360" s="322" t="n"/>
      <c r="S360" s="322" t="n"/>
      <c r="T360" s="334" t="n">
        <v>85000</v>
      </c>
      <c r="U360" s="705" t="n">
        <v>85000</v>
      </c>
      <c r="V360" s="325" t="n">
        <v>0.08</v>
      </c>
      <c r="W360" s="702" t="n">
        <v>0.055</v>
      </c>
      <c r="X360" s="702" t="n">
        <v>0.12</v>
      </c>
      <c r="Y360" s="703" t="n"/>
      <c r="Z360" s="702" t="n">
        <v>0.04</v>
      </c>
      <c r="AA360" s="701">
        <f>U360*(1+V360+W360+X360+Y360+Z360)</f>
        <v>110075.0</v>
      </c>
      <c r="AC360" t="inlineStr">
        <is>
          <t>Energy Solutions &amp; B2B</t>
        </is>
      </c>
      <c r="AD360" t="inlineStr">
        <is>
          <t>B2B</t>
        </is>
      </c>
      <c r="AE360" t="inlineStr">
        <is>
          <t>B2B</t>
        </is>
      </c>
      <c r="AF360" t="inlineStr">
        <is>
          <t>Squad</t>
        </is>
      </c>
      <c r="AG360" t="inlineStr">
        <is>
          <t>Filled</t>
        </is>
      </c>
    </row>
    <row r="361" hidden="1" ht="18" customHeight="1" s="506">
      <c r="A361" s="259" t="n">
        <v>99999101752</v>
      </c>
      <c r="B361" s="224" t="inlineStr">
        <is>
          <t>Amanda Turnbull</t>
        </is>
      </c>
      <c r="C361" s="317" t="inlineStr">
        <is>
          <t>Engineer Software</t>
        </is>
      </c>
      <c r="D361" s="318" t="inlineStr">
        <is>
          <t>Vacant</t>
        </is>
      </c>
      <c r="E361" s="224" t="inlineStr">
        <is>
          <t>Technology Manager, Engineering</t>
        </is>
      </c>
      <c r="F361" s="224" t="inlineStr">
        <is>
          <t>TDD CFE&amp;I</t>
        </is>
      </c>
      <c r="G361" s="318" t="inlineStr">
        <is>
          <t>Commercial Fuels</t>
        </is>
      </c>
      <c r="H361" s="318" t="inlineStr">
        <is>
          <t>Technology, CF Engineering</t>
        </is>
      </c>
      <c r="I361" s="318" t="inlineStr">
        <is>
          <t>Commercial Fuels</t>
        </is>
      </c>
      <c r="J361" s="224" t="inlineStr">
        <is>
          <t>CTRM</t>
        </is>
      </c>
      <c r="K361" s="224" t="inlineStr">
        <is>
          <t>CTRM</t>
        </is>
      </c>
      <c r="L361" s="318" t="n"/>
      <c r="M361" s="319" t="inlineStr">
        <is>
          <t>NZ</t>
        </is>
      </c>
      <c r="N361" s="320" t="inlineStr">
        <is>
          <t>CDB</t>
        </is>
      </c>
      <c r="O361" s="321" t="n">
        <v>1</v>
      </c>
      <c r="P361" s="320" t="n"/>
      <c r="Q361" s="321" t="inlineStr">
        <is>
          <t>Permanent - Full Time</t>
        </is>
      </c>
      <c r="R361" s="322" t="n"/>
      <c r="S361" s="322" t="n"/>
      <c r="T361" s="334" t="n">
        <v>90760</v>
      </c>
      <c r="U361" s="705" t="n">
        <v>83499.2</v>
      </c>
      <c r="V361" s="324" t="n">
        <v>0.1</v>
      </c>
      <c r="W361" s="321" t="n"/>
      <c r="X361" s="325" t="n">
        <v>0.05</v>
      </c>
      <c r="Y361" s="700" t="n">
        <v>2910</v>
      </c>
      <c r="Z361" s="325" t="n">
        <v>0.03</v>
      </c>
      <c r="AA361" s="701">
        <f>U361*(1+V361+X361+Z361)+Y361</f>
        <v>101439.05600000001</v>
      </c>
      <c r="AB361" t="n">
        <v>113505</v>
      </c>
      <c r="AC361" t="inlineStr">
        <is>
          <t>Commercial Fuels</t>
        </is>
      </c>
      <c r="AD361" t="inlineStr">
        <is>
          <t>CTRM</t>
        </is>
      </c>
      <c r="AE361" t="inlineStr">
        <is>
          <t>CTRM</t>
        </is>
      </c>
      <c r="AF361" t="inlineStr">
        <is>
          <t>Strategic Program</t>
        </is>
      </c>
      <c r="AG361" t="inlineStr">
        <is>
          <t>Filled</t>
        </is>
      </c>
    </row>
    <row r="362" hidden="1" ht="18" customHeight="1" s="506">
      <c r="A362" s="259" t="n">
        <v>97098</v>
      </c>
      <c r="B362" s="224" t="inlineStr">
        <is>
          <t>Amish Pandit</t>
        </is>
      </c>
      <c r="C362" s="317" t="inlineStr">
        <is>
          <t>Head of Technology, Fuel Infrastructure</t>
        </is>
      </c>
      <c r="D362" s="224" t="inlineStr">
        <is>
          <t>Roanne Steele</t>
        </is>
      </c>
      <c r="E362" s="224" t="inlineStr">
        <is>
          <t>GM TDD, CFE&amp;I</t>
        </is>
      </c>
      <c r="F362" s="224" t="inlineStr">
        <is>
          <t>TDD CFE&amp;I</t>
        </is>
      </c>
      <c r="G362" s="318" t="inlineStr">
        <is>
          <t>Fuel Infrastructure</t>
        </is>
      </c>
      <c r="H362" s="318" t="inlineStr">
        <is>
          <t>Leadership</t>
        </is>
      </c>
      <c r="I362" s="318" t="inlineStr">
        <is>
          <t>Infrastructure</t>
        </is>
      </c>
      <c r="J362" s="224" t="inlineStr">
        <is>
          <t xml:space="preserve">Leadership </t>
        </is>
      </c>
      <c r="K362" s="318" t="inlineStr">
        <is>
          <t>Leadership</t>
        </is>
      </c>
      <c r="L362" s="318" t="n"/>
      <c r="M362" s="319" t="inlineStr">
        <is>
          <t>Australia</t>
        </is>
      </c>
      <c r="N362" s="320" t="inlineStr">
        <is>
          <t>CSC</t>
        </is>
      </c>
      <c r="O362" s="320" t="n">
        <v>1</v>
      </c>
      <c r="P362" s="320" t="n"/>
      <c r="Q362" s="320" t="inlineStr">
        <is>
          <t>Permanent - Full Time</t>
        </is>
      </c>
      <c r="R362" s="322" t="n"/>
      <c r="S362" s="322" t="n"/>
      <c r="T362" s="334" t="n">
        <v>256980</v>
      </c>
      <c r="U362" s="705" t="n">
        <v>256980</v>
      </c>
      <c r="V362" s="325" t="n">
        <v>0.2</v>
      </c>
      <c r="W362" s="702" t="n">
        <v>0.055</v>
      </c>
      <c r="X362" s="702" t="n">
        <v>0.12</v>
      </c>
      <c r="Y362" s="703" t="n"/>
      <c r="Z362" s="702" t="n">
        <v>0.04</v>
      </c>
      <c r="AA362" s="701">
        <f>U362*(1+V362+W362+X362+Y362+Z362)</f>
        <v>363626.7</v>
      </c>
      <c r="AC362" t="inlineStr">
        <is>
          <t>Infrastructure</t>
        </is>
      </c>
      <c r="AD362" t="inlineStr">
        <is>
          <t>Leadership</t>
        </is>
      </c>
      <c r="AE362" t="inlineStr">
        <is>
          <t>Leadership</t>
        </is>
      </c>
      <c r="AF362" t="inlineStr">
        <is>
          <t>Leadership</t>
        </is>
      </c>
      <c r="AG362" t="inlineStr">
        <is>
          <t>Filled</t>
        </is>
      </c>
    </row>
    <row r="363" hidden="1" ht="18" customHeight="1" s="506">
      <c r="A363" s="259" t="n">
        <v>99999100072</v>
      </c>
      <c r="B363" s="224" t="inlineStr">
        <is>
          <t>Angela Ross</t>
        </is>
      </c>
      <c r="C363" s="317" t="inlineStr">
        <is>
          <t>Delivery Lead</t>
        </is>
      </c>
      <c r="D363" s="318" t="inlineStr">
        <is>
          <t>Vacant</t>
        </is>
      </c>
      <c r="E363" s="224" t="inlineStr">
        <is>
          <t>Delivery Manager</t>
        </is>
      </c>
      <c r="F363" s="224" t="inlineStr">
        <is>
          <t>TDD CFE&amp;I</t>
        </is>
      </c>
      <c r="G363" s="318" t="inlineStr">
        <is>
          <t>B2B &amp; Energy Solutions</t>
        </is>
      </c>
      <c r="H363" s="318" t="inlineStr">
        <is>
          <t>Delivery</t>
        </is>
      </c>
      <c r="I363" s="318" t="inlineStr">
        <is>
          <t>B2B &amp; Energy Solutions</t>
        </is>
      </c>
      <c r="J363" s="318" t="inlineStr">
        <is>
          <t>Energy Solutions</t>
        </is>
      </c>
      <c r="K363" s="224" t="inlineStr">
        <is>
          <t>EVCI</t>
        </is>
      </c>
      <c r="L363" s="318" t="n"/>
      <c r="M363" s="319" t="inlineStr">
        <is>
          <t>NZ</t>
        </is>
      </c>
      <c r="N363" s="320" t="inlineStr">
        <is>
          <t>CIC</t>
        </is>
      </c>
      <c r="O363" s="321" t="n">
        <v>1</v>
      </c>
      <c r="P363" s="320" t="n"/>
      <c r="Q363" s="321" t="inlineStr">
        <is>
          <t>Permanent - Full Time</t>
        </is>
      </c>
      <c r="R363" s="322" t="n"/>
      <c r="S363" s="322" t="n"/>
      <c r="T363" s="334" t="n">
        <v>163830</v>
      </c>
      <c r="U363" s="705" t="n">
        <v>150723.6</v>
      </c>
      <c r="V363" s="324" t="n">
        <v>0.15</v>
      </c>
      <c r="W363" s="321" t="n"/>
      <c r="X363" s="325" t="n">
        <v>0.05</v>
      </c>
      <c r="Y363" s="700" t="n">
        <v>2910</v>
      </c>
      <c r="Z363" s="325" t="n">
        <v>0.03</v>
      </c>
      <c r="AA363" s="701">
        <f>U363*(1+V363+X363+Z363)+Y363</f>
        <v>188300.028</v>
      </c>
      <c r="AB363" t="n">
        <v>113509</v>
      </c>
      <c r="AC363" t="inlineStr">
        <is>
          <t>Energy Solutions &amp; B2B</t>
        </is>
      </c>
      <c r="AD363" t="inlineStr">
        <is>
          <t>Energy Solutions</t>
        </is>
      </c>
      <c r="AE363" t="inlineStr">
        <is>
          <t>EVCI</t>
        </is>
      </c>
      <c r="AF363" t="inlineStr">
        <is>
          <t>Squad</t>
        </is>
      </c>
      <c r="AG363" t="inlineStr">
        <is>
          <t>Filled</t>
        </is>
      </c>
    </row>
    <row r="364" hidden="1" ht="18" customHeight="1" s="506">
      <c r="A364" s="259" t="n">
        <v>81395</v>
      </c>
      <c r="B364" s="224" t="inlineStr">
        <is>
          <t>Angus Gibson</t>
        </is>
      </c>
      <c r="C364" s="317" t="inlineStr">
        <is>
          <t>Senior Systems Analyst</t>
        </is>
      </c>
      <c r="D364" s="224" t="inlineStr">
        <is>
          <t>Karla Orozco Loza</t>
        </is>
      </c>
      <c r="E364" s="224" t="inlineStr">
        <is>
          <t>Technology Manager, Future Infrastructure</t>
        </is>
      </c>
      <c r="F364" s="224" t="inlineStr">
        <is>
          <t>TDD CFE&amp;I</t>
        </is>
      </c>
      <c r="G364" s="318" t="inlineStr">
        <is>
          <t>Fuel Infrastructure</t>
        </is>
      </c>
      <c r="H364" s="318" t="inlineStr">
        <is>
          <t>Technology - Distribution</t>
        </is>
      </c>
      <c r="I364" s="318" t="inlineStr">
        <is>
          <t>Infrastructure</t>
        </is>
      </c>
      <c r="J364" s="224" t="inlineStr">
        <is>
          <t>Distribution</t>
        </is>
      </c>
      <c r="K364" s="224" t="inlineStr">
        <is>
          <t>Distribution, Sales &amp; Services</t>
        </is>
      </c>
      <c r="L364" s="318" t="n"/>
      <c r="M364" s="319" t="inlineStr">
        <is>
          <t>Australia</t>
        </is>
      </c>
      <c r="N364" s="322" t="inlineStr">
        <is>
          <t>CIC</t>
        </is>
      </c>
      <c r="O364" s="322" t="n">
        <v>1</v>
      </c>
      <c r="P364" s="322" t="n"/>
      <c r="Q364" s="322" t="inlineStr">
        <is>
          <t>Permanent - Full Time</t>
        </is>
      </c>
      <c r="R364" s="322" t="n"/>
      <c r="S364" s="322" t="n"/>
      <c r="T364" s="334" t="n">
        <v>176400</v>
      </c>
      <c r="U364" s="705" t="n">
        <v>176400</v>
      </c>
      <c r="V364" s="325" t="n">
        <v>0.12</v>
      </c>
      <c r="W364" s="702" t="n">
        <v>0.055</v>
      </c>
      <c r="X364" s="702" t="n">
        <v>0.12</v>
      </c>
      <c r="Y364" s="703" t="n"/>
      <c r="Z364" s="702" t="n">
        <v>0.04</v>
      </c>
      <c r="AA364" s="701">
        <f>U364*(1+V364+W364+X364+Y364+Z364)</f>
        <v>235494.0</v>
      </c>
      <c r="AC364" t="inlineStr">
        <is>
          <t>Infrastructure</t>
        </is>
      </c>
      <c r="AD364" t="inlineStr">
        <is>
          <t>Distribution</t>
        </is>
      </c>
      <c r="AE364" t="inlineStr">
        <is>
          <t>Distribution, Sales &amp; Services</t>
        </is>
      </c>
      <c r="AF364" t="inlineStr">
        <is>
          <t>Squad</t>
        </is>
      </c>
      <c r="AG364" t="inlineStr">
        <is>
          <t>Filled</t>
        </is>
      </c>
    </row>
    <row r="365" hidden="1" ht="18" customHeight="1" s="506">
      <c r="A365" s="259" t="n">
        <v>99999101568</v>
      </c>
      <c r="B365" s="224" t="inlineStr">
        <is>
          <t>Anie Camerino</t>
        </is>
      </c>
      <c r="C365" s="317" t="inlineStr">
        <is>
          <t>Snr Quality Assurance</t>
        </is>
      </c>
      <c r="D365" s="318" t="inlineStr">
        <is>
          <t>Vacant</t>
        </is>
      </c>
      <c r="E365" s="224" t="inlineStr">
        <is>
          <t>Technology Manager, Energy Solutions</t>
        </is>
      </c>
      <c r="F365" s="224" t="inlineStr">
        <is>
          <t>TDD CFE&amp;I</t>
        </is>
      </c>
      <c r="G365" s="318" t="inlineStr">
        <is>
          <t>B2B &amp; Energy Solutions</t>
        </is>
      </c>
      <c r="H365" s="318" t="inlineStr">
        <is>
          <t>Technology Energy Solutions</t>
        </is>
      </c>
      <c r="I365" s="318" t="inlineStr">
        <is>
          <t>B2B &amp; Energy Solutions</t>
        </is>
      </c>
      <c r="J365" s="318" t="inlineStr">
        <is>
          <t>Energy Solutions</t>
        </is>
      </c>
      <c r="K365" s="224" t="inlineStr">
        <is>
          <t>EVCI</t>
        </is>
      </c>
      <c r="L365" s="318" t="n"/>
      <c r="M365" s="319" t="inlineStr">
        <is>
          <t>NZ</t>
        </is>
      </c>
      <c r="N365" s="320" t="inlineStr">
        <is>
          <t>CIA</t>
        </is>
      </c>
      <c r="O365" s="321" t="n">
        <v>1</v>
      </c>
      <c r="P365" s="320" t="n"/>
      <c r="Q365" s="321" t="inlineStr">
        <is>
          <t>Permanent - Full Time</t>
        </is>
      </c>
      <c r="R365" s="322" t="n"/>
      <c r="S365" s="322" t="n"/>
      <c r="T365" s="334" t="n">
        <v>133080</v>
      </c>
      <c r="U365" s="705" t="n">
        <v>122433.6</v>
      </c>
      <c r="V365" s="324" t="n">
        <v>0.15</v>
      </c>
      <c r="W365" s="321" t="n"/>
      <c r="X365" s="325" t="n">
        <v>0.05</v>
      </c>
      <c r="Y365" s="700" t="n">
        <v>2910</v>
      </c>
      <c r="Z365" s="325" t="n">
        <v>0.03</v>
      </c>
      <c r="AA365" s="701">
        <f>U365*(1+V365+X365+Z365)+Y365</f>
        <v>153503.328</v>
      </c>
      <c r="AB365" t="n">
        <v>113511</v>
      </c>
      <c r="AC365" t="inlineStr">
        <is>
          <t>Energy Solutions &amp; B2B</t>
        </is>
      </c>
      <c r="AD365" t="inlineStr">
        <is>
          <t>Energy Solutions</t>
        </is>
      </c>
      <c r="AE365" t="inlineStr">
        <is>
          <t>EVCI</t>
        </is>
      </c>
      <c r="AF365" t="inlineStr">
        <is>
          <t>Squad</t>
        </is>
      </c>
      <c r="AG365" t="inlineStr">
        <is>
          <t>Filled</t>
        </is>
      </c>
    </row>
    <row r="366" hidden="1" ht="18" customHeight="1" s="506">
      <c r="A366" s="259" t="n">
        <v>6851</v>
      </c>
      <c r="B366" s="224" t="inlineStr">
        <is>
          <t>Ann Aquino</t>
        </is>
      </c>
      <c r="C366" s="317" t="inlineStr">
        <is>
          <t>Senior Business Analyst</t>
        </is>
      </c>
      <c r="D366" s="318" t="inlineStr">
        <is>
          <t>Vacant</t>
        </is>
      </c>
      <c r="E366" s="224" t="inlineStr">
        <is>
          <t>Delivery Manager</t>
        </is>
      </c>
      <c r="F366" s="224" t="inlineStr">
        <is>
          <t>TDD CFE&amp;I</t>
        </is>
      </c>
      <c r="G366" s="318" t="inlineStr">
        <is>
          <t>Commercial Fuels</t>
        </is>
      </c>
      <c r="H366" s="318" t="inlineStr">
        <is>
          <t>Delivery, Commercial Fuels</t>
        </is>
      </c>
      <c r="I366" s="318" t="inlineStr">
        <is>
          <t>Commercial Fuels</t>
        </is>
      </c>
      <c r="J366" s="318" t="inlineStr">
        <is>
          <t>Supply</t>
        </is>
      </c>
      <c r="K366" s="318" t="inlineStr">
        <is>
          <t>Supply</t>
        </is>
      </c>
      <c r="L366" s="224" t="n"/>
      <c r="M366" s="319" t="inlineStr">
        <is>
          <t>Australia</t>
        </is>
      </c>
      <c r="N366" s="322" t="inlineStr">
        <is>
          <t>CIB</t>
        </is>
      </c>
      <c r="O366" s="322" t="n">
        <v>1</v>
      </c>
      <c r="P366" s="322" t="n"/>
      <c r="Q366" s="322" t="inlineStr">
        <is>
          <t>Permanent - Full Time</t>
        </is>
      </c>
      <c r="R366" s="322" t="n"/>
      <c r="S366" s="322" t="n"/>
      <c r="T366" s="334" t="n">
        <v>164050</v>
      </c>
      <c r="U366" s="705" t="n">
        <v>164050</v>
      </c>
      <c r="V366" s="325" t="n">
        <v>0.12</v>
      </c>
      <c r="W366" s="702" t="n">
        <v>0.055</v>
      </c>
      <c r="X366" s="702" t="n">
        <v>0.12</v>
      </c>
      <c r="Y366" s="703" t="n"/>
      <c r="Z366" s="702" t="n">
        <v>0.04</v>
      </c>
      <c r="AA366" s="701">
        <f>U366*(1+V366+W366+X366+Y366+Z366)</f>
        <v>219006.75</v>
      </c>
      <c r="AC366" t="inlineStr">
        <is>
          <t>Commercial Fuels</t>
        </is>
      </c>
      <c r="AD366" t="inlineStr">
        <is>
          <t>Supply</t>
        </is>
      </c>
      <c r="AE366" t="inlineStr">
        <is>
          <t>Supply</t>
        </is>
      </c>
      <c r="AF366" t="inlineStr">
        <is>
          <t>Squad</t>
        </is>
      </c>
      <c r="AG366" t="inlineStr">
        <is>
          <t>Filled</t>
        </is>
      </c>
    </row>
    <row r="367" hidden="1" ht="18" customHeight="1" s="506">
      <c r="A367" s="259" t="n">
        <v>113039</v>
      </c>
      <c r="B367" s="224" t="inlineStr">
        <is>
          <t>Anusha Viswanatha</t>
        </is>
      </c>
      <c r="C367" s="317" t="inlineStr">
        <is>
          <t>Delivery Lead</t>
        </is>
      </c>
      <c r="D367" s="318" t="inlineStr">
        <is>
          <t>Vacant</t>
        </is>
      </c>
      <c r="E367" s="224" t="inlineStr">
        <is>
          <t>Technology Manager, Data</t>
        </is>
      </c>
      <c r="F367" s="224" t="inlineStr">
        <is>
          <t>TDD CFE&amp;I</t>
        </is>
      </c>
      <c r="G367" s="318" t="inlineStr">
        <is>
          <t>Commercial Fuels</t>
        </is>
      </c>
      <c r="H367" s="318" t="inlineStr">
        <is>
          <t>Technology, T&amp;S Data</t>
        </is>
      </c>
      <c r="I367" s="318" t="inlineStr">
        <is>
          <t>Commercial Fuels</t>
        </is>
      </c>
      <c r="J367" s="318" t="inlineStr">
        <is>
          <t>Trading &amp; Shipping</t>
        </is>
      </c>
      <c r="K367" s="318" t="inlineStr">
        <is>
          <t>Trading &amp; Shipping Data</t>
        </is>
      </c>
      <c r="L367" s="318" t="n"/>
      <c r="M367" s="319" t="inlineStr">
        <is>
          <t>Singapore</t>
        </is>
      </c>
      <c r="N367" s="320" t="inlineStr">
        <is>
          <t>CIC</t>
        </is>
      </c>
      <c r="O367" s="320" t="n">
        <v>1</v>
      </c>
      <c r="P367" s="320" t="n"/>
      <c r="Q367" s="320" t="inlineStr">
        <is>
          <t>Temporary - Full Time</t>
        </is>
      </c>
      <c r="R367" s="322" t="n"/>
      <c r="S367" s="322" t="n"/>
      <c r="T367" s="334" t="n">
        <v>160000</v>
      </c>
      <c r="U367" s="705" t="n">
        <v>193600</v>
      </c>
      <c r="V367" s="325" t="n">
        <v>0.25</v>
      </c>
      <c r="W367" s="322" t="n"/>
      <c r="X367" s="325" t="n">
        <v>0.17</v>
      </c>
      <c r="Y367" s="700" t="n">
        <v>3310</v>
      </c>
      <c r="Z367" s="347" t="n">
        <v>0.045</v>
      </c>
      <c r="AA367" s="701">
        <f>U367*(1+V367+X367+Z367)+Y367</f>
        <v>286934.0</v>
      </c>
      <c r="AC367" t="inlineStr">
        <is>
          <t>Commercial Fuels</t>
        </is>
      </c>
      <c r="AD367" t="inlineStr">
        <is>
          <t>Trading &amp; Shipping</t>
        </is>
      </c>
      <c r="AE367" t="inlineStr">
        <is>
          <t>Trading &amp; Shipping Data</t>
        </is>
      </c>
      <c r="AF367" t="inlineStr">
        <is>
          <t>Squad</t>
        </is>
      </c>
      <c r="AG367" t="inlineStr">
        <is>
          <t>Filled</t>
        </is>
      </c>
    </row>
    <row r="368" hidden="1" ht="18" customHeight="1" s="506">
      <c r="A368" s="259" t="n">
        <v>97776</v>
      </c>
      <c r="B368" s="224" t="inlineStr">
        <is>
          <t>Anvitha Kurra</t>
        </is>
      </c>
      <c r="C368" s="317" t="inlineStr">
        <is>
          <t>Senior Systems Analyst</t>
        </is>
      </c>
      <c r="D368" s="224" t="inlineStr">
        <is>
          <t>Karla Orozco Loza</t>
        </is>
      </c>
      <c r="E368" s="224" t="inlineStr">
        <is>
          <t>Technology Manager, Future Infrastructure</t>
        </is>
      </c>
      <c r="F368" s="224" t="inlineStr">
        <is>
          <t>TDD CFE&amp;I</t>
        </is>
      </c>
      <c r="G368" s="318" t="inlineStr">
        <is>
          <t>Fuel Infrastructure</t>
        </is>
      </c>
      <c r="H368" s="318" t="inlineStr">
        <is>
          <t>Technology - Distribution</t>
        </is>
      </c>
      <c r="I368" s="318" t="inlineStr">
        <is>
          <t>Infrastructure</t>
        </is>
      </c>
      <c r="J368" s="224" t="inlineStr">
        <is>
          <t>Distribution</t>
        </is>
      </c>
      <c r="K368" s="224" t="inlineStr">
        <is>
          <t>Distribution, Sales &amp; Services</t>
        </is>
      </c>
      <c r="L368" s="318" t="n"/>
      <c r="M368" s="319" t="inlineStr">
        <is>
          <t>Australia</t>
        </is>
      </c>
      <c r="N368" s="320" t="inlineStr">
        <is>
          <t>CIB</t>
        </is>
      </c>
      <c r="O368" s="320" t="n">
        <v>1</v>
      </c>
      <c r="P368" s="320" t="n"/>
      <c r="Q368" s="320" t="inlineStr">
        <is>
          <t>Permanent - Full Time</t>
        </is>
      </c>
      <c r="R368" s="322" t="n"/>
      <c r="S368" s="322" t="n"/>
      <c r="T368" s="334" t="n">
        <v>161340</v>
      </c>
      <c r="U368" s="705" t="n">
        <v>161340</v>
      </c>
      <c r="V368" s="325" t="n">
        <v>0.12</v>
      </c>
      <c r="W368" s="702" t="n">
        <v>0.055</v>
      </c>
      <c r="X368" s="702" t="n">
        <v>0.12</v>
      </c>
      <c r="Y368" s="703" t="n"/>
      <c r="Z368" s="702" t="n">
        <v>0.04</v>
      </c>
      <c r="AA368" s="701">
        <f>U368*(1+V368+W368+X368+Y368+Z368)</f>
        <v>215388.9</v>
      </c>
      <c r="AC368" t="inlineStr">
        <is>
          <t>Infrastructure</t>
        </is>
      </c>
      <c r="AD368" t="inlineStr">
        <is>
          <t>Distribution</t>
        </is>
      </c>
      <c r="AE368" t="inlineStr">
        <is>
          <t>Distribution, Sales &amp; Services</t>
        </is>
      </c>
      <c r="AF368" t="inlineStr">
        <is>
          <t>Squad</t>
        </is>
      </c>
      <c r="AG368" t="inlineStr">
        <is>
          <t>Filled</t>
        </is>
      </c>
    </row>
    <row r="369" hidden="1" ht="18" customHeight="1" s="506">
      <c r="A369" s="259" t="n">
        <v>111319</v>
      </c>
      <c r="B369" s="224" t="inlineStr">
        <is>
          <t>Arun Prakash Jayaprakasam</t>
        </is>
      </c>
      <c r="C369" s="317" t="inlineStr">
        <is>
          <t>Data Engineer Analyst</t>
        </is>
      </c>
      <c r="D369" s="318" t="inlineStr">
        <is>
          <t>Vacant</t>
        </is>
      </c>
      <c r="E369" s="224" t="inlineStr">
        <is>
          <t>Technology Manager, Data</t>
        </is>
      </c>
      <c r="F369" s="224" t="inlineStr">
        <is>
          <t>TDD CFE&amp;I</t>
        </is>
      </c>
      <c r="G369" s="318" t="inlineStr">
        <is>
          <t>Commercial Fuels</t>
        </is>
      </c>
      <c r="H369" s="318" t="inlineStr">
        <is>
          <t>Technology, T&amp;S Data</t>
        </is>
      </c>
      <c r="I369" s="318" t="inlineStr">
        <is>
          <t>Commercial Fuels</t>
        </is>
      </c>
      <c r="J369" s="318" t="inlineStr">
        <is>
          <t>Trading &amp; Shipping</t>
        </is>
      </c>
      <c r="K369" s="318" t="inlineStr">
        <is>
          <t>Trading &amp; Shipping Data</t>
        </is>
      </c>
      <c r="L369" s="318" t="n"/>
      <c r="M369" s="319" t="inlineStr">
        <is>
          <t>Singapore</t>
        </is>
      </c>
      <c r="N369" s="320" t="inlineStr">
        <is>
          <t>CIB</t>
        </is>
      </c>
      <c r="O369" s="320" t="n">
        <v>1</v>
      </c>
      <c r="P369" s="320" t="n"/>
      <c r="Q369" s="320" t="inlineStr">
        <is>
          <t>Permanent - Full Time</t>
        </is>
      </c>
      <c r="R369" s="322" t="n"/>
      <c r="S369" s="322" t="n"/>
      <c r="T369" s="334" t="n">
        <v>149480</v>
      </c>
      <c r="U369" s="705" t="n">
        <v>180870.8</v>
      </c>
      <c r="V369" s="325" t="n">
        <v>0.25</v>
      </c>
      <c r="W369" s="322" t="n"/>
      <c r="X369" s="325" t="n">
        <v>0.17</v>
      </c>
      <c r="Y369" s="700" t="n">
        <v>3310</v>
      </c>
      <c r="Z369" s="347" t="n">
        <v>0.045</v>
      </c>
      <c r="AA369" s="701">
        <f>U369*(1+V369+X369+Z369)+Y369</f>
        <v>268285.72199999995</v>
      </c>
      <c r="AC369" t="inlineStr">
        <is>
          <t>Commercial Fuels</t>
        </is>
      </c>
      <c r="AD369" t="inlineStr">
        <is>
          <t>Trading &amp; Shipping</t>
        </is>
      </c>
      <c r="AE369" t="inlineStr">
        <is>
          <t>Trading &amp; Shipping Data</t>
        </is>
      </c>
      <c r="AF369" t="inlineStr">
        <is>
          <t>Squad</t>
        </is>
      </c>
      <c r="AG369" t="inlineStr">
        <is>
          <t>Filled</t>
        </is>
      </c>
    </row>
    <row r="370" hidden="1" ht="18" customHeight="1" s="506">
      <c r="A370" s="259" t="n">
        <v>108033</v>
      </c>
      <c r="B370" s="224" t="inlineStr">
        <is>
          <t>Ayushi Agarwal</t>
        </is>
      </c>
      <c r="C370" s="317" t="inlineStr">
        <is>
          <t>Engineer Data</t>
        </is>
      </c>
      <c r="D370" s="318" t="inlineStr">
        <is>
          <t>Vacant</t>
        </is>
      </c>
      <c r="E370" s="224" t="inlineStr">
        <is>
          <t>Technology Manager, Data</t>
        </is>
      </c>
      <c r="F370" s="224" t="inlineStr">
        <is>
          <t>TDD CFE&amp;I</t>
        </is>
      </c>
      <c r="G370" s="318" t="inlineStr">
        <is>
          <t>Commercial Fuels</t>
        </is>
      </c>
      <c r="H370" s="318" t="inlineStr">
        <is>
          <t>Technology, T&amp;S Data</t>
        </is>
      </c>
      <c r="I370" s="318" t="inlineStr">
        <is>
          <t>Commercial Fuels</t>
        </is>
      </c>
      <c r="J370" s="318" t="inlineStr">
        <is>
          <t>Trading &amp; Shipping</t>
        </is>
      </c>
      <c r="K370" s="318" t="inlineStr">
        <is>
          <t>Trading &amp; Shipping Data</t>
        </is>
      </c>
      <c r="L370" s="318" t="n"/>
      <c r="M370" s="319" t="inlineStr">
        <is>
          <t>Singapore</t>
        </is>
      </c>
      <c r="N370" s="320" t="inlineStr">
        <is>
          <t>CIB</t>
        </is>
      </c>
      <c r="O370" s="320" t="n">
        <v>1</v>
      </c>
      <c r="P370" s="320" t="n"/>
      <c r="Q370" s="320" t="inlineStr">
        <is>
          <t>Permanent - Full Time</t>
        </is>
      </c>
      <c r="R370" s="322" t="n"/>
      <c r="S370" s="322" t="n"/>
      <c r="T370" s="334" t="n">
        <v>145320</v>
      </c>
      <c r="U370" s="705" t="n">
        <v>175837.2</v>
      </c>
      <c r="V370" s="325" t="n">
        <v>0.25</v>
      </c>
      <c r="W370" s="322" t="n"/>
      <c r="X370" s="325" t="n">
        <v>0.17</v>
      </c>
      <c r="Y370" s="700" t="n">
        <v>3310</v>
      </c>
      <c r="Z370" s="347" t="n">
        <v>0.045</v>
      </c>
      <c r="AA370" s="701">
        <f>U370*(1+V370+X370+Z370)+Y370</f>
        <v>260911.498</v>
      </c>
      <c r="AC370" t="inlineStr">
        <is>
          <t>Commercial Fuels</t>
        </is>
      </c>
      <c r="AD370" t="inlineStr">
        <is>
          <t>Trading &amp; Shipping</t>
        </is>
      </c>
      <c r="AE370" t="inlineStr">
        <is>
          <t>Trading &amp; Shipping Data</t>
        </is>
      </c>
      <c r="AF370" t="inlineStr">
        <is>
          <t>Squad</t>
        </is>
      </c>
      <c r="AG370" t="inlineStr">
        <is>
          <t>Filled</t>
        </is>
      </c>
    </row>
    <row r="371" hidden="1" ht="18" customHeight="1" s="506">
      <c r="A371" s="259" t="n">
        <v>14100</v>
      </c>
      <c r="B371" s="224" t="inlineStr">
        <is>
          <t>Belinda Ford</t>
        </is>
      </c>
      <c r="C371" s="317" t="inlineStr">
        <is>
          <t>Quality Assurance</t>
        </is>
      </c>
      <c r="D371" s="224" t="inlineStr">
        <is>
          <t>Elle Spencer</t>
        </is>
      </c>
      <c r="E371" s="224" t="inlineStr">
        <is>
          <t>Technology Manager, Energy Solutions</t>
        </is>
      </c>
      <c r="F371" s="224" t="inlineStr">
        <is>
          <t>TDD CFE&amp;I</t>
        </is>
      </c>
      <c r="G371" s="318" t="inlineStr">
        <is>
          <t>B2B &amp; Energy Solutions</t>
        </is>
      </c>
      <c r="H371" s="318" t="inlineStr">
        <is>
          <t>Technology B2B</t>
        </is>
      </c>
      <c r="I371" s="318" t="inlineStr">
        <is>
          <t>B2B &amp; Energy Solutions</t>
        </is>
      </c>
      <c r="J371" s="224" t="inlineStr">
        <is>
          <t>B2B</t>
        </is>
      </c>
      <c r="K371" s="224" t="inlineStr">
        <is>
          <t>B2B</t>
        </is>
      </c>
      <c r="L371" s="318" t="n"/>
      <c r="M371" s="319" t="inlineStr">
        <is>
          <t>Australia</t>
        </is>
      </c>
      <c r="N371" s="322" t="inlineStr">
        <is>
          <t>CDC</t>
        </is>
      </c>
      <c r="O371" s="322" t="n">
        <v>1</v>
      </c>
      <c r="P371" s="322" t="n"/>
      <c r="Q371" s="322" t="inlineStr">
        <is>
          <t>Permanent - Full Time</t>
        </is>
      </c>
      <c r="R371" s="322" t="n"/>
      <c r="S371" s="322" t="n"/>
      <c r="T371" s="334" t="n">
        <v>113430</v>
      </c>
      <c r="U371" s="705" t="n">
        <v>113430</v>
      </c>
      <c r="V371" s="325" t="n">
        <v>0.1</v>
      </c>
      <c r="W371" s="702" t="n">
        <v>0.055</v>
      </c>
      <c r="X371" s="702" t="n">
        <v>0.12</v>
      </c>
      <c r="Y371" s="703" t="n"/>
      <c r="Z371" s="702" t="n">
        <v>0.04</v>
      </c>
      <c r="AA371" s="701">
        <f>U371*(1+V371+W371+X371+Y371+Z371)</f>
        <v>149160.44999999998</v>
      </c>
      <c r="AC371" t="inlineStr">
        <is>
          <t>Energy Solutions &amp; B2B</t>
        </is>
      </c>
      <c r="AD371" t="inlineStr">
        <is>
          <t>B2B</t>
        </is>
      </c>
      <c r="AE371" t="inlineStr">
        <is>
          <t>B2B</t>
        </is>
      </c>
      <c r="AF371" t="inlineStr">
        <is>
          <t>Squad</t>
        </is>
      </c>
      <c r="AG371" t="inlineStr">
        <is>
          <t>Filled</t>
        </is>
      </c>
    </row>
    <row r="372" hidden="1" ht="18" customHeight="1" s="506">
      <c r="A372" s="259" t="n">
        <v>101539</v>
      </c>
      <c r="B372" s="224" t="inlineStr">
        <is>
          <t>Breanna Hua</t>
        </is>
      </c>
      <c r="C372" s="317" t="inlineStr">
        <is>
          <t>Systems Analyst</t>
        </is>
      </c>
      <c r="D372" s="224" t="inlineStr">
        <is>
          <t>Karla Orozco Loza</t>
        </is>
      </c>
      <c r="E372" s="224" t="inlineStr">
        <is>
          <t>Technology Manager, Future Infrastructure</t>
        </is>
      </c>
      <c r="F372" s="224" t="inlineStr">
        <is>
          <t>TDD CFE&amp;I</t>
        </is>
      </c>
      <c r="G372" s="318" t="inlineStr">
        <is>
          <t>Fuel Infrastructure</t>
        </is>
      </c>
      <c r="H372" s="318" t="inlineStr">
        <is>
          <t>Fuel Infrastructure</t>
        </is>
      </c>
      <c r="I372" s="318" t="inlineStr">
        <is>
          <t>Infrastructure</t>
        </is>
      </c>
      <c r="J372" s="318" t="inlineStr">
        <is>
          <t>Distribution</t>
        </is>
      </c>
      <c r="K372" s="224" t="inlineStr">
        <is>
          <t>Distribution, Sales &amp; Services</t>
        </is>
      </c>
      <c r="L372" s="318" t="n"/>
      <c r="M372" s="319" t="inlineStr">
        <is>
          <t>Australia</t>
        </is>
      </c>
      <c r="N372" s="320" t="inlineStr">
        <is>
          <t>CIA</t>
        </is>
      </c>
      <c r="O372" s="320" t="n">
        <v>1</v>
      </c>
      <c r="P372" s="320" t="n"/>
      <c r="Q372" s="320" t="inlineStr">
        <is>
          <t>Permanent - Full Time</t>
        </is>
      </c>
      <c r="R372" s="322" t="n"/>
      <c r="S372" s="322" t="n"/>
      <c r="T372" s="334" t="n">
        <v>127110</v>
      </c>
      <c r="U372" s="705" t="n">
        <v>127110</v>
      </c>
      <c r="V372" s="325" t="n">
        <v>0.1</v>
      </c>
      <c r="W372" s="702" t="n">
        <v>0.055</v>
      </c>
      <c r="X372" s="702" t="n">
        <v>0.12</v>
      </c>
      <c r="Y372" s="703" t="n"/>
      <c r="Z372" s="702" t="n">
        <v>0.04</v>
      </c>
      <c r="AA372" s="701">
        <f>U372*(1+V372+W372+X372+Y372+Z372)</f>
        <v>167149.65</v>
      </c>
      <c r="AC372" t="inlineStr">
        <is>
          <t>Infrastructure</t>
        </is>
      </c>
      <c r="AD372" t="inlineStr">
        <is>
          <t>Distribution</t>
        </is>
      </c>
      <c r="AE372" t="inlineStr">
        <is>
          <t>Distribution, Sales &amp; Services</t>
        </is>
      </c>
      <c r="AF372" t="inlineStr">
        <is>
          <t>Squad</t>
        </is>
      </c>
      <c r="AG372" t="inlineStr">
        <is>
          <t>Filled</t>
        </is>
      </c>
    </row>
    <row r="373" hidden="1" ht="18" customHeight="1" s="506">
      <c r="A373" s="259" t="n">
        <v>97284</v>
      </c>
      <c r="B373" s="224" t="inlineStr">
        <is>
          <t>Byron Leung</t>
        </is>
      </c>
      <c r="C373" s="317" t="inlineStr">
        <is>
          <t>Solution Architect</t>
        </is>
      </c>
      <c r="D373" s="318" t="inlineStr">
        <is>
          <t>Vacant</t>
        </is>
      </c>
      <c r="E373" s="224" t="inlineStr">
        <is>
          <t>Technology Manager, Engineering</t>
        </is>
      </c>
      <c r="F373" s="224" t="inlineStr">
        <is>
          <t>TDD CFE&amp;I</t>
        </is>
      </c>
      <c r="G373" s="318" t="inlineStr">
        <is>
          <t>Commercial Fuels</t>
        </is>
      </c>
      <c r="H373" s="318" t="inlineStr">
        <is>
          <t>Technology, CF Engineering</t>
        </is>
      </c>
      <c r="I373" s="318" t="inlineStr">
        <is>
          <t>Commercial Fuels</t>
        </is>
      </c>
      <c r="J373" s="224" t="inlineStr">
        <is>
          <t>CTRM</t>
        </is>
      </c>
      <c r="K373" s="224" t="inlineStr">
        <is>
          <t>CTRM</t>
        </is>
      </c>
      <c r="L373" s="318" t="n"/>
      <c r="M373" s="319" t="inlineStr">
        <is>
          <t>Australia</t>
        </is>
      </c>
      <c r="N373" s="320" t="inlineStr">
        <is>
          <t>CIC</t>
        </is>
      </c>
      <c r="O373" s="320" t="n">
        <v>1</v>
      </c>
      <c r="P373" s="320" t="n"/>
      <c r="Q373" s="320" t="inlineStr">
        <is>
          <t>Permanent - Full Time</t>
        </is>
      </c>
      <c r="R373" s="322" t="n"/>
      <c r="S373" s="322" t="n"/>
      <c r="T373" s="334" t="n">
        <v>207470</v>
      </c>
      <c r="U373" s="705" t="n">
        <v>207470</v>
      </c>
      <c r="V373" s="325" t="n">
        <v>0.12</v>
      </c>
      <c r="W373" s="702" t="n">
        <v>0.055</v>
      </c>
      <c r="X373" s="702" t="n">
        <v>0.12</v>
      </c>
      <c r="Y373" s="703" t="n"/>
      <c r="Z373" s="702" t="n">
        <v>0.04</v>
      </c>
      <c r="AA373" s="701">
        <f>U373*(1+V373+W373+X373+Y373+Z373)</f>
        <v>276972.45</v>
      </c>
      <c r="AC373" t="inlineStr">
        <is>
          <t>Commercial Fuels</t>
        </is>
      </c>
      <c r="AD373" t="inlineStr">
        <is>
          <t>CTRM</t>
        </is>
      </c>
      <c r="AE373" t="inlineStr">
        <is>
          <t>CTRM</t>
        </is>
      </c>
      <c r="AF373" t="inlineStr">
        <is>
          <t>Strategic Program</t>
        </is>
      </c>
      <c r="AG373" t="inlineStr">
        <is>
          <t>Filled</t>
        </is>
      </c>
    </row>
    <row r="374" hidden="1" ht="18" customHeight="1" s="506">
      <c r="A374" s="259" t="n">
        <v>99999101505</v>
      </c>
      <c r="B374" s="224" t="inlineStr">
        <is>
          <t>Caitlin Dyas</t>
        </is>
      </c>
      <c r="C374" s="317" t="inlineStr">
        <is>
          <t>Snr Engineer Software</t>
        </is>
      </c>
      <c r="D374" s="318" t="inlineStr">
        <is>
          <t>Vacant</t>
        </is>
      </c>
      <c r="E374" s="224" t="inlineStr">
        <is>
          <t>Technology Manager, Energy Solutions</t>
        </is>
      </c>
      <c r="F374" s="224" t="inlineStr">
        <is>
          <t>TDD CFE&amp;I</t>
        </is>
      </c>
      <c r="G374" s="318" t="inlineStr">
        <is>
          <t>B2B &amp; Energy Solutions</t>
        </is>
      </c>
      <c r="H374" s="318" t="inlineStr">
        <is>
          <t>Technology Energy Solutions</t>
        </is>
      </c>
      <c r="I374" s="318" t="inlineStr">
        <is>
          <t>B2B &amp; Energy Solutions</t>
        </is>
      </c>
      <c r="J374" s="318" t="inlineStr">
        <is>
          <t>Energy Solutions</t>
        </is>
      </c>
      <c r="K374" s="224" t="inlineStr">
        <is>
          <t>EVCI</t>
        </is>
      </c>
      <c r="L374" s="318" t="n"/>
      <c r="M374" s="319" t="inlineStr">
        <is>
          <t>NZ</t>
        </is>
      </c>
      <c r="N374" s="320" t="inlineStr">
        <is>
          <t>CIB</t>
        </is>
      </c>
      <c r="O374" s="321" t="n">
        <v>1</v>
      </c>
      <c r="P374" s="320" t="n"/>
      <c r="Q374" s="321" t="inlineStr">
        <is>
          <t>Permanent - Full Time</t>
        </is>
      </c>
      <c r="R374" s="322" t="n"/>
      <c r="S374" s="322" t="n"/>
      <c r="T374" s="334" t="n">
        <v>125000</v>
      </c>
      <c r="U374" s="705" t="n">
        <v>115000</v>
      </c>
      <c r="V374" s="324" t="n">
        <v>0.15</v>
      </c>
      <c r="W374" s="321" t="n"/>
      <c r="X374" s="325" t="n">
        <v>0.05</v>
      </c>
      <c r="Y374" s="700" t="n">
        <v>2910</v>
      </c>
      <c r="Z374" s="325" t="n">
        <v>0.03</v>
      </c>
      <c r="AA374" s="701">
        <f>U374*(1+V374+X374+Z374)+Y374</f>
        <v>144360.0</v>
      </c>
      <c r="AB374" t="n">
        <v>113524</v>
      </c>
      <c r="AC374" t="inlineStr">
        <is>
          <t>Energy Solutions &amp; B2B</t>
        </is>
      </c>
      <c r="AD374" t="inlineStr">
        <is>
          <t>Energy Solutions</t>
        </is>
      </c>
      <c r="AE374" t="inlineStr">
        <is>
          <t>EVCI</t>
        </is>
      </c>
      <c r="AF374" t="inlineStr">
        <is>
          <t>Squad</t>
        </is>
      </c>
      <c r="AG374" t="inlineStr">
        <is>
          <t>Filled</t>
        </is>
      </c>
    </row>
    <row r="375" hidden="1" ht="18" customHeight="1" s="506">
      <c r="A375" s="259" t="n">
        <v>99999101895</v>
      </c>
      <c r="B375" s="224" t="inlineStr">
        <is>
          <t>Caitlin Naylor</t>
        </is>
      </c>
      <c r="C375" s="317" t="inlineStr">
        <is>
          <t>Associate Engineer- Software</t>
        </is>
      </c>
      <c r="D375" s="318" t="inlineStr">
        <is>
          <t>Vacant</t>
        </is>
      </c>
      <c r="E375" s="224" t="inlineStr">
        <is>
          <t>Technology Manager, Energy Solutions</t>
        </is>
      </c>
      <c r="F375" s="224" t="inlineStr">
        <is>
          <t>TDD CFE&amp;I</t>
        </is>
      </c>
      <c r="G375" s="318" t="inlineStr">
        <is>
          <t>B2B &amp; Energy Solutions</t>
        </is>
      </c>
      <c r="H375" s="318" t="inlineStr">
        <is>
          <t>Technology Energy Solutions</t>
        </is>
      </c>
      <c r="I375" s="318" t="inlineStr">
        <is>
          <t>B2B &amp; Energy Solutions</t>
        </is>
      </c>
      <c r="J375" s="318" t="inlineStr">
        <is>
          <t>Energy Solutions</t>
        </is>
      </c>
      <c r="K375" s="224" t="inlineStr">
        <is>
          <t>Energy</t>
        </is>
      </c>
      <c r="L375" s="318" t="n"/>
      <c r="M375" s="319" t="inlineStr">
        <is>
          <t>NZ</t>
        </is>
      </c>
      <c r="N375" s="320" t="inlineStr">
        <is>
          <t>CDA</t>
        </is>
      </c>
      <c r="O375" s="321" t="n">
        <v>1</v>
      </c>
      <c r="P375" s="320" t="n"/>
      <c r="Q375" s="321" t="inlineStr">
        <is>
          <t>Permanent - Full Time</t>
        </is>
      </c>
      <c r="R375" s="322" t="n"/>
      <c r="S375" s="322" t="n"/>
      <c r="T375" s="334" t="n">
        <v>77860</v>
      </c>
      <c r="U375" s="705" t="n">
        <v>71631.2</v>
      </c>
      <c r="V375" s="324" t="n">
        <v>0.1</v>
      </c>
      <c r="W375" s="321" t="n"/>
      <c r="X375" s="325" t="n">
        <v>0.05</v>
      </c>
      <c r="Y375" s="700" t="n">
        <v>2910</v>
      </c>
      <c r="Z375" s="325" t="n">
        <v>0.03</v>
      </c>
      <c r="AA375" s="701">
        <f>U375*(1+V375+X375+Z375)+Y375</f>
        <v>87434.816</v>
      </c>
      <c r="AB375" t="n">
        <v>113723</v>
      </c>
      <c r="AC375" t="inlineStr">
        <is>
          <t>Energy Solutions &amp; B2B</t>
        </is>
      </c>
      <c r="AD375" t="inlineStr">
        <is>
          <t>Energy Solutions</t>
        </is>
      </c>
      <c r="AE375" t="inlineStr">
        <is>
          <t>Energy</t>
        </is>
      </c>
      <c r="AF375" t="inlineStr">
        <is>
          <t>Squad</t>
        </is>
      </c>
      <c r="AG375" t="inlineStr">
        <is>
          <t>Filled</t>
        </is>
      </c>
    </row>
    <row r="376" hidden="1" ht="18" customHeight="1" s="506">
      <c r="A376" s="259" t="n">
        <v>106404</v>
      </c>
      <c r="B376" s="224" t="inlineStr">
        <is>
          <t>Carl Russo</t>
        </is>
      </c>
      <c r="C376" s="317" t="inlineStr">
        <is>
          <t>Program Manager - CTRM</t>
        </is>
      </c>
      <c r="D376" s="224" t="inlineStr">
        <is>
          <t>Roanne Steele</t>
        </is>
      </c>
      <c r="E376" s="224" t="inlineStr">
        <is>
          <t>GM TDD, CFE&amp;I</t>
        </is>
      </c>
      <c r="F376" s="224" t="inlineStr">
        <is>
          <t>TDD CFE&amp;I</t>
        </is>
      </c>
      <c r="G376" s="318" t="inlineStr">
        <is>
          <t>Leadership</t>
        </is>
      </c>
      <c r="H376" s="318" t="inlineStr">
        <is>
          <t>Leadership</t>
        </is>
      </c>
      <c r="I376" s="318" t="inlineStr">
        <is>
          <t>Commercial Fuels</t>
        </is>
      </c>
      <c r="J376" s="318" t="inlineStr">
        <is>
          <t>CTRM</t>
        </is>
      </c>
      <c r="K376" s="224" t="inlineStr">
        <is>
          <t>CTRM</t>
        </is>
      </c>
      <c r="L376" s="318" t="n"/>
      <c r="M376" s="319" t="inlineStr">
        <is>
          <t>Australia</t>
        </is>
      </c>
      <c r="N376" s="320" t="inlineStr">
        <is>
          <t>CSB</t>
        </is>
      </c>
      <c r="O376" s="320" t="n">
        <v>1</v>
      </c>
      <c r="P376" s="320" t="n"/>
      <c r="Q376" s="320" t="inlineStr">
        <is>
          <t>Permanent - Full Time</t>
        </is>
      </c>
      <c r="R376" s="322" t="n"/>
      <c r="S376" s="322" t="n"/>
      <c r="T376" s="334" t="n">
        <v>238890</v>
      </c>
      <c r="U376" s="705" t="n">
        <v>238890</v>
      </c>
      <c r="V376" s="325" t="n">
        <v>0.14</v>
      </c>
      <c r="W376" s="702" t="n">
        <v>0.055</v>
      </c>
      <c r="X376" s="702" t="n">
        <v>0.12</v>
      </c>
      <c r="Y376" s="703" t="n"/>
      <c r="Z376" s="702" t="n">
        <v>0.04</v>
      </c>
      <c r="AA376" s="701">
        <f>U376*(1+V376+W376+X376+Y376+Z376)</f>
        <v>323695.95</v>
      </c>
      <c r="AC376" t="inlineStr">
        <is>
          <t>Commercial Fuels</t>
        </is>
      </c>
      <c r="AD376" t="inlineStr">
        <is>
          <t>CTRM</t>
        </is>
      </c>
      <c r="AE376" t="inlineStr">
        <is>
          <t>CTRM</t>
        </is>
      </c>
      <c r="AF376" t="inlineStr">
        <is>
          <t>Strategic Program</t>
        </is>
      </c>
      <c r="AG376" t="inlineStr">
        <is>
          <t>Filled</t>
        </is>
      </c>
    </row>
    <row r="377" hidden="1" ht="18" customHeight="1" s="506">
      <c r="A377" s="259" t="n">
        <v>99999101013</v>
      </c>
      <c r="B377" s="224" t="inlineStr">
        <is>
          <t>Chantal Lynch</t>
        </is>
      </c>
      <c r="C377" s="317" t="inlineStr">
        <is>
          <t>Lead Quality Assurance</t>
        </is>
      </c>
      <c r="D377" s="318" t="inlineStr">
        <is>
          <t>Vacant</t>
        </is>
      </c>
      <c r="E377" s="224" t="inlineStr">
        <is>
          <t>Technology Manager, Engineering</t>
        </is>
      </c>
      <c r="F377" s="224" t="inlineStr">
        <is>
          <t>TDD CFE&amp;I</t>
        </is>
      </c>
      <c r="G377" s="318" t="inlineStr">
        <is>
          <t>Commercial Fuels</t>
        </is>
      </c>
      <c r="H377" s="318" t="inlineStr">
        <is>
          <t>Technology, CF Engineering</t>
        </is>
      </c>
      <c r="I377" s="318" t="inlineStr">
        <is>
          <t>Commercial Fuels</t>
        </is>
      </c>
      <c r="J377" s="224" t="inlineStr">
        <is>
          <t>CTRM</t>
        </is>
      </c>
      <c r="K377" s="224" t="inlineStr">
        <is>
          <t>CTRM</t>
        </is>
      </c>
      <c r="L377" s="318" t="n"/>
      <c r="M377" s="319" t="inlineStr">
        <is>
          <t>NZ</t>
        </is>
      </c>
      <c r="N377" s="320" t="inlineStr">
        <is>
          <t>CIC</t>
        </is>
      </c>
      <c r="O377" s="321" t="n">
        <v>1</v>
      </c>
      <c r="P377" s="320" t="n"/>
      <c r="Q377" s="321" t="inlineStr">
        <is>
          <t>Permanent - Full Time</t>
        </is>
      </c>
      <c r="R377" s="322" t="n"/>
      <c r="S377" s="322" t="n"/>
      <c r="T377" s="334" t="n">
        <v>157060</v>
      </c>
      <c r="U377" s="705" t="n">
        <v>144495.2</v>
      </c>
      <c r="V377" s="324" t="n">
        <v>0.15</v>
      </c>
      <c r="W377" s="321" t="n"/>
      <c r="X377" s="325" t="n">
        <v>0.05</v>
      </c>
      <c r="Y377" s="700" t="n">
        <v>2910</v>
      </c>
      <c r="Z377" s="325" t="n">
        <v>0.03</v>
      </c>
      <c r="AA377" s="701">
        <f>U377*(1+V377+X377+Z377)+Y377</f>
        <v>180639.09600000002</v>
      </c>
      <c r="AB377" t="n">
        <v>113529</v>
      </c>
      <c r="AC377" t="inlineStr">
        <is>
          <t>Commercial Fuels</t>
        </is>
      </c>
      <c r="AD377" t="inlineStr">
        <is>
          <t>CTRM</t>
        </is>
      </c>
      <c r="AE377" t="inlineStr">
        <is>
          <t>CTRM</t>
        </is>
      </c>
      <c r="AF377" t="inlineStr">
        <is>
          <t>Strategic Program</t>
        </is>
      </c>
      <c r="AG377" t="inlineStr">
        <is>
          <t>Filled</t>
        </is>
      </c>
    </row>
    <row r="378" hidden="1" ht="18" customHeight="1" s="506">
      <c r="A378" s="259" t="n">
        <v>106547</v>
      </c>
      <c r="B378" s="224" t="inlineStr">
        <is>
          <t>Chin Fang Kwek</t>
        </is>
      </c>
      <c r="C378" s="317" t="inlineStr">
        <is>
          <t>System Analyst</t>
        </is>
      </c>
      <c r="D378" s="224" t="inlineStr">
        <is>
          <t>Allan Francia</t>
        </is>
      </c>
      <c r="E378" s="224" t="inlineStr">
        <is>
          <t>Technology Manager, T&amp;S</t>
        </is>
      </c>
      <c r="F378" s="224" t="inlineStr">
        <is>
          <t>TDD CFE&amp;I</t>
        </is>
      </c>
      <c r="G378" s="318" t="inlineStr">
        <is>
          <t>Commercial Fuels</t>
        </is>
      </c>
      <c r="H378" s="318" t="inlineStr">
        <is>
          <t>Technology, Trading &amp; Shipping</t>
        </is>
      </c>
      <c r="I378" s="318" t="inlineStr">
        <is>
          <t>Commercial Fuels</t>
        </is>
      </c>
      <c r="J378" s="318" t="inlineStr">
        <is>
          <t>Trading &amp; Shipping</t>
        </is>
      </c>
      <c r="K378" s="224" t="inlineStr">
        <is>
          <t>Trading &amp; Shipping</t>
        </is>
      </c>
      <c r="L378" s="318" t="n"/>
      <c r="M378" s="319" t="inlineStr">
        <is>
          <t>Singapore</t>
        </is>
      </c>
      <c r="N378" s="320" t="inlineStr">
        <is>
          <t>CIC</t>
        </is>
      </c>
      <c r="O378" s="320" t="n">
        <v>1</v>
      </c>
      <c r="P378" s="320" t="n"/>
      <c r="Q378" s="320" t="inlineStr">
        <is>
          <t>Permanent - Full Time</t>
        </is>
      </c>
      <c r="R378" s="322" t="n"/>
      <c r="S378" s="322" t="n"/>
      <c r="T378" s="334" t="n">
        <v>193688</v>
      </c>
      <c r="U378" s="705" t="n">
        <v>234362.48</v>
      </c>
      <c r="V378" s="325" t="n">
        <v>0.25</v>
      </c>
      <c r="W378" s="322" t="n"/>
      <c r="X378" s="325" t="n">
        <v>0.17</v>
      </c>
      <c r="Y378" s="700" t="n">
        <v>3310</v>
      </c>
      <c r="Z378" s="347" t="n">
        <v>0.045</v>
      </c>
      <c r="AA378" s="701">
        <f>U378*(1+V378+X378+Z378)+Y378</f>
        <v>346651.0332</v>
      </c>
      <c r="AC378" t="inlineStr">
        <is>
          <t>Commercial Fuels</t>
        </is>
      </c>
      <c r="AD378" t="inlineStr">
        <is>
          <t>Trading &amp; Shipping</t>
        </is>
      </c>
      <c r="AE378" t="inlineStr">
        <is>
          <t>Trading &amp; Shipping</t>
        </is>
      </c>
      <c r="AF378" t="inlineStr">
        <is>
          <t>Squad</t>
        </is>
      </c>
      <c r="AG378" t="inlineStr">
        <is>
          <t>Filled</t>
        </is>
      </c>
    </row>
    <row r="379" hidden="1" ht="18" customHeight="1" s="506">
      <c r="A379" s="391" t="n">
        <v>2967</v>
      </c>
      <c r="B379" s="224" t="inlineStr">
        <is>
          <t>Chris Camacho</t>
        </is>
      </c>
      <c r="C379" s="317" t="inlineStr">
        <is>
          <t>Senior Systems Analyst</t>
        </is>
      </c>
      <c r="D379" s="224" t="inlineStr">
        <is>
          <t>Jaya Ganasan</t>
        </is>
      </c>
      <c r="E379" s="224" t="inlineStr">
        <is>
          <t>Technology Manager, TDD Refinery</t>
        </is>
      </c>
      <c r="F379" s="224" t="inlineStr">
        <is>
          <t>TDD CFE&amp;I</t>
        </is>
      </c>
      <c r="G379" s="318" t="inlineStr">
        <is>
          <t>Fuel Infrastructure</t>
        </is>
      </c>
      <c r="H379" s="318" t="inlineStr">
        <is>
          <t>Refinery Applications</t>
        </is>
      </c>
      <c r="I379" s="318" t="inlineStr">
        <is>
          <t>Infrastructure</t>
        </is>
      </c>
      <c r="J379" s="318" t="inlineStr">
        <is>
          <t>Manufacturing</t>
        </is>
      </c>
      <c r="K379" s="224" t="inlineStr">
        <is>
          <t>Manuacturing Group Projects</t>
        </is>
      </c>
      <c r="L379" s="318" t="n"/>
      <c r="M379" s="319" t="inlineStr">
        <is>
          <t>Australia</t>
        </is>
      </c>
      <c r="N379" s="392" t="inlineStr">
        <is>
          <t xml:space="preserve">CSB </t>
        </is>
      </c>
      <c r="O379" s="392" t="n">
        <v>1</v>
      </c>
      <c r="P379" s="392" t="n"/>
      <c r="Q379" s="392" t="inlineStr">
        <is>
          <t>Permanent - Full Time</t>
        </is>
      </c>
      <c r="R379" s="224" t="n"/>
      <c r="S379" s="224" t="n"/>
      <c r="T379" s="389" t="n">
        <v>166090</v>
      </c>
      <c r="U379" s="720" t="n">
        <v>166090</v>
      </c>
      <c r="V379" s="325" t="n">
        <v>0.14</v>
      </c>
      <c r="W379" s="702" t="n">
        <v>0.055</v>
      </c>
      <c r="X379" s="702" t="n">
        <v>0.12</v>
      </c>
      <c r="Y379" s="703" t="n"/>
      <c r="Z379" s="702" t="n">
        <v>0.04</v>
      </c>
      <c r="AA379" s="701">
        <f>U379*(1+V379+W379+X379+Y379+Z379)</f>
        <v>225051.94999999998</v>
      </c>
      <c r="AC379" t="inlineStr">
        <is>
          <t>Infrastructure</t>
        </is>
      </c>
      <c r="AD379" t="inlineStr">
        <is>
          <t>Manufacturing</t>
        </is>
      </c>
      <c r="AE379" t="inlineStr">
        <is>
          <t>Manufacturing &amp; Group Projects</t>
        </is>
      </c>
      <c r="AF379" t="inlineStr">
        <is>
          <t>Squad</t>
        </is>
      </c>
      <c r="AG379" t="inlineStr">
        <is>
          <t>Filled</t>
        </is>
      </c>
    </row>
    <row r="380" hidden="1" ht="18" customHeight="1" s="506">
      <c r="A380" s="259" t="n">
        <v>105532</v>
      </c>
      <c r="B380" s="224" t="inlineStr">
        <is>
          <t>Debbie Gor</t>
        </is>
      </c>
      <c r="C380" s="317" t="inlineStr">
        <is>
          <t>Delivery Lead</t>
        </is>
      </c>
      <c r="D380" s="318" t="inlineStr">
        <is>
          <t>Vacant</t>
        </is>
      </c>
      <c r="E380" s="224" t="inlineStr">
        <is>
          <t>Delivery Manager</t>
        </is>
      </c>
      <c r="F380" s="224" t="inlineStr">
        <is>
          <t>TDD CFE&amp;I</t>
        </is>
      </c>
      <c r="G380" s="318" t="inlineStr">
        <is>
          <t>B2B &amp; Energy Solutions</t>
        </is>
      </c>
      <c r="H380" s="318" t="inlineStr">
        <is>
          <t>Delivery</t>
        </is>
      </c>
      <c r="I380" s="318" t="inlineStr">
        <is>
          <t>B2B &amp; Energy Solutions</t>
        </is>
      </c>
      <c r="J380" s="224" t="inlineStr">
        <is>
          <t>B2B</t>
        </is>
      </c>
      <c r="K380" s="224" t="inlineStr">
        <is>
          <t>B2B</t>
        </is>
      </c>
      <c r="L380" s="318" t="n"/>
      <c r="M380" s="319" t="inlineStr">
        <is>
          <t>Australia</t>
        </is>
      </c>
      <c r="N380" s="320" t="inlineStr">
        <is>
          <t>CIC</t>
        </is>
      </c>
      <c r="O380" s="320" t="n">
        <v>1</v>
      </c>
      <c r="P380" s="320" t="n"/>
      <c r="Q380" s="320" t="inlineStr">
        <is>
          <t>Permanent - Full Time</t>
        </is>
      </c>
      <c r="R380" s="322" t="n"/>
      <c r="S380" s="322" t="n"/>
      <c r="T380" s="334" t="n">
        <v>199710</v>
      </c>
      <c r="U380" s="705" t="n">
        <v>199710</v>
      </c>
      <c r="V380" s="325" t="n">
        <v>0.12</v>
      </c>
      <c r="W380" s="702" t="n">
        <v>0.055</v>
      </c>
      <c r="X380" s="702" t="n">
        <v>0.12</v>
      </c>
      <c r="Y380" s="703" t="n"/>
      <c r="Z380" s="702" t="n">
        <v>0.04</v>
      </c>
      <c r="AA380" s="701">
        <f>U380*(1+V380+W380+X380+Y380+Z380)</f>
        <v>266612.85</v>
      </c>
      <c r="AC380" t="inlineStr">
        <is>
          <t>Energy Solutions &amp; B2B</t>
        </is>
      </c>
      <c r="AD380" t="inlineStr">
        <is>
          <t>B2B</t>
        </is>
      </c>
      <c r="AE380" t="inlineStr">
        <is>
          <t>B2B</t>
        </is>
      </c>
      <c r="AF380" t="inlineStr">
        <is>
          <t>Squad</t>
        </is>
      </c>
      <c r="AG380" t="inlineStr">
        <is>
          <t>Filled</t>
        </is>
      </c>
    </row>
    <row r="381" hidden="1" ht="18" customHeight="1" s="506">
      <c r="A381" s="259" t="n">
        <v>107463</v>
      </c>
      <c r="B381" s="224" t="inlineStr">
        <is>
          <t>Deepa Kaur</t>
        </is>
      </c>
      <c r="C381" s="317" t="inlineStr">
        <is>
          <t>Senior Engineer Automation Testing</t>
        </is>
      </c>
      <c r="D381" s="318" t="inlineStr">
        <is>
          <t>Vacant</t>
        </is>
      </c>
      <c r="E381" s="224" t="inlineStr">
        <is>
          <t>Technology Manager, Engineering</t>
        </is>
      </c>
      <c r="F381" s="224" t="inlineStr">
        <is>
          <t>TDD CFE&amp;I</t>
        </is>
      </c>
      <c r="G381" s="318" t="inlineStr">
        <is>
          <t>Commercial Fuels</t>
        </is>
      </c>
      <c r="H381" s="318" t="inlineStr">
        <is>
          <t>Technology, CF Engineering</t>
        </is>
      </c>
      <c r="I381" s="318" t="inlineStr">
        <is>
          <t>Commercial Fuels</t>
        </is>
      </c>
      <c r="J381" s="224" t="inlineStr">
        <is>
          <t>CTRM</t>
        </is>
      </c>
      <c r="K381" s="224" t="inlineStr">
        <is>
          <t>CTRM</t>
        </is>
      </c>
      <c r="L381" s="318" t="n"/>
      <c r="M381" s="319" t="inlineStr">
        <is>
          <t>Australia</t>
        </is>
      </c>
      <c r="N381" s="320" t="inlineStr">
        <is>
          <t>CIB</t>
        </is>
      </c>
      <c r="O381" s="320" t="n">
        <v>1</v>
      </c>
      <c r="P381" s="320" t="n"/>
      <c r="Q381" s="320" t="inlineStr">
        <is>
          <t>Permanent - Full Time</t>
        </is>
      </c>
      <c r="R381" s="322" t="n"/>
      <c r="S381" s="322" t="n"/>
      <c r="T381" s="334" t="n">
        <v>145710</v>
      </c>
      <c r="U381" s="705" t="n">
        <v>145710</v>
      </c>
      <c r="V381" s="325" t="n">
        <v>0.12</v>
      </c>
      <c r="W381" s="702" t="n">
        <v>0.055</v>
      </c>
      <c r="X381" s="702" t="n">
        <v>0.12</v>
      </c>
      <c r="Y381" s="703" t="n"/>
      <c r="Z381" s="702" t="n">
        <v>0.04</v>
      </c>
      <c r="AA381" s="701">
        <f>U381*(1+V381+W381+X381+Y381+Z381)</f>
        <v>194522.85</v>
      </c>
      <c r="AC381" t="inlineStr">
        <is>
          <t>Commercial Fuels</t>
        </is>
      </c>
      <c r="AD381" t="inlineStr">
        <is>
          <t>CTRM</t>
        </is>
      </c>
      <c r="AE381" t="inlineStr">
        <is>
          <t>CTRM</t>
        </is>
      </c>
      <c r="AF381" t="inlineStr">
        <is>
          <t>Strategic Program</t>
        </is>
      </c>
      <c r="AG381" t="inlineStr">
        <is>
          <t>Filled</t>
        </is>
      </c>
    </row>
    <row r="382" hidden="1" ht="18" customHeight="1" s="506">
      <c r="A382" s="259" t="n">
        <v>6748</v>
      </c>
      <c r="B382" s="224" t="inlineStr">
        <is>
          <t>Elle Spencer</t>
        </is>
      </c>
      <c r="C382" s="317" t="inlineStr">
        <is>
          <t>Technology Manager - B2B</t>
        </is>
      </c>
      <c r="D382" s="318" t="inlineStr">
        <is>
          <t>Liesl Tye</t>
        </is>
      </c>
      <c r="E382" s="224" t="inlineStr">
        <is>
          <t>Head of Technology, B2B &amp; Energy Solutions</t>
        </is>
      </c>
      <c r="F382" s="224" t="inlineStr">
        <is>
          <t>TDD CFE&amp;I</t>
        </is>
      </c>
      <c r="G382" s="318" t="inlineStr">
        <is>
          <t>B2B &amp; Energy Solutions</t>
        </is>
      </c>
      <c r="H382" s="318" t="inlineStr">
        <is>
          <t>Technology B2B</t>
        </is>
      </c>
      <c r="I382" s="318" t="inlineStr">
        <is>
          <t>B2B &amp; Energy Solutions</t>
        </is>
      </c>
      <c r="J382" s="328" t="inlineStr">
        <is>
          <t>Leadership</t>
        </is>
      </c>
      <c r="K382" s="224" t="inlineStr">
        <is>
          <t>Leadership</t>
        </is>
      </c>
      <c r="L382" s="318" t="n"/>
      <c r="M382" s="319" t="inlineStr">
        <is>
          <t>Australia</t>
        </is>
      </c>
      <c r="N382" s="322" t="inlineStr">
        <is>
          <t>CSB</t>
        </is>
      </c>
      <c r="O382" s="322" t="n">
        <v>1</v>
      </c>
      <c r="P382" s="322" t="n"/>
      <c r="Q382" s="322" t="inlineStr">
        <is>
          <t>Permanent - Full Time</t>
        </is>
      </c>
      <c r="R382" s="322" t="n"/>
      <c r="S382" s="322" t="n"/>
      <c r="T382" s="334" t="n">
        <v>217390</v>
      </c>
      <c r="U382" s="705" t="n">
        <v>217390</v>
      </c>
      <c r="V382" s="325" t="n">
        <v>0.14</v>
      </c>
      <c r="W382" s="702" t="n">
        <v>0.055</v>
      </c>
      <c r="X382" s="702" t="n">
        <v>0.12</v>
      </c>
      <c r="Y382" s="703" t="n"/>
      <c r="Z382" s="702" t="n">
        <v>0.04</v>
      </c>
      <c r="AA382" s="701">
        <f>U382*(1+V382+W382+X382+Y382+Z382)</f>
        <v>294563.45</v>
      </c>
      <c r="AC382" t="inlineStr">
        <is>
          <t>Energy Solutions &amp; B2B</t>
        </is>
      </c>
      <c r="AD382" t="inlineStr">
        <is>
          <t>Leadership</t>
        </is>
      </c>
      <c r="AE382" t="inlineStr">
        <is>
          <t>Leadership</t>
        </is>
      </c>
      <c r="AF382" t="inlineStr">
        <is>
          <t>Leadership</t>
        </is>
      </c>
      <c r="AG382" t="inlineStr">
        <is>
          <t>Filled</t>
        </is>
      </c>
    </row>
    <row r="383" hidden="1" ht="18" customHeight="1" s="506">
      <c r="A383" s="259" t="n">
        <v>97973</v>
      </c>
      <c r="B383" s="224" t="inlineStr">
        <is>
          <t>Elma Kurian</t>
        </is>
      </c>
      <c r="C383" s="317" t="inlineStr">
        <is>
          <t>System Specialist</t>
        </is>
      </c>
      <c r="D383" s="318" t="inlineStr">
        <is>
          <t>Vacant</t>
        </is>
      </c>
      <c r="E383" s="224" t="inlineStr">
        <is>
          <t>Technology Manager, Energy Solutions</t>
        </is>
      </c>
      <c r="F383" s="224" t="inlineStr">
        <is>
          <t>TDD CFE&amp;I</t>
        </is>
      </c>
      <c r="G383" s="318" t="inlineStr">
        <is>
          <t>B2B &amp; Energy Solutions</t>
        </is>
      </c>
      <c r="H383" s="318" t="inlineStr">
        <is>
          <t>Technology Energy Solutions</t>
        </is>
      </c>
      <c r="I383" s="318" t="inlineStr">
        <is>
          <t>B2B &amp; Energy Solutions</t>
        </is>
      </c>
      <c r="J383" s="318" t="inlineStr">
        <is>
          <t>Energy Solutions</t>
        </is>
      </c>
      <c r="K383" s="224" t="inlineStr">
        <is>
          <t>Energy</t>
        </is>
      </c>
      <c r="L383" s="318" t="n"/>
      <c r="M383" s="319" t="inlineStr">
        <is>
          <t>Australia</t>
        </is>
      </c>
      <c r="N383" s="320" t="inlineStr">
        <is>
          <t>CIB</t>
        </is>
      </c>
      <c r="O383" s="320" t="n">
        <v>1</v>
      </c>
      <c r="P383" s="320" t="n"/>
      <c r="Q383" s="320" t="inlineStr">
        <is>
          <t>Permanent - Full Time</t>
        </is>
      </c>
      <c r="R383" s="322" t="n"/>
      <c r="S383" s="322" t="n"/>
      <c r="T383" s="334" t="n">
        <v>152250</v>
      </c>
      <c r="U383" s="705" t="n">
        <v>152250</v>
      </c>
      <c r="V383" s="325" t="n">
        <v>0.12</v>
      </c>
      <c r="W383" s="702" t="n">
        <v>0.055</v>
      </c>
      <c r="X383" s="702" t="n">
        <v>0.12</v>
      </c>
      <c r="Y383" s="703" t="n"/>
      <c r="Z383" s="702" t="n">
        <v>0.04</v>
      </c>
      <c r="AA383" s="701">
        <f>U383*(1+V383+W383+X383+Y383+Z383)</f>
        <v>203253.75</v>
      </c>
      <c r="AC383" t="inlineStr">
        <is>
          <t>Energy Solutions &amp; B2B</t>
        </is>
      </c>
      <c r="AD383" t="inlineStr">
        <is>
          <t>Energy Solutions</t>
        </is>
      </c>
      <c r="AE383" t="inlineStr">
        <is>
          <t>Energy</t>
        </is>
      </c>
      <c r="AF383" t="inlineStr">
        <is>
          <t>Squad</t>
        </is>
      </c>
      <c r="AG383" t="inlineStr">
        <is>
          <t>Filled</t>
        </is>
      </c>
    </row>
    <row r="384" hidden="1" ht="18" customHeight="1" s="506">
      <c r="A384" s="259" t="n">
        <v>116090</v>
      </c>
      <c r="B384" s="224" t="inlineStr">
        <is>
          <t>Fabian Moreno Cortes</t>
        </is>
      </c>
      <c r="C384" s="317" t="inlineStr">
        <is>
          <t>Engineer - Software</t>
        </is>
      </c>
      <c r="D384" s="224" t="inlineStr">
        <is>
          <t>Jaya Ganasan</t>
        </is>
      </c>
      <c r="E384" s="224" t="inlineStr">
        <is>
          <t>Technology Manager, TDD Refinery</t>
        </is>
      </c>
      <c r="F384" s="224" t="inlineStr">
        <is>
          <t>TDD CFE&amp;I</t>
        </is>
      </c>
      <c r="G384" s="318" t="inlineStr">
        <is>
          <t>Fuel Infrastructure</t>
        </is>
      </c>
      <c r="H384" s="318" t="inlineStr">
        <is>
          <t>Refinery Applications</t>
        </is>
      </c>
      <c r="I384" s="318" t="inlineStr">
        <is>
          <t>Infrastructure</t>
        </is>
      </c>
      <c r="J384" s="318" t="inlineStr">
        <is>
          <t>Manufacturing</t>
        </is>
      </c>
      <c r="K384" s="224" t="inlineStr">
        <is>
          <t>Manuacturing Group Projects</t>
        </is>
      </c>
      <c r="L384" s="318" t="n"/>
      <c r="M384" s="319" t="inlineStr">
        <is>
          <t>Australia</t>
        </is>
      </c>
      <c r="N384" s="320" t="inlineStr">
        <is>
          <t>CIB</t>
        </is>
      </c>
      <c r="O384" s="320" t="n">
        <v>1</v>
      </c>
      <c r="P384" s="320" t="n"/>
      <c r="Q384" s="320" t="inlineStr">
        <is>
          <t>Permanent - Full Time</t>
        </is>
      </c>
      <c r="R384" s="322" t="n"/>
      <c r="S384" s="322" t="n"/>
      <c r="T384" s="334" t="n">
        <v>145000</v>
      </c>
      <c r="U384" s="705" t="n">
        <v>145000</v>
      </c>
      <c r="V384" s="325" t="n">
        <v>0.12</v>
      </c>
      <c r="W384" s="702" t="n">
        <v>0.055</v>
      </c>
      <c r="X384" s="702" t="n">
        <v>0.12</v>
      </c>
      <c r="Y384" s="703" t="n"/>
      <c r="Z384" s="702" t="n">
        <v>0.04</v>
      </c>
      <c r="AA384" s="701">
        <f>U384*(1+V384+W384+X384+Y384+Z384)</f>
        <v>193575.0</v>
      </c>
      <c r="AC384" t="inlineStr">
        <is>
          <t>Infrastructure</t>
        </is>
      </c>
      <c r="AD384" t="inlineStr">
        <is>
          <t>Manufacturing</t>
        </is>
      </c>
      <c r="AE384" t="inlineStr">
        <is>
          <t>Manufacturing &amp; Group Projects</t>
        </is>
      </c>
      <c r="AF384" t="inlineStr">
        <is>
          <t>Squad</t>
        </is>
      </c>
      <c r="AG384" t="inlineStr">
        <is>
          <t>Filled</t>
        </is>
      </c>
    </row>
    <row r="385" hidden="1" ht="18" customHeight="1" s="506">
      <c r="A385" s="259" t="n">
        <v>99691</v>
      </c>
      <c r="B385" s="224" t="inlineStr">
        <is>
          <t>Frank Liang</t>
        </is>
      </c>
      <c r="C385" s="317" t="inlineStr">
        <is>
          <t>Senior Systems Analyst</t>
        </is>
      </c>
      <c r="D385" s="224" t="inlineStr">
        <is>
          <t>Elle Spencer</t>
        </is>
      </c>
      <c r="E385" s="224" t="inlineStr">
        <is>
          <t>Technology Manager, Energy Solutions</t>
        </is>
      </c>
      <c r="F385" s="224" t="inlineStr">
        <is>
          <t>TDD CFE&amp;I</t>
        </is>
      </c>
      <c r="G385" s="318" t="inlineStr">
        <is>
          <t>B2B &amp; Energy Solutions</t>
        </is>
      </c>
      <c r="H385" s="318" t="inlineStr">
        <is>
          <t>Technology B2B</t>
        </is>
      </c>
      <c r="I385" s="318" t="inlineStr">
        <is>
          <t>B2B &amp; Energy Solutions</t>
        </is>
      </c>
      <c r="J385" s="224" t="inlineStr">
        <is>
          <t>B2B</t>
        </is>
      </c>
      <c r="K385" s="224" t="inlineStr">
        <is>
          <t>B2B</t>
        </is>
      </c>
      <c r="L385" s="318" t="n"/>
      <c r="M385" s="319" t="inlineStr">
        <is>
          <t>Australia</t>
        </is>
      </c>
      <c r="N385" s="320" t="inlineStr">
        <is>
          <t>CIC</t>
        </is>
      </c>
      <c r="O385" s="320" t="n">
        <v>1</v>
      </c>
      <c r="P385" s="320" t="n"/>
      <c r="Q385" s="320" t="inlineStr">
        <is>
          <t>Permanent - Full Time</t>
        </is>
      </c>
      <c r="R385" s="322" t="n"/>
      <c r="S385" s="322" t="n"/>
      <c r="T385" s="334" t="n">
        <v>167510</v>
      </c>
      <c r="U385" s="705" t="n">
        <v>167510</v>
      </c>
      <c r="V385" s="325" t="n">
        <v>0.12</v>
      </c>
      <c r="W385" s="702" t="n">
        <v>0.055</v>
      </c>
      <c r="X385" s="702" t="n">
        <v>0.12</v>
      </c>
      <c r="Y385" s="703" t="n"/>
      <c r="Z385" s="702" t="n">
        <v>0.04</v>
      </c>
      <c r="AA385" s="701">
        <f>U385*(1+V385+W385+X385+Y385+Z385)</f>
        <v>223625.85</v>
      </c>
      <c r="AC385" t="inlineStr">
        <is>
          <t>Energy Solutions &amp; B2B</t>
        </is>
      </c>
      <c r="AD385" t="inlineStr">
        <is>
          <t>B2B</t>
        </is>
      </c>
      <c r="AE385" t="inlineStr">
        <is>
          <t>B2B</t>
        </is>
      </c>
      <c r="AF385" t="inlineStr">
        <is>
          <t>Squad</t>
        </is>
      </c>
      <c r="AG385" t="inlineStr">
        <is>
          <t>Filled</t>
        </is>
      </c>
    </row>
    <row r="386" hidden="1" ht="18" customHeight="1" s="506">
      <c r="A386" s="259" t="n">
        <v>114717</v>
      </c>
      <c r="B386" s="224" t="inlineStr">
        <is>
          <t>Fransiscus Setiawan</t>
        </is>
      </c>
      <c r="C386" s="317" t="inlineStr">
        <is>
          <t xml:space="preserve">Integration Architect   </t>
        </is>
      </c>
      <c r="D386" s="318" t="inlineStr">
        <is>
          <t>Vacant</t>
        </is>
      </c>
      <c r="E386" s="224" t="inlineStr">
        <is>
          <t>Technology Manager, Engineering</t>
        </is>
      </c>
      <c r="F386" s="224" t="inlineStr">
        <is>
          <t>TDD CFE&amp;I</t>
        </is>
      </c>
      <c r="G386" s="318" t="inlineStr">
        <is>
          <t>Commercial Fuels</t>
        </is>
      </c>
      <c r="H386" s="318" t="inlineStr">
        <is>
          <t>Technology, CF Engineering</t>
        </is>
      </c>
      <c r="I386" s="318" t="inlineStr">
        <is>
          <t>Commercial Fuels</t>
        </is>
      </c>
      <c r="J386" s="224" t="inlineStr">
        <is>
          <t>CTRM</t>
        </is>
      </c>
      <c r="K386" s="224" t="inlineStr">
        <is>
          <t>CTRM</t>
        </is>
      </c>
      <c r="L386" s="318" t="n"/>
      <c r="M386" s="319" t="inlineStr">
        <is>
          <t>Australia</t>
        </is>
      </c>
      <c r="N386" s="320" t="inlineStr">
        <is>
          <t>CIC</t>
        </is>
      </c>
      <c r="O386" s="320" t="n">
        <v>1</v>
      </c>
      <c r="P386" s="320" t="n"/>
      <c r="Q386" s="320" t="inlineStr">
        <is>
          <t>Permanent - Full Time</t>
        </is>
      </c>
      <c r="R386" s="322" t="n"/>
      <c r="S386" s="322" t="n"/>
      <c r="T386" s="334" t="n">
        <v>210000</v>
      </c>
      <c r="U386" s="705" t="n">
        <v>210000</v>
      </c>
      <c r="V386" s="325" t="n">
        <v>0.12</v>
      </c>
      <c r="W386" s="702" t="n">
        <v>0.055</v>
      </c>
      <c r="X386" s="702" t="n">
        <v>0.12</v>
      </c>
      <c r="Y386" s="703" t="n"/>
      <c r="Z386" s="702" t="n">
        <v>0.04</v>
      </c>
      <c r="AA386" s="701">
        <f>U386*(1+V386+W386+X386+Y386+Z386)</f>
        <v>280350.0</v>
      </c>
      <c r="AC386" t="inlineStr">
        <is>
          <t>Commercial Fuels</t>
        </is>
      </c>
      <c r="AD386" t="inlineStr">
        <is>
          <t>CTRM</t>
        </is>
      </c>
      <c r="AE386" t="inlineStr">
        <is>
          <t>CTRM</t>
        </is>
      </c>
      <c r="AF386" t="inlineStr">
        <is>
          <t>Strategic Program</t>
        </is>
      </c>
      <c r="AG386" t="inlineStr">
        <is>
          <t>Filled</t>
        </is>
      </c>
    </row>
    <row r="387" hidden="1" ht="18" customHeight="1" s="506">
      <c r="A387" s="259" t="n">
        <v>106201</v>
      </c>
      <c r="B387" s="335" t="inlineStr">
        <is>
          <t>George Moun</t>
        </is>
      </c>
      <c r="C387" s="403" t="inlineStr">
        <is>
          <t>Solution Architect</t>
        </is>
      </c>
      <c r="D387" s="318" t="inlineStr">
        <is>
          <t>Amish Pandit</t>
        </is>
      </c>
      <c r="E387" s="318" t="inlineStr">
        <is>
          <t>Head of Technology, Infrastructure</t>
        </is>
      </c>
      <c r="F387" s="224" t="inlineStr">
        <is>
          <t>TDD CFE&amp;I</t>
        </is>
      </c>
      <c r="G387" s="318" t="inlineStr">
        <is>
          <t>Fuel Infrastructure</t>
        </is>
      </c>
      <c r="H387" s="318" t="inlineStr">
        <is>
          <t>Fuel Infrastructure</t>
        </is>
      </c>
      <c r="I387" s="318" t="inlineStr">
        <is>
          <t>Infrastructure</t>
        </is>
      </c>
      <c r="J387" s="318" t="inlineStr">
        <is>
          <t xml:space="preserve">Leadership </t>
        </is>
      </c>
      <c r="K387" s="318" t="inlineStr">
        <is>
          <t>Leadership</t>
        </is>
      </c>
      <c r="L387" s="318" t="n"/>
      <c r="M387" s="319" t="inlineStr">
        <is>
          <t>Australia</t>
        </is>
      </c>
      <c r="N387" s="320" t="inlineStr">
        <is>
          <t>CIC</t>
        </is>
      </c>
      <c r="O387" s="320" t="n">
        <v>1</v>
      </c>
      <c r="P387" s="320" t="n"/>
      <c r="Q387" s="320" t="inlineStr">
        <is>
          <t>Permanent - Full Time</t>
        </is>
      </c>
      <c r="R387" s="322" t="n"/>
      <c r="S387" s="322" t="n"/>
      <c r="T387" s="334" t="n">
        <v>192260</v>
      </c>
      <c r="U387" s="705" t="n">
        <v>192260</v>
      </c>
      <c r="V387" s="325" t="n">
        <v>0.12</v>
      </c>
      <c r="W387" s="702" t="n">
        <v>0.055</v>
      </c>
      <c r="X387" s="702" t="n">
        <v>0.12</v>
      </c>
      <c r="Y387" s="703" t="n"/>
      <c r="Z387" s="702" t="n">
        <v>0.04</v>
      </c>
      <c r="AA387" s="701">
        <f>U387*(1+V387+W387+X387+Y387+Z387)</f>
        <v>256667.1</v>
      </c>
      <c r="AC387" t="inlineStr">
        <is>
          <t>Infrastructure</t>
        </is>
      </c>
      <c r="AD387" t="inlineStr">
        <is>
          <t>Leadership</t>
        </is>
      </c>
      <c r="AE387" t="inlineStr">
        <is>
          <t>Leadership</t>
        </is>
      </c>
      <c r="AF387" t="inlineStr">
        <is>
          <t>Leadership</t>
        </is>
      </c>
      <c r="AG387" t="inlineStr">
        <is>
          <t>Filled</t>
        </is>
      </c>
    </row>
    <row r="388" hidden="1" ht="18" customHeight="1" s="506">
      <c r="A388" s="259" t="n">
        <v>102576</v>
      </c>
      <c r="B388" s="224" t="inlineStr">
        <is>
          <t>Glenn Earl</t>
        </is>
      </c>
      <c r="C388" s="317" t="inlineStr">
        <is>
          <t>Lead Technology Support - Infrastructure</t>
        </is>
      </c>
      <c r="D388" s="224" t="inlineStr">
        <is>
          <t>Jaya Ganasan</t>
        </is>
      </c>
      <c r="E388" s="224" t="inlineStr">
        <is>
          <t>Technology Manager, TDD Refinery</t>
        </is>
      </c>
      <c r="F388" s="224" t="inlineStr">
        <is>
          <t>TDD CFE&amp;I</t>
        </is>
      </c>
      <c r="G388" s="318" t="inlineStr">
        <is>
          <t>Fuel Infrastructure</t>
        </is>
      </c>
      <c r="H388" s="318" t="inlineStr">
        <is>
          <t>Refinery Applications</t>
        </is>
      </c>
      <c r="I388" s="318" t="inlineStr">
        <is>
          <t>Infrastructure</t>
        </is>
      </c>
      <c r="J388" s="318" t="inlineStr">
        <is>
          <t>Fuel Infrastructure</t>
        </is>
      </c>
      <c r="K388" s="224" t="inlineStr">
        <is>
          <t>Technology Suport</t>
        </is>
      </c>
      <c r="L388" s="318" t="n"/>
      <c r="M388" s="319" t="inlineStr">
        <is>
          <t>Australia</t>
        </is>
      </c>
      <c r="N388" s="320" t="inlineStr">
        <is>
          <t>CIA</t>
        </is>
      </c>
      <c r="O388" s="320" t="n">
        <v>1</v>
      </c>
      <c r="P388" s="320" t="n"/>
      <c r="Q388" s="320" t="inlineStr">
        <is>
          <t>Permanent - Full Time</t>
        </is>
      </c>
      <c r="R388" s="322" t="n"/>
      <c r="S388" s="322" t="n"/>
      <c r="T388" s="334" t="n">
        <v>130260</v>
      </c>
      <c r="U388" s="705" t="n">
        <v>130260</v>
      </c>
      <c r="V388" s="325" t="n">
        <v>0.1</v>
      </c>
      <c r="W388" s="702" t="n">
        <v>0.055</v>
      </c>
      <c r="X388" s="702" t="n">
        <v>0.12</v>
      </c>
      <c r="Y388" s="703" t="n"/>
      <c r="Z388" s="702" t="n">
        <v>0.04</v>
      </c>
      <c r="AA388" s="701">
        <f>U388*(1+V388+W388+X388+Y388+Z388)</f>
        <v>171291.9</v>
      </c>
      <c r="AC388" t="inlineStr">
        <is>
          <t>Infrastructure</t>
        </is>
      </c>
      <c r="AD388" t="inlineStr">
        <is>
          <t>Manufacturing</t>
        </is>
      </c>
      <c r="AE388" t="inlineStr">
        <is>
          <t>Technology Support</t>
        </is>
      </c>
      <c r="AF388" t="inlineStr">
        <is>
          <t>Squad</t>
        </is>
      </c>
      <c r="AG388" t="inlineStr">
        <is>
          <t>Filled</t>
        </is>
      </c>
    </row>
    <row r="389" hidden="1" ht="18" customHeight="1" s="506">
      <c r="A389" s="259" t="n">
        <v>99999100769</v>
      </c>
      <c r="B389" s="224" t="inlineStr">
        <is>
          <t>Gokila Mylsamy</t>
        </is>
      </c>
      <c r="C389" s="317" t="inlineStr">
        <is>
          <t>Lead Engineer Software</t>
        </is>
      </c>
      <c r="D389" s="318" t="inlineStr">
        <is>
          <t>Vacant</t>
        </is>
      </c>
      <c r="E389" s="224" t="inlineStr">
        <is>
          <t>Technology Manager, Energy Solutions</t>
        </is>
      </c>
      <c r="F389" s="224" t="inlineStr">
        <is>
          <t>TDD CFE&amp;I</t>
        </is>
      </c>
      <c r="G389" s="318" t="inlineStr">
        <is>
          <t>B2B &amp; Energy Solutions</t>
        </is>
      </c>
      <c r="H389" s="318" t="inlineStr">
        <is>
          <t>Technology Energy Solutions</t>
        </is>
      </c>
      <c r="I389" s="318" t="inlineStr">
        <is>
          <t>B2B &amp; Energy Solutions</t>
        </is>
      </c>
      <c r="J389" s="318" t="inlineStr">
        <is>
          <t>Energy Solutions</t>
        </is>
      </c>
      <c r="K389" s="224" t="inlineStr">
        <is>
          <t>EVCI</t>
        </is>
      </c>
      <c r="L389" s="318" t="n"/>
      <c r="M389" s="319" t="inlineStr">
        <is>
          <t>NZ</t>
        </is>
      </c>
      <c r="N389" s="320" t="inlineStr">
        <is>
          <t>CIC</t>
        </is>
      </c>
      <c r="O389" s="321" t="n">
        <v>1</v>
      </c>
      <c r="P389" s="320" t="n"/>
      <c r="Q389" s="321" t="inlineStr">
        <is>
          <t>Permanent - Full Time</t>
        </is>
      </c>
      <c r="R389" s="322" t="n"/>
      <c r="S389" s="322" t="n"/>
      <c r="T389" s="334" t="n">
        <v>160220</v>
      </c>
      <c r="U389" s="705" t="n">
        <v>147402.4</v>
      </c>
      <c r="V389" s="324" t="n">
        <v>0.15</v>
      </c>
      <c r="W389" s="321" t="n"/>
      <c r="X389" s="325" t="n">
        <v>0.05</v>
      </c>
      <c r="Y389" s="700" t="n">
        <v>2910</v>
      </c>
      <c r="Z389" s="325" t="n">
        <v>0.03</v>
      </c>
      <c r="AA389" s="701">
        <f>U389*(1+V389+X389+Z389)+Y389</f>
        <v>184214.952</v>
      </c>
      <c r="AB389" t="n">
        <v>113542</v>
      </c>
      <c r="AC389" t="inlineStr">
        <is>
          <t>Energy Solutions &amp; B2B</t>
        </is>
      </c>
      <c r="AD389" t="inlineStr">
        <is>
          <t>Energy Solutions</t>
        </is>
      </c>
      <c r="AE389" t="inlineStr">
        <is>
          <t>EVCI</t>
        </is>
      </c>
      <c r="AF389" t="inlineStr">
        <is>
          <t>Squad</t>
        </is>
      </c>
      <c r="AG389" t="inlineStr">
        <is>
          <t>Filled</t>
        </is>
      </c>
    </row>
    <row r="390" hidden="1" ht="18" customHeight="1" s="506">
      <c r="A390" s="259" t="n">
        <v>107550</v>
      </c>
      <c r="B390" s="224" t="inlineStr">
        <is>
          <t>Gunjan Vasudeva</t>
        </is>
      </c>
      <c r="C390" s="317" t="inlineStr">
        <is>
          <t>Lead Quality Assurance</t>
        </is>
      </c>
      <c r="D390" s="318" t="inlineStr">
        <is>
          <t>Vacant</t>
        </is>
      </c>
      <c r="E390" s="224" t="inlineStr">
        <is>
          <t>Technology Manager, Energy Solutions</t>
        </is>
      </c>
      <c r="F390" s="224" t="inlineStr">
        <is>
          <t>TDD CFE&amp;I</t>
        </is>
      </c>
      <c r="G390" s="318" t="inlineStr">
        <is>
          <t>B2B &amp; Energy Solutions</t>
        </is>
      </c>
      <c r="H390" s="318" t="inlineStr">
        <is>
          <t>Technology Energy Solutions</t>
        </is>
      </c>
      <c r="I390" s="318" t="inlineStr">
        <is>
          <t>B2B &amp; Energy Solutions</t>
        </is>
      </c>
      <c r="J390" s="318" t="inlineStr">
        <is>
          <t>Energy Solutions</t>
        </is>
      </c>
      <c r="K390" s="224" t="inlineStr">
        <is>
          <t>Energy</t>
        </is>
      </c>
      <c r="L390" s="318" t="n"/>
      <c r="M390" s="319" t="inlineStr">
        <is>
          <t>Australia</t>
        </is>
      </c>
      <c r="N390" s="320" t="inlineStr">
        <is>
          <t>CIB</t>
        </is>
      </c>
      <c r="O390" s="320" t="n">
        <v>1</v>
      </c>
      <c r="P390" s="320" t="n"/>
      <c r="Q390" s="320" t="inlineStr">
        <is>
          <t>Permanent - Full Time</t>
        </is>
      </c>
      <c r="R390" s="322" t="n"/>
      <c r="S390" s="322" t="n"/>
      <c r="T390" s="334" t="n">
        <v>156160</v>
      </c>
      <c r="U390" s="705" t="n">
        <v>156160</v>
      </c>
      <c r="V390" s="325" t="n">
        <v>0.12</v>
      </c>
      <c r="W390" s="702" t="n">
        <v>0.055</v>
      </c>
      <c r="X390" s="702" t="n">
        <v>0.12</v>
      </c>
      <c r="Y390" s="703" t="n"/>
      <c r="Z390" s="702" t="n">
        <v>0.04</v>
      </c>
      <c r="AA390" s="701">
        <f>U390*(1+V390+W390+X390+Y390+Z390)</f>
        <v>208473.6</v>
      </c>
      <c r="AC390" t="inlineStr">
        <is>
          <t>Energy Solutions &amp; B2B</t>
        </is>
      </c>
      <c r="AD390" t="inlineStr">
        <is>
          <t>Energy Solutions</t>
        </is>
      </c>
      <c r="AE390" t="inlineStr">
        <is>
          <t>Energy</t>
        </is>
      </c>
      <c r="AF390" t="inlineStr">
        <is>
          <t>Squad</t>
        </is>
      </c>
      <c r="AG390" t="inlineStr">
        <is>
          <t>Filled</t>
        </is>
      </c>
    </row>
    <row r="391" hidden="1" ht="18" customHeight="1" s="506">
      <c r="A391" s="259" t="n">
        <v>103651</v>
      </c>
      <c r="B391" s="224" t="inlineStr">
        <is>
          <t>Hari Maneti</t>
        </is>
      </c>
      <c r="C391" s="317" t="inlineStr">
        <is>
          <t>Systems Analyst</t>
        </is>
      </c>
      <c r="D391" s="224" t="inlineStr">
        <is>
          <t>Allan Francia</t>
        </is>
      </c>
      <c r="E391" s="224" t="inlineStr">
        <is>
          <t>Technology Manager, T&amp;S</t>
        </is>
      </c>
      <c r="F391" s="224" t="inlineStr">
        <is>
          <t>TDD CFE&amp;I</t>
        </is>
      </c>
      <c r="G391" s="318" t="inlineStr">
        <is>
          <t>Commercial Fuels</t>
        </is>
      </c>
      <c r="H391" s="318" t="inlineStr">
        <is>
          <t>Technology, Trading &amp; Shipping</t>
        </is>
      </c>
      <c r="I391" s="318" t="inlineStr">
        <is>
          <t>Commercial Fuels</t>
        </is>
      </c>
      <c r="J391" s="318" t="inlineStr">
        <is>
          <t>Trading &amp; Shipping</t>
        </is>
      </c>
      <c r="K391" s="224" t="inlineStr">
        <is>
          <t>Trading &amp; Shipping</t>
        </is>
      </c>
      <c r="L391" s="318" t="n"/>
      <c r="M391" s="319" t="inlineStr">
        <is>
          <t>Singapore</t>
        </is>
      </c>
      <c r="N391" s="320" t="inlineStr">
        <is>
          <t>CIB</t>
        </is>
      </c>
      <c r="O391" s="320" t="n">
        <v>1</v>
      </c>
      <c r="P391" s="320" t="n"/>
      <c r="Q391" s="320" t="inlineStr">
        <is>
          <t>Permanent - Full Time</t>
        </is>
      </c>
      <c r="R391" s="322" t="n"/>
      <c r="S391" s="322" t="n"/>
      <c r="T391" s="334" t="n">
        <v>163780</v>
      </c>
      <c r="U391" s="705" t="n">
        <v>198173.8</v>
      </c>
      <c r="V391" s="325" t="n">
        <v>0.25</v>
      </c>
      <c r="W391" s="322" t="n"/>
      <c r="X391" s="325" t="n">
        <v>0.17</v>
      </c>
      <c r="Y391" s="700" t="n">
        <v>3310</v>
      </c>
      <c r="Z391" s="347" t="n">
        <v>0.045</v>
      </c>
      <c r="AA391" s="701">
        <f>U391*(1+V391+X391+Z391)+Y391</f>
        <v>293634.61699999997</v>
      </c>
      <c r="AC391" t="inlineStr">
        <is>
          <t>Commercial Fuels</t>
        </is>
      </c>
      <c r="AD391" t="inlineStr">
        <is>
          <t>Trading &amp; Shipping</t>
        </is>
      </c>
      <c r="AE391" t="inlineStr">
        <is>
          <t>Trading &amp; Shipping</t>
        </is>
      </c>
      <c r="AF391" t="inlineStr">
        <is>
          <t>Squad</t>
        </is>
      </c>
      <c r="AG391" t="inlineStr">
        <is>
          <t>Filled</t>
        </is>
      </c>
    </row>
    <row r="392" hidden="1" ht="18" customHeight="1" s="506">
      <c r="A392" s="259" t="n">
        <v>99999101143</v>
      </c>
      <c r="B392" s="224" t="inlineStr">
        <is>
          <t>Hayden Corney</t>
        </is>
      </c>
      <c r="C392" s="317" t="inlineStr">
        <is>
          <t>Lead Engineer Software</t>
        </is>
      </c>
      <c r="D392" s="318" t="inlineStr">
        <is>
          <t>Vacant</t>
        </is>
      </c>
      <c r="E392" s="224" t="inlineStr">
        <is>
          <t>Technology Manager, Engineering</t>
        </is>
      </c>
      <c r="F392" s="224" t="inlineStr">
        <is>
          <t>TDD CFE&amp;I</t>
        </is>
      </c>
      <c r="G392" s="318" t="inlineStr">
        <is>
          <t>Commercial Fuels</t>
        </is>
      </c>
      <c r="H392" s="318" t="inlineStr">
        <is>
          <t>Technology, CF Engineering</t>
        </is>
      </c>
      <c r="I392" s="318" t="inlineStr">
        <is>
          <t>Commercial Fuels</t>
        </is>
      </c>
      <c r="J392" s="224" t="inlineStr">
        <is>
          <t>CTRM</t>
        </is>
      </c>
      <c r="K392" s="224" t="inlineStr">
        <is>
          <t>CTRM</t>
        </is>
      </c>
      <c r="L392" s="318" t="n"/>
      <c r="M392" s="319" t="inlineStr">
        <is>
          <t>NZ</t>
        </is>
      </c>
      <c r="N392" s="320" t="inlineStr">
        <is>
          <t>CIC</t>
        </is>
      </c>
      <c r="O392" s="321" t="n">
        <v>1</v>
      </c>
      <c r="P392" s="320" t="n"/>
      <c r="Q392" s="321" t="inlineStr">
        <is>
          <t>Permanent - Full Time</t>
        </is>
      </c>
      <c r="R392" s="322" t="n"/>
      <c r="S392" s="322" t="n"/>
      <c r="T392" s="334" t="n">
        <v>171800</v>
      </c>
      <c r="U392" s="705" t="n">
        <v>158056</v>
      </c>
      <c r="V392" s="324" t="n">
        <v>0.15</v>
      </c>
      <c r="W392" s="321" t="n"/>
      <c r="X392" s="325" t="n">
        <v>0.05</v>
      </c>
      <c r="Y392" s="700" t="n">
        <v>2910</v>
      </c>
      <c r="Z392" s="325" t="n">
        <v>0.03</v>
      </c>
      <c r="AA392" s="701">
        <f>U392*(1+V392+X392+Z392)+Y392</f>
        <v>197318.88</v>
      </c>
      <c r="AB392" t="n">
        <v>113544</v>
      </c>
      <c r="AC392" t="inlineStr">
        <is>
          <t>Commercial Fuels</t>
        </is>
      </c>
      <c r="AD392" t="inlineStr">
        <is>
          <t>CTRM</t>
        </is>
      </c>
      <c r="AE392" t="inlineStr">
        <is>
          <t>CTRM</t>
        </is>
      </c>
      <c r="AF392" t="inlineStr">
        <is>
          <t>Strategic Program</t>
        </is>
      </c>
      <c r="AG392" t="inlineStr">
        <is>
          <t>Filled</t>
        </is>
      </c>
    </row>
    <row r="393" hidden="1" ht="18" customHeight="1" s="506">
      <c r="A393" s="259" t="n">
        <v>108075</v>
      </c>
      <c r="B393" s="224" t="inlineStr">
        <is>
          <t>Isha Riyat</t>
        </is>
      </c>
      <c r="C393" s="317" t="inlineStr">
        <is>
          <t>Senior Business Analyst</t>
        </is>
      </c>
      <c r="D393" s="318" t="inlineStr">
        <is>
          <t>Vacant</t>
        </is>
      </c>
      <c r="E393" s="224" t="inlineStr">
        <is>
          <t>Delivery Manager</t>
        </is>
      </c>
      <c r="F393" s="224" t="inlineStr">
        <is>
          <t>TDD CFE&amp;I</t>
        </is>
      </c>
      <c r="G393" s="318" t="inlineStr">
        <is>
          <t>Commercial Fuels</t>
        </is>
      </c>
      <c r="H393" s="318" t="inlineStr">
        <is>
          <t>Delivery, Commercial Fuels</t>
        </is>
      </c>
      <c r="I393" s="318" t="inlineStr">
        <is>
          <t>Commercial Fuels</t>
        </is>
      </c>
      <c r="J393" s="318" t="inlineStr">
        <is>
          <t>Trading &amp; Shipping</t>
        </is>
      </c>
      <c r="K393" s="318" t="inlineStr">
        <is>
          <t>Trading &amp; Shipping</t>
        </is>
      </c>
      <c r="L393" s="224" t="n"/>
      <c r="M393" s="319" t="inlineStr">
        <is>
          <t>Australia</t>
        </is>
      </c>
      <c r="N393" s="320" t="inlineStr">
        <is>
          <t>CIB</t>
        </is>
      </c>
      <c r="O393" s="320" t="n">
        <v>1</v>
      </c>
      <c r="P393" s="320" t="n"/>
      <c r="Q393" s="320" t="inlineStr">
        <is>
          <t>Permanent - Full Time</t>
        </is>
      </c>
      <c r="R393" s="322" t="n"/>
      <c r="S393" s="322" t="n"/>
      <c r="T393" s="334" t="n">
        <v>169610</v>
      </c>
      <c r="U393" s="705" t="n">
        <v>169610</v>
      </c>
      <c r="V393" s="325" t="n">
        <v>0.12</v>
      </c>
      <c r="W393" s="702" t="n">
        <v>0.055</v>
      </c>
      <c r="X393" s="702" t="n">
        <v>0.12</v>
      </c>
      <c r="Y393" s="703" t="n"/>
      <c r="Z393" s="702" t="n">
        <v>0.04</v>
      </c>
      <c r="AA393" s="701">
        <f>U393*(1+V393+W393+X393+Y393+Z393)</f>
        <v>226429.35</v>
      </c>
      <c r="AC393" t="inlineStr">
        <is>
          <t>Commercial Fuels</t>
        </is>
      </c>
      <c r="AD393" t="inlineStr">
        <is>
          <t>Trading &amp; Shipping</t>
        </is>
      </c>
      <c r="AE393" t="inlineStr">
        <is>
          <t>Trading &amp; Shipping</t>
        </is>
      </c>
      <c r="AF393" t="inlineStr">
        <is>
          <t>Squad</t>
        </is>
      </c>
      <c r="AG393" t="inlineStr">
        <is>
          <t>Filled</t>
        </is>
      </c>
    </row>
    <row r="394" hidden="1" ht="18" customHeight="1" s="506">
      <c r="A394" s="259" t="n">
        <v>104159</v>
      </c>
      <c r="B394" s="224" t="inlineStr">
        <is>
          <t>James Hung</t>
        </is>
      </c>
      <c r="C394" s="317" t="inlineStr">
        <is>
          <t>System Specialist</t>
        </is>
      </c>
      <c r="D394" s="318" t="inlineStr">
        <is>
          <t>Vacant</t>
        </is>
      </c>
      <c r="E394" s="224" t="inlineStr">
        <is>
          <t>Technology Manager, Energy Solutions</t>
        </is>
      </c>
      <c r="F394" s="224" t="inlineStr">
        <is>
          <t>TDD CFE&amp;I</t>
        </is>
      </c>
      <c r="G394" s="318" t="inlineStr">
        <is>
          <t>B2B &amp; Energy Solutions</t>
        </is>
      </c>
      <c r="H394" s="318" t="inlineStr">
        <is>
          <t>Technology Energy Solutions</t>
        </is>
      </c>
      <c r="I394" s="318" t="inlineStr">
        <is>
          <t>B2B &amp; Energy Solutions</t>
        </is>
      </c>
      <c r="J394" s="318" t="inlineStr">
        <is>
          <t>Energy Solutions</t>
        </is>
      </c>
      <c r="K394" s="224" t="inlineStr">
        <is>
          <t>Energy</t>
        </is>
      </c>
      <c r="L394" s="318" t="n"/>
      <c r="M394" s="319" t="inlineStr">
        <is>
          <t>Australia</t>
        </is>
      </c>
      <c r="N394" s="320" t="inlineStr">
        <is>
          <t>CIB</t>
        </is>
      </c>
      <c r="O394" s="320" t="n">
        <v>1</v>
      </c>
      <c r="P394" s="320" t="n"/>
      <c r="Q394" s="320" t="inlineStr">
        <is>
          <t>Permanent - Full Time</t>
        </is>
      </c>
      <c r="R394" s="322" t="n"/>
      <c r="S394" s="322" t="n"/>
      <c r="T394" s="334" t="n">
        <v>159950</v>
      </c>
      <c r="U394" s="705" t="n">
        <v>159950</v>
      </c>
      <c r="V394" s="325" t="n">
        <v>0.12</v>
      </c>
      <c r="W394" s="702" t="n">
        <v>0.055</v>
      </c>
      <c r="X394" s="702" t="n">
        <v>0.12</v>
      </c>
      <c r="Y394" s="703" t="n"/>
      <c r="Z394" s="702" t="n">
        <v>0.04</v>
      </c>
      <c r="AA394" s="701">
        <f>U394*(1+V394+W394+X394+Y394+Z394)</f>
        <v>213533.25</v>
      </c>
      <c r="AC394" t="inlineStr">
        <is>
          <t>Energy Solutions &amp; B2B</t>
        </is>
      </c>
      <c r="AD394" t="inlineStr">
        <is>
          <t>Energy Solutions</t>
        </is>
      </c>
      <c r="AE394" t="inlineStr">
        <is>
          <t>Energy</t>
        </is>
      </c>
      <c r="AF394" t="inlineStr">
        <is>
          <t>Squad</t>
        </is>
      </c>
      <c r="AG394" t="inlineStr">
        <is>
          <t>Filled</t>
        </is>
      </c>
    </row>
    <row r="395" hidden="1" ht="18" customHeight="1" s="506">
      <c r="A395" s="259" t="n">
        <v>109475</v>
      </c>
      <c r="B395" s="224" t="inlineStr">
        <is>
          <t>Jaya Ganasan</t>
        </is>
      </c>
      <c r="C395" s="404" t="inlineStr">
        <is>
          <t>B2B &amp; Energy+B452:I452</t>
        </is>
      </c>
      <c r="D395" s="224" t="inlineStr">
        <is>
          <t>Amish Pandit</t>
        </is>
      </c>
      <c r="E395" s="224" t="inlineStr">
        <is>
          <t>Head of Technology, Fuel Infrastructure</t>
        </is>
      </c>
      <c r="F395" s="224" t="inlineStr">
        <is>
          <t>TDD CFE&amp;I</t>
        </is>
      </c>
      <c r="G395" s="318" t="inlineStr">
        <is>
          <t>Fuel Infrastructure</t>
        </is>
      </c>
      <c r="H395" s="318" t="inlineStr">
        <is>
          <t>Refinery Applications</t>
        </is>
      </c>
      <c r="I395" s="318" t="inlineStr">
        <is>
          <t>Infrastructure</t>
        </is>
      </c>
      <c r="J395" s="318" t="inlineStr">
        <is>
          <t>Manufacturing</t>
        </is>
      </c>
      <c r="K395" s="224" t="inlineStr">
        <is>
          <t>Manufacturing Group Projects</t>
        </is>
      </c>
      <c r="L395" s="318" t="n"/>
      <c r="M395" s="319" t="inlineStr">
        <is>
          <t>Australia</t>
        </is>
      </c>
      <c r="N395" s="320" t="inlineStr">
        <is>
          <t>CSB</t>
        </is>
      </c>
      <c r="O395" s="320" t="n">
        <v>1</v>
      </c>
      <c r="P395" s="320" t="n"/>
      <c r="Q395" s="320" t="inlineStr">
        <is>
          <t>Permanent - Full Time</t>
        </is>
      </c>
      <c r="R395" s="322" t="n"/>
      <c r="S395" s="322" t="n"/>
      <c r="T395" s="334" t="n">
        <v>190180</v>
      </c>
      <c r="U395" s="705" t="n">
        <v>190180</v>
      </c>
      <c r="V395" s="325" t="n">
        <v>0.14</v>
      </c>
      <c r="W395" s="702" t="n">
        <v>0.055</v>
      </c>
      <c r="X395" s="702" t="n">
        <v>0.12</v>
      </c>
      <c r="Y395" s="703" t="n"/>
      <c r="Z395" s="702" t="n">
        <v>0.04</v>
      </c>
      <c r="AA395" s="701">
        <f>U395*(1+V395+W395+X395+Y395+Z395)</f>
        <v>257693.9</v>
      </c>
      <c r="AC395" t="inlineStr">
        <is>
          <t>Infrastructure</t>
        </is>
      </c>
      <c r="AD395" t="inlineStr">
        <is>
          <t>Manufacturing</t>
        </is>
      </c>
      <c r="AE395" t="inlineStr">
        <is>
          <t>Manufacturing &amp; Group Projects</t>
        </is>
      </c>
      <c r="AF395" t="inlineStr">
        <is>
          <t>Squad</t>
        </is>
      </c>
      <c r="AG395" t="inlineStr">
        <is>
          <t>Filled</t>
        </is>
      </c>
    </row>
    <row r="396" hidden="1" ht="18" customHeight="1" s="506">
      <c r="A396" s="259" t="n">
        <v>14013</v>
      </c>
      <c r="B396" s="224" t="inlineStr">
        <is>
          <t>Jem Cruz</t>
        </is>
      </c>
      <c r="C396" s="317" t="inlineStr">
        <is>
          <t>System Specialist</t>
        </is>
      </c>
      <c r="D396" s="224" t="inlineStr">
        <is>
          <t>Allan Francia</t>
        </is>
      </c>
      <c r="E396" s="224" t="inlineStr">
        <is>
          <t>Technology Manager, T&amp;S</t>
        </is>
      </c>
      <c r="F396" s="224" t="inlineStr">
        <is>
          <t>TDD CFE&amp;I</t>
        </is>
      </c>
      <c r="G396" s="318" t="inlineStr">
        <is>
          <t>Commercial Fuels</t>
        </is>
      </c>
      <c r="H396" s="318" t="inlineStr">
        <is>
          <t>Technology, Trading &amp; Shipping</t>
        </is>
      </c>
      <c r="I396" s="318" t="inlineStr">
        <is>
          <t>Commercial Fuels</t>
        </is>
      </c>
      <c r="J396" s="318" t="inlineStr">
        <is>
          <t>Trading &amp; Shipping</t>
        </is>
      </c>
      <c r="K396" s="224" t="inlineStr">
        <is>
          <t>Trading &amp; Shipping</t>
        </is>
      </c>
      <c r="L396" s="318" t="n"/>
      <c r="M396" s="319" t="inlineStr">
        <is>
          <t>Australia</t>
        </is>
      </c>
      <c r="N396" s="322" t="inlineStr">
        <is>
          <t>CIA</t>
        </is>
      </c>
      <c r="O396" s="322" t="n">
        <v>1</v>
      </c>
      <c r="P396" s="322" t="n"/>
      <c r="Q396" s="322" t="inlineStr">
        <is>
          <t>Permanent - Full Time</t>
        </is>
      </c>
      <c r="R396" s="322" t="n"/>
      <c r="S396" s="322" t="n"/>
      <c r="T396" s="334" t="n">
        <v>136890</v>
      </c>
      <c r="U396" s="705" t="n">
        <v>136890</v>
      </c>
      <c r="V396" s="325" t="n">
        <v>0.1</v>
      </c>
      <c r="W396" s="702" t="n">
        <v>0.055</v>
      </c>
      <c r="X396" s="702" t="n">
        <v>0.12</v>
      </c>
      <c r="Y396" s="703" t="n"/>
      <c r="Z396" s="702" t="n">
        <v>0.04</v>
      </c>
      <c r="AA396" s="701">
        <f>U396*(1+V396+W396+X396+Y396+Z396)</f>
        <v>180010.35</v>
      </c>
      <c r="AC396" t="inlineStr">
        <is>
          <t>Commercial Fuels</t>
        </is>
      </c>
      <c r="AD396" t="inlineStr">
        <is>
          <t>Trading &amp; Shipping</t>
        </is>
      </c>
      <c r="AE396" t="inlineStr">
        <is>
          <t>Trading &amp; Shipping</t>
        </is>
      </c>
      <c r="AF396" t="inlineStr">
        <is>
          <t>Squad</t>
        </is>
      </c>
      <c r="AG396" t="inlineStr">
        <is>
          <t>Filled</t>
        </is>
      </c>
    </row>
    <row r="397" hidden="1" ht="18" customHeight="1" s="506">
      <c r="A397" s="259" t="n">
        <v>101157</v>
      </c>
      <c r="B397" s="224" t="inlineStr">
        <is>
          <t>Jessica Calla</t>
        </is>
      </c>
      <c r="C397" s="317" t="inlineStr">
        <is>
          <t>System Analyst Card</t>
        </is>
      </c>
      <c r="D397" s="224" t="inlineStr">
        <is>
          <t>Elle Spencer</t>
        </is>
      </c>
      <c r="E397" s="224" t="inlineStr">
        <is>
          <t>Technology Manager, Energy Solutions</t>
        </is>
      </c>
      <c r="F397" s="224" t="inlineStr">
        <is>
          <t>TDD CFE&amp;I</t>
        </is>
      </c>
      <c r="G397" s="318" t="inlineStr">
        <is>
          <t>B2B &amp; Energy Solutions</t>
        </is>
      </c>
      <c r="H397" s="318" t="inlineStr">
        <is>
          <t>Technology B2B</t>
        </is>
      </c>
      <c r="I397" s="318" t="inlineStr">
        <is>
          <t>B2B &amp; Energy Solutions</t>
        </is>
      </c>
      <c r="J397" s="224" t="inlineStr">
        <is>
          <t>B2B</t>
        </is>
      </c>
      <c r="K397" s="224" t="inlineStr">
        <is>
          <t>B2B</t>
        </is>
      </c>
      <c r="L397" s="318" t="n"/>
      <c r="M397" s="319" t="inlineStr">
        <is>
          <t>Australia</t>
        </is>
      </c>
      <c r="N397" s="320" t="inlineStr">
        <is>
          <t>CDC</t>
        </is>
      </c>
      <c r="O397" s="320" t="n">
        <v>1</v>
      </c>
      <c r="P397" s="320" t="n"/>
      <c r="Q397" s="320" t="inlineStr">
        <is>
          <t>Permanent - Full Time</t>
        </is>
      </c>
      <c r="R397" s="322" t="n"/>
      <c r="S397" s="322" t="n"/>
      <c r="T397" s="334" t="n">
        <v>104570</v>
      </c>
      <c r="U397" s="705" t="n">
        <v>104570</v>
      </c>
      <c r="V397" s="325" t="n">
        <v>0.1</v>
      </c>
      <c r="W397" s="702" t="n">
        <v>0.055</v>
      </c>
      <c r="X397" s="702" t="n">
        <v>0.12</v>
      </c>
      <c r="Y397" s="703" t="n"/>
      <c r="Z397" s="702" t="n">
        <v>0.04</v>
      </c>
      <c r="AA397" s="701">
        <f>U397*(1+V397+W397+X397+Y397+Z397)</f>
        <v>137509.55</v>
      </c>
      <c r="AC397" t="inlineStr">
        <is>
          <t>Energy Solutions &amp; B2B</t>
        </is>
      </c>
      <c r="AD397" t="inlineStr">
        <is>
          <t>B2B</t>
        </is>
      </c>
      <c r="AE397" t="inlineStr">
        <is>
          <t>B2B</t>
        </is>
      </c>
      <c r="AF397" t="inlineStr">
        <is>
          <t>Squad</t>
        </is>
      </c>
      <c r="AG397" t="inlineStr">
        <is>
          <t>Filled</t>
        </is>
      </c>
    </row>
    <row r="398" hidden="1" ht="18" customHeight="1" s="506">
      <c r="A398" s="259" t="n">
        <v>105531</v>
      </c>
      <c r="B398" s="224" t="inlineStr">
        <is>
          <t>Jodi Higgins</t>
        </is>
      </c>
      <c r="C398" s="317" t="inlineStr">
        <is>
          <t>Delivery Lead</t>
        </is>
      </c>
      <c r="D398" s="318" t="inlineStr">
        <is>
          <t>Vacant</t>
        </is>
      </c>
      <c r="E398" s="224" t="inlineStr">
        <is>
          <t>Delivery Manager</t>
        </is>
      </c>
      <c r="F398" s="224" t="inlineStr">
        <is>
          <t>TDD CFE&amp;I</t>
        </is>
      </c>
      <c r="G398" s="344" t="inlineStr">
        <is>
          <t>Fuel Infrastructure</t>
        </is>
      </c>
      <c r="H398" s="318" t="inlineStr">
        <is>
          <t>Fuel Infrastructure, Delivery</t>
        </is>
      </c>
      <c r="I398" s="318" t="inlineStr">
        <is>
          <t>Infrastructure</t>
        </is>
      </c>
      <c r="J398" s="318" t="inlineStr">
        <is>
          <t>Distribution</t>
        </is>
      </c>
      <c r="K398" s="224" t="inlineStr">
        <is>
          <t>Distribution, Sales &amp; Services</t>
        </is>
      </c>
      <c r="L398" s="318" t="n"/>
      <c r="M398" s="319" t="inlineStr">
        <is>
          <t>Australia</t>
        </is>
      </c>
      <c r="N398" s="320" t="inlineStr">
        <is>
          <t>CIC</t>
        </is>
      </c>
      <c r="O398" s="320" t="n">
        <v>1</v>
      </c>
      <c r="P398" s="320" t="n"/>
      <c r="Q398" s="320" t="inlineStr">
        <is>
          <t>Permanent - Full Time</t>
        </is>
      </c>
      <c r="R398" s="322" t="n"/>
      <c r="S398" s="322" t="n"/>
      <c r="T398" s="334" t="n">
        <v>192870</v>
      </c>
      <c r="U398" s="705" t="n">
        <v>192870</v>
      </c>
      <c r="V398" s="325" t="n">
        <v>0.12</v>
      </c>
      <c r="W398" s="702" t="n">
        <v>0.055</v>
      </c>
      <c r="X398" s="702" t="n">
        <v>0.12</v>
      </c>
      <c r="Y398" s="703" t="n"/>
      <c r="Z398" s="702" t="n">
        <v>0.04</v>
      </c>
      <c r="AA398" s="701">
        <f>U398*(1+V398+W398+X398+Y398+Z398)</f>
        <v>257481.44999999998</v>
      </c>
      <c r="AC398" t="inlineStr">
        <is>
          <t>Infrastructure</t>
        </is>
      </c>
      <c r="AD398" t="inlineStr">
        <is>
          <t>Distribution</t>
        </is>
      </c>
      <c r="AE398" t="inlineStr">
        <is>
          <t>Distribution, Sales &amp; Services</t>
        </is>
      </c>
      <c r="AF398" t="inlineStr">
        <is>
          <t>Squad</t>
        </is>
      </c>
      <c r="AG398" t="inlineStr">
        <is>
          <t>Filled</t>
        </is>
      </c>
    </row>
    <row r="399" hidden="1" ht="18" customHeight="1" s="506">
      <c r="A399" s="259" t="n">
        <v>115847</v>
      </c>
      <c r="B399" s="224" t="inlineStr">
        <is>
          <t>Jonathan Wong</t>
        </is>
      </c>
      <c r="C399" s="317" t="inlineStr">
        <is>
          <t>Senior Business Analyst</t>
        </is>
      </c>
      <c r="D399" s="318" t="inlineStr">
        <is>
          <t>Vacant</t>
        </is>
      </c>
      <c r="E399" s="224" t="inlineStr">
        <is>
          <t>Technology Manager, Data</t>
        </is>
      </c>
      <c r="F399" s="224" t="inlineStr">
        <is>
          <t>TDD CFE&amp;I</t>
        </is>
      </c>
      <c r="G399" s="318" t="inlineStr">
        <is>
          <t>Commercial Fuels</t>
        </is>
      </c>
      <c r="H399" s="318" t="inlineStr">
        <is>
          <t>Technology, T&amp;S Data</t>
        </is>
      </c>
      <c r="I399" s="318" t="inlineStr">
        <is>
          <t>Commercial Fuels</t>
        </is>
      </c>
      <c r="J399" s="318" t="inlineStr">
        <is>
          <t>Trading &amp; Shipping</t>
        </is>
      </c>
      <c r="K399" s="318" t="inlineStr">
        <is>
          <t>Trading &amp; Shipping Data</t>
        </is>
      </c>
      <c r="L399" s="318" t="n"/>
      <c r="M399" s="319" t="inlineStr">
        <is>
          <t>Singapore</t>
        </is>
      </c>
      <c r="N399" s="320" t="inlineStr">
        <is>
          <t>CIC</t>
        </is>
      </c>
      <c r="O399" s="320" t="n">
        <v>1</v>
      </c>
      <c r="P399" s="320" t="n"/>
      <c r="Q399" s="320" t="inlineStr">
        <is>
          <t>Permanent - Full Time</t>
        </is>
      </c>
      <c r="R399" s="322" t="n"/>
      <c r="S399" s="322" t="n"/>
      <c r="T399" s="334" t="n">
        <v>180000</v>
      </c>
      <c r="U399" s="705" t="n">
        <v>217800</v>
      </c>
      <c r="V399" s="325" t="n">
        <v>0.25</v>
      </c>
      <c r="W399" s="322" t="n"/>
      <c r="X399" s="325" t="n">
        <v>0.17</v>
      </c>
      <c r="Y399" s="700" t="n">
        <v>3310</v>
      </c>
      <c r="Z399" s="347" t="n">
        <v>0.045</v>
      </c>
      <c r="AA399" s="701">
        <f>U399*(1+V399+X399+Z399)+Y399</f>
        <v>322386.99999999994</v>
      </c>
      <c r="AC399" t="inlineStr">
        <is>
          <t>Commercial Fuels</t>
        </is>
      </c>
      <c r="AD399" t="inlineStr">
        <is>
          <t>Trading &amp; Shipping</t>
        </is>
      </c>
      <c r="AE399" t="inlineStr">
        <is>
          <t>Trading &amp; Shipping Data</t>
        </is>
      </c>
      <c r="AF399" t="inlineStr">
        <is>
          <t>Squad</t>
        </is>
      </c>
      <c r="AG399" t="inlineStr">
        <is>
          <t>Filled</t>
        </is>
      </c>
    </row>
    <row r="400" hidden="1" ht="18" customHeight="1" s="506">
      <c r="A400" s="259" t="n">
        <v>99999101545</v>
      </c>
      <c r="B400" s="224" t="inlineStr">
        <is>
          <t>Josh Campbell</t>
        </is>
      </c>
      <c r="C400" s="317" t="inlineStr">
        <is>
          <t>Engineer Software</t>
        </is>
      </c>
      <c r="D400" s="318" t="inlineStr">
        <is>
          <t>Vacant</t>
        </is>
      </c>
      <c r="E400" s="224" t="inlineStr">
        <is>
          <t>Technology Manager, Energy Solutions</t>
        </is>
      </c>
      <c r="F400" s="224" t="inlineStr">
        <is>
          <t>TDD CFE&amp;I</t>
        </is>
      </c>
      <c r="G400" s="318" t="inlineStr">
        <is>
          <t>B2B &amp; Energy Solutions</t>
        </is>
      </c>
      <c r="H400" s="318" t="inlineStr">
        <is>
          <t>Technology Energy Solutions</t>
        </is>
      </c>
      <c r="I400" s="318" t="inlineStr">
        <is>
          <t>B2B &amp; Energy Solutions</t>
        </is>
      </c>
      <c r="J400" s="318" t="inlineStr">
        <is>
          <t>Energy Solutions</t>
        </is>
      </c>
      <c r="K400" s="224" t="inlineStr">
        <is>
          <t>EVCI</t>
        </is>
      </c>
      <c r="L400" s="318" t="n"/>
      <c r="M400" s="319" t="inlineStr">
        <is>
          <t>NZ</t>
        </is>
      </c>
      <c r="N400" s="320" t="inlineStr">
        <is>
          <t>CDB</t>
        </is>
      </c>
      <c r="O400" s="321" t="n">
        <v>1</v>
      </c>
      <c r="P400" s="320" t="n"/>
      <c r="Q400" s="321" t="inlineStr">
        <is>
          <t>Permanent - Full Time</t>
        </is>
      </c>
      <c r="R400" s="322" t="n"/>
      <c r="S400" s="322" t="n"/>
      <c r="T400" s="334" t="n">
        <v>90970</v>
      </c>
      <c r="U400" s="705" t="n">
        <v>83692.40000000001</v>
      </c>
      <c r="V400" s="324" t="n">
        <v>0.1</v>
      </c>
      <c r="W400" s="321" t="n"/>
      <c r="X400" s="325" t="n">
        <v>0.05</v>
      </c>
      <c r="Y400" s="700" t="n">
        <v>2910</v>
      </c>
      <c r="Z400" s="325" t="n">
        <v>0.03</v>
      </c>
      <c r="AA400" s="701">
        <f>U400*(1+V400+X400+Z400)+Y400</f>
        <v>101667.03200000002</v>
      </c>
      <c r="AB400" t="n">
        <v>113561</v>
      </c>
      <c r="AC400" t="inlineStr">
        <is>
          <t>Energy Solutions &amp; B2B</t>
        </is>
      </c>
      <c r="AD400" t="inlineStr">
        <is>
          <t>Energy Solutions</t>
        </is>
      </c>
      <c r="AE400" t="inlineStr">
        <is>
          <t>EVCI</t>
        </is>
      </c>
      <c r="AF400" t="inlineStr">
        <is>
          <t>Squad</t>
        </is>
      </c>
      <c r="AG400" t="inlineStr">
        <is>
          <t>Filled</t>
        </is>
      </c>
    </row>
    <row r="401" hidden="1" ht="18" customHeight="1" s="506">
      <c r="A401" s="259" t="n">
        <v>115836</v>
      </c>
      <c r="B401" s="224" t="inlineStr">
        <is>
          <t>JR Panganiban</t>
        </is>
      </c>
      <c r="C401" s="317" t="inlineStr">
        <is>
          <t>Technology Support Engineer</t>
        </is>
      </c>
      <c r="D401" s="224" t="inlineStr">
        <is>
          <t>Allan Francia</t>
        </is>
      </c>
      <c r="E401" s="224" t="inlineStr">
        <is>
          <t>Technology Manager, T&amp;S</t>
        </is>
      </c>
      <c r="F401" s="224" t="inlineStr">
        <is>
          <t>TDD CFE&amp;I</t>
        </is>
      </c>
      <c r="G401" s="318" t="inlineStr">
        <is>
          <t>Commercial Fuels</t>
        </is>
      </c>
      <c r="H401" s="318" t="inlineStr">
        <is>
          <t>Technology, Trading &amp; Shipping</t>
        </is>
      </c>
      <c r="I401" s="318" t="inlineStr">
        <is>
          <t>Commercial Fuels</t>
        </is>
      </c>
      <c r="J401" s="318" t="inlineStr">
        <is>
          <t>Trading &amp; Shipping</t>
        </is>
      </c>
      <c r="K401" s="224" t="inlineStr">
        <is>
          <t>Trading &amp; Shipping</t>
        </is>
      </c>
      <c r="L401" s="318" t="n"/>
      <c r="M401" s="405" t="inlineStr">
        <is>
          <t>USA</t>
        </is>
      </c>
      <c r="N401" s="320" t="inlineStr">
        <is>
          <t>CIA</t>
        </is>
      </c>
      <c r="O401" s="320" t="n">
        <v>1</v>
      </c>
      <c r="P401" s="320" t="n"/>
      <c r="Q401" s="320" t="inlineStr">
        <is>
          <t>Permanent - Full Time</t>
        </is>
      </c>
      <c r="R401" s="322" t="n"/>
      <c r="S401" s="322" t="n"/>
      <c r="T401" s="406" t="n">
        <v>92000</v>
      </c>
      <c r="U401" s="721" t="n">
        <v>140760</v>
      </c>
      <c r="V401" s="322" t="n">
        <v>0</v>
      </c>
      <c r="W401" s="322" t="n">
        <v>0</v>
      </c>
      <c r="X401" s="325" t="n">
        <v>0</v>
      </c>
      <c r="Y401" s="318" t="n">
        <v>0</v>
      </c>
      <c r="Z401" s="325" t="n">
        <v>0.04</v>
      </c>
      <c r="AA401" s="701">
        <f>U401*(1+V401+W401+X401+Y401+Z401)</f>
        <v>146390.4</v>
      </c>
      <c r="AC401" t="inlineStr">
        <is>
          <t>Commercial Fuels</t>
        </is>
      </c>
      <c r="AD401" t="inlineStr">
        <is>
          <t>Trading &amp; Shipping</t>
        </is>
      </c>
      <c r="AE401" t="inlineStr">
        <is>
          <t>Trading &amp; Shipping</t>
        </is>
      </c>
      <c r="AF401" t="inlineStr">
        <is>
          <t>Squad</t>
        </is>
      </c>
      <c r="AG401" t="inlineStr">
        <is>
          <t>Filled</t>
        </is>
      </c>
    </row>
    <row r="402" hidden="1" ht="18" customHeight="1" s="506">
      <c r="A402" s="286" t="n">
        <v>11661</v>
      </c>
      <c r="B402" s="400" t="inlineStr">
        <is>
          <t>Kevin Li</t>
        </is>
      </c>
      <c r="C402" s="408" t="inlineStr">
        <is>
          <t>System Specialist</t>
        </is>
      </c>
      <c r="D402" s="401" t="inlineStr">
        <is>
          <t>Allan Francia</t>
        </is>
      </c>
      <c r="E402" s="287" t="inlineStr">
        <is>
          <t>Technology Manager, T&amp;S</t>
        </is>
      </c>
      <c r="F402" s="287" t="inlineStr">
        <is>
          <t>TDD CFE&amp;I</t>
        </is>
      </c>
      <c r="G402" s="401" t="inlineStr">
        <is>
          <t>Commercial Fuels</t>
        </is>
      </c>
      <c r="H402" s="401" t="inlineStr">
        <is>
          <t>Technology, Trading &amp; Shipping</t>
        </is>
      </c>
      <c r="I402" s="401" t="inlineStr">
        <is>
          <t>Commercial Fuels</t>
        </is>
      </c>
      <c r="J402" s="401" t="inlineStr">
        <is>
          <t>Trading &amp; Shipping</t>
        </is>
      </c>
      <c r="K402" s="401" t="inlineStr">
        <is>
          <t>Trading &amp; Shipping</t>
        </is>
      </c>
      <c r="L402" s="401" t="n"/>
      <c r="M402" s="409" t="inlineStr">
        <is>
          <t>Australia</t>
        </is>
      </c>
      <c r="N402" s="340" t="inlineStr">
        <is>
          <t>CIA</t>
        </is>
      </c>
      <c r="O402" s="340" t="n">
        <v>1</v>
      </c>
      <c r="P402" s="340" t="n"/>
      <c r="Q402" s="340" t="inlineStr">
        <is>
          <t>Permanent - Full Time</t>
        </is>
      </c>
      <c r="R402" s="340" t="n"/>
      <c r="S402" s="340" t="n"/>
      <c r="T402" s="410" t="n">
        <v>136860</v>
      </c>
      <c r="U402" s="722" t="n">
        <v>136860</v>
      </c>
      <c r="V402" s="412" t="n">
        <v>0.1</v>
      </c>
      <c r="W402" s="723" t="n">
        <v>0.055</v>
      </c>
      <c r="X402" s="723" t="n">
        <v>0.12</v>
      </c>
      <c r="Y402" s="724" t="n"/>
      <c r="Z402" s="723" t="n">
        <v>0.04</v>
      </c>
      <c r="AA402" s="725">
        <f>U402*(1+V402+W402+X402+Y402+Z402)</f>
        <v>179970.9</v>
      </c>
      <c r="AB402" s="346" t="n"/>
      <c r="AC402" s="346" t="inlineStr">
        <is>
          <t>Commercial Fuels</t>
        </is>
      </c>
      <c r="AD402" t="inlineStr">
        <is>
          <t>Trading &amp; Shipping</t>
        </is>
      </c>
      <c r="AE402" t="inlineStr">
        <is>
          <t>Trading &amp; Shipping</t>
        </is>
      </c>
      <c r="AF402" t="inlineStr">
        <is>
          <t>Squad</t>
        </is>
      </c>
      <c r="AG402" t="inlineStr">
        <is>
          <t>Filled</t>
        </is>
      </c>
    </row>
    <row r="403" hidden="1" ht="18" customHeight="1" s="506">
      <c r="A403" s="259" t="n">
        <v>110044</v>
      </c>
      <c r="B403" s="224" t="inlineStr">
        <is>
          <t>Kevin Nelson</t>
        </is>
      </c>
      <c r="C403" s="317" t="inlineStr">
        <is>
          <t>Delivery Lead</t>
        </is>
      </c>
      <c r="D403" s="318" t="inlineStr">
        <is>
          <t>Vacant</t>
        </is>
      </c>
      <c r="E403" s="224" t="inlineStr">
        <is>
          <t>Delivery Manager</t>
        </is>
      </c>
      <c r="F403" s="224" t="inlineStr">
        <is>
          <t>TDD CFE&amp;I</t>
        </is>
      </c>
      <c r="G403" s="344" t="inlineStr">
        <is>
          <t>Fuel Infrastructure</t>
        </is>
      </c>
      <c r="H403" s="318" t="inlineStr">
        <is>
          <t>Fuel Infrastructure, Delivery</t>
        </is>
      </c>
      <c r="I403" s="318" t="inlineStr">
        <is>
          <t>RETAIL</t>
        </is>
      </c>
      <c r="J403" s="318" t="inlineStr">
        <is>
          <t>AMPOS</t>
        </is>
      </c>
      <c r="K403" s="224" t="inlineStr">
        <is>
          <t>AmPos</t>
        </is>
      </c>
      <c r="L403" s="318" t="n"/>
      <c r="M403" s="319" t="inlineStr">
        <is>
          <t>Australia</t>
        </is>
      </c>
      <c r="N403" s="320" t="inlineStr">
        <is>
          <t>CIC</t>
        </is>
      </c>
      <c r="O403" s="320" t="n">
        <v>1</v>
      </c>
      <c r="P403" s="320" t="n"/>
      <c r="Q403" s="320" t="inlineStr">
        <is>
          <t>Permanent - Full Time</t>
        </is>
      </c>
      <c r="R403" s="322" t="n"/>
      <c r="S403" s="322" t="n"/>
      <c r="T403" s="334" t="n">
        <v>189620</v>
      </c>
      <c r="U403" s="705" t="n">
        <v>189620</v>
      </c>
      <c r="V403" s="325" t="n">
        <v>0.12</v>
      </c>
      <c r="W403" s="702" t="n">
        <v>0.055</v>
      </c>
      <c r="X403" s="702" t="n">
        <v>0.12</v>
      </c>
      <c r="Y403" s="703" t="n"/>
      <c r="Z403" s="702" t="n">
        <v>0.04</v>
      </c>
      <c r="AA403" s="701">
        <f>U403*(1+V403+W403+X403+Y403+Z403)</f>
        <v>253142.69999999998</v>
      </c>
      <c r="AC403" t="inlineStr">
        <is>
          <t>Ampol Retail</t>
        </is>
      </c>
      <c r="AD403" t="inlineStr">
        <is>
          <t>AmPOS</t>
        </is>
      </c>
      <c r="AE403" t="inlineStr">
        <is>
          <t>AmPOS</t>
        </is>
      </c>
      <c r="AF403" t="inlineStr">
        <is>
          <t>Strategic Program</t>
        </is>
      </c>
      <c r="AG403" t="inlineStr">
        <is>
          <t>Filled</t>
        </is>
      </c>
    </row>
    <row r="404" hidden="1" ht="18" customHeight="1" s="506">
      <c r="A404" s="259" t="n">
        <v>115723</v>
      </c>
      <c r="B404" s="224" t="inlineStr">
        <is>
          <t>Kumar Siva</t>
        </is>
      </c>
      <c r="C404" s="317" t="inlineStr">
        <is>
          <t>Lead engineer Data</t>
        </is>
      </c>
      <c r="D404" s="318" t="inlineStr">
        <is>
          <t>Vacant</t>
        </is>
      </c>
      <c r="E404" s="224" t="inlineStr">
        <is>
          <t>Technology Manager, Data</t>
        </is>
      </c>
      <c r="F404" s="224" t="inlineStr">
        <is>
          <t>TDD CFE&amp;I</t>
        </is>
      </c>
      <c r="G404" s="318" t="inlineStr">
        <is>
          <t>Commercial Fuels</t>
        </is>
      </c>
      <c r="H404" s="318" t="inlineStr">
        <is>
          <t>Technology, T&amp;S Data</t>
        </is>
      </c>
      <c r="I404" s="318" t="inlineStr">
        <is>
          <t>Commercial Fuels</t>
        </is>
      </c>
      <c r="J404" s="318" t="inlineStr">
        <is>
          <t>Trading &amp; Shipping</t>
        </is>
      </c>
      <c r="K404" s="318" t="inlineStr">
        <is>
          <t>Trading &amp; Shipping Data</t>
        </is>
      </c>
      <c r="L404" s="318" t="n"/>
      <c r="M404" s="319" t="inlineStr">
        <is>
          <t>Singapore</t>
        </is>
      </c>
      <c r="N404" s="320" t="inlineStr">
        <is>
          <t>CIC</t>
        </is>
      </c>
      <c r="O404" s="320" t="n">
        <v>1</v>
      </c>
      <c r="P404" s="320" t="n"/>
      <c r="Q404" s="320" t="inlineStr">
        <is>
          <t>Permanent - Full Time</t>
        </is>
      </c>
      <c r="R404" s="322" t="n"/>
      <c r="S404" s="322" t="n"/>
      <c r="T404" s="334" t="n">
        <v>210000</v>
      </c>
      <c r="U404" s="705" t="n">
        <v>254100</v>
      </c>
      <c r="V404" s="325" t="n">
        <v>0.25</v>
      </c>
      <c r="W404" s="322" t="n"/>
      <c r="X404" s="325" t="n">
        <v>0.17</v>
      </c>
      <c r="Y404" s="700" t="n">
        <v>3310</v>
      </c>
      <c r="Z404" s="347" t="n">
        <v>0.045</v>
      </c>
      <c r="AA404" s="701">
        <f>U404*(1+V404+X404+Z404)+Y404</f>
        <v>375566.49999999994</v>
      </c>
      <c r="AC404" t="inlineStr">
        <is>
          <t>Commercial Fuels</t>
        </is>
      </c>
      <c r="AD404" t="inlineStr">
        <is>
          <t>Trading &amp; Shipping</t>
        </is>
      </c>
      <c r="AE404" t="inlineStr">
        <is>
          <t>Trading &amp; Shipping Data</t>
        </is>
      </c>
      <c r="AF404" t="inlineStr">
        <is>
          <t>Squad</t>
        </is>
      </c>
      <c r="AG404" t="inlineStr">
        <is>
          <t>Filled</t>
        </is>
      </c>
    </row>
    <row r="405" hidden="1" ht="18" customHeight="1" s="506">
      <c r="A405" s="259" t="n">
        <v>99999101421</v>
      </c>
      <c r="B405" s="224" t="inlineStr">
        <is>
          <t>Lana Wagner</t>
        </is>
      </c>
      <c r="C405" s="317" t="inlineStr">
        <is>
          <t>Senior Business Analyst</t>
        </is>
      </c>
      <c r="D405" s="318" t="inlineStr">
        <is>
          <t>Vacant</t>
        </is>
      </c>
      <c r="E405" s="224" t="inlineStr">
        <is>
          <t>Delivery Manager</t>
        </is>
      </c>
      <c r="F405" s="224" t="inlineStr">
        <is>
          <t>TDD CFE&amp;I</t>
        </is>
      </c>
      <c r="G405" s="318" t="inlineStr">
        <is>
          <t>B2B &amp; Energy Solutions</t>
        </is>
      </c>
      <c r="H405" s="318" t="inlineStr">
        <is>
          <t>Delivery</t>
        </is>
      </c>
      <c r="I405" s="318" t="inlineStr">
        <is>
          <t>B2B &amp; Energy Solutions</t>
        </is>
      </c>
      <c r="J405" s="318" t="inlineStr">
        <is>
          <t>Energy Solutions</t>
        </is>
      </c>
      <c r="K405" s="224" t="inlineStr">
        <is>
          <t>EVCI</t>
        </is>
      </c>
      <c r="L405" s="318" t="n"/>
      <c r="M405" s="319" t="inlineStr">
        <is>
          <t>NZ</t>
        </is>
      </c>
      <c r="N405" s="320" t="inlineStr">
        <is>
          <t>CIA</t>
        </is>
      </c>
      <c r="O405" s="321" t="n">
        <v>1</v>
      </c>
      <c r="P405" s="320" t="n"/>
      <c r="Q405" s="321" t="inlineStr">
        <is>
          <t>Permanent - Full Time</t>
        </is>
      </c>
      <c r="R405" s="322" t="n"/>
      <c r="S405" s="322" t="n"/>
      <c r="T405" s="334" t="n">
        <v>137720</v>
      </c>
      <c r="U405" s="705" t="n">
        <v>126702.4</v>
      </c>
      <c r="V405" s="324" t="n">
        <v>0.15</v>
      </c>
      <c r="W405" s="322" t="n"/>
      <c r="X405" s="325" t="n">
        <v>0.05</v>
      </c>
      <c r="Y405" s="700" t="n">
        <v>2910</v>
      </c>
      <c r="Z405" s="325" t="n">
        <v>0.03</v>
      </c>
      <c r="AA405" s="701">
        <f>U405*(1+V405+X405+Z405)+Y405</f>
        <v>158753.952</v>
      </c>
      <c r="AB405" t="n">
        <v>113570</v>
      </c>
      <c r="AC405" t="inlineStr">
        <is>
          <t>Energy Solutions &amp; B2B</t>
        </is>
      </c>
      <c r="AD405" t="inlineStr">
        <is>
          <t>Energy Solutions</t>
        </is>
      </c>
      <c r="AE405" t="inlineStr">
        <is>
          <t>EVCI</t>
        </is>
      </c>
      <c r="AF405" t="inlineStr">
        <is>
          <t>Squad</t>
        </is>
      </c>
      <c r="AG405" t="inlineStr">
        <is>
          <t>Filled</t>
        </is>
      </c>
    </row>
    <row r="406" hidden="1" ht="18" customHeight="1" s="506">
      <c r="A406" s="259" t="n">
        <v>99999101325</v>
      </c>
      <c r="B406" s="224" t="inlineStr">
        <is>
          <t>Laura Roberts</t>
        </is>
      </c>
      <c r="C406" s="317" t="inlineStr">
        <is>
          <t>Senior Engineer Software</t>
        </is>
      </c>
      <c r="D406" s="318" t="inlineStr">
        <is>
          <t>Vacant</t>
        </is>
      </c>
      <c r="E406" s="224" t="inlineStr">
        <is>
          <t>Technology Manager, Engineering</t>
        </is>
      </c>
      <c r="F406" s="224" t="inlineStr">
        <is>
          <t>TDD CFE&amp;I</t>
        </is>
      </c>
      <c r="G406" s="318" t="inlineStr">
        <is>
          <t>Commercial Fuels</t>
        </is>
      </c>
      <c r="H406" s="318" t="inlineStr">
        <is>
          <t>Technology, CF Engineering</t>
        </is>
      </c>
      <c r="I406" s="318" t="inlineStr">
        <is>
          <t>Commercial Fuels</t>
        </is>
      </c>
      <c r="J406" s="224" t="inlineStr">
        <is>
          <t>CTRM</t>
        </is>
      </c>
      <c r="K406" s="224" t="inlineStr">
        <is>
          <t>CTRM</t>
        </is>
      </c>
      <c r="L406" s="318" t="n"/>
      <c r="M406" s="319" t="inlineStr">
        <is>
          <t>NZ</t>
        </is>
      </c>
      <c r="N406" s="320" t="inlineStr">
        <is>
          <t>CIA</t>
        </is>
      </c>
      <c r="O406" s="321" t="n">
        <v>1</v>
      </c>
      <c r="P406" s="320" t="n"/>
      <c r="Q406" s="321" t="inlineStr">
        <is>
          <t>Permanent - Full Time</t>
        </is>
      </c>
      <c r="R406" s="322" t="n"/>
      <c r="S406" s="322" t="n"/>
      <c r="T406" s="334" t="n">
        <v>135720</v>
      </c>
      <c r="U406" s="705" t="n">
        <v>124862.4</v>
      </c>
      <c r="V406" s="324" t="n">
        <v>0.15</v>
      </c>
      <c r="W406" s="322" t="n"/>
      <c r="X406" s="325" t="n">
        <v>0.05</v>
      </c>
      <c r="Y406" s="700" t="n">
        <v>2910</v>
      </c>
      <c r="Z406" s="325" t="n">
        <v>0.03</v>
      </c>
      <c r="AA406" s="701">
        <f>U406*(1+V406+X406+Z406)+Y406</f>
        <v>156490.75199999998</v>
      </c>
      <c r="AB406" t="n">
        <v>113571</v>
      </c>
      <c r="AC406" t="inlineStr">
        <is>
          <t>Commercial Fuels</t>
        </is>
      </c>
      <c r="AD406" t="inlineStr">
        <is>
          <t>CTRM</t>
        </is>
      </c>
      <c r="AE406" t="inlineStr">
        <is>
          <t>CTRM</t>
        </is>
      </c>
      <c r="AF406" t="inlineStr">
        <is>
          <t>Strategic Program</t>
        </is>
      </c>
      <c r="AG406" t="inlineStr">
        <is>
          <t>Filled</t>
        </is>
      </c>
    </row>
    <row r="407" hidden="1" ht="18" customHeight="1" s="506">
      <c r="A407" s="259" t="n">
        <v>6511</v>
      </c>
      <c r="B407" s="224" t="inlineStr">
        <is>
          <t>Leo Machin</t>
        </is>
      </c>
      <c r="C407" s="317" t="inlineStr">
        <is>
          <t>Lead Engineer Applications</t>
        </is>
      </c>
      <c r="D407" s="224" t="inlineStr">
        <is>
          <t>Allan Francia</t>
        </is>
      </c>
      <c r="E407" s="224" t="inlineStr">
        <is>
          <t>Technology Manager, T&amp;S</t>
        </is>
      </c>
      <c r="F407" s="224" t="inlineStr">
        <is>
          <t>TDD CFE&amp;I</t>
        </is>
      </c>
      <c r="G407" s="318" t="inlineStr">
        <is>
          <t>Commercial Fuels</t>
        </is>
      </c>
      <c r="H407" s="318" t="inlineStr">
        <is>
          <t>Technology, Trading &amp; Shipping</t>
        </is>
      </c>
      <c r="I407" s="318" t="inlineStr">
        <is>
          <t>Commercial Fuels</t>
        </is>
      </c>
      <c r="J407" s="318" t="inlineStr">
        <is>
          <t>Trading &amp; Shipping</t>
        </is>
      </c>
      <c r="K407" s="224" t="inlineStr">
        <is>
          <t>Trading &amp; Shipping</t>
        </is>
      </c>
      <c r="L407" s="318" t="n"/>
      <c r="M407" s="319" t="inlineStr">
        <is>
          <t>Australia</t>
        </is>
      </c>
      <c r="N407" s="322" t="inlineStr">
        <is>
          <t>CIB</t>
        </is>
      </c>
      <c r="O407" s="322" t="n">
        <v>1</v>
      </c>
      <c r="P407" s="322" t="n"/>
      <c r="Q407" s="322" t="inlineStr">
        <is>
          <t>Permanent - Full Time</t>
        </is>
      </c>
      <c r="R407" s="322" t="n"/>
      <c r="S407" s="322" t="n"/>
      <c r="T407" s="334" t="n">
        <v>159220</v>
      </c>
      <c r="U407" s="705" t="n">
        <v>159220</v>
      </c>
      <c r="V407" s="325" t="n">
        <v>0.12</v>
      </c>
      <c r="W407" s="702" t="n">
        <v>0.055</v>
      </c>
      <c r="X407" s="702" t="n">
        <v>0.12</v>
      </c>
      <c r="Y407" s="703" t="n"/>
      <c r="Z407" s="702" t="n">
        <v>0.04</v>
      </c>
      <c r="AA407" s="701">
        <f>U407*(1+V407+W407+X407+Y407+Z407)</f>
        <v>212558.69999999998</v>
      </c>
      <c r="AC407" t="inlineStr">
        <is>
          <t>Commercial Fuels</t>
        </is>
      </c>
      <c r="AD407" t="inlineStr">
        <is>
          <t>Trading &amp; Shipping</t>
        </is>
      </c>
      <c r="AE407" t="inlineStr">
        <is>
          <t>Trading &amp; Shipping</t>
        </is>
      </c>
      <c r="AF407" t="inlineStr">
        <is>
          <t>Squad</t>
        </is>
      </c>
      <c r="AG407" t="inlineStr">
        <is>
          <t>Filled</t>
        </is>
      </c>
    </row>
    <row r="408" hidden="1" ht="18" customHeight="1" s="506">
      <c r="A408" s="259" t="n">
        <v>99999101304</v>
      </c>
      <c r="B408" s="224" t="inlineStr">
        <is>
          <t>Liesl Tye</t>
        </is>
      </c>
      <c r="C408" s="317" t="inlineStr">
        <is>
          <t>Head of Technology, B2B &amp; Energy Solutions</t>
        </is>
      </c>
      <c r="D408" s="224" t="inlineStr">
        <is>
          <t xml:space="preserve">Roanne Steele </t>
        </is>
      </c>
      <c r="E408" s="224" t="inlineStr">
        <is>
          <t>GM TDD, CFE&amp;I</t>
        </is>
      </c>
      <c r="F408" s="224" t="inlineStr">
        <is>
          <t>TDD CFE&amp;I</t>
        </is>
      </c>
      <c r="G408" s="318" t="inlineStr">
        <is>
          <t>B2B &amp; Energy Solutions</t>
        </is>
      </c>
      <c r="H408" s="318" t="inlineStr">
        <is>
          <t>Leadership</t>
        </is>
      </c>
      <c r="I408" s="318" t="inlineStr">
        <is>
          <t>B2B &amp; Energy Solutions</t>
        </is>
      </c>
      <c r="J408" s="318" t="inlineStr">
        <is>
          <t>Leadership</t>
        </is>
      </c>
      <c r="K408" s="224" t="inlineStr">
        <is>
          <t>Leadership</t>
        </is>
      </c>
      <c r="L408" s="318" t="n"/>
      <c r="M408" s="319" t="inlineStr">
        <is>
          <t>NZ</t>
        </is>
      </c>
      <c r="N408" s="320" t="inlineStr">
        <is>
          <t>CSC</t>
        </is>
      </c>
      <c r="O408" s="321" t="n">
        <v>1</v>
      </c>
      <c r="P408" s="320" t="n"/>
      <c r="Q408" s="321" t="inlineStr">
        <is>
          <t>Permanent - Full Time</t>
        </is>
      </c>
      <c r="R408" s="322" t="n"/>
      <c r="S408" s="322" t="n"/>
      <c r="T408" s="334" t="n">
        <v>230000</v>
      </c>
      <c r="U408" s="705" t="n">
        <v>211600</v>
      </c>
      <c r="V408" s="324" t="n">
        <v>0.2</v>
      </c>
      <c r="W408" s="322" t="n"/>
      <c r="X408" s="325" t="n">
        <v>0.05</v>
      </c>
      <c r="Y408" s="700" t="n">
        <v>2910</v>
      </c>
      <c r="Z408" s="325" t="n">
        <v>0.03</v>
      </c>
      <c r="AA408" s="701">
        <f>U408*(1+V408+X408+Z408)+Y408</f>
        <v>273758.0</v>
      </c>
      <c r="AB408" t="n">
        <v>113574</v>
      </c>
      <c r="AC408" t="inlineStr">
        <is>
          <t>Energy Solutions &amp; B2B</t>
        </is>
      </c>
      <c r="AD408" t="inlineStr">
        <is>
          <t>Leadership</t>
        </is>
      </c>
      <c r="AE408" t="inlineStr">
        <is>
          <t>Leadership</t>
        </is>
      </c>
      <c r="AF408" t="inlineStr">
        <is>
          <t>Leadership</t>
        </is>
      </c>
      <c r="AG408" t="inlineStr">
        <is>
          <t>Filled</t>
        </is>
      </c>
    </row>
    <row r="409" hidden="1" ht="18" customHeight="1" s="506">
      <c r="A409" s="259" t="n">
        <v>105799</v>
      </c>
      <c r="B409" s="224" t="inlineStr">
        <is>
          <t>Lindsay Baipas</t>
        </is>
      </c>
      <c r="C409" s="317" t="inlineStr">
        <is>
          <t>System Analyst Card</t>
        </is>
      </c>
      <c r="D409" s="224" t="inlineStr">
        <is>
          <t>Elle Spencer</t>
        </is>
      </c>
      <c r="E409" s="224" t="inlineStr">
        <is>
          <t>Technology Manager, Energy Solutions</t>
        </is>
      </c>
      <c r="F409" s="224" t="inlineStr">
        <is>
          <t>TDD CFE&amp;I</t>
        </is>
      </c>
      <c r="G409" s="318" t="inlineStr">
        <is>
          <t>B2B &amp; Energy Solutions</t>
        </is>
      </c>
      <c r="H409" s="318" t="inlineStr">
        <is>
          <t>Technology B2B</t>
        </is>
      </c>
      <c r="I409" s="318" t="inlineStr">
        <is>
          <t>B2B &amp; Energy Solutions</t>
        </is>
      </c>
      <c r="J409" s="224" t="inlineStr">
        <is>
          <t>B2B</t>
        </is>
      </c>
      <c r="K409" s="224" t="inlineStr">
        <is>
          <t>B2B</t>
        </is>
      </c>
      <c r="L409" s="318" t="n"/>
      <c r="M409" s="319" t="inlineStr">
        <is>
          <t>Australia</t>
        </is>
      </c>
      <c r="N409" s="320" t="inlineStr">
        <is>
          <t>CIA</t>
        </is>
      </c>
      <c r="O409" s="320" t="n">
        <v>1</v>
      </c>
      <c r="P409" s="320" t="n"/>
      <c r="Q409" s="320" t="inlineStr">
        <is>
          <t>Permanent - Full Time</t>
        </is>
      </c>
      <c r="R409" s="322" t="n"/>
      <c r="S409" s="322" t="n"/>
      <c r="T409" s="334" t="n">
        <v>144720</v>
      </c>
      <c r="U409" s="705" t="n">
        <v>144720</v>
      </c>
      <c r="V409" s="325" t="n">
        <v>0.1</v>
      </c>
      <c r="W409" s="702" t="n">
        <v>0.055</v>
      </c>
      <c r="X409" s="702" t="n">
        <v>0.12</v>
      </c>
      <c r="Y409" s="703" t="n"/>
      <c r="Z409" s="702" t="n">
        <v>0.04</v>
      </c>
      <c r="AA409" s="701">
        <f>U409*(1+V409+W409+X409+Y409+Z409)</f>
        <v>190306.8</v>
      </c>
      <c r="AC409" t="inlineStr">
        <is>
          <t>Energy Solutions &amp; B2B</t>
        </is>
      </c>
      <c r="AD409" t="inlineStr">
        <is>
          <t>B2B</t>
        </is>
      </c>
      <c r="AE409" t="inlineStr">
        <is>
          <t>B2B</t>
        </is>
      </c>
      <c r="AF409" t="inlineStr">
        <is>
          <t>Squad</t>
        </is>
      </c>
      <c r="AG409" t="inlineStr">
        <is>
          <t>Filled</t>
        </is>
      </c>
    </row>
    <row r="410" hidden="1" ht="18" customHeight="1" s="506">
      <c r="A410" s="259" t="n">
        <v>105488</v>
      </c>
      <c r="B410" s="224" t="inlineStr">
        <is>
          <t>Louis Ballington</t>
        </is>
      </c>
      <c r="C410" s="317" t="inlineStr">
        <is>
          <t>Delivery Lead</t>
        </is>
      </c>
      <c r="D410" s="318" t="inlineStr">
        <is>
          <t>Vacant</t>
        </is>
      </c>
      <c r="E410" s="224" t="inlineStr">
        <is>
          <t>Delivery Manager</t>
        </is>
      </c>
      <c r="F410" s="224" t="inlineStr">
        <is>
          <t>TDD CFE&amp;I</t>
        </is>
      </c>
      <c r="G410" s="344" t="inlineStr">
        <is>
          <t>Fuel Infrastructure</t>
        </is>
      </c>
      <c r="H410" s="318" t="inlineStr">
        <is>
          <t>Fuel Infrastructure, Delivery</t>
        </is>
      </c>
      <c r="I410" s="318" t="inlineStr">
        <is>
          <t>Infrastructure</t>
        </is>
      </c>
      <c r="J410" s="318" t="inlineStr">
        <is>
          <t>Manufacturing</t>
        </is>
      </c>
      <c r="K410" s="224" t="inlineStr">
        <is>
          <t>Manufacturing Group Projects</t>
        </is>
      </c>
      <c r="L410" s="318" t="n"/>
      <c r="M410" s="319" t="inlineStr">
        <is>
          <t>Australia</t>
        </is>
      </c>
      <c r="N410" s="320" t="inlineStr">
        <is>
          <t>CIC</t>
        </is>
      </c>
      <c r="O410" s="320" t="n">
        <v>1</v>
      </c>
      <c r="P410" s="320" t="n"/>
      <c r="Q410" s="320" t="inlineStr">
        <is>
          <t>Permanent - Full Time</t>
        </is>
      </c>
      <c r="R410" s="322" t="n"/>
      <c r="S410" s="322" t="n"/>
      <c r="T410" s="334" t="n">
        <v>192110</v>
      </c>
      <c r="U410" s="705" t="n">
        <v>192110</v>
      </c>
      <c r="V410" s="325" t="n">
        <v>0.12</v>
      </c>
      <c r="W410" s="702" t="n">
        <v>0.055</v>
      </c>
      <c r="X410" s="702" t="n">
        <v>0.12</v>
      </c>
      <c r="Y410" s="703" t="n"/>
      <c r="Z410" s="702" t="n">
        <v>0.04</v>
      </c>
      <c r="AA410" s="701">
        <f>U410*(1+V410+W410+X410+Y410+Z410)</f>
        <v>256466.85</v>
      </c>
      <c r="AC410" t="inlineStr">
        <is>
          <t>Infrastructure</t>
        </is>
      </c>
      <c r="AD410" t="inlineStr">
        <is>
          <t>Manufacturing</t>
        </is>
      </c>
      <c r="AE410" t="inlineStr">
        <is>
          <t>Manufacturing &amp; Group Projects</t>
        </is>
      </c>
      <c r="AF410" t="inlineStr">
        <is>
          <t>Squad</t>
        </is>
      </c>
      <c r="AG410" t="inlineStr">
        <is>
          <t>Filled</t>
        </is>
      </c>
    </row>
    <row r="411" hidden="1" ht="18" customHeight="1" s="506">
      <c r="A411" s="259" t="n">
        <v>8367</v>
      </c>
      <c r="B411" s="224" t="inlineStr">
        <is>
          <t>Marcela Gonzalez</t>
        </is>
      </c>
      <c r="C411" s="317" t="inlineStr">
        <is>
          <t>Energy Platforms Lead</t>
        </is>
      </c>
      <c r="D411" s="318" t="inlineStr">
        <is>
          <t>Vacant</t>
        </is>
      </c>
      <c r="E411" s="224" t="inlineStr">
        <is>
          <t>Technology Manager, Energy Solutions</t>
        </is>
      </c>
      <c r="F411" s="224" t="inlineStr">
        <is>
          <t>TDD CFE&amp;I</t>
        </is>
      </c>
      <c r="G411" s="318" t="inlineStr">
        <is>
          <t>B2B &amp; Energy Solutions</t>
        </is>
      </c>
      <c r="H411" s="318" t="inlineStr">
        <is>
          <t>Technology Energy Solutions</t>
        </is>
      </c>
      <c r="I411" s="318" t="inlineStr">
        <is>
          <t>B2B &amp; Energy Solutions</t>
        </is>
      </c>
      <c r="J411" s="318" t="inlineStr">
        <is>
          <t>Energy Solutions</t>
        </is>
      </c>
      <c r="K411" s="224" t="inlineStr">
        <is>
          <t>Energy</t>
        </is>
      </c>
      <c r="L411" s="318" t="n"/>
      <c r="M411" s="319" t="inlineStr">
        <is>
          <t>Australia</t>
        </is>
      </c>
      <c r="N411" s="322" t="inlineStr">
        <is>
          <t>cic</t>
        </is>
      </c>
      <c r="O411" s="322" t="n">
        <v>1</v>
      </c>
      <c r="P411" s="322" t="n"/>
      <c r="Q411" s="322" t="inlineStr">
        <is>
          <t>Permanent - Full Time</t>
        </is>
      </c>
      <c r="R411" s="322" t="n"/>
      <c r="S411" s="322" t="n"/>
      <c r="T411" s="334" t="n">
        <v>187730</v>
      </c>
      <c r="U411" s="705" t="n">
        <v>187730</v>
      </c>
      <c r="V411" s="325" t="n">
        <v>0.12</v>
      </c>
      <c r="W411" s="702" t="n">
        <v>0.055</v>
      </c>
      <c r="X411" s="702" t="n">
        <v>0.12</v>
      </c>
      <c r="Y411" s="703" t="n"/>
      <c r="Z411" s="702" t="n">
        <v>0.04</v>
      </c>
      <c r="AA411" s="701">
        <f>U411*(1+V411+W411+X411+Y411+Z411)</f>
        <v>250619.55</v>
      </c>
      <c r="AC411" t="inlineStr">
        <is>
          <t>Energy Solutions &amp; B2B</t>
        </is>
      </c>
      <c r="AD411" t="inlineStr">
        <is>
          <t>Energy Solutions</t>
        </is>
      </c>
      <c r="AE411" t="inlineStr">
        <is>
          <t>Energy</t>
        </is>
      </c>
      <c r="AF411" t="inlineStr">
        <is>
          <t>Squad</t>
        </is>
      </c>
      <c r="AG411" t="inlineStr">
        <is>
          <t>Filled</t>
        </is>
      </c>
    </row>
    <row r="412" hidden="1" ht="18" customHeight="1" s="506">
      <c r="A412" s="259" t="n">
        <v>85491</v>
      </c>
      <c r="B412" s="224" t="inlineStr">
        <is>
          <t>Mick DaSilva</t>
        </is>
      </c>
      <c r="C412" s="317" t="inlineStr">
        <is>
          <t>Senior Business Analyst</t>
        </is>
      </c>
      <c r="D412" s="318" t="inlineStr">
        <is>
          <t>Vacant</t>
        </is>
      </c>
      <c r="E412" s="224" t="inlineStr">
        <is>
          <t>Delivery Manager</t>
        </is>
      </c>
      <c r="F412" s="224" t="inlineStr">
        <is>
          <t>TDD CFE&amp;I</t>
        </is>
      </c>
      <c r="G412" s="318" t="inlineStr">
        <is>
          <t>B2B &amp; Energy Solutions</t>
        </is>
      </c>
      <c r="H412" s="318" t="inlineStr">
        <is>
          <t>Delivery</t>
        </is>
      </c>
      <c r="I412" s="318" t="inlineStr">
        <is>
          <t>B2B &amp; Energy Solutions</t>
        </is>
      </c>
      <c r="J412" s="224" t="inlineStr">
        <is>
          <t>B2B</t>
        </is>
      </c>
      <c r="K412" s="224" t="inlineStr">
        <is>
          <t>B2B</t>
        </is>
      </c>
      <c r="L412" s="318" t="n"/>
      <c r="M412" s="319" t="inlineStr">
        <is>
          <t>Australia</t>
        </is>
      </c>
      <c r="N412" s="322" t="inlineStr">
        <is>
          <t>CIB</t>
        </is>
      </c>
      <c r="O412" s="322" t="n">
        <v>1</v>
      </c>
      <c r="P412" s="322" t="n"/>
      <c r="Q412" s="322" t="inlineStr">
        <is>
          <t>Permanent - Full Time</t>
        </is>
      </c>
      <c r="R412" s="322" t="n"/>
      <c r="S412" s="322" t="n"/>
      <c r="T412" s="334" t="n">
        <v>164380</v>
      </c>
      <c r="U412" s="705" t="n">
        <v>164380</v>
      </c>
      <c r="V412" s="325" t="n">
        <v>0.12</v>
      </c>
      <c r="W412" s="702" t="n">
        <v>0.055</v>
      </c>
      <c r="X412" s="702" t="n">
        <v>0.12</v>
      </c>
      <c r="Y412" s="703" t="n"/>
      <c r="Z412" s="702" t="n">
        <v>0.04</v>
      </c>
      <c r="AA412" s="701">
        <f>U412*(1+V412+W412+X412+Y412+Z412)</f>
        <v>219447.3</v>
      </c>
      <c r="AC412" t="inlineStr">
        <is>
          <t>Energy Solutions &amp; B2B</t>
        </is>
      </c>
      <c r="AD412" t="inlineStr">
        <is>
          <t>B2B</t>
        </is>
      </c>
      <c r="AE412" t="inlineStr">
        <is>
          <t>B2B</t>
        </is>
      </c>
      <c r="AF412" t="inlineStr">
        <is>
          <t>Squad</t>
        </is>
      </c>
      <c r="AG412" t="inlineStr">
        <is>
          <t>Filled</t>
        </is>
      </c>
    </row>
    <row r="413" hidden="1" ht="18" customHeight="1" s="506">
      <c r="A413" s="259" t="n">
        <v>90813</v>
      </c>
      <c r="B413" s="224" t="inlineStr">
        <is>
          <t>Mikey Tran</t>
        </is>
      </c>
      <c r="C413" s="317" t="inlineStr">
        <is>
          <t>Senior Systems Analyst - Card</t>
        </is>
      </c>
      <c r="D413" s="224" t="inlineStr">
        <is>
          <t>Elle Spencer</t>
        </is>
      </c>
      <c r="E413" s="224" t="inlineStr">
        <is>
          <t>Technology Manager, Energy Solutions</t>
        </is>
      </c>
      <c r="F413" s="224" t="inlineStr">
        <is>
          <t>TDD CFE&amp;I</t>
        </is>
      </c>
      <c r="G413" s="318" t="inlineStr">
        <is>
          <t>B2B &amp; Energy Solutions</t>
        </is>
      </c>
      <c r="H413" s="318" t="inlineStr">
        <is>
          <t>Technology B2B</t>
        </is>
      </c>
      <c r="I413" s="318" t="inlineStr">
        <is>
          <t>B2B &amp; Energy Solutions</t>
        </is>
      </c>
      <c r="J413" s="224" t="inlineStr">
        <is>
          <t>B2B</t>
        </is>
      </c>
      <c r="K413" s="224" t="inlineStr">
        <is>
          <t>B2B</t>
        </is>
      </c>
      <c r="L413" s="318" t="n"/>
      <c r="M413" s="319" t="inlineStr">
        <is>
          <t>Australia</t>
        </is>
      </c>
      <c r="N413" s="320" t="inlineStr">
        <is>
          <t>CIB</t>
        </is>
      </c>
      <c r="O413" s="320" t="n">
        <v>1</v>
      </c>
      <c r="P413" s="320" t="n"/>
      <c r="Q413" s="320" t="inlineStr">
        <is>
          <t>Permanent - Full Time</t>
        </is>
      </c>
      <c r="R413" s="322" t="n"/>
      <c r="S413" s="322" t="n"/>
      <c r="T413" s="334" t="n">
        <v>140000</v>
      </c>
      <c r="U413" s="705" t="n">
        <v>140000</v>
      </c>
      <c r="V413" s="325" t="n">
        <v>0.12</v>
      </c>
      <c r="W413" s="702" t="n">
        <v>0.055</v>
      </c>
      <c r="X413" s="702" t="n">
        <v>0.12</v>
      </c>
      <c r="Y413" s="703" t="n"/>
      <c r="Z413" s="702" t="n">
        <v>0.04</v>
      </c>
      <c r="AA413" s="701">
        <f>U413*(1+V413+W413+X413+Y413+Z413)</f>
        <v>186900.0</v>
      </c>
      <c r="AC413" t="inlineStr">
        <is>
          <t>Energy Solutions &amp; B2B</t>
        </is>
      </c>
      <c r="AD413" t="inlineStr">
        <is>
          <t>B2B</t>
        </is>
      </c>
      <c r="AE413" t="inlineStr">
        <is>
          <t>B2B</t>
        </is>
      </c>
      <c r="AF413" t="inlineStr">
        <is>
          <t>Squad</t>
        </is>
      </c>
      <c r="AG413" t="inlineStr">
        <is>
          <t>Filled</t>
        </is>
      </c>
    </row>
    <row r="414" hidden="1" ht="18" customHeight="1" s="506">
      <c r="A414" s="259" t="n">
        <v>114723</v>
      </c>
      <c r="B414" s="224" t="inlineStr">
        <is>
          <t>Ming Shao</t>
        </is>
      </c>
      <c r="C414" s="317" t="inlineStr">
        <is>
          <t>Senior Systems Analyst Card</t>
        </is>
      </c>
      <c r="D414" s="224" t="inlineStr">
        <is>
          <t>Elle Spencer</t>
        </is>
      </c>
      <c r="E414" s="224" t="inlineStr">
        <is>
          <t>Technology Manager, Energy Solutions</t>
        </is>
      </c>
      <c r="F414" s="224" t="inlineStr">
        <is>
          <t>TDD CFE&amp;I</t>
        </is>
      </c>
      <c r="G414" s="318" t="inlineStr">
        <is>
          <t>B2B &amp; Energy Solutions</t>
        </is>
      </c>
      <c r="H414" s="318" t="inlineStr">
        <is>
          <t>Technology B2B</t>
        </is>
      </c>
      <c r="I414" s="318" t="inlineStr">
        <is>
          <t>B2B &amp; Energy Solutions</t>
        </is>
      </c>
      <c r="J414" s="224" t="inlineStr">
        <is>
          <t>B2B</t>
        </is>
      </c>
      <c r="K414" s="224" t="inlineStr">
        <is>
          <t>B2B</t>
        </is>
      </c>
      <c r="L414" s="318" t="n"/>
      <c r="M414" s="319" t="inlineStr">
        <is>
          <t>Australia</t>
        </is>
      </c>
      <c r="N414" s="320" t="inlineStr">
        <is>
          <t>CIC</t>
        </is>
      </c>
      <c r="O414" s="320" t="n">
        <v>1</v>
      </c>
      <c r="P414" s="320" t="n"/>
      <c r="Q414" s="320" t="inlineStr">
        <is>
          <t>Permanent - Full Time</t>
        </is>
      </c>
      <c r="R414" s="322" t="n"/>
      <c r="S414" s="322" t="n"/>
      <c r="T414" s="334" t="n">
        <v>166000</v>
      </c>
      <c r="U414" s="705" t="n">
        <v>166000</v>
      </c>
      <c r="V414" s="325" t="n">
        <v>0.12</v>
      </c>
      <c r="W414" s="702" t="n">
        <v>0.055</v>
      </c>
      <c r="X414" s="702" t="n">
        <v>0.12</v>
      </c>
      <c r="Y414" s="703" t="n"/>
      <c r="Z414" s="702" t="n">
        <v>0.04</v>
      </c>
      <c r="AA414" s="701">
        <f>U414*(1+V414+W414+X414+Y414+Z414)</f>
        <v>221610.0</v>
      </c>
      <c r="AC414" t="inlineStr">
        <is>
          <t>Energy Solutions &amp; B2B</t>
        </is>
      </c>
      <c r="AD414" t="inlineStr">
        <is>
          <t>B2B</t>
        </is>
      </c>
      <c r="AE414" t="inlineStr">
        <is>
          <t>B2B</t>
        </is>
      </c>
      <c r="AF414" t="inlineStr">
        <is>
          <t>Squad</t>
        </is>
      </c>
      <c r="AG414" t="inlineStr">
        <is>
          <t>Filled</t>
        </is>
      </c>
    </row>
    <row r="415" hidden="1" ht="18" customHeight="1" s="506">
      <c r="A415" s="259" t="n">
        <v>99999101224</v>
      </c>
      <c r="B415" s="224" t="inlineStr">
        <is>
          <t>Nakul Bharade</t>
        </is>
      </c>
      <c r="C415" s="317" t="inlineStr">
        <is>
          <t>Head of Technology, Commercial Fuels</t>
        </is>
      </c>
      <c r="D415" s="224" t="inlineStr">
        <is>
          <t xml:space="preserve">Roanne Steele </t>
        </is>
      </c>
      <c r="E415" s="224" t="inlineStr">
        <is>
          <t>GM TDD, CFE&amp;I</t>
        </is>
      </c>
      <c r="F415" s="224" t="inlineStr">
        <is>
          <t>TDD CFE&amp;I</t>
        </is>
      </c>
      <c r="G415" s="318" t="inlineStr">
        <is>
          <t>Commercial Fuels</t>
        </is>
      </c>
      <c r="H415" s="318" t="inlineStr">
        <is>
          <t>Leadership</t>
        </is>
      </c>
      <c r="I415" s="318" t="inlineStr">
        <is>
          <t>Commercial Fuels</t>
        </is>
      </c>
      <c r="J415" s="318" t="inlineStr">
        <is>
          <t>Leadership</t>
        </is>
      </c>
      <c r="K415" s="318" t="inlineStr">
        <is>
          <t>Leadership</t>
        </is>
      </c>
      <c r="L415" s="318" t="n"/>
      <c r="M415" s="319" t="inlineStr">
        <is>
          <t>NZ</t>
        </is>
      </c>
      <c r="N415" s="320" t="inlineStr">
        <is>
          <t>CSC</t>
        </is>
      </c>
      <c r="O415" s="321" t="n">
        <v>1</v>
      </c>
      <c r="P415" s="320" t="n"/>
      <c r="Q415" s="321" t="inlineStr">
        <is>
          <t>Permanent - Full Time</t>
        </is>
      </c>
      <c r="R415" s="322" t="n"/>
      <c r="S415" s="322" t="n"/>
      <c r="T415" s="334" t="n">
        <v>245860</v>
      </c>
      <c r="U415" s="699" t="n">
        <v>226191.2</v>
      </c>
      <c r="V415" s="365" t="n">
        <v>0.2</v>
      </c>
      <c r="X415" s="361" t="n">
        <v>0.05</v>
      </c>
      <c r="Y415" s="709" t="n">
        <v>2910</v>
      </c>
      <c r="Z415" s="361" t="n">
        <v>0.03</v>
      </c>
      <c r="AA415" s="708">
        <f>U415*(1+V415+X415+Z415)+Y415</f>
        <v>292434.73600000003</v>
      </c>
      <c r="AB415" t="n">
        <v>15174</v>
      </c>
      <c r="AC415" t="inlineStr">
        <is>
          <t>Commercial Fuels</t>
        </is>
      </c>
      <c r="AD415" t="inlineStr">
        <is>
          <t>Leadership</t>
        </is>
      </c>
      <c r="AE415" t="inlineStr">
        <is>
          <t>Leadership</t>
        </is>
      </c>
      <c r="AF415" t="inlineStr">
        <is>
          <t>Leadership</t>
        </is>
      </c>
      <c r="AG415" t="inlineStr">
        <is>
          <t>Filled</t>
        </is>
      </c>
    </row>
    <row r="416" hidden="1" ht="18" customHeight="1" s="506">
      <c r="A416" s="259" t="n">
        <v>99999101908</v>
      </c>
      <c r="B416" s="224" t="inlineStr">
        <is>
          <t>Oliver Shanks</t>
        </is>
      </c>
      <c r="C416" s="317" t="inlineStr">
        <is>
          <t>Associate Engineer Software</t>
        </is>
      </c>
      <c r="D416" s="318" t="inlineStr">
        <is>
          <t>Vacant</t>
        </is>
      </c>
      <c r="E416" s="224" t="inlineStr">
        <is>
          <t>Technology Manager, Engineering</t>
        </is>
      </c>
      <c r="F416" s="224" t="inlineStr">
        <is>
          <t>TDD CFE&amp;I</t>
        </is>
      </c>
      <c r="G416" s="318" t="inlineStr">
        <is>
          <t>Commercial Fuels</t>
        </is>
      </c>
      <c r="H416" s="318" t="inlineStr">
        <is>
          <t>Technology, CF Engineering</t>
        </is>
      </c>
      <c r="I416" s="318" t="inlineStr">
        <is>
          <t>Commercial Fuels</t>
        </is>
      </c>
      <c r="J416" s="224" t="inlineStr">
        <is>
          <t>CTRM</t>
        </is>
      </c>
      <c r="K416" s="224" t="inlineStr">
        <is>
          <t>CTRM</t>
        </is>
      </c>
      <c r="L416" s="318" t="n"/>
      <c r="M416" s="319" t="inlineStr">
        <is>
          <t>NZ</t>
        </is>
      </c>
      <c r="N416" s="320" t="inlineStr">
        <is>
          <t>CDA</t>
        </is>
      </c>
      <c r="O416" s="321" t="n">
        <v>1</v>
      </c>
      <c r="P416" s="320" t="n"/>
      <c r="Q416" s="321" t="inlineStr">
        <is>
          <t>Permanent - Full Time</t>
        </is>
      </c>
      <c r="R416" s="322" t="n"/>
      <c r="S416" s="322" t="n"/>
      <c r="T416" s="334" t="n">
        <v>75170</v>
      </c>
      <c r="U416" s="705" t="n">
        <v>69156.40000000001</v>
      </c>
      <c r="V416" s="324" t="n">
        <v>0.1</v>
      </c>
      <c r="W416" s="322" t="n"/>
      <c r="X416" s="325" t="n">
        <v>0.05</v>
      </c>
      <c r="Y416" s="700" t="n">
        <v>2910</v>
      </c>
      <c r="Z416" s="325" t="n">
        <v>0.03</v>
      </c>
      <c r="AA416" s="701">
        <f>U416*(1+V416+X416+Z416)+Y416</f>
        <v>84514.55200000003</v>
      </c>
      <c r="AB416" t="n">
        <v>113924</v>
      </c>
      <c r="AC416" t="inlineStr">
        <is>
          <t>Commercial Fuels</t>
        </is>
      </c>
      <c r="AD416" t="inlineStr">
        <is>
          <t>CTRM</t>
        </is>
      </c>
      <c r="AE416" t="inlineStr">
        <is>
          <t>CTRM</t>
        </is>
      </c>
      <c r="AF416" t="inlineStr">
        <is>
          <t>Strategic Program</t>
        </is>
      </c>
      <c r="AG416" t="inlineStr">
        <is>
          <t>Filled</t>
        </is>
      </c>
    </row>
    <row r="417" hidden="1" ht="18" customHeight="1" s="506">
      <c r="A417" s="259" t="n">
        <v>106907</v>
      </c>
      <c r="B417" s="224" t="inlineStr">
        <is>
          <t>Oz Shaaban</t>
        </is>
      </c>
      <c r="C417" s="317" t="inlineStr">
        <is>
          <t>Delivery Lead</t>
        </is>
      </c>
      <c r="D417" s="318" t="inlineStr">
        <is>
          <t>Vacant</t>
        </is>
      </c>
      <c r="E417" s="224" t="inlineStr">
        <is>
          <t>Delivery Manager</t>
        </is>
      </c>
      <c r="F417" s="224" t="inlineStr">
        <is>
          <t>TDD CFE&amp;I</t>
        </is>
      </c>
      <c r="G417" s="318" t="inlineStr">
        <is>
          <t>Commercial Fuels</t>
        </is>
      </c>
      <c r="H417" s="318" t="inlineStr">
        <is>
          <t>Delivery, Commercial Fuels</t>
        </is>
      </c>
      <c r="I417" s="318" t="inlineStr">
        <is>
          <t>Commercial Fuels</t>
        </is>
      </c>
      <c r="J417" s="318" t="inlineStr">
        <is>
          <t>CTRM</t>
        </is>
      </c>
      <c r="K417" s="318" t="inlineStr">
        <is>
          <t>CTRM</t>
        </is>
      </c>
      <c r="L417" s="224" t="n"/>
      <c r="M417" s="319" t="inlineStr">
        <is>
          <t>Australia</t>
        </is>
      </c>
      <c r="N417" s="320" t="inlineStr">
        <is>
          <t>CIC</t>
        </is>
      </c>
      <c r="O417" s="320" t="n">
        <v>1</v>
      </c>
      <c r="P417" s="320" t="n"/>
      <c r="Q417" s="320" t="inlineStr">
        <is>
          <t>Permanent - Full Time</t>
        </is>
      </c>
      <c r="R417" s="322" t="n"/>
      <c r="S417" s="322" t="n"/>
      <c r="T417" s="334" t="n">
        <v>190260</v>
      </c>
      <c r="U417" s="705" t="n">
        <v>190260</v>
      </c>
      <c r="V417" s="325" t="n">
        <v>0.12</v>
      </c>
      <c r="W417" s="702" t="n">
        <v>0.055</v>
      </c>
      <c r="X417" s="702" t="n">
        <v>0.12</v>
      </c>
      <c r="Y417" s="703" t="n"/>
      <c r="Z417" s="702" t="n">
        <v>0.04</v>
      </c>
      <c r="AA417" s="701">
        <f>U417*(1+V417+W417+X417+Y417+Z417)</f>
        <v>253997.1</v>
      </c>
      <c r="AC417" t="inlineStr">
        <is>
          <t>Commercial Fuels</t>
        </is>
      </c>
      <c r="AD417" t="inlineStr">
        <is>
          <t>CTRM</t>
        </is>
      </c>
      <c r="AE417" t="inlineStr">
        <is>
          <t>CTRM</t>
        </is>
      </c>
      <c r="AF417" t="inlineStr">
        <is>
          <t>Strategic Program</t>
        </is>
      </c>
      <c r="AG417" t="inlineStr">
        <is>
          <t>Filled</t>
        </is>
      </c>
    </row>
    <row r="418" hidden="1" ht="18" customHeight="1" s="506">
      <c r="A418" s="259" t="n">
        <v>14920</v>
      </c>
      <c r="B418" s="224" t="inlineStr">
        <is>
          <t>Poch Fernandez</t>
        </is>
      </c>
      <c r="C418" s="317" t="inlineStr">
        <is>
          <t xml:space="preserve">Lead Technology Support  </t>
        </is>
      </c>
      <c r="D418" s="224" t="inlineStr">
        <is>
          <t>Allan Francia</t>
        </is>
      </c>
      <c r="E418" s="224" t="inlineStr">
        <is>
          <t>Technology Manager, T&amp;S</t>
        </is>
      </c>
      <c r="F418" s="224" t="inlineStr">
        <is>
          <t>TDD CFE&amp;I</t>
        </is>
      </c>
      <c r="G418" s="318" t="inlineStr">
        <is>
          <t>Commercial Fuels</t>
        </is>
      </c>
      <c r="H418" s="318" t="inlineStr">
        <is>
          <t>Technology, Trading &amp; Shipping</t>
        </is>
      </c>
      <c r="I418" s="318" t="inlineStr">
        <is>
          <t>Commercial Fuels</t>
        </is>
      </c>
      <c r="J418" s="328" t="inlineStr">
        <is>
          <t>Trading &amp; Shipping</t>
        </is>
      </c>
      <c r="K418" s="224" t="inlineStr">
        <is>
          <t>Trading &amp; Shipping</t>
        </is>
      </c>
      <c r="L418" s="318" t="n"/>
      <c r="M418" s="319" t="inlineStr">
        <is>
          <t>Singapore</t>
        </is>
      </c>
      <c r="N418" s="322" t="inlineStr">
        <is>
          <t>CIA</t>
        </is>
      </c>
      <c r="O418" s="322" t="n">
        <v>1</v>
      </c>
      <c r="P418" s="322" t="n"/>
      <c r="Q418" s="322" t="inlineStr">
        <is>
          <t>Permanent - Full Time</t>
        </is>
      </c>
      <c r="R418" s="322" t="n"/>
      <c r="S418" s="322" t="n"/>
      <c r="T418" s="334" t="n">
        <v>126380</v>
      </c>
      <c r="U418" s="705" t="n">
        <v>152919.8</v>
      </c>
      <c r="V418" s="325" t="n">
        <v>0.18</v>
      </c>
      <c r="W418" s="322" t="n"/>
      <c r="X418" s="325" t="n">
        <v>0.17</v>
      </c>
      <c r="Y418" s="700" t="n">
        <v>3310</v>
      </c>
      <c r="Z418" s="347" t="n">
        <v>0.045</v>
      </c>
      <c r="AA418" s="701">
        <f>U418*(1+V418+X418+Z418)+Y418</f>
        <v>216633.12099999996</v>
      </c>
      <c r="AC418" t="inlineStr">
        <is>
          <t>Commercial Fuels</t>
        </is>
      </c>
      <c r="AD418" t="inlineStr">
        <is>
          <t>Trading &amp; Shipping</t>
        </is>
      </c>
      <c r="AE418" t="inlineStr">
        <is>
          <t>Trading &amp; Shipping</t>
        </is>
      </c>
      <c r="AF418" t="inlineStr">
        <is>
          <t>Squad</t>
        </is>
      </c>
      <c r="AG418" t="inlineStr">
        <is>
          <t>Filled</t>
        </is>
      </c>
    </row>
    <row r="419" hidden="1" ht="18" customHeight="1" s="506">
      <c r="A419" s="259" t="n">
        <v>92697</v>
      </c>
      <c r="B419" s="224" t="inlineStr">
        <is>
          <t>Radek Rybar</t>
        </is>
      </c>
      <c r="C419" s="317" t="inlineStr">
        <is>
          <t>Technology Support Engineer - Infrastructure</t>
        </is>
      </c>
      <c r="D419" s="224" t="inlineStr">
        <is>
          <t>Glenn Earl</t>
        </is>
      </c>
      <c r="E419" s="224" t="inlineStr">
        <is>
          <t>Lead Support, Infrastructure</t>
        </is>
      </c>
      <c r="F419" s="224" t="inlineStr">
        <is>
          <t>TDD CFE&amp;I</t>
        </is>
      </c>
      <c r="G419" s="318" t="inlineStr">
        <is>
          <t>Fuel Infrastructure</t>
        </is>
      </c>
      <c r="H419" s="318" t="inlineStr">
        <is>
          <t>Refinery Applications</t>
        </is>
      </c>
      <c r="I419" s="318" t="inlineStr">
        <is>
          <t>Infrastructure</t>
        </is>
      </c>
      <c r="J419" s="328" t="inlineStr">
        <is>
          <t>Fuel Infrastructure</t>
        </is>
      </c>
      <c r="K419" s="224" t="inlineStr">
        <is>
          <t>Technology Suport</t>
        </is>
      </c>
      <c r="L419" s="318" t="n"/>
      <c r="M419" s="319" t="inlineStr">
        <is>
          <t>Australia</t>
        </is>
      </c>
      <c r="N419" s="320" t="inlineStr">
        <is>
          <t>CIA</t>
        </is>
      </c>
      <c r="O419" s="320" t="n">
        <v>1</v>
      </c>
      <c r="P419" s="320" t="n"/>
      <c r="Q419" s="320" t="inlineStr">
        <is>
          <t>Permanent - Full Time</t>
        </is>
      </c>
      <c r="R419" s="322" t="n"/>
      <c r="S419" s="322" t="n"/>
      <c r="T419" s="334" t="n">
        <v>116880</v>
      </c>
      <c r="U419" s="705" t="n">
        <v>116880</v>
      </c>
      <c r="V419" s="325" t="n">
        <v>0.1</v>
      </c>
      <c r="W419" s="702" t="n">
        <v>0.055</v>
      </c>
      <c r="X419" s="702" t="n">
        <v>0.12</v>
      </c>
      <c r="Y419" s="703" t="n"/>
      <c r="Z419" s="702" t="n">
        <v>0.04</v>
      </c>
      <c r="AA419" s="701">
        <f>U419*(1+V419+W419+X419+Y419+Z419)</f>
        <v>153697.19999999998</v>
      </c>
      <c r="AC419" t="inlineStr">
        <is>
          <t>Infrastructure</t>
        </is>
      </c>
      <c r="AD419" t="inlineStr">
        <is>
          <t>Manufacturing</t>
        </is>
      </c>
      <c r="AE419" t="inlineStr">
        <is>
          <t>Technology Support</t>
        </is>
      </c>
      <c r="AF419" t="inlineStr">
        <is>
          <t>Squad</t>
        </is>
      </c>
      <c r="AG419" t="inlineStr">
        <is>
          <t>Filled</t>
        </is>
      </c>
    </row>
    <row r="420" hidden="1" ht="18" customHeight="1" s="506">
      <c r="A420" s="259" t="n">
        <v>97884</v>
      </c>
      <c r="B420" s="224" t="inlineStr">
        <is>
          <t>Rebecca Estepa</t>
        </is>
      </c>
      <c r="C420" s="317" t="inlineStr">
        <is>
          <t>Snr Business Analyst</t>
        </is>
      </c>
      <c r="D420" s="318" t="inlineStr">
        <is>
          <t>Vacant</t>
        </is>
      </c>
      <c r="E420" s="224" t="inlineStr">
        <is>
          <t>Delivery Manager</t>
        </is>
      </c>
      <c r="F420" s="224" t="inlineStr">
        <is>
          <t>TDD CFE&amp;I</t>
        </is>
      </c>
      <c r="G420" s="344" t="inlineStr">
        <is>
          <t>Fuel Infrastructure</t>
        </is>
      </c>
      <c r="H420" s="318" t="inlineStr">
        <is>
          <t>Fuel Infrastructure, Delivery</t>
        </is>
      </c>
      <c r="I420" s="318" t="inlineStr">
        <is>
          <t>Infrastructure</t>
        </is>
      </c>
      <c r="J420" s="224" t="inlineStr">
        <is>
          <t>Distribution</t>
        </is>
      </c>
      <c r="K420" s="224" t="inlineStr">
        <is>
          <t>Distribution, Sales &amp; Services</t>
        </is>
      </c>
      <c r="L420" s="318" t="n"/>
      <c r="M420" s="319" t="inlineStr">
        <is>
          <t>Australia</t>
        </is>
      </c>
      <c r="N420" s="320" t="inlineStr">
        <is>
          <t>CIB</t>
        </is>
      </c>
      <c r="O420" s="320" t="n">
        <v>1</v>
      </c>
      <c r="P420" s="320" t="n"/>
      <c r="Q420" s="320" t="inlineStr">
        <is>
          <t>Permanent - Full Time</t>
        </is>
      </c>
      <c r="R420" s="322" t="n"/>
      <c r="S420" s="322" t="n"/>
      <c r="T420" s="334" t="n">
        <v>174780</v>
      </c>
      <c r="U420" s="705" t="n">
        <v>174780</v>
      </c>
      <c r="V420" s="325" t="n">
        <v>0.12</v>
      </c>
      <c r="W420" s="702" t="n">
        <v>0.055</v>
      </c>
      <c r="X420" s="702" t="n">
        <v>0.12</v>
      </c>
      <c r="Y420" s="703" t="n"/>
      <c r="Z420" s="702" t="n">
        <v>0.04</v>
      </c>
      <c r="AA420" s="701">
        <f>U420*(1+V420+W420+X420+Y420+Z420)</f>
        <v>233331.3</v>
      </c>
      <c r="AC420" t="inlineStr">
        <is>
          <t>Infrastructure</t>
        </is>
      </c>
      <c r="AD420" t="inlineStr">
        <is>
          <t>Distribution</t>
        </is>
      </c>
      <c r="AE420" t="inlineStr">
        <is>
          <t>Distribution, Sales &amp; Services</t>
        </is>
      </c>
      <c r="AF420" t="inlineStr">
        <is>
          <t>Squad</t>
        </is>
      </c>
      <c r="AG420" t="inlineStr">
        <is>
          <t>Filled</t>
        </is>
      </c>
    </row>
    <row r="421" hidden="1" ht="18" customHeight="1" s="506">
      <c r="A421" s="259" t="n">
        <v>115935</v>
      </c>
      <c r="B421" s="224" t="inlineStr">
        <is>
          <t>Rick Abainza</t>
        </is>
      </c>
      <c r="C421" s="317" t="inlineStr">
        <is>
          <t>Lead Business Analyst</t>
        </is>
      </c>
      <c r="D421" s="318" t="inlineStr">
        <is>
          <t>Vacant</t>
        </is>
      </c>
      <c r="E421" s="224" t="inlineStr">
        <is>
          <t>Delivery Manager</t>
        </is>
      </c>
      <c r="F421" s="224" t="inlineStr">
        <is>
          <t>TDD CFE&amp;I</t>
        </is>
      </c>
      <c r="G421" s="318" t="inlineStr">
        <is>
          <t>Commercial Fuels</t>
        </is>
      </c>
      <c r="H421" s="318" t="inlineStr">
        <is>
          <t>Delivery, Commercial Fuels</t>
        </is>
      </c>
      <c r="I421" s="318" t="inlineStr">
        <is>
          <t>Commercial Fuels</t>
        </is>
      </c>
      <c r="J421" s="318" t="inlineStr">
        <is>
          <t>CTRM</t>
        </is>
      </c>
      <c r="K421" s="318" t="inlineStr">
        <is>
          <t>CTRM</t>
        </is>
      </c>
      <c r="L421" s="224" t="n"/>
      <c r="M421" s="319" t="inlineStr">
        <is>
          <t>Singapore</t>
        </is>
      </c>
      <c r="N421" s="320" t="inlineStr">
        <is>
          <t>CIC</t>
        </is>
      </c>
      <c r="O421" s="320" t="n">
        <v>1</v>
      </c>
      <c r="P421" s="320" t="n"/>
      <c r="Q421" s="320" t="inlineStr">
        <is>
          <t>Permanent - Full Time</t>
        </is>
      </c>
      <c r="R421" s="322" t="n"/>
      <c r="S421" s="322" t="n"/>
      <c r="T421" s="334" t="n">
        <v>205000</v>
      </c>
      <c r="U421" s="705" t="n">
        <v>248050</v>
      </c>
      <c r="V421" s="325" t="n">
        <v>0.25</v>
      </c>
      <c r="W421" s="322" t="n"/>
      <c r="X421" s="325" t="n">
        <v>0.17</v>
      </c>
      <c r="Y421" s="700" t="n">
        <v>3310</v>
      </c>
      <c r="Z421" s="347" t="n">
        <v>0.045</v>
      </c>
      <c r="AA421" s="701">
        <f>U421*(1+V421+X421+Z421)+Y421</f>
        <v>366703.24999999994</v>
      </c>
      <c r="AC421" t="inlineStr">
        <is>
          <t>Commercial Fuels</t>
        </is>
      </c>
      <c r="AD421" t="inlineStr">
        <is>
          <t>CTRM</t>
        </is>
      </c>
      <c r="AE421" t="inlineStr">
        <is>
          <t>CTRM</t>
        </is>
      </c>
      <c r="AF421" t="inlineStr">
        <is>
          <t>Strategic Program</t>
        </is>
      </c>
      <c r="AG421" t="inlineStr">
        <is>
          <t>Filled</t>
        </is>
      </c>
    </row>
    <row r="422" hidden="1" ht="18" customHeight="1" s="506">
      <c r="A422" s="259" t="n">
        <v>99999101636</v>
      </c>
      <c r="B422" s="224" t="inlineStr">
        <is>
          <t>Rod Santillan</t>
        </is>
      </c>
      <c r="C422" s="317" t="inlineStr">
        <is>
          <t>Snr Engineer Software</t>
        </is>
      </c>
      <c r="D422" s="224" t="inlineStr">
        <is>
          <t>Elle Spencer</t>
        </is>
      </c>
      <c r="E422" s="224" t="inlineStr">
        <is>
          <t>Technology Manager, Energy Solutions</t>
        </is>
      </c>
      <c r="F422" s="224" t="inlineStr">
        <is>
          <t>TDD CFE&amp;I</t>
        </is>
      </c>
      <c r="G422" s="318" t="inlineStr">
        <is>
          <t>B2B &amp; Energy Solutions</t>
        </is>
      </c>
      <c r="H422" s="318" t="inlineStr">
        <is>
          <t>Technology B2B</t>
        </is>
      </c>
      <c r="I422" s="318" t="inlineStr">
        <is>
          <t>B2B &amp; Energy Solutions</t>
        </is>
      </c>
      <c r="J422" s="224" t="inlineStr">
        <is>
          <t>B2B</t>
        </is>
      </c>
      <c r="K422" s="224" t="inlineStr">
        <is>
          <t>B2B</t>
        </is>
      </c>
      <c r="L422" s="318" t="n"/>
      <c r="M422" s="319" t="inlineStr">
        <is>
          <t>NZ</t>
        </is>
      </c>
      <c r="N422" s="320" t="inlineStr">
        <is>
          <t>CIA</t>
        </is>
      </c>
      <c r="O422" s="321" t="n">
        <v>1</v>
      </c>
      <c r="P422" s="320" t="n"/>
      <c r="Q422" s="321" t="inlineStr">
        <is>
          <t>Permanent - Full Time</t>
        </is>
      </c>
      <c r="R422" s="322" t="n"/>
      <c r="S422" s="322" t="n"/>
      <c r="T422" s="334" t="n">
        <v>142200</v>
      </c>
      <c r="U422" s="705" t="n">
        <v>130824</v>
      </c>
      <c r="V422" s="324" t="n">
        <v>0.15</v>
      </c>
      <c r="W422" s="322" t="n"/>
      <c r="X422" s="325" t="n">
        <v>0.05</v>
      </c>
      <c r="Y422" s="700" t="n">
        <v>2910</v>
      </c>
      <c r="Z422" s="325" t="n">
        <v>0.03</v>
      </c>
      <c r="AA422" s="701">
        <f>U422*(1+V422+X422+Z422)+Y422</f>
        <v>163823.52</v>
      </c>
      <c r="AB422" t="n">
        <v>113606</v>
      </c>
      <c r="AC422" t="inlineStr">
        <is>
          <t>Energy Solutions &amp; B2B</t>
        </is>
      </c>
      <c r="AD422" t="inlineStr">
        <is>
          <t>B2B</t>
        </is>
      </c>
      <c r="AE422" t="inlineStr">
        <is>
          <t>B2B</t>
        </is>
      </c>
      <c r="AF422" t="inlineStr">
        <is>
          <t>Squad</t>
        </is>
      </c>
      <c r="AG422" t="inlineStr">
        <is>
          <t>Filled</t>
        </is>
      </c>
    </row>
    <row r="423" hidden="1" ht="18" customHeight="1" s="506">
      <c r="A423" s="259" t="n">
        <v>113202</v>
      </c>
      <c r="B423" s="224" t="inlineStr">
        <is>
          <t>Rohan Patel</t>
        </is>
      </c>
      <c r="C423" s="317" t="inlineStr">
        <is>
          <t>Senior Systems Analyst</t>
        </is>
      </c>
      <c r="D423" s="224" t="inlineStr">
        <is>
          <t>Karla Orozco Loza</t>
        </is>
      </c>
      <c r="E423" s="224" t="inlineStr">
        <is>
          <t>Technology Manager, Future Infrastructure</t>
        </is>
      </c>
      <c r="F423" s="224" t="inlineStr">
        <is>
          <t>TDD CFE&amp;I</t>
        </is>
      </c>
      <c r="G423" s="318" t="inlineStr">
        <is>
          <t>Fuel Infrastructure</t>
        </is>
      </c>
      <c r="H423" s="318" t="inlineStr">
        <is>
          <t>Technology - Distribution</t>
        </is>
      </c>
      <c r="I423" s="318" t="inlineStr">
        <is>
          <t>Infrastructure</t>
        </is>
      </c>
      <c r="J423" s="318" t="inlineStr">
        <is>
          <t>Distribution</t>
        </is>
      </c>
      <c r="K423" s="224" t="inlineStr">
        <is>
          <t>Distribution, Sales &amp; Services</t>
        </is>
      </c>
      <c r="L423" s="318" t="n"/>
      <c r="M423" s="319" t="inlineStr">
        <is>
          <t>Australia</t>
        </is>
      </c>
      <c r="N423" s="320" t="inlineStr">
        <is>
          <t>CIB</t>
        </is>
      </c>
      <c r="O423" s="320" t="n">
        <v>1</v>
      </c>
      <c r="P423" s="320" t="n"/>
      <c r="Q423" s="320" t="inlineStr">
        <is>
          <t>Permanent - Full Time</t>
        </is>
      </c>
      <c r="R423" s="322" t="n"/>
      <c r="S423" s="322" t="n"/>
      <c r="T423" s="334" t="n">
        <v>156850</v>
      </c>
      <c r="U423" s="705" t="n">
        <v>156850</v>
      </c>
      <c r="V423" s="325" t="n">
        <v>0.12</v>
      </c>
      <c r="W423" s="702" t="n">
        <v>0.055</v>
      </c>
      <c r="X423" s="702" t="n">
        <v>0.12</v>
      </c>
      <c r="Y423" s="703" t="n"/>
      <c r="Z423" s="702" t="n">
        <v>0.04</v>
      </c>
      <c r="AA423" s="701">
        <f>U423*(1+V423+W423+X423+Y423+Z423)</f>
        <v>209394.75</v>
      </c>
      <c r="AC423" t="inlineStr">
        <is>
          <t>Infrastructure</t>
        </is>
      </c>
      <c r="AD423" t="inlineStr">
        <is>
          <t>Distribution</t>
        </is>
      </c>
      <c r="AE423" t="inlineStr">
        <is>
          <t>Distribution, Sales &amp; Services</t>
        </is>
      </c>
      <c r="AF423" t="inlineStr">
        <is>
          <t>Squad</t>
        </is>
      </c>
      <c r="AG423" t="inlineStr">
        <is>
          <t>Filled</t>
        </is>
      </c>
    </row>
    <row r="424" hidden="1" ht="18" customHeight="1" s="506">
      <c r="A424" s="259" t="n">
        <v>109362</v>
      </c>
      <c r="B424" s="224" t="inlineStr">
        <is>
          <t>Scott Hasson</t>
        </is>
      </c>
      <c r="C424" s="317" t="inlineStr">
        <is>
          <t>Technology Support Engineer - Infrastructure</t>
        </is>
      </c>
      <c r="D424" s="224" t="inlineStr">
        <is>
          <t>Glenn Earl</t>
        </is>
      </c>
      <c r="E424" s="224" t="inlineStr">
        <is>
          <t>Lead Support, Infrastructure</t>
        </is>
      </c>
      <c r="F424" s="224" t="inlineStr">
        <is>
          <t>TDD CFE&amp;I</t>
        </is>
      </c>
      <c r="G424" s="318" t="inlineStr">
        <is>
          <t>Fuel Infrastructure</t>
        </is>
      </c>
      <c r="H424" s="318" t="inlineStr">
        <is>
          <t>Refinery Applications</t>
        </is>
      </c>
      <c r="I424" s="318" t="inlineStr">
        <is>
          <t>Infrastructure</t>
        </is>
      </c>
      <c r="J424" s="318" t="inlineStr">
        <is>
          <t>Fuel Infrastructure</t>
        </is>
      </c>
      <c r="K424" s="224" t="inlineStr">
        <is>
          <t>Technology Suport</t>
        </is>
      </c>
      <c r="L424" s="318" t="n"/>
      <c r="M424" s="319" t="inlineStr">
        <is>
          <t>Australia</t>
        </is>
      </c>
      <c r="N424" s="320" t="inlineStr">
        <is>
          <t>CIA</t>
        </is>
      </c>
      <c r="O424" s="320" t="n">
        <v>1</v>
      </c>
      <c r="P424" s="320" t="n"/>
      <c r="Q424" s="320" t="inlineStr">
        <is>
          <t>Permanent - Full Time</t>
        </is>
      </c>
      <c r="R424" s="322" t="n"/>
      <c r="S424" s="322" t="n"/>
      <c r="T424" s="334" t="n">
        <v>111580</v>
      </c>
      <c r="U424" s="705" t="n">
        <v>111580</v>
      </c>
      <c r="V424" s="325" t="n">
        <v>0.1</v>
      </c>
      <c r="W424" s="702" t="n">
        <v>0.055</v>
      </c>
      <c r="X424" s="702" t="n">
        <v>0.12</v>
      </c>
      <c r="Y424" s="703" t="n"/>
      <c r="Z424" s="702" t="n">
        <v>0.04</v>
      </c>
      <c r="AA424" s="701">
        <f>U424*(1+V424+W424+X424+Y424+Z424)</f>
        <v>146727.69999999998</v>
      </c>
      <c r="AC424" t="inlineStr">
        <is>
          <t>Infrastructure</t>
        </is>
      </c>
      <c r="AD424" t="inlineStr">
        <is>
          <t>Manufacturing</t>
        </is>
      </c>
      <c r="AE424" t="inlineStr">
        <is>
          <t>Technology Support</t>
        </is>
      </c>
      <c r="AF424" t="inlineStr">
        <is>
          <t>Squad</t>
        </is>
      </c>
      <c r="AG424" t="inlineStr">
        <is>
          <t>Filled</t>
        </is>
      </c>
    </row>
    <row r="425" hidden="1" ht="18" customHeight="1" s="506">
      <c r="A425" s="259" t="n">
        <v>102187</v>
      </c>
      <c r="B425" s="224" t="inlineStr">
        <is>
          <t>Sijin Zhu</t>
        </is>
      </c>
      <c r="C425" s="317" t="inlineStr">
        <is>
          <t>Business Analyst</t>
        </is>
      </c>
      <c r="D425" s="318" t="inlineStr">
        <is>
          <t>Vacant</t>
        </is>
      </c>
      <c r="E425" s="224" t="inlineStr">
        <is>
          <t>Delivery Manager</t>
        </is>
      </c>
      <c r="F425" s="224" t="inlineStr">
        <is>
          <t>TDD CFE&amp;I</t>
        </is>
      </c>
      <c r="G425" s="318" t="inlineStr">
        <is>
          <t>Commercial Fuels</t>
        </is>
      </c>
      <c r="H425" s="318" t="inlineStr">
        <is>
          <t>Delivery, Commercial Fuels</t>
        </is>
      </c>
      <c r="I425" s="318" t="inlineStr">
        <is>
          <t>Commercial Fuels</t>
        </is>
      </c>
      <c r="J425" s="318" t="inlineStr">
        <is>
          <t>CTRM</t>
        </is>
      </c>
      <c r="K425" s="318" t="inlineStr">
        <is>
          <t>CTRM</t>
        </is>
      </c>
      <c r="L425" s="224" t="n"/>
      <c r="M425" s="319" t="inlineStr">
        <is>
          <t>Singapore</t>
        </is>
      </c>
      <c r="N425" s="320" t="inlineStr">
        <is>
          <t>CIB</t>
        </is>
      </c>
      <c r="O425" s="320" t="n">
        <v>1</v>
      </c>
      <c r="P425" s="320" t="n"/>
      <c r="Q425" s="320" t="inlineStr">
        <is>
          <t>Permanent - Full Time</t>
        </is>
      </c>
      <c r="R425" s="322" t="n"/>
      <c r="S425" s="322" t="n"/>
      <c r="T425" s="334" t="n">
        <v>155640</v>
      </c>
      <c r="U425" s="705" t="n">
        <v>188324.4</v>
      </c>
      <c r="V425" s="325" t="n">
        <v>0.25</v>
      </c>
      <c r="W425" s="322" t="n"/>
      <c r="X425" s="325" t="n">
        <v>0.17</v>
      </c>
      <c r="Y425" s="700" t="n">
        <v>3310</v>
      </c>
      <c r="Z425" s="347" t="n">
        <v>0.045</v>
      </c>
      <c r="AA425" s="701">
        <f>U425*(1+V425+X425+Z425)+Y425</f>
        <v>279205.246</v>
      </c>
      <c r="AC425" t="inlineStr">
        <is>
          <t>Commercial Fuels</t>
        </is>
      </c>
      <c r="AD425" t="inlineStr">
        <is>
          <t>CTRM</t>
        </is>
      </c>
      <c r="AE425" t="inlineStr">
        <is>
          <t>CTRM</t>
        </is>
      </c>
      <c r="AF425" t="inlineStr">
        <is>
          <t>Strategic Program</t>
        </is>
      </c>
      <c r="AG425" t="inlineStr">
        <is>
          <t>Filled</t>
        </is>
      </c>
    </row>
    <row r="426" hidden="1" ht="18" customHeight="1" s="506">
      <c r="A426" s="259" t="inlineStr">
        <is>
          <t>C</t>
        </is>
      </c>
      <c r="B426" s="224" t="inlineStr">
        <is>
          <t>Simrat Singh</t>
        </is>
      </c>
      <c r="C426" s="317" t="inlineStr">
        <is>
          <t>Reporting Analyst</t>
        </is>
      </c>
      <c r="D426" s="224" t="inlineStr">
        <is>
          <t>Jaya Ganasan</t>
        </is>
      </c>
      <c r="E426" s="224" t="inlineStr">
        <is>
          <t>Technology Manager, TDD Refinery</t>
        </is>
      </c>
      <c r="F426" s="224" t="inlineStr">
        <is>
          <t>TDD CFE&amp;I</t>
        </is>
      </c>
      <c r="G426" s="318" t="inlineStr">
        <is>
          <t>Fuel Infrastructure</t>
        </is>
      </c>
      <c r="H426" s="318" t="inlineStr">
        <is>
          <t>Refinery Applications</t>
        </is>
      </c>
      <c r="I426" s="318" t="inlineStr">
        <is>
          <t>Infrastructure</t>
        </is>
      </c>
      <c r="J426" s="224" t="inlineStr">
        <is>
          <t xml:space="preserve">Data &amp; Insights </t>
        </is>
      </c>
      <c r="K426" s="224" t="inlineStr">
        <is>
          <t xml:space="preserve">Data &amp; Insights </t>
        </is>
      </c>
      <c r="L426" s="318" t="n"/>
      <c r="M426" s="319" t="inlineStr">
        <is>
          <t>Australia</t>
        </is>
      </c>
      <c r="N426" s="322" t="inlineStr">
        <is>
          <t>NA</t>
        </is>
      </c>
      <c r="O426" s="320" t="n">
        <v>1</v>
      </c>
      <c r="P426" s="322" t="n"/>
      <c r="Q426" s="322" t="inlineStr">
        <is>
          <t>cxc</t>
        </is>
      </c>
      <c r="R426" s="331" t="inlineStr">
        <is>
          <t>Daily</t>
        </is>
      </c>
      <c r="S426" s="322" t="n">
        <v>890</v>
      </c>
      <c r="T426" s="334" t="n">
        <v>0</v>
      </c>
      <c r="U426" s="334" t="n"/>
      <c r="V426" s="318" t="n"/>
      <c r="W426" s="318" t="n"/>
      <c r="X426" s="318" t="n"/>
      <c r="Y426" s="318" t="n"/>
      <c r="Z426" s="318" t="n"/>
      <c r="AA426" s="704">
        <f>S426*222</f>
        <v>197580.0</v>
      </c>
      <c r="AC426" t="inlineStr">
        <is>
          <t>Infrastructure</t>
        </is>
      </c>
      <c r="AD426" t="inlineStr">
        <is>
          <t>Data &amp; Insights</t>
        </is>
      </c>
      <c r="AE426" t="inlineStr">
        <is>
          <t>Data &amp; Insights</t>
        </is>
      </c>
      <c r="AF426" t="inlineStr">
        <is>
          <t>Squad</t>
        </is>
      </c>
      <c r="AG426" t="inlineStr">
        <is>
          <t>Filled</t>
        </is>
      </c>
    </row>
    <row r="427" hidden="1" ht="18" customHeight="1" s="506">
      <c r="A427" s="259" t="n">
        <v>116253</v>
      </c>
      <c r="B427" s="224" t="inlineStr">
        <is>
          <t>Siva Chimmani</t>
        </is>
      </c>
      <c r="C427" s="317" t="inlineStr">
        <is>
          <t>Senior Engineer</t>
        </is>
      </c>
      <c r="D427" s="224" t="inlineStr">
        <is>
          <t>Karla Orozco Loza</t>
        </is>
      </c>
      <c r="E427" s="224" t="inlineStr">
        <is>
          <t>Technology Manager, Future Infrastructure</t>
        </is>
      </c>
      <c r="F427" s="224" t="inlineStr">
        <is>
          <t>TDD CFE&amp;I</t>
        </is>
      </c>
      <c r="G427" s="318" t="inlineStr">
        <is>
          <t>Fuel Infrastructure</t>
        </is>
      </c>
      <c r="H427" s="318" t="inlineStr">
        <is>
          <t>Technology - Distribution</t>
        </is>
      </c>
      <c r="I427" s="318" t="inlineStr">
        <is>
          <t>Infrastructure</t>
        </is>
      </c>
      <c r="J427" s="318" t="inlineStr">
        <is>
          <t>Distribution</t>
        </is>
      </c>
      <c r="K427" s="224" t="inlineStr">
        <is>
          <t>Distribution, Sales &amp; Services</t>
        </is>
      </c>
      <c r="L427" s="318" t="n"/>
      <c r="M427" s="319" t="inlineStr">
        <is>
          <t>Australia</t>
        </is>
      </c>
      <c r="N427" s="320" t="inlineStr">
        <is>
          <t>CIB</t>
        </is>
      </c>
      <c r="O427" s="320" t="n">
        <v>1</v>
      </c>
      <c r="P427" s="320" t="n"/>
      <c r="Q427" s="320" t="inlineStr">
        <is>
          <t>Permanent - Full Time</t>
        </is>
      </c>
      <c r="R427" s="322" t="n"/>
      <c r="S427" s="322" t="n"/>
      <c r="T427" s="334" t="n">
        <v>160000</v>
      </c>
      <c r="U427" s="705" t="n">
        <v>160000</v>
      </c>
      <c r="V427" s="325" t="n">
        <v>0.12</v>
      </c>
      <c r="W427" s="702" t="n">
        <v>0.055</v>
      </c>
      <c r="X427" s="702" t="n">
        <v>0.12</v>
      </c>
      <c r="Y427" s="703" t="n"/>
      <c r="Z427" s="702" t="n">
        <v>0.04</v>
      </c>
      <c r="AA427" s="701">
        <f>U427*(1+V427+W427+X427+Y427+Z427)</f>
        <v>213600.0</v>
      </c>
      <c r="AC427" t="inlineStr">
        <is>
          <t>Infrastructure</t>
        </is>
      </c>
      <c r="AD427" t="inlineStr">
        <is>
          <t>Distribution</t>
        </is>
      </c>
      <c r="AE427" t="inlineStr">
        <is>
          <t>Distribution, Sales &amp; Services</t>
        </is>
      </c>
      <c r="AF427" t="inlineStr">
        <is>
          <t>Squad</t>
        </is>
      </c>
      <c r="AG427" t="inlineStr">
        <is>
          <t>Filled</t>
        </is>
      </c>
    </row>
    <row r="428" hidden="1" ht="18" customHeight="1" s="506">
      <c r="A428" s="259" t="n">
        <v>110185</v>
      </c>
      <c r="B428" s="224" t="inlineStr">
        <is>
          <t>Soumya Choudhury</t>
        </is>
      </c>
      <c r="C428" s="317" t="inlineStr">
        <is>
          <t xml:space="preserve">Data Application Specialist </t>
        </is>
      </c>
      <c r="D428" s="318" t="inlineStr">
        <is>
          <t>Vacant</t>
        </is>
      </c>
      <c r="E428" s="224" t="inlineStr">
        <is>
          <t>Technology Manager, Data</t>
        </is>
      </c>
      <c r="F428" s="224" t="inlineStr">
        <is>
          <t>TDD CFE&amp;I</t>
        </is>
      </c>
      <c r="G428" s="318" t="inlineStr">
        <is>
          <t>Commercial Fuels</t>
        </is>
      </c>
      <c r="H428" s="318" t="inlineStr">
        <is>
          <t>Technology, T&amp;S Data</t>
        </is>
      </c>
      <c r="I428" s="318" t="inlineStr">
        <is>
          <t>Commercial Fuels</t>
        </is>
      </c>
      <c r="J428" s="318" t="inlineStr">
        <is>
          <t>Trading &amp; Shipping</t>
        </is>
      </c>
      <c r="K428" s="318" t="inlineStr">
        <is>
          <t>Trading &amp; Shipping Data</t>
        </is>
      </c>
      <c r="L428" s="318" t="n"/>
      <c r="M428" s="319" t="inlineStr">
        <is>
          <t>Singapore</t>
        </is>
      </c>
      <c r="N428" s="320" t="inlineStr">
        <is>
          <t>CIC</t>
        </is>
      </c>
      <c r="O428" s="320" t="n">
        <v>1</v>
      </c>
      <c r="P428" s="320" t="n"/>
      <c r="Q428" s="320" t="inlineStr">
        <is>
          <t>Permanent - Full Time</t>
        </is>
      </c>
      <c r="R428" s="322" t="n"/>
      <c r="S428" s="322" t="n"/>
      <c r="T428" s="334" t="n">
        <v>181860</v>
      </c>
      <c r="U428" s="705" t="n">
        <v>220050.6</v>
      </c>
      <c r="V428" s="325" t="n">
        <v>0.25</v>
      </c>
      <c r="W428" s="322" t="n"/>
      <c r="X428" s="325" t="n">
        <v>0.17</v>
      </c>
      <c r="Y428" s="700" t="n">
        <v>3310</v>
      </c>
      <c r="Z428" s="347" t="n">
        <v>0.045</v>
      </c>
      <c r="AA428" s="701">
        <f>U428*(1+V428+X428+Z428)+Y428</f>
        <v>325684.12899999996</v>
      </c>
      <c r="AC428" t="inlineStr">
        <is>
          <t>Commercial Fuels</t>
        </is>
      </c>
      <c r="AD428" t="inlineStr">
        <is>
          <t>Trading &amp; Shipping</t>
        </is>
      </c>
      <c r="AE428" t="inlineStr">
        <is>
          <t>Trading &amp; Shipping Data</t>
        </is>
      </c>
      <c r="AF428" t="inlineStr">
        <is>
          <t>Squad</t>
        </is>
      </c>
      <c r="AG428" t="inlineStr">
        <is>
          <t>Filled</t>
        </is>
      </c>
    </row>
    <row r="429" hidden="1" ht="18" customHeight="1" s="506">
      <c r="A429" s="259" t="n">
        <v>101059</v>
      </c>
      <c r="B429" s="224" t="inlineStr">
        <is>
          <t>Sriramani Deyyala</t>
        </is>
      </c>
      <c r="C429" s="317" t="inlineStr">
        <is>
          <t>Systems Analyst</t>
        </is>
      </c>
      <c r="D429" s="224" t="inlineStr">
        <is>
          <t>Karla Orozco Loza</t>
        </is>
      </c>
      <c r="E429" s="224" t="inlineStr">
        <is>
          <t>Technology Manager, Future Infrastructure</t>
        </is>
      </c>
      <c r="F429" s="224" t="inlineStr">
        <is>
          <t>TDD CFE&amp;I</t>
        </is>
      </c>
      <c r="G429" s="318" t="inlineStr">
        <is>
          <t>Fuel Infrastructure</t>
        </is>
      </c>
      <c r="H429" s="318" t="inlineStr">
        <is>
          <t>Technology - Distribution</t>
        </is>
      </c>
      <c r="I429" s="318" t="inlineStr">
        <is>
          <t>Infrastructure</t>
        </is>
      </c>
      <c r="J429" s="318" t="inlineStr">
        <is>
          <t>Distribution</t>
        </is>
      </c>
      <c r="K429" s="224" t="inlineStr">
        <is>
          <t>Distribution, Sales &amp; Services</t>
        </is>
      </c>
      <c r="L429" s="318" t="n"/>
      <c r="M429" s="319" t="inlineStr">
        <is>
          <t>Australia</t>
        </is>
      </c>
      <c r="N429" s="320" t="inlineStr">
        <is>
          <t>CIB</t>
        </is>
      </c>
      <c r="O429" s="320" t="n">
        <v>1</v>
      </c>
      <c r="P429" s="320" t="n"/>
      <c r="Q429" s="320" t="inlineStr">
        <is>
          <t>Permanent - Full Time</t>
        </is>
      </c>
      <c r="R429" s="322" t="n"/>
      <c r="S429" s="322" t="n"/>
      <c r="T429" s="334" t="n">
        <v>166360</v>
      </c>
      <c r="U429" s="705" t="n">
        <v>166360</v>
      </c>
      <c r="V429" s="325" t="n">
        <v>0.12</v>
      </c>
      <c r="W429" s="702" t="n">
        <v>0.055</v>
      </c>
      <c r="X429" s="702" t="n">
        <v>0.12</v>
      </c>
      <c r="Y429" s="703" t="n"/>
      <c r="Z429" s="702" t="n">
        <v>0.04</v>
      </c>
      <c r="AA429" s="701">
        <f>U429*(1+V429+W429+X429+Y429+Z429)</f>
        <v>222090.6</v>
      </c>
      <c r="AC429" t="inlineStr">
        <is>
          <t>Infrastructure</t>
        </is>
      </c>
      <c r="AD429" t="inlineStr">
        <is>
          <t>Distribution</t>
        </is>
      </c>
      <c r="AE429" t="inlineStr">
        <is>
          <t>Distribution, Sales &amp; Services</t>
        </is>
      </c>
      <c r="AF429" t="inlineStr">
        <is>
          <t>Squad</t>
        </is>
      </c>
      <c r="AG429" t="inlineStr">
        <is>
          <t>Filled</t>
        </is>
      </c>
    </row>
    <row r="430" hidden="1" ht="18" customHeight="1" s="506">
      <c r="A430" s="259" t="n">
        <v>10572</v>
      </c>
      <c r="B430" s="224" t="inlineStr">
        <is>
          <t>Stevani Kho</t>
        </is>
      </c>
      <c r="C430" s="317" t="inlineStr">
        <is>
          <t>Delivery Lead</t>
        </is>
      </c>
      <c r="D430" s="224" t="inlineStr">
        <is>
          <t>Vacant</t>
        </is>
      </c>
      <c r="E430" s="224" t="inlineStr">
        <is>
          <t>Technology Manger, Data</t>
        </is>
      </c>
      <c r="F430" s="224" t="inlineStr">
        <is>
          <t>TDD CFE&amp;I</t>
        </is>
      </c>
      <c r="G430" s="318" t="inlineStr">
        <is>
          <t>Fuel Infrastructure</t>
        </is>
      </c>
      <c r="H430" s="318" t="inlineStr">
        <is>
          <t>Fuel Infrastructure, Data</t>
        </is>
      </c>
      <c r="I430" s="318" t="inlineStr">
        <is>
          <t>Infrastructure</t>
        </is>
      </c>
      <c r="J430" s="224" t="inlineStr">
        <is>
          <t xml:space="preserve">Data &amp; Insights </t>
        </is>
      </c>
      <c r="K430" s="224" t="inlineStr">
        <is>
          <t xml:space="preserve">Data &amp; Insights </t>
        </is>
      </c>
      <c r="L430" s="318" t="n"/>
      <c r="M430" s="319" t="inlineStr">
        <is>
          <t>Australia</t>
        </is>
      </c>
      <c r="N430" s="322" t="inlineStr">
        <is>
          <t>CSB</t>
        </is>
      </c>
      <c r="O430" s="322" t="n">
        <v>1</v>
      </c>
      <c r="P430" s="322" t="n"/>
      <c r="Q430" s="322" t="inlineStr">
        <is>
          <t>Permanent - Full Time</t>
        </is>
      </c>
      <c r="R430" s="322" t="n"/>
      <c r="S430" s="322" t="n"/>
      <c r="T430" s="334" t="n">
        <v>205050</v>
      </c>
      <c r="U430" s="705" t="n">
        <v>205050</v>
      </c>
      <c r="V430" s="325" t="n">
        <v>0.14</v>
      </c>
      <c r="W430" s="702" t="n">
        <v>0.055</v>
      </c>
      <c r="X430" s="702" t="n">
        <v>0.12</v>
      </c>
      <c r="Y430" s="703" t="n"/>
      <c r="Z430" s="702" t="n">
        <v>0.04</v>
      </c>
      <c r="AA430" s="701">
        <f>U430*(1+V430+W430+X430+Y430+Z430)</f>
        <v>277842.75</v>
      </c>
      <c r="AC430" t="inlineStr">
        <is>
          <t>Infrastructure</t>
        </is>
      </c>
      <c r="AD430" t="inlineStr">
        <is>
          <t>Data &amp; Insights</t>
        </is>
      </c>
      <c r="AE430" t="inlineStr">
        <is>
          <t>Data &amp; Insights</t>
        </is>
      </c>
      <c r="AF430" t="inlineStr">
        <is>
          <t>Squad</t>
        </is>
      </c>
      <c r="AG430" t="inlineStr">
        <is>
          <t>Filled</t>
        </is>
      </c>
    </row>
    <row r="431" hidden="1" ht="18" customHeight="1" s="506">
      <c r="A431" s="259" t="n">
        <v>106221</v>
      </c>
      <c r="B431" s="224" t="inlineStr">
        <is>
          <t>Suja Sugathan</t>
        </is>
      </c>
      <c r="C431" s="317" t="inlineStr">
        <is>
          <t>Senior Business Analyst</t>
        </is>
      </c>
      <c r="D431" s="318" t="inlineStr">
        <is>
          <t>Vacant</t>
        </is>
      </c>
      <c r="E431" s="224" t="inlineStr">
        <is>
          <t>Delivery Manager</t>
        </is>
      </c>
      <c r="F431" s="224" t="inlineStr">
        <is>
          <t>TDD CFE&amp;I</t>
        </is>
      </c>
      <c r="G431" s="318" t="inlineStr">
        <is>
          <t>Commercial Fuels</t>
        </is>
      </c>
      <c r="H431" s="318" t="inlineStr">
        <is>
          <t>Delivery, Commercial Fuels</t>
        </is>
      </c>
      <c r="I431" s="318" t="inlineStr">
        <is>
          <t>Commercial Fuels</t>
        </is>
      </c>
      <c r="J431" s="318" t="inlineStr">
        <is>
          <t>Trading &amp; Shipping</t>
        </is>
      </c>
      <c r="K431" s="318" t="inlineStr">
        <is>
          <t>Trading &amp; Shipping</t>
        </is>
      </c>
      <c r="L431" s="224" t="n"/>
      <c r="M431" s="319" t="inlineStr">
        <is>
          <t>Singapore</t>
        </is>
      </c>
      <c r="N431" s="320" t="inlineStr">
        <is>
          <t>CIC</t>
        </is>
      </c>
      <c r="O431" s="320" t="n">
        <v>1</v>
      </c>
      <c r="P431" s="320" t="n"/>
      <c r="Q431" s="320" t="inlineStr">
        <is>
          <t>Permanent - Full Time</t>
        </is>
      </c>
      <c r="R431" s="322" t="n"/>
      <c r="S431" s="322" t="n"/>
      <c r="T431" s="334" t="n">
        <v>196770</v>
      </c>
      <c r="U431" s="705" t="n">
        <v>238091.7</v>
      </c>
      <c r="V431" s="325" t="n">
        <v>0.25</v>
      </c>
      <c r="W431" s="322" t="n"/>
      <c r="X431" s="325" t="n">
        <v>0.17</v>
      </c>
      <c r="Y431" s="700" t="n">
        <v>3310</v>
      </c>
      <c r="Z431" s="347" t="n">
        <v>0.045</v>
      </c>
      <c r="AA431" s="701">
        <f>U431*(1+V431+X431+Z431)+Y431</f>
        <v>352114.3405</v>
      </c>
      <c r="AC431" t="inlineStr">
        <is>
          <t>Commercial Fuels</t>
        </is>
      </c>
      <c r="AD431" t="inlineStr">
        <is>
          <t>Trading &amp; Shipping</t>
        </is>
      </c>
      <c r="AE431" t="inlineStr">
        <is>
          <t>Trading &amp; Shipping</t>
        </is>
      </c>
      <c r="AF431" t="inlineStr">
        <is>
          <t>Squad</t>
        </is>
      </c>
      <c r="AG431" t="inlineStr">
        <is>
          <t>Filled</t>
        </is>
      </c>
    </row>
    <row r="432" hidden="1" ht="18" customHeight="1" s="506">
      <c r="A432" s="259" t="n">
        <v>113333</v>
      </c>
      <c r="B432" s="224" t="inlineStr">
        <is>
          <t>Tom Moore</t>
        </is>
      </c>
      <c r="C432" s="317" t="inlineStr">
        <is>
          <t>Technology Support Engineer - Infrastructure</t>
        </is>
      </c>
      <c r="D432" s="224" t="inlineStr">
        <is>
          <t>Glenn Earl</t>
        </is>
      </c>
      <c r="E432" s="224" t="inlineStr">
        <is>
          <t>Lead Support, Infrastructure</t>
        </is>
      </c>
      <c r="F432" s="224" t="inlineStr">
        <is>
          <t>TDD CFE&amp;I</t>
        </is>
      </c>
      <c r="G432" s="318" t="inlineStr">
        <is>
          <t>Fuel Infrastructure</t>
        </is>
      </c>
      <c r="H432" s="318" t="inlineStr">
        <is>
          <t>Refinery Applications</t>
        </is>
      </c>
      <c r="I432" s="318" t="inlineStr">
        <is>
          <t>Infrastructure</t>
        </is>
      </c>
      <c r="J432" s="318" t="inlineStr">
        <is>
          <t>Fuel Infrastructure</t>
        </is>
      </c>
      <c r="K432" s="224" t="inlineStr">
        <is>
          <t>Technology Suport</t>
        </is>
      </c>
      <c r="L432" s="318" t="n"/>
      <c r="M432" s="319" t="inlineStr">
        <is>
          <t>Australia</t>
        </is>
      </c>
      <c r="N432" s="320" t="inlineStr">
        <is>
          <t>CDA</t>
        </is>
      </c>
      <c r="O432" s="320" t="n">
        <v>1</v>
      </c>
      <c r="P432" s="320" t="n"/>
      <c r="Q432" s="320" t="inlineStr">
        <is>
          <t>Permanent - Full Time</t>
        </is>
      </c>
      <c r="R432" s="322" t="n"/>
      <c r="S432" s="322" t="n"/>
      <c r="T432" s="334" t="n">
        <v>82380</v>
      </c>
      <c r="U432" s="705" t="n">
        <v>82380</v>
      </c>
      <c r="V432" s="325" t="n">
        <v>0.08</v>
      </c>
      <c r="W432" s="702" t="n">
        <v>0.055</v>
      </c>
      <c r="X432" s="702" t="n">
        <v>0.12</v>
      </c>
      <c r="Y432" s="703" t="n"/>
      <c r="Z432" s="702" t="n">
        <v>0.04</v>
      </c>
      <c r="AA432" s="701">
        <f>U432*(1+V432+W432+X432+Y432+Z432)</f>
        <v>106682.09999999999</v>
      </c>
      <c r="AC432" t="inlineStr">
        <is>
          <t>Infrastructure</t>
        </is>
      </c>
      <c r="AD432" t="inlineStr">
        <is>
          <t>Manufacturing</t>
        </is>
      </c>
      <c r="AE432" t="inlineStr">
        <is>
          <t>Technology Support</t>
        </is>
      </c>
      <c r="AF432" t="inlineStr">
        <is>
          <t>Squad</t>
        </is>
      </c>
      <c r="AG432" t="inlineStr">
        <is>
          <t>Filled</t>
        </is>
      </c>
    </row>
    <row r="433" hidden="1" ht="18" customHeight="1" s="506">
      <c r="A433" s="259" t="n">
        <v>116312</v>
      </c>
      <c r="B433" s="224" t="inlineStr">
        <is>
          <t>Trung Truong</t>
        </is>
      </c>
      <c r="C433" s="317" t="inlineStr">
        <is>
          <t>Engineer Applications</t>
        </is>
      </c>
      <c r="D433" s="224" t="inlineStr">
        <is>
          <t>Allan Francia</t>
        </is>
      </c>
      <c r="E433" s="224" t="inlineStr">
        <is>
          <t>Technology Manager, T&amp;S</t>
        </is>
      </c>
      <c r="F433" s="224" t="inlineStr">
        <is>
          <t>TDD CFE&amp;I</t>
        </is>
      </c>
      <c r="G433" s="318" t="inlineStr">
        <is>
          <t>Commercial Fuels</t>
        </is>
      </c>
      <c r="H433" s="318" t="inlineStr">
        <is>
          <t>Technology, Trading &amp; Shipping</t>
        </is>
      </c>
      <c r="I433" s="318" t="inlineStr">
        <is>
          <t>Commercial Fuels</t>
        </is>
      </c>
      <c r="J433" s="224" t="inlineStr">
        <is>
          <t>CTRM</t>
        </is>
      </c>
      <c r="K433" s="224" t="inlineStr">
        <is>
          <t>CTRM</t>
        </is>
      </c>
      <c r="L433" s="318" t="n"/>
      <c r="M433" s="319" t="inlineStr">
        <is>
          <t>Singapore</t>
        </is>
      </c>
      <c r="N433" s="320" t="inlineStr">
        <is>
          <t>CIC</t>
        </is>
      </c>
      <c r="O433" s="320" t="n">
        <v>1</v>
      </c>
      <c r="P433" s="320" t="n"/>
      <c r="Q433" s="320" t="inlineStr">
        <is>
          <t>Permanent - Full Time</t>
        </is>
      </c>
      <c r="R433" s="322" t="n"/>
      <c r="S433" s="322" t="n"/>
      <c r="T433" s="334" t="n">
        <v>170000</v>
      </c>
      <c r="U433" s="705" t="n">
        <v>205700</v>
      </c>
      <c r="V433" s="325" t="n">
        <v>0.25</v>
      </c>
      <c r="W433" s="322" t="n"/>
      <c r="X433" s="325" t="n">
        <v>0.17</v>
      </c>
      <c r="Y433" s="700" t="n">
        <v>3310</v>
      </c>
      <c r="Z433" s="347" t="n">
        <v>0.045</v>
      </c>
      <c r="AA433" s="701">
        <f>U433*(1+V433+X433+Z433)+Y433</f>
        <v>304660.49999999994</v>
      </c>
      <c r="AC433" t="inlineStr">
        <is>
          <t>Commercial Fuels</t>
        </is>
      </c>
      <c r="AD433" t="inlineStr">
        <is>
          <t>CTRM</t>
        </is>
      </c>
      <c r="AE433" t="inlineStr">
        <is>
          <t>CTRM</t>
        </is>
      </c>
      <c r="AF433" t="inlineStr">
        <is>
          <t>Strategic Program</t>
        </is>
      </c>
      <c r="AG433" t="inlineStr">
        <is>
          <t>Filled</t>
        </is>
      </c>
    </row>
    <row r="434" hidden="1" ht="18" customHeight="1" s="506">
      <c r="A434" s="259" t="n">
        <v>110040</v>
      </c>
      <c r="B434" s="224" t="inlineStr">
        <is>
          <t>Tyler Meggs</t>
        </is>
      </c>
      <c r="C434" s="317" t="inlineStr">
        <is>
          <t>System Analyst</t>
        </is>
      </c>
      <c r="D434" s="224" t="inlineStr">
        <is>
          <t>Jaya Ganasan</t>
        </is>
      </c>
      <c r="E434" s="224" t="inlineStr">
        <is>
          <t>Technology Manager, TDD Refinery</t>
        </is>
      </c>
      <c r="F434" s="224" t="inlineStr">
        <is>
          <t>TDD CFE&amp;I</t>
        </is>
      </c>
      <c r="G434" s="318" t="inlineStr">
        <is>
          <t>Fuel Infrastructure</t>
        </is>
      </c>
      <c r="H434" s="318" t="inlineStr">
        <is>
          <t>Refinery Applications</t>
        </is>
      </c>
      <c r="I434" s="318" t="inlineStr">
        <is>
          <t>Infrastructure</t>
        </is>
      </c>
      <c r="J434" s="318" t="inlineStr">
        <is>
          <t>Manufacturing</t>
        </is>
      </c>
      <c r="K434" s="224" t="inlineStr">
        <is>
          <t>Manufacturing Group Projects</t>
        </is>
      </c>
      <c r="L434" s="318" t="n"/>
      <c r="M434" s="319" t="inlineStr">
        <is>
          <t>Australia</t>
        </is>
      </c>
      <c r="N434" s="320" t="inlineStr">
        <is>
          <t>CIA</t>
        </is>
      </c>
      <c r="O434" s="320" t="n">
        <v>1</v>
      </c>
      <c r="P434" s="320" t="n"/>
      <c r="Q434" s="320" t="inlineStr">
        <is>
          <t>Permanent - Full Time</t>
        </is>
      </c>
      <c r="R434" s="322" t="n"/>
      <c r="S434" s="322" t="n"/>
      <c r="T434" s="334" t="n">
        <v>110000</v>
      </c>
      <c r="U434" s="705" t="n">
        <v>110000</v>
      </c>
      <c r="V434" s="325" t="n">
        <v>0.1</v>
      </c>
      <c r="W434" s="702" t="n">
        <v>0.055</v>
      </c>
      <c r="X434" s="702" t="n">
        <v>0.12</v>
      </c>
      <c r="Y434" s="703" t="n"/>
      <c r="Z434" s="702" t="n">
        <v>0.04</v>
      </c>
      <c r="AA434" s="701">
        <f>U434*(1+V434+W434+X434+Y434+Z434)</f>
        <v>144650.0</v>
      </c>
      <c r="AC434" t="inlineStr">
        <is>
          <t>Infrastructure</t>
        </is>
      </c>
      <c r="AD434" t="inlineStr">
        <is>
          <t>Manufacturing</t>
        </is>
      </c>
      <c r="AE434" t="inlineStr">
        <is>
          <t>Manufacturing &amp; Group Projects</t>
        </is>
      </c>
      <c r="AF434" t="inlineStr">
        <is>
          <t>Squad</t>
        </is>
      </c>
      <c r="AG434" t="inlineStr">
        <is>
          <t>Filled</t>
        </is>
      </c>
    </row>
    <row r="435" hidden="1" ht="18" customHeight="1" s="506">
      <c r="A435" s="259" t="inlineStr">
        <is>
          <t>V</t>
        </is>
      </c>
      <c r="B435" s="224" t="inlineStr">
        <is>
          <t>Vacant</t>
        </is>
      </c>
      <c r="C435" s="317" t="inlineStr">
        <is>
          <t>Engineer Software</t>
        </is>
      </c>
      <c r="D435" s="224" t="inlineStr">
        <is>
          <t>Elle Spencer</t>
        </is>
      </c>
      <c r="E435" s="224" t="inlineStr">
        <is>
          <t>Technology Manager, Energy Solutions</t>
        </is>
      </c>
      <c r="F435" s="224" t="inlineStr">
        <is>
          <t>TDD CFE&amp;I</t>
        </is>
      </c>
      <c r="G435" s="318" t="inlineStr">
        <is>
          <t>B2B &amp; Energy Solutions</t>
        </is>
      </c>
      <c r="H435" s="318" t="inlineStr">
        <is>
          <t>Technology B2B</t>
        </is>
      </c>
      <c r="I435" s="318" t="inlineStr">
        <is>
          <t>B2B &amp; Energy Solutions</t>
        </is>
      </c>
      <c r="J435" s="224" t="inlineStr">
        <is>
          <t>B2B</t>
        </is>
      </c>
      <c r="K435" s="224" t="inlineStr">
        <is>
          <t>B2B</t>
        </is>
      </c>
      <c r="L435" s="318" t="n"/>
      <c r="M435" s="319" t="inlineStr">
        <is>
          <t>Australia</t>
        </is>
      </c>
      <c r="N435" s="320" t="inlineStr">
        <is>
          <t>CIB</t>
        </is>
      </c>
      <c r="O435" s="320" t="n">
        <v>1</v>
      </c>
      <c r="P435" s="320" t="n"/>
      <c r="Q435" s="320" t="inlineStr">
        <is>
          <t>V</t>
        </is>
      </c>
      <c r="R435" s="322" t="n"/>
      <c r="S435" s="322" t="n"/>
      <c r="T435" s="334" t="n">
        <v>151950</v>
      </c>
      <c r="U435" s="705" t="n">
        <v>151950</v>
      </c>
      <c r="V435" s="325" t="n">
        <v>0.12</v>
      </c>
      <c r="W435" s="702" t="n">
        <v>0.055</v>
      </c>
      <c r="X435" s="702" t="n">
        <v>0.12</v>
      </c>
      <c r="Y435" s="703" t="n"/>
      <c r="Z435" s="702" t="n">
        <v>0.04</v>
      </c>
      <c r="AA435" s="701">
        <f>U435*(1+V435+W435+X435+Y435+Z435)</f>
        <v>202853.25</v>
      </c>
      <c r="AC435" t="inlineStr">
        <is>
          <t>Energy Solutions &amp; B2B</t>
        </is>
      </c>
      <c r="AD435" t="inlineStr">
        <is>
          <t>B2B</t>
        </is>
      </c>
      <c r="AE435" t="inlineStr">
        <is>
          <t>B2B</t>
        </is>
      </c>
      <c r="AF435" t="inlineStr">
        <is>
          <t>Squad</t>
        </is>
      </c>
      <c r="AG435" t="inlineStr">
        <is>
          <t>Vacant</t>
        </is>
      </c>
    </row>
    <row r="436" hidden="1" ht="18" customHeight="1" s="506">
      <c r="A436" s="259" t="inlineStr">
        <is>
          <t>V</t>
        </is>
      </c>
      <c r="B436" s="224" t="inlineStr">
        <is>
          <t>Vacant</t>
        </is>
      </c>
      <c r="C436" s="317" t="inlineStr">
        <is>
          <t>Solution Architect</t>
        </is>
      </c>
      <c r="D436" s="224" t="inlineStr">
        <is>
          <t>Elle Spencer</t>
        </is>
      </c>
      <c r="E436" s="224" t="inlineStr">
        <is>
          <t>Technology Manager, Energy Solutions</t>
        </is>
      </c>
      <c r="F436" s="224" t="inlineStr">
        <is>
          <t>TDD CFE&amp;I</t>
        </is>
      </c>
      <c r="G436" s="318" t="inlineStr">
        <is>
          <t>B2B &amp; Energy Solutions</t>
        </is>
      </c>
      <c r="H436" s="318" t="inlineStr">
        <is>
          <t>Technology B2B</t>
        </is>
      </c>
      <c r="I436" s="318" t="inlineStr">
        <is>
          <t>B2B &amp; Energy Solutions</t>
        </is>
      </c>
      <c r="J436" s="224" t="inlineStr">
        <is>
          <t>B2B</t>
        </is>
      </c>
      <c r="K436" s="224" t="inlineStr">
        <is>
          <t>B2B</t>
        </is>
      </c>
      <c r="L436" s="318" t="n"/>
      <c r="M436" s="319" t="inlineStr">
        <is>
          <t>australia</t>
        </is>
      </c>
      <c r="N436" s="320" t="inlineStr">
        <is>
          <t>CIC</t>
        </is>
      </c>
      <c r="O436" s="320" t="n">
        <v>1</v>
      </c>
      <c r="P436" s="320" t="n"/>
      <c r="Q436" s="320" t="inlineStr">
        <is>
          <t>v</t>
        </is>
      </c>
      <c r="R436" s="322" t="n"/>
      <c r="S436" s="322" t="n"/>
      <c r="T436" s="334" t="n">
        <v>173550</v>
      </c>
      <c r="U436" s="705" t="n">
        <v>173550</v>
      </c>
      <c r="V436" s="325" t="n">
        <v>0.12</v>
      </c>
      <c r="W436" s="702" t="n">
        <v>0.055</v>
      </c>
      <c r="X436" s="702" t="n">
        <v>0.12</v>
      </c>
      <c r="Y436" s="703" t="n"/>
      <c r="Z436" s="702" t="n">
        <v>0.04</v>
      </c>
      <c r="AA436" s="701">
        <f>U436*(1+V436+W436+X436+Y436+Z436)</f>
        <v>231689.25</v>
      </c>
      <c r="AC436" t="inlineStr">
        <is>
          <t>Energy Solutions &amp; B2B</t>
        </is>
      </c>
      <c r="AD436" t="inlineStr">
        <is>
          <t>B2B</t>
        </is>
      </c>
      <c r="AE436" t="inlineStr">
        <is>
          <t>B2B</t>
        </is>
      </c>
      <c r="AF436" t="inlineStr">
        <is>
          <t>Squad</t>
        </is>
      </c>
      <c r="AG436" t="inlineStr">
        <is>
          <t>Vacant</t>
        </is>
      </c>
    </row>
    <row r="437" hidden="1" ht="18" customHeight="1" s="506">
      <c r="A437" s="259" t="inlineStr">
        <is>
          <t>V</t>
        </is>
      </c>
      <c r="B437" s="224" t="inlineStr">
        <is>
          <t>Vacant</t>
        </is>
      </c>
      <c r="C437" s="317" t="inlineStr">
        <is>
          <t>Delivery manager</t>
        </is>
      </c>
      <c r="D437" s="318" t="inlineStr">
        <is>
          <t>Liesl Tye</t>
        </is>
      </c>
      <c r="E437" s="224" t="inlineStr">
        <is>
          <t>Head of Technology, B2B &amp; Energy Solutions</t>
        </is>
      </c>
      <c r="F437" s="224" t="inlineStr">
        <is>
          <t>TDD CFE&amp;I</t>
        </is>
      </c>
      <c r="G437" s="318" t="inlineStr">
        <is>
          <t>B2B &amp; Energy Solutions</t>
        </is>
      </c>
      <c r="H437" s="318" t="inlineStr">
        <is>
          <t>Leadership</t>
        </is>
      </c>
      <c r="I437" s="318" t="inlineStr">
        <is>
          <t>B2B &amp; Energy Solutions</t>
        </is>
      </c>
      <c r="J437" s="318" t="inlineStr">
        <is>
          <t>Leadership</t>
        </is>
      </c>
      <c r="K437" s="224" t="inlineStr">
        <is>
          <t>Leadership</t>
        </is>
      </c>
      <c r="L437" s="318" t="n"/>
      <c r="M437" s="319" t="inlineStr">
        <is>
          <t>Australia</t>
        </is>
      </c>
      <c r="N437" s="320" t="inlineStr">
        <is>
          <t>CSB</t>
        </is>
      </c>
      <c r="O437" s="320" t="n">
        <v>1</v>
      </c>
      <c r="P437" s="320" t="n"/>
      <c r="Q437" s="320" t="inlineStr">
        <is>
          <t>V</t>
        </is>
      </c>
      <c r="R437" s="322" t="n"/>
      <c r="S437" s="322" t="n"/>
      <c r="T437" s="334" t="n">
        <v>203550</v>
      </c>
      <c r="U437" s="705" t="n">
        <v>203550</v>
      </c>
      <c r="V437" s="325" t="n">
        <v>0.14</v>
      </c>
      <c r="W437" s="702" t="n">
        <v>0.055</v>
      </c>
      <c r="X437" s="702" t="n">
        <v>0.12</v>
      </c>
      <c r="Y437" s="703" t="n"/>
      <c r="Z437" s="702" t="n">
        <v>0.04</v>
      </c>
      <c r="AA437" s="701">
        <f>U437*(1+V437+W437+X437+Y437+Z437)</f>
        <v>275810.25</v>
      </c>
      <c r="AC437" t="inlineStr">
        <is>
          <t>Energy Solutions &amp; B2B</t>
        </is>
      </c>
      <c r="AD437" t="inlineStr">
        <is>
          <t>Leadership</t>
        </is>
      </c>
      <c r="AE437" t="inlineStr">
        <is>
          <t>Leadership</t>
        </is>
      </c>
      <c r="AF437" t="inlineStr">
        <is>
          <t>Leadership</t>
        </is>
      </c>
      <c r="AG437" t="inlineStr">
        <is>
          <t>Vacant</t>
        </is>
      </c>
    </row>
    <row r="438" hidden="1" ht="18" customHeight="1" s="506">
      <c r="A438" s="259" t="inlineStr">
        <is>
          <t>V</t>
        </is>
      </c>
      <c r="B438" s="224" t="inlineStr">
        <is>
          <t>Vacant</t>
        </is>
      </c>
      <c r="C438" s="317" t="inlineStr">
        <is>
          <t>Technology Manager, Energy Solutions</t>
        </is>
      </c>
      <c r="D438" s="318" t="inlineStr">
        <is>
          <t>Liesl Tye</t>
        </is>
      </c>
      <c r="E438" s="224" t="inlineStr">
        <is>
          <t>Head of Technology, B2B &amp; Energy Solutions</t>
        </is>
      </c>
      <c r="F438" s="224" t="inlineStr">
        <is>
          <t>TDD CFE&amp;I</t>
        </is>
      </c>
      <c r="G438" s="318" t="inlineStr">
        <is>
          <t>B2B &amp; Energy Solutions</t>
        </is>
      </c>
      <c r="H438" s="318" t="inlineStr">
        <is>
          <t>Technology Energy Solutions</t>
        </is>
      </c>
      <c r="I438" s="318" t="inlineStr">
        <is>
          <t>B2B &amp; Energy Solutions</t>
        </is>
      </c>
      <c r="J438" s="416" t="inlineStr">
        <is>
          <t>Leadership</t>
        </is>
      </c>
      <c r="K438" s="224" t="inlineStr">
        <is>
          <t>Leadership</t>
        </is>
      </c>
      <c r="L438" s="318" t="n"/>
      <c r="M438" s="319" t="inlineStr">
        <is>
          <t>Australia</t>
        </is>
      </c>
      <c r="N438" s="320" t="inlineStr">
        <is>
          <t>CSB</t>
        </is>
      </c>
      <c r="O438" s="320" t="n">
        <v>1</v>
      </c>
      <c r="P438" s="320" t="n"/>
      <c r="Q438" s="320" t="inlineStr">
        <is>
          <t>v</t>
        </is>
      </c>
      <c r="R438" s="322" t="n"/>
      <c r="S438" s="322" t="n"/>
      <c r="T438" s="334" t="n">
        <v>203550</v>
      </c>
      <c r="U438" s="705" t="n">
        <v>203550</v>
      </c>
      <c r="V438" s="325" t="n">
        <v>0.14</v>
      </c>
      <c r="W438" s="702" t="n">
        <v>0.055</v>
      </c>
      <c r="X438" s="702" t="n">
        <v>0.12</v>
      </c>
      <c r="Y438" s="703" t="n"/>
      <c r="Z438" s="702" t="n">
        <v>0.04</v>
      </c>
      <c r="AA438" s="701">
        <f>U438*(1+V438+W438+X438+Y438+Z438)</f>
        <v>275810.25</v>
      </c>
      <c r="AC438" t="inlineStr">
        <is>
          <t>Energy Solutions &amp; B2B</t>
        </is>
      </c>
      <c r="AD438" t="inlineStr">
        <is>
          <t>Leadership</t>
        </is>
      </c>
      <c r="AE438" t="inlineStr">
        <is>
          <t>Leadership</t>
        </is>
      </c>
      <c r="AF438" t="inlineStr">
        <is>
          <t>Leadership</t>
        </is>
      </c>
      <c r="AG438" t="inlineStr">
        <is>
          <t>Vacant</t>
        </is>
      </c>
    </row>
    <row r="439" hidden="1" ht="18" customHeight="1" s="506">
      <c r="A439" s="259" t="inlineStr">
        <is>
          <t>V</t>
        </is>
      </c>
      <c r="B439" s="224" t="inlineStr">
        <is>
          <t>Vacant</t>
        </is>
      </c>
      <c r="C439" s="317" t="inlineStr">
        <is>
          <t>Engineer Automation - Testing</t>
        </is>
      </c>
      <c r="D439" s="318" t="inlineStr">
        <is>
          <t>Vacant</t>
        </is>
      </c>
      <c r="E439" s="224" t="inlineStr">
        <is>
          <t>Technology Manager, Energy Solutions</t>
        </is>
      </c>
      <c r="F439" s="224" t="inlineStr">
        <is>
          <t>TDD CFE&amp;I</t>
        </is>
      </c>
      <c r="G439" s="318" t="inlineStr">
        <is>
          <t>B2B &amp; Energy Solutions</t>
        </is>
      </c>
      <c r="H439" s="318" t="inlineStr">
        <is>
          <t>Technology Energy Solutions</t>
        </is>
      </c>
      <c r="I439" s="318" t="inlineStr">
        <is>
          <t>B2B &amp; Energy Solutions</t>
        </is>
      </c>
      <c r="J439" s="318" t="inlineStr">
        <is>
          <t>Energy Solutions</t>
        </is>
      </c>
      <c r="K439" s="224" t="inlineStr">
        <is>
          <t>Energy</t>
        </is>
      </c>
      <c r="L439" s="318" t="n"/>
      <c r="M439" s="319" t="inlineStr">
        <is>
          <t>Australia</t>
        </is>
      </c>
      <c r="N439" s="320" t="inlineStr">
        <is>
          <t>CIB</t>
        </is>
      </c>
      <c r="O439" s="320" t="n">
        <v>1</v>
      </c>
      <c r="P439" s="320" t="n"/>
      <c r="Q439" s="320" t="inlineStr">
        <is>
          <t>V</t>
        </is>
      </c>
      <c r="R439" s="322" t="n"/>
      <c r="S439" s="322" t="n"/>
      <c r="T439" s="334" t="n">
        <v>151950</v>
      </c>
      <c r="U439" s="705" t="n">
        <v>151950</v>
      </c>
      <c r="V439" s="325" t="n">
        <v>0.12</v>
      </c>
      <c r="W439" s="702" t="n">
        <v>0.055</v>
      </c>
      <c r="X439" s="702" t="n">
        <v>0.12</v>
      </c>
      <c r="Y439" s="703" t="n"/>
      <c r="Z439" s="702" t="n">
        <v>0.04</v>
      </c>
      <c r="AA439" s="701">
        <f>U439*(1+V439+W439+X439+Y439+Z439)</f>
        <v>202853.25</v>
      </c>
      <c r="AC439" t="inlineStr">
        <is>
          <t>Energy Solutions &amp; B2B</t>
        </is>
      </c>
      <c r="AD439" t="inlineStr">
        <is>
          <t>Energy Solutions</t>
        </is>
      </c>
      <c r="AE439" t="inlineStr">
        <is>
          <t>Energy</t>
        </is>
      </c>
      <c r="AF439" t="inlineStr">
        <is>
          <t>Squad</t>
        </is>
      </c>
      <c r="AG439" t="inlineStr">
        <is>
          <t>Vacant</t>
        </is>
      </c>
    </row>
    <row r="440" hidden="1" ht="18" customHeight="1" s="506">
      <c r="A440" s="259" t="inlineStr">
        <is>
          <t>V</t>
        </is>
      </c>
      <c r="B440" s="224" t="inlineStr">
        <is>
          <t>Vacant</t>
        </is>
      </c>
      <c r="C440" s="317" t="inlineStr">
        <is>
          <t>Snr Engineer Software</t>
        </is>
      </c>
      <c r="D440" s="318" t="inlineStr">
        <is>
          <t>Vacant</t>
        </is>
      </c>
      <c r="E440" s="224" t="inlineStr">
        <is>
          <t>Technology Manager, Energy Solutions</t>
        </is>
      </c>
      <c r="F440" s="224" t="inlineStr">
        <is>
          <t>TDD CFE&amp;I</t>
        </is>
      </c>
      <c r="G440" s="318" t="inlineStr">
        <is>
          <t>B2B &amp; Energy Solutions</t>
        </is>
      </c>
      <c r="H440" s="318" t="inlineStr">
        <is>
          <t>Technology Energy Solutions</t>
        </is>
      </c>
      <c r="I440" s="318" t="inlineStr">
        <is>
          <t>B2B &amp; Energy Solutions</t>
        </is>
      </c>
      <c r="J440" s="318" t="inlineStr">
        <is>
          <t>Energy Solutions</t>
        </is>
      </c>
      <c r="K440" s="224" t="inlineStr">
        <is>
          <t>Energy</t>
        </is>
      </c>
      <c r="L440" s="318" t="n"/>
      <c r="M440" s="319" t="inlineStr">
        <is>
          <t>Australia</t>
        </is>
      </c>
      <c r="N440" s="320" t="inlineStr">
        <is>
          <t>CIB</t>
        </is>
      </c>
      <c r="O440" s="320" t="n">
        <v>1</v>
      </c>
      <c r="P440" s="320" t="n"/>
      <c r="Q440" s="320" t="inlineStr">
        <is>
          <t>v</t>
        </is>
      </c>
      <c r="R440" s="322" t="n"/>
      <c r="S440" s="322" t="n"/>
      <c r="T440" s="334" t="n">
        <v>151950</v>
      </c>
      <c r="U440" s="705" t="n">
        <v>151950</v>
      </c>
      <c r="V440" s="325" t="n">
        <v>0.12</v>
      </c>
      <c r="W440" s="702" t="n">
        <v>0.055</v>
      </c>
      <c r="X440" s="702" t="n">
        <v>0.12</v>
      </c>
      <c r="Y440" s="703" t="n"/>
      <c r="Z440" s="702" t="n">
        <v>0.04</v>
      </c>
      <c r="AA440" s="701">
        <f>U440*(1+V440+W440+X440+Y440+Z440)</f>
        <v>202853.25</v>
      </c>
      <c r="AC440" t="inlineStr">
        <is>
          <t>Energy Solutions &amp; B2B</t>
        </is>
      </c>
      <c r="AD440" t="inlineStr">
        <is>
          <t>Energy Solutions</t>
        </is>
      </c>
      <c r="AE440" t="inlineStr">
        <is>
          <t>Energy</t>
        </is>
      </c>
      <c r="AF440" t="inlineStr">
        <is>
          <t>Squad</t>
        </is>
      </c>
      <c r="AG440" t="inlineStr">
        <is>
          <t>Vacant</t>
        </is>
      </c>
    </row>
    <row r="441" hidden="1" ht="18" customHeight="1" s="506">
      <c r="A441" s="259" t="inlineStr">
        <is>
          <t>V</t>
        </is>
      </c>
      <c r="B441" s="224" t="inlineStr">
        <is>
          <t>Vacant</t>
        </is>
      </c>
      <c r="C441" s="317" t="inlineStr">
        <is>
          <t>Solution Architect</t>
        </is>
      </c>
      <c r="D441" s="318" t="inlineStr">
        <is>
          <t>Vacant</t>
        </is>
      </c>
      <c r="E441" s="224" t="inlineStr">
        <is>
          <t>Technology Manager, Energy Solutions</t>
        </is>
      </c>
      <c r="F441" s="224" t="inlineStr">
        <is>
          <t>TDD CFE&amp;I</t>
        </is>
      </c>
      <c r="G441" s="318" t="inlineStr">
        <is>
          <t>B2B &amp; Energy Solutions</t>
        </is>
      </c>
      <c r="H441" s="318" t="inlineStr">
        <is>
          <t>Technology Energy Solutions</t>
        </is>
      </c>
      <c r="I441" s="318" t="inlineStr">
        <is>
          <t>B2B &amp; Energy Solutions</t>
        </is>
      </c>
      <c r="J441" s="318" t="inlineStr">
        <is>
          <t>Energy Solutions</t>
        </is>
      </c>
      <c r="K441" s="224" t="inlineStr">
        <is>
          <t>Energy</t>
        </is>
      </c>
      <c r="L441" s="318" t="n"/>
      <c r="M441" s="319" t="inlineStr">
        <is>
          <t>australia</t>
        </is>
      </c>
      <c r="N441" s="320" t="inlineStr">
        <is>
          <t>CIC</t>
        </is>
      </c>
      <c r="O441" s="320" t="n">
        <v>1</v>
      </c>
      <c r="P441" s="320" t="n"/>
      <c r="Q441" s="320" t="inlineStr">
        <is>
          <t>v</t>
        </is>
      </c>
      <c r="R441" s="322" t="n"/>
      <c r="S441" s="322" t="n"/>
      <c r="T441" s="334" t="n">
        <v>173550</v>
      </c>
      <c r="U441" s="705" t="n">
        <v>173550</v>
      </c>
      <c r="V441" s="325" t="n">
        <v>0.12</v>
      </c>
      <c r="W441" s="702" t="n">
        <v>0.055</v>
      </c>
      <c r="X441" s="702" t="n">
        <v>0.12</v>
      </c>
      <c r="Y441" s="703" t="n"/>
      <c r="Z441" s="702" t="n">
        <v>0.04</v>
      </c>
      <c r="AA441" s="701">
        <f>U441*(1+V441+W441+X441+Y441+Z441)</f>
        <v>231689.25</v>
      </c>
      <c r="AC441" t="inlineStr">
        <is>
          <t>Energy Solutions &amp; B2B</t>
        </is>
      </c>
      <c r="AD441" t="inlineStr">
        <is>
          <t>Energy Solutions</t>
        </is>
      </c>
      <c r="AE441" t="inlineStr">
        <is>
          <t>Energy</t>
        </is>
      </c>
      <c r="AF441" t="inlineStr">
        <is>
          <t>Squad</t>
        </is>
      </c>
      <c r="AG441" t="inlineStr">
        <is>
          <t>Vacant</t>
        </is>
      </c>
    </row>
    <row r="442" hidden="1" ht="18" customHeight="1" s="506">
      <c r="A442" s="259" t="inlineStr">
        <is>
          <t>V</t>
        </is>
      </c>
      <c r="B442" s="224" t="inlineStr">
        <is>
          <t>Vacant</t>
        </is>
      </c>
      <c r="C442" s="317" t="inlineStr">
        <is>
          <t>System Specialist</t>
        </is>
      </c>
      <c r="D442" s="224" t="inlineStr">
        <is>
          <t>Allan Francia</t>
        </is>
      </c>
      <c r="E442" s="224" t="inlineStr">
        <is>
          <t>Technology Manager, T&amp;S</t>
        </is>
      </c>
      <c r="F442" s="224" t="inlineStr">
        <is>
          <t>TDD CFE&amp;I</t>
        </is>
      </c>
      <c r="G442" s="318" t="inlineStr">
        <is>
          <t>Commercial Fuels</t>
        </is>
      </c>
      <c r="H442" s="318" t="inlineStr">
        <is>
          <t>Technology, Trading &amp; Shipping</t>
        </is>
      </c>
      <c r="I442" s="318" t="inlineStr">
        <is>
          <t>Commercial Fuels</t>
        </is>
      </c>
      <c r="J442" s="318" t="inlineStr">
        <is>
          <t>Supply</t>
        </is>
      </c>
      <c r="K442" s="224" t="inlineStr">
        <is>
          <t>Supply</t>
        </is>
      </c>
      <c r="L442" s="318" t="n"/>
      <c r="M442" s="319" t="inlineStr">
        <is>
          <t>Australia</t>
        </is>
      </c>
      <c r="N442" s="320" t="inlineStr">
        <is>
          <t>CIB</t>
        </is>
      </c>
      <c r="O442" s="320" t="n">
        <v>1</v>
      </c>
      <c r="P442" s="320" t="n"/>
      <c r="Q442" s="320" t="inlineStr">
        <is>
          <t>v</t>
        </is>
      </c>
      <c r="R442" s="322" t="n"/>
      <c r="S442" s="322" t="n"/>
      <c r="T442" s="334" t="n">
        <v>151950</v>
      </c>
      <c r="U442" s="705" t="n">
        <v>151950</v>
      </c>
      <c r="V442" s="325" t="n">
        <v>0.12</v>
      </c>
      <c r="W442" s="702" t="n">
        <v>0.055</v>
      </c>
      <c r="X442" s="702" t="n">
        <v>0.12</v>
      </c>
      <c r="Y442" s="703" t="n"/>
      <c r="Z442" s="702" t="n">
        <v>0.04</v>
      </c>
      <c r="AA442" s="701">
        <f>U442*(1+V442+W442+X442+Y442+Z442)</f>
        <v>202853.25</v>
      </c>
      <c r="AC442" t="inlineStr">
        <is>
          <t>Commercial Fuels</t>
        </is>
      </c>
      <c r="AD442" t="inlineStr">
        <is>
          <t>Supply</t>
        </is>
      </c>
      <c r="AE442" t="inlineStr">
        <is>
          <t>Supply</t>
        </is>
      </c>
      <c r="AF442" t="inlineStr">
        <is>
          <t>Squad</t>
        </is>
      </c>
      <c r="AG442" t="inlineStr">
        <is>
          <t>Vacant</t>
        </is>
      </c>
    </row>
    <row r="443" hidden="1" ht="18" customHeight="1" s="506">
      <c r="A443" s="259" t="inlineStr">
        <is>
          <t>V</t>
        </is>
      </c>
      <c r="B443" s="224" t="inlineStr">
        <is>
          <t>Vacant</t>
        </is>
      </c>
      <c r="C443" s="317" t="inlineStr">
        <is>
          <t>Tech Support Technician</t>
        </is>
      </c>
      <c r="D443" s="224" t="inlineStr">
        <is>
          <t>Allan Francia</t>
        </is>
      </c>
      <c r="E443" s="224" t="inlineStr">
        <is>
          <t>Technology Manager, T&amp;S</t>
        </is>
      </c>
      <c r="F443" s="224" t="inlineStr">
        <is>
          <t>TDD CFE&amp;I</t>
        </is>
      </c>
      <c r="G443" s="318" t="inlineStr">
        <is>
          <t>Commercial Fuels</t>
        </is>
      </c>
      <c r="H443" s="318" t="inlineStr">
        <is>
          <t>Technology, Trading &amp; Shipping</t>
        </is>
      </c>
      <c r="I443" s="318" t="inlineStr">
        <is>
          <t>Commercial Fuels</t>
        </is>
      </c>
      <c r="J443" s="318" t="inlineStr">
        <is>
          <t>Trading &amp; Shipping</t>
        </is>
      </c>
      <c r="K443" s="224" t="inlineStr">
        <is>
          <t>Trading &amp; Shipping</t>
        </is>
      </c>
      <c r="L443" s="318" t="n"/>
      <c r="M443" s="319" t="inlineStr">
        <is>
          <t>Australia</t>
        </is>
      </c>
      <c r="N443" s="320" t="inlineStr">
        <is>
          <t>CDB</t>
        </is>
      </c>
      <c r="O443" s="320" t="n">
        <v>1</v>
      </c>
      <c r="P443" s="320" t="n"/>
      <c r="Q443" s="320" t="inlineStr">
        <is>
          <t>v</t>
        </is>
      </c>
      <c r="R443" s="322" t="n"/>
      <c r="S443" s="322" t="n"/>
      <c r="T443" s="334" t="n">
        <v>94650</v>
      </c>
      <c r="U443" s="705" t="n">
        <v>94650</v>
      </c>
      <c r="V443" s="325" t="n">
        <v>0.08</v>
      </c>
      <c r="W443" s="702" t="n">
        <v>0.055</v>
      </c>
      <c r="X443" s="702" t="n">
        <v>0.12</v>
      </c>
      <c r="Y443" s="703" t="n"/>
      <c r="Z443" s="702" t="n">
        <v>0.04</v>
      </c>
      <c r="AA443" s="701">
        <f>U443*(1+V443+W443+X443+Y443+Z443)</f>
        <v>122571.75</v>
      </c>
      <c r="AC443" t="inlineStr">
        <is>
          <t>Commercial Fuels</t>
        </is>
      </c>
      <c r="AD443" t="inlineStr">
        <is>
          <t>Trading &amp; Shipping</t>
        </is>
      </c>
      <c r="AE443" t="inlineStr">
        <is>
          <t>Trading &amp; Shipping</t>
        </is>
      </c>
      <c r="AF443" t="inlineStr">
        <is>
          <t>Squad</t>
        </is>
      </c>
      <c r="AG443" t="inlineStr">
        <is>
          <t>Vacant</t>
        </is>
      </c>
    </row>
    <row r="444" hidden="1" ht="18" customHeight="1" s="506">
      <c r="A444" s="259" t="inlineStr">
        <is>
          <t>V</t>
        </is>
      </c>
      <c r="B444" s="224" t="inlineStr">
        <is>
          <t>Vacant</t>
        </is>
      </c>
      <c r="C444" s="317" t="inlineStr">
        <is>
          <t>Delivery Manager</t>
        </is>
      </c>
      <c r="D444" s="318" t="inlineStr">
        <is>
          <t>Nakul Bharade</t>
        </is>
      </c>
      <c r="E444" s="224" t="inlineStr">
        <is>
          <t>Head of Technology, Commercial Fuels</t>
        </is>
      </c>
      <c r="F444" s="224" t="inlineStr">
        <is>
          <t>TDD CFE&amp;I</t>
        </is>
      </c>
      <c r="G444" s="318" t="inlineStr">
        <is>
          <t>Commercial Fuels</t>
        </is>
      </c>
      <c r="H444" s="328" t="inlineStr">
        <is>
          <t>Delivery, Commercial Fuels</t>
        </is>
      </c>
      <c r="I444" s="318" t="inlineStr">
        <is>
          <t>Commercial Fuels</t>
        </is>
      </c>
      <c r="J444" s="318" t="inlineStr">
        <is>
          <t>Leadership</t>
        </is>
      </c>
      <c r="K444" s="318" t="inlineStr">
        <is>
          <t>Leadership</t>
        </is>
      </c>
      <c r="L444" s="318" t="n"/>
      <c r="M444" s="319" t="inlineStr">
        <is>
          <t>Australia</t>
        </is>
      </c>
      <c r="N444" s="320" t="inlineStr">
        <is>
          <t>CSB</t>
        </is>
      </c>
      <c r="O444" s="320" t="n">
        <v>1</v>
      </c>
      <c r="P444" s="320" t="n"/>
      <c r="Q444" s="320" t="inlineStr">
        <is>
          <t>V</t>
        </is>
      </c>
      <c r="R444" s="322" t="n"/>
      <c r="S444" s="322" t="n"/>
      <c r="T444" s="334" t="n">
        <v>203550</v>
      </c>
      <c r="U444" s="705" t="n">
        <v>203550</v>
      </c>
      <c r="V444" s="325" t="n">
        <v>0.14</v>
      </c>
      <c r="W444" s="702" t="n">
        <v>0.055</v>
      </c>
      <c r="X444" s="702" t="n">
        <v>0.12</v>
      </c>
      <c r="Y444" s="703" t="n"/>
      <c r="Z444" s="702" t="n">
        <v>0.04</v>
      </c>
      <c r="AA444" s="701">
        <f>U444*(1+V444+W444+X444+Y444+Z444)</f>
        <v>275810.25</v>
      </c>
      <c r="AC444" t="inlineStr">
        <is>
          <t>Commercial Fuels</t>
        </is>
      </c>
      <c r="AD444" t="inlineStr">
        <is>
          <t>Leadership</t>
        </is>
      </c>
      <c r="AE444" t="inlineStr">
        <is>
          <t>Leadership</t>
        </is>
      </c>
      <c r="AF444" t="inlineStr">
        <is>
          <t>Leadership</t>
        </is>
      </c>
      <c r="AG444" t="inlineStr">
        <is>
          <t>Vacant</t>
        </is>
      </c>
    </row>
    <row r="445" hidden="1" ht="18" customHeight="1" s="506">
      <c r="A445" s="259" t="inlineStr">
        <is>
          <t>V</t>
        </is>
      </c>
      <c r="B445" s="224" t="inlineStr">
        <is>
          <t>Vacant</t>
        </is>
      </c>
      <c r="C445" s="317" t="inlineStr">
        <is>
          <t>Technology Manager, Data</t>
        </is>
      </c>
      <c r="D445" s="318" t="inlineStr">
        <is>
          <t>Nakul Bharade</t>
        </is>
      </c>
      <c r="E445" s="224" t="inlineStr">
        <is>
          <t>Head of Technology, Commercial Fuels</t>
        </is>
      </c>
      <c r="F445" s="224" t="inlineStr">
        <is>
          <t>TDD CFE&amp;I</t>
        </is>
      </c>
      <c r="G445" s="318" t="inlineStr">
        <is>
          <t>Commercial Fuels</t>
        </is>
      </c>
      <c r="H445" s="318" t="inlineStr">
        <is>
          <t>Technology, T&amp;S Data</t>
        </is>
      </c>
      <c r="I445" s="318" t="inlineStr">
        <is>
          <t>Commercial Fuels</t>
        </is>
      </c>
      <c r="J445" s="318" t="inlineStr">
        <is>
          <t>Leadership</t>
        </is>
      </c>
      <c r="K445" s="318" t="inlineStr">
        <is>
          <t>Leadership</t>
        </is>
      </c>
      <c r="L445" s="318" t="n"/>
      <c r="M445" s="319" t="inlineStr">
        <is>
          <t>Australia</t>
        </is>
      </c>
      <c r="N445" s="320" t="inlineStr">
        <is>
          <t>CSB</t>
        </is>
      </c>
      <c r="O445" s="320" t="n">
        <v>1</v>
      </c>
      <c r="P445" s="320" t="n"/>
      <c r="Q445" s="320" t="inlineStr">
        <is>
          <t>v</t>
        </is>
      </c>
      <c r="R445" s="322" t="n"/>
      <c r="S445" s="322" t="n"/>
      <c r="T445" s="334" t="n">
        <v>203550</v>
      </c>
      <c r="U445" s="705" t="n">
        <v>203550</v>
      </c>
      <c r="V445" s="325" t="n">
        <v>0.14</v>
      </c>
      <c r="W445" s="702" t="n">
        <v>0.055</v>
      </c>
      <c r="X445" s="702" t="n">
        <v>0.12</v>
      </c>
      <c r="Y445" s="703" t="n"/>
      <c r="Z445" s="702" t="n">
        <v>0.04</v>
      </c>
      <c r="AA445" s="701">
        <f>U445*(1+V445+W445+X445+Y445+Z445)</f>
        <v>275810.25</v>
      </c>
      <c r="AC445" t="inlineStr">
        <is>
          <t>Commercial Fuels</t>
        </is>
      </c>
      <c r="AD445" t="inlineStr">
        <is>
          <t>Leadership</t>
        </is>
      </c>
      <c r="AE445" t="inlineStr">
        <is>
          <t>Leadership</t>
        </is>
      </c>
      <c r="AF445" t="inlineStr">
        <is>
          <t>Leadership</t>
        </is>
      </c>
      <c r="AG445" t="inlineStr">
        <is>
          <t>Vacant</t>
        </is>
      </c>
    </row>
    <row r="446" hidden="1" ht="18" customHeight="1" s="506">
      <c r="A446" s="259" t="inlineStr">
        <is>
          <t>V</t>
        </is>
      </c>
      <c r="B446" s="224" t="inlineStr">
        <is>
          <t>Vacant</t>
        </is>
      </c>
      <c r="C446" s="317" t="inlineStr">
        <is>
          <t>Delivery Lead</t>
        </is>
      </c>
      <c r="D446" s="318" t="inlineStr">
        <is>
          <t>Vacant</t>
        </is>
      </c>
      <c r="E446" s="224" t="inlineStr">
        <is>
          <t>Delivery Manager</t>
        </is>
      </c>
      <c r="F446" s="224" t="inlineStr">
        <is>
          <t>TDD CFE&amp;I</t>
        </is>
      </c>
      <c r="G446" s="318" t="inlineStr">
        <is>
          <t>Commercial Fuels</t>
        </is>
      </c>
      <c r="H446" s="318" t="inlineStr">
        <is>
          <t>Delivery, Commercial Fuels</t>
        </is>
      </c>
      <c r="I446" s="318" t="inlineStr">
        <is>
          <t>Commercial Fuels</t>
        </is>
      </c>
      <c r="J446" s="318" t="inlineStr">
        <is>
          <t>Supply</t>
        </is>
      </c>
      <c r="K446" s="318" t="inlineStr">
        <is>
          <t>Supply</t>
        </is>
      </c>
      <c r="L446" s="224" t="n"/>
      <c r="M446" s="319" t="inlineStr">
        <is>
          <t>Australia</t>
        </is>
      </c>
      <c r="N446" s="320" t="inlineStr">
        <is>
          <t>CIC</t>
        </is>
      </c>
      <c r="O446" s="320" t="n">
        <v>1</v>
      </c>
      <c r="P446" s="320" t="n"/>
      <c r="Q446" s="320" t="inlineStr">
        <is>
          <t>V</t>
        </is>
      </c>
      <c r="R446" s="322" t="n"/>
      <c r="S446" s="322" t="n"/>
      <c r="T446" s="334" t="n">
        <v>173550</v>
      </c>
      <c r="U446" s="705" t="n">
        <v>173550</v>
      </c>
      <c r="V446" s="325" t="n">
        <v>0.12</v>
      </c>
      <c r="W446" s="702" t="n">
        <v>0.055</v>
      </c>
      <c r="X446" s="702" t="n">
        <v>0.12</v>
      </c>
      <c r="Y446" s="703" t="n"/>
      <c r="Z446" s="702" t="n">
        <v>0.04</v>
      </c>
      <c r="AA446" s="701">
        <f>U446*(1+V446+W446+X446+Y446+Z446)</f>
        <v>231689.25</v>
      </c>
      <c r="AC446" t="inlineStr">
        <is>
          <t>Commercial Fuels</t>
        </is>
      </c>
      <c r="AD446" t="inlineStr">
        <is>
          <t>Supply</t>
        </is>
      </c>
      <c r="AE446" t="inlineStr">
        <is>
          <t>Supply</t>
        </is>
      </c>
      <c r="AF446" t="inlineStr">
        <is>
          <t>Squad</t>
        </is>
      </c>
      <c r="AG446" t="inlineStr">
        <is>
          <t>Vacant</t>
        </is>
      </c>
    </row>
    <row r="447" hidden="1" ht="18" customHeight="1" s="506">
      <c r="A447" s="259" t="inlineStr">
        <is>
          <t>V</t>
        </is>
      </c>
      <c r="B447" s="224" t="inlineStr">
        <is>
          <t>Vacant</t>
        </is>
      </c>
      <c r="C447" s="317" t="inlineStr">
        <is>
          <t>Delivery Lead</t>
        </is>
      </c>
      <c r="D447" s="318" t="inlineStr">
        <is>
          <t>Vacant</t>
        </is>
      </c>
      <c r="E447" s="224" t="inlineStr">
        <is>
          <t>Delivery Manager</t>
        </is>
      </c>
      <c r="F447" s="224" t="inlineStr">
        <is>
          <t>TDD CFE&amp;I</t>
        </is>
      </c>
      <c r="G447" s="318" t="inlineStr">
        <is>
          <t>Commercial Fuels</t>
        </is>
      </c>
      <c r="H447" s="318" t="inlineStr">
        <is>
          <t>Delivery, Commercial Fuels</t>
        </is>
      </c>
      <c r="I447" s="318" t="inlineStr">
        <is>
          <t>Commercial Fuels</t>
        </is>
      </c>
      <c r="J447" s="318" t="inlineStr">
        <is>
          <t>Trading &amp; Shipping</t>
        </is>
      </c>
      <c r="K447" s="318" t="inlineStr">
        <is>
          <t>Trading &amp; Shipping</t>
        </is>
      </c>
      <c r="L447" s="224" t="n"/>
      <c r="M447" s="319" t="inlineStr">
        <is>
          <t>Australia</t>
        </is>
      </c>
      <c r="N447" s="320" t="inlineStr">
        <is>
          <t>CIC</t>
        </is>
      </c>
      <c r="O447" s="320" t="n">
        <v>1</v>
      </c>
      <c r="P447" s="320" t="n"/>
      <c r="Q447" s="320" t="inlineStr">
        <is>
          <t>V</t>
        </is>
      </c>
      <c r="R447" s="322" t="n"/>
      <c r="S447" s="322" t="n"/>
      <c r="T447" s="334" t="n">
        <v>173550</v>
      </c>
      <c r="U447" s="705" t="n">
        <v>173550</v>
      </c>
      <c r="V447" s="325" t="n">
        <v>0.12</v>
      </c>
      <c r="W447" s="702" t="n">
        <v>0.055</v>
      </c>
      <c r="X447" s="702" t="n">
        <v>0.12</v>
      </c>
      <c r="Y447" s="703" t="n"/>
      <c r="Z447" s="702" t="n">
        <v>0.04</v>
      </c>
      <c r="AA447" s="701">
        <f>U447*(1+V447+W447+X447+Y447+Z447)</f>
        <v>231689.25</v>
      </c>
      <c r="AC447" t="inlineStr">
        <is>
          <t>Commercial Fuels</t>
        </is>
      </c>
      <c r="AD447" t="inlineStr">
        <is>
          <t>Trading &amp; Shipping</t>
        </is>
      </c>
      <c r="AE447" t="inlineStr">
        <is>
          <t>Trading &amp; Shipping</t>
        </is>
      </c>
      <c r="AF447" t="inlineStr">
        <is>
          <t>Squad</t>
        </is>
      </c>
      <c r="AG447" t="inlineStr">
        <is>
          <t>Vacant</t>
        </is>
      </c>
    </row>
    <row r="448" hidden="1" ht="18" customHeight="1" s="506">
      <c r="A448" s="259" t="inlineStr">
        <is>
          <t>V</t>
        </is>
      </c>
      <c r="B448" s="224" t="inlineStr">
        <is>
          <t>Vacant</t>
        </is>
      </c>
      <c r="C448" s="317" t="inlineStr">
        <is>
          <t>Quality Assurance</t>
        </is>
      </c>
      <c r="D448" s="318" t="inlineStr">
        <is>
          <t>Vacant</t>
        </is>
      </c>
      <c r="E448" s="224" t="inlineStr">
        <is>
          <t>Technology Manager, Engineering</t>
        </is>
      </c>
      <c r="F448" s="224" t="inlineStr">
        <is>
          <t>TDD CFE&amp;I</t>
        </is>
      </c>
      <c r="G448" s="318" t="inlineStr">
        <is>
          <t>Commercial Fuels</t>
        </is>
      </c>
      <c r="H448" s="318" t="inlineStr">
        <is>
          <t>Technology, CF Engineering</t>
        </is>
      </c>
      <c r="I448" s="318" t="inlineStr">
        <is>
          <t>Commercial Fuels</t>
        </is>
      </c>
      <c r="J448" s="318" t="inlineStr">
        <is>
          <t>Trading &amp; Shipping</t>
        </is>
      </c>
      <c r="K448" s="224" t="inlineStr">
        <is>
          <t>Trading &amp; Shipping</t>
        </is>
      </c>
      <c r="L448" s="318" t="n"/>
      <c r="M448" s="319" t="inlineStr">
        <is>
          <t>Australia</t>
        </is>
      </c>
      <c r="N448" s="320" t="inlineStr">
        <is>
          <t>CIA</t>
        </is>
      </c>
      <c r="O448" s="320" t="n">
        <v>1</v>
      </c>
      <c r="P448" s="320" t="n"/>
      <c r="Q448" s="320" t="inlineStr">
        <is>
          <t>v</t>
        </is>
      </c>
      <c r="R448" s="322" t="n"/>
      <c r="S448" s="322" t="n"/>
      <c r="T448" s="334" t="n">
        <v>129650</v>
      </c>
      <c r="U448" s="705" t="n">
        <v>129650</v>
      </c>
      <c r="V448" s="325" t="n">
        <v>0.1</v>
      </c>
      <c r="W448" s="702" t="n">
        <v>0.055</v>
      </c>
      <c r="X448" s="702" t="n">
        <v>0.12</v>
      </c>
      <c r="Y448" s="703" t="n"/>
      <c r="Z448" s="702" t="n">
        <v>0.04</v>
      </c>
      <c r="AA448" s="701">
        <f>U448*(1+V448+W448+X448+Y448+Z448)</f>
        <v>170489.75</v>
      </c>
      <c r="AC448" t="inlineStr">
        <is>
          <t>Commercial Fuels</t>
        </is>
      </c>
      <c r="AD448" t="inlineStr">
        <is>
          <t>Trading &amp; Shipping</t>
        </is>
      </c>
      <c r="AE448" t="inlineStr">
        <is>
          <t>Trading &amp; Shipping</t>
        </is>
      </c>
      <c r="AF448" t="inlineStr">
        <is>
          <t>Squad</t>
        </is>
      </c>
      <c r="AG448" t="inlineStr">
        <is>
          <t>Vacant</t>
        </is>
      </c>
    </row>
    <row r="449" hidden="1" ht="18" customHeight="1" s="506">
      <c r="A449" s="259" t="inlineStr">
        <is>
          <t>V</t>
        </is>
      </c>
      <c r="B449" s="224" t="inlineStr">
        <is>
          <t>vacant</t>
        </is>
      </c>
      <c r="C449" s="317" t="inlineStr">
        <is>
          <t>Delivery manager</t>
        </is>
      </c>
      <c r="D449" s="224" t="inlineStr">
        <is>
          <t>Amish Pandit</t>
        </is>
      </c>
      <c r="E449" s="224" t="inlineStr">
        <is>
          <t>Head of Technology, Fuel Infrastructure</t>
        </is>
      </c>
      <c r="F449" s="224" t="inlineStr">
        <is>
          <t>TDD CFE&amp;I</t>
        </is>
      </c>
      <c r="G449" s="318" t="inlineStr">
        <is>
          <t>Fuel Infrastructure</t>
        </is>
      </c>
      <c r="H449" s="318" t="inlineStr">
        <is>
          <t>Fuel Infrastructure, Delivery</t>
        </is>
      </c>
      <c r="I449" s="318" t="inlineStr">
        <is>
          <t>Infrastructure</t>
        </is>
      </c>
      <c r="J449" s="318" t="inlineStr">
        <is>
          <t xml:space="preserve">Leadership </t>
        </is>
      </c>
      <c r="K449" s="224" t="inlineStr">
        <is>
          <t>Leadership</t>
        </is>
      </c>
      <c r="L449" s="318" t="n"/>
      <c r="M449" s="319" t="inlineStr">
        <is>
          <t>Australia</t>
        </is>
      </c>
      <c r="N449" s="320" t="inlineStr">
        <is>
          <t>CSB</t>
        </is>
      </c>
      <c r="O449" s="320" t="n">
        <v>1</v>
      </c>
      <c r="P449" s="320" t="n"/>
      <c r="Q449" s="320" t="inlineStr">
        <is>
          <t>V</t>
        </is>
      </c>
      <c r="R449" s="322" t="n"/>
      <c r="S449" s="322" t="n"/>
      <c r="T449" s="334" t="n">
        <v>203550</v>
      </c>
      <c r="U449" s="705" t="n">
        <v>203550</v>
      </c>
      <c r="V449" s="325" t="n">
        <v>0.14</v>
      </c>
      <c r="W449" s="702" t="n">
        <v>0.055</v>
      </c>
      <c r="X449" s="702" t="n">
        <v>0.12</v>
      </c>
      <c r="Y449" s="703" t="n"/>
      <c r="Z449" s="702" t="n">
        <v>0.04</v>
      </c>
      <c r="AA449" s="701">
        <f>U449*(1+V449+W449+X449+Y449+Z449)</f>
        <v>275810.25</v>
      </c>
      <c r="AC449" t="inlineStr">
        <is>
          <t>Infrastructure</t>
        </is>
      </c>
      <c r="AD449" t="inlineStr">
        <is>
          <t>Leadership</t>
        </is>
      </c>
      <c r="AE449" t="inlineStr">
        <is>
          <t>Leadership</t>
        </is>
      </c>
      <c r="AF449" t="inlineStr">
        <is>
          <t>Leadership</t>
        </is>
      </c>
      <c r="AG449" t="inlineStr">
        <is>
          <t>Vacant</t>
        </is>
      </c>
    </row>
    <row r="450" hidden="1" ht="18" customHeight="1" s="506">
      <c r="A450" s="259" t="inlineStr">
        <is>
          <t>V</t>
        </is>
      </c>
      <c r="B450" s="224" t="inlineStr">
        <is>
          <t>Vacant</t>
        </is>
      </c>
      <c r="C450" s="317" t="inlineStr">
        <is>
          <t>Technology Manager Data</t>
        </is>
      </c>
      <c r="D450" s="224" t="inlineStr">
        <is>
          <t>Amish Pandit</t>
        </is>
      </c>
      <c r="E450" s="224" t="inlineStr">
        <is>
          <t>Head of Technology, Fuel Infrastructure</t>
        </is>
      </c>
      <c r="F450" s="224" t="inlineStr">
        <is>
          <t>TDD CFE&amp;I</t>
        </is>
      </c>
      <c r="G450" s="318" t="inlineStr">
        <is>
          <t>Fuel Infrastructure</t>
        </is>
      </c>
      <c r="H450" s="318" t="inlineStr">
        <is>
          <t>Fuel Infrastructure, Data</t>
        </is>
      </c>
      <c r="I450" s="318" t="inlineStr">
        <is>
          <t>Infrastructure</t>
        </is>
      </c>
      <c r="J450" s="224" t="inlineStr">
        <is>
          <t>Leadership</t>
        </is>
      </c>
      <c r="K450" s="224" t="inlineStr">
        <is>
          <t>Leadership</t>
        </is>
      </c>
      <c r="L450" s="318" t="n"/>
      <c r="M450" s="319" t="inlineStr">
        <is>
          <t>Australia</t>
        </is>
      </c>
      <c r="N450" s="320" t="inlineStr">
        <is>
          <t>CSB</t>
        </is>
      </c>
      <c r="O450" s="320" t="n">
        <v>1</v>
      </c>
      <c r="P450" s="320" t="n"/>
      <c r="Q450" s="320" t="inlineStr">
        <is>
          <t>v</t>
        </is>
      </c>
      <c r="R450" s="322" t="n"/>
      <c r="S450" s="322" t="n"/>
      <c r="T450" s="334" t="n">
        <v>203550</v>
      </c>
      <c r="U450" s="705" t="n">
        <v>203550</v>
      </c>
      <c r="V450" s="325" t="n">
        <v>0.14</v>
      </c>
      <c r="W450" s="702" t="n">
        <v>0.055</v>
      </c>
      <c r="X450" s="702" t="n">
        <v>0.12</v>
      </c>
      <c r="Y450" s="703" t="n"/>
      <c r="Z450" s="702" t="n">
        <v>0.04</v>
      </c>
      <c r="AA450" s="701">
        <f>U450*(1+V450+W450+X450+Y450+Z450)</f>
        <v>275810.25</v>
      </c>
      <c r="AC450" t="inlineStr">
        <is>
          <t>Infrastructure</t>
        </is>
      </c>
      <c r="AD450" t="inlineStr">
        <is>
          <t>Leadership</t>
        </is>
      </c>
      <c r="AE450" t="inlineStr">
        <is>
          <t>Leadership</t>
        </is>
      </c>
      <c r="AF450" t="inlineStr">
        <is>
          <t>Leadership</t>
        </is>
      </c>
      <c r="AG450" t="inlineStr">
        <is>
          <t>Vacant</t>
        </is>
      </c>
    </row>
    <row r="451" hidden="1" ht="18" customHeight="1" s="506">
      <c r="A451" s="259" t="inlineStr">
        <is>
          <t>V</t>
        </is>
      </c>
      <c r="B451" s="224" t="inlineStr">
        <is>
          <t>Vacant</t>
        </is>
      </c>
      <c r="C451" s="317" t="inlineStr">
        <is>
          <t xml:space="preserve">Technology Manager, Future Infrastructure </t>
        </is>
      </c>
      <c r="D451" s="224" t="inlineStr">
        <is>
          <t>Amish Pandit</t>
        </is>
      </c>
      <c r="E451" s="224" t="inlineStr">
        <is>
          <t>Head of Technology, Fuel Infrastructure</t>
        </is>
      </c>
      <c r="F451" s="224" t="inlineStr">
        <is>
          <t>TDD CFE&amp;I</t>
        </is>
      </c>
      <c r="G451" s="318" t="inlineStr">
        <is>
          <t>Fuel Infrastructure</t>
        </is>
      </c>
      <c r="H451" s="318" t="inlineStr">
        <is>
          <t>Technology - Distribution</t>
        </is>
      </c>
      <c r="I451" s="318" t="inlineStr">
        <is>
          <t>Infrastructure</t>
        </is>
      </c>
      <c r="J451" s="318" t="inlineStr">
        <is>
          <t>Distribution</t>
        </is>
      </c>
      <c r="K451" s="224" t="inlineStr">
        <is>
          <t>Leadership</t>
        </is>
      </c>
      <c r="L451" s="318" t="n"/>
      <c r="M451" s="319" t="inlineStr">
        <is>
          <t>Australia</t>
        </is>
      </c>
      <c r="N451" s="320" t="inlineStr">
        <is>
          <t>CSB</t>
        </is>
      </c>
      <c r="O451" s="320" t="n">
        <v>1</v>
      </c>
      <c r="P451" s="320" t="n"/>
      <c r="Q451" s="320" t="inlineStr">
        <is>
          <t>v</t>
        </is>
      </c>
      <c r="R451" s="322" t="n"/>
      <c r="S451" s="322" t="n"/>
      <c r="T451" s="334" t="n">
        <v>203550</v>
      </c>
      <c r="U451" s="705" t="n">
        <v>203550</v>
      </c>
      <c r="V451" s="325" t="n">
        <v>0.14</v>
      </c>
      <c r="W451" s="702" t="n">
        <v>0.055</v>
      </c>
      <c r="X451" s="702" t="n">
        <v>0.12</v>
      </c>
      <c r="Y451" s="703" t="n"/>
      <c r="Z451" s="702" t="n">
        <v>0.04</v>
      </c>
      <c r="AA451" s="701">
        <f>U451*(1+V451+W451+X451+Y451+Z451)</f>
        <v>275810.25</v>
      </c>
      <c r="AC451" s="342" t="inlineStr">
        <is>
          <t>Infrastructure</t>
        </is>
      </c>
      <c r="AD451" t="inlineStr">
        <is>
          <t>Leadership</t>
        </is>
      </c>
      <c r="AE451" t="inlineStr">
        <is>
          <t>Leadership</t>
        </is>
      </c>
      <c r="AF451" t="inlineStr">
        <is>
          <t>Leadership</t>
        </is>
      </c>
      <c r="AG451" t="inlineStr">
        <is>
          <t>Vacant</t>
        </is>
      </c>
    </row>
    <row r="452" hidden="1" ht="18" customHeight="1" s="506">
      <c r="A452" s="259" t="inlineStr">
        <is>
          <t>V</t>
        </is>
      </c>
      <c r="B452" s="224" t="inlineStr">
        <is>
          <t>Vacant</t>
        </is>
      </c>
      <c r="C452" s="317" t="inlineStr">
        <is>
          <t>Quality Assurance</t>
        </is>
      </c>
      <c r="D452" s="224" t="inlineStr">
        <is>
          <t>Jaya Ganasan</t>
        </is>
      </c>
      <c r="E452" s="224" t="inlineStr">
        <is>
          <t>Technology Manager, TDD Refinery</t>
        </is>
      </c>
      <c r="F452" s="224" t="inlineStr">
        <is>
          <t>TDD CFE&amp;I</t>
        </is>
      </c>
      <c r="G452" s="318" t="inlineStr">
        <is>
          <t>Fuel Infrastructure</t>
        </is>
      </c>
      <c r="H452" s="318" t="inlineStr">
        <is>
          <t>Refinery Applications</t>
        </is>
      </c>
      <c r="I452" s="318" t="inlineStr">
        <is>
          <t>Infrastructure</t>
        </is>
      </c>
      <c r="J452" s="318" t="inlineStr">
        <is>
          <t>Manufacturing</t>
        </is>
      </c>
      <c r="K452" s="224" t="inlineStr">
        <is>
          <t>Manufacturing Group Projects</t>
        </is>
      </c>
      <c r="L452" s="318" t="n"/>
      <c r="M452" s="319" t="inlineStr">
        <is>
          <t>Australia</t>
        </is>
      </c>
      <c r="N452" s="320" t="inlineStr">
        <is>
          <t>CIA</t>
        </is>
      </c>
      <c r="O452" s="320" t="n">
        <v>1</v>
      </c>
      <c r="P452" s="320" t="n"/>
      <c r="Q452" s="320" t="inlineStr">
        <is>
          <t>v</t>
        </is>
      </c>
      <c r="R452" s="322" t="n"/>
      <c r="S452" s="322" t="n"/>
      <c r="T452" s="334" t="n">
        <v>129650</v>
      </c>
      <c r="U452" s="705" t="n">
        <v>129650</v>
      </c>
      <c r="V452" s="325" t="n">
        <v>0.1</v>
      </c>
      <c r="W452" s="702" t="n">
        <v>0.055</v>
      </c>
      <c r="X452" s="702" t="n">
        <v>0.12</v>
      </c>
      <c r="Y452" s="703" t="n"/>
      <c r="Z452" s="702" t="n">
        <v>0.04</v>
      </c>
      <c r="AA452" s="701">
        <f>U452*(1+V452+W452+X452+Y452+Z452)</f>
        <v>170489.75</v>
      </c>
      <c r="AC452" t="inlineStr">
        <is>
          <t>Infrastructure</t>
        </is>
      </c>
      <c r="AD452" t="inlineStr">
        <is>
          <t>Manufacturing</t>
        </is>
      </c>
      <c r="AE452" t="inlineStr">
        <is>
          <t>Manufacturing &amp; Group Projects</t>
        </is>
      </c>
      <c r="AF452" t="inlineStr">
        <is>
          <t>Squad</t>
        </is>
      </c>
      <c r="AG452" t="inlineStr">
        <is>
          <t>Vacant</t>
        </is>
      </c>
    </row>
    <row r="453" hidden="1" ht="18" customHeight="1" s="506">
      <c r="A453" s="259" t="inlineStr">
        <is>
          <t>V</t>
        </is>
      </c>
      <c r="B453" s="224" t="inlineStr">
        <is>
          <t>Vacant</t>
        </is>
      </c>
      <c r="C453" s="317" t="inlineStr">
        <is>
          <t>Solution Architect</t>
        </is>
      </c>
      <c r="D453" s="224" t="inlineStr">
        <is>
          <t>Jaya Ganasan</t>
        </is>
      </c>
      <c r="E453" s="224" t="inlineStr">
        <is>
          <t>Technology Manager, TDD Refinery</t>
        </is>
      </c>
      <c r="F453" s="224" t="inlineStr">
        <is>
          <t>TDD CFE&amp;I</t>
        </is>
      </c>
      <c r="G453" s="318" t="inlineStr">
        <is>
          <t>Fuel Infrastructure</t>
        </is>
      </c>
      <c r="H453" s="318" t="inlineStr">
        <is>
          <t>Refinery Applications</t>
        </is>
      </c>
      <c r="I453" s="318" t="inlineStr">
        <is>
          <t>Infrastructure</t>
        </is>
      </c>
      <c r="J453" s="318" t="inlineStr">
        <is>
          <t>Manufacturing</t>
        </is>
      </c>
      <c r="K453" s="224" t="inlineStr">
        <is>
          <t>Manufacturing Group Projects</t>
        </is>
      </c>
      <c r="L453" s="318" t="n"/>
      <c r="M453" s="319" t="inlineStr">
        <is>
          <t>australia</t>
        </is>
      </c>
      <c r="N453" s="320" t="inlineStr">
        <is>
          <t>CIC</t>
        </is>
      </c>
      <c r="O453" s="320" t="n">
        <v>1</v>
      </c>
      <c r="P453" s="320" t="n"/>
      <c r="Q453" s="320" t="inlineStr">
        <is>
          <t>v</t>
        </is>
      </c>
      <c r="R453" s="322" t="n"/>
      <c r="S453" s="322" t="n"/>
      <c r="T453" s="334" t="n">
        <v>173550</v>
      </c>
      <c r="U453" s="705" t="n">
        <v>173550</v>
      </c>
      <c r="V453" s="325" t="n">
        <v>0.12</v>
      </c>
      <c r="W453" s="702" t="n">
        <v>0.055</v>
      </c>
      <c r="X453" s="702" t="n">
        <v>0.12</v>
      </c>
      <c r="Y453" s="703" t="n"/>
      <c r="Z453" s="702" t="n">
        <v>0.04</v>
      </c>
      <c r="AA453" s="701">
        <f>U453*(1+V453+W453+X453+Y453+Z453)</f>
        <v>231689.25</v>
      </c>
      <c r="AC453" t="inlineStr">
        <is>
          <t>Infrastructure</t>
        </is>
      </c>
      <c r="AD453" t="inlineStr">
        <is>
          <t>Manufacturing</t>
        </is>
      </c>
      <c r="AE453" t="inlineStr">
        <is>
          <t>Manufacturing &amp; Group Projects</t>
        </is>
      </c>
      <c r="AF453" t="inlineStr">
        <is>
          <t>Squad</t>
        </is>
      </c>
      <c r="AG453" t="inlineStr">
        <is>
          <t>Vacant</t>
        </is>
      </c>
    </row>
    <row r="454" hidden="1" ht="18" customHeight="1" s="506">
      <c r="A454" s="259" t="inlineStr">
        <is>
          <t>V</t>
        </is>
      </c>
      <c r="B454" s="224" t="inlineStr">
        <is>
          <t>Vacant</t>
        </is>
      </c>
      <c r="C454" s="317" t="inlineStr">
        <is>
          <t>Quality Assurance</t>
        </is>
      </c>
      <c r="D454" s="224" t="inlineStr">
        <is>
          <t>Karla Orozco Loza</t>
        </is>
      </c>
      <c r="E454" s="224" t="inlineStr">
        <is>
          <t>Technology Manager, Future Infrastructure</t>
        </is>
      </c>
      <c r="F454" s="224" t="inlineStr">
        <is>
          <t>TDD CFE&amp;I</t>
        </is>
      </c>
      <c r="G454" s="318" t="inlineStr">
        <is>
          <t>Fuel Infrastructure</t>
        </is>
      </c>
      <c r="H454" s="318" t="inlineStr">
        <is>
          <t>Technology - Distribution</t>
        </is>
      </c>
      <c r="I454" s="318" t="inlineStr">
        <is>
          <t>Infrastructure</t>
        </is>
      </c>
      <c r="J454" s="318" t="inlineStr">
        <is>
          <t>Distribution</t>
        </is>
      </c>
      <c r="K454" s="224" t="inlineStr">
        <is>
          <t>Distribution, Sales &amp; Services</t>
        </is>
      </c>
      <c r="L454" s="318" t="n"/>
      <c r="M454" s="319" t="inlineStr">
        <is>
          <t>Australia</t>
        </is>
      </c>
      <c r="N454" s="320" t="inlineStr">
        <is>
          <t>CIA</t>
        </is>
      </c>
      <c r="O454" s="320" t="n">
        <v>1</v>
      </c>
      <c r="P454" s="320" t="n"/>
      <c r="Q454" s="320" t="inlineStr">
        <is>
          <t>v</t>
        </is>
      </c>
      <c r="R454" s="322" t="n"/>
      <c r="S454" s="322" t="n"/>
      <c r="T454" s="334" t="n">
        <v>129650</v>
      </c>
      <c r="U454" s="705" t="n">
        <v>129650</v>
      </c>
      <c r="V454" s="325" t="n">
        <v>0.1</v>
      </c>
      <c r="W454" s="702" t="n">
        <v>0.055</v>
      </c>
      <c r="X454" s="702" t="n">
        <v>0.12</v>
      </c>
      <c r="Y454" s="703" t="n"/>
      <c r="Z454" s="702" t="n">
        <v>0.04</v>
      </c>
      <c r="AA454" s="701">
        <f>U454*(1+V454+W454+X454+Y454+Z454)</f>
        <v>170489.75</v>
      </c>
      <c r="AC454" t="inlineStr">
        <is>
          <t>Infrastructure</t>
        </is>
      </c>
      <c r="AD454" t="inlineStr">
        <is>
          <t>Distribution</t>
        </is>
      </c>
      <c r="AE454" t="inlineStr">
        <is>
          <t>Distribution, Sales &amp; Services</t>
        </is>
      </c>
      <c r="AF454" t="inlineStr">
        <is>
          <t>Squad</t>
        </is>
      </c>
      <c r="AG454" t="inlineStr">
        <is>
          <t>Vacant</t>
        </is>
      </c>
    </row>
    <row r="455" hidden="1" ht="18" customHeight="1" s="506">
      <c r="A455" s="259" t="inlineStr">
        <is>
          <t>V</t>
        </is>
      </c>
      <c r="B455" s="224" t="inlineStr">
        <is>
          <t>Vacant</t>
        </is>
      </c>
      <c r="C455" s="317" t="inlineStr">
        <is>
          <t>Business Analyst</t>
        </is>
      </c>
      <c r="D455" s="318" t="inlineStr">
        <is>
          <t>Vacant</t>
        </is>
      </c>
      <c r="E455" s="224" t="inlineStr">
        <is>
          <t>Delivery Manager</t>
        </is>
      </c>
      <c r="F455" s="224" t="inlineStr">
        <is>
          <t>TDD CFE&amp;I</t>
        </is>
      </c>
      <c r="G455" s="344" t="inlineStr">
        <is>
          <t>Fuel Infrastructure</t>
        </is>
      </c>
      <c r="H455" s="318" t="inlineStr">
        <is>
          <t>Fuel Infrastructure, Delivery</t>
        </is>
      </c>
      <c r="I455" s="318" t="inlineStr">
        <is>
          <t>Infrastructure</t>
        </is>
      </c>
      <c r="J455" s="318" t="inlineStr">
        <is>
          <t>Distribution</t>
        </is>
      </c>
      <c r="K455" s="224" t="inlineStr">
        <is>
          <t>Distribution, Sales &amp; Services</t>
        </is>
      </c>
      <c r="L455" s="318" t="n"/>
      <c r="M455" s="319" t="inlineStr">
        <is>
          <t>Australia</t>
        </is>
      </c>
      <c r="N455" s="320" t="inlineStr">
        <is>
          <t>CIB</t>
        </is>
      </c>
      <c r="O455" s="320" t="n">
        <v>1</v>
      </c>
      <c r="P455" s="320" t="n"/>
      <c r="Q455" s="320" t="inlineStr">
        <is>
          <t>V</t>
        </is>
      </c>
      <c r="R455" s="322" t="n"/>
      <c r="S455" s="322" t="n"/>
      <c r="T455" s="334" t="n">
        <v>151950</v>
      </c>
      <c r="U455" s="705" t="n">
        <v>151950</v>
      </c>
      <c r="V455" s="325" t="n">
        <v>0.12</v>
      </c>
      <c r="W455" s="702" t="n">
        <v>0.055</v>
      </c>
      <c r="X455" s="702" t="n">
        <v>0.12</v>
      </c>
      <c r="Y455" s="703" t="n"/>
      <c r="Z455" s="702" t="n">
        <v>0.04</v>
      </c>
      <c r="AA455" s="701">
        <f>U455*(1+V455+W455+X455+Y455+Z455)</f>
        <v>202853.25</v>
      </c>
      <c r="AC455" t="inlineStr">
        <is>
          <t>COE</t>
        </is>
      </c>
      <c r="AD455" t="inlineStr">
        <is>
          <t>COE - Strategy Architecture</t>
        </is>
      </c>
      <c r="AE455" t="inlineStr">
        <is>
          <t>COE - Strategy Architecture</t>
        </is>
      </c>
      <c r="AF455" t="inlineStr">
        <is>
          <t>COE</t>
        </is>
      </c>
      <c r="AG455" t="inlineStr">
        <is>
          <t>Vacant</t>
        </is>
      </c>
    </row>
    <row r="456" hidden="1" ht="18" customHeight="1" s="506">
      <c r="A456" s="259" t="inlineStr">
        <is>
          <t>V</t>
        </is>
      </c>
      <c r="B456" s="224" t="inlineStr">
        <is>
          <t>Vacant</t>
        </is>
      </c>
      <c r="C456" s="317" t="inlineStr">
        <is>
          <t>Data Analyst</t>
        </is>
      </c>
      <c r="D456" s="224" t="inlineStr">
        <is>
          <t>Vacant</t>
        </is>
      </c>
      <c r="E456" s="224" t="inlineStr">
        <is>
          <t>Technology Manger, Data</t>
        </is>
      </c>
      <c r="F456" s="224" t="inlineStr">
        <is>
          <t>TDD CFE&amp;I</t>
        </is>
      </c>
      <c r="G456" s="318" t="inlineStr">
        <is>
          <t>Fuel Infrastructure</t>
        </is>
      </c>
      <c r="H456" s="318" t="inlineStr">
        <is>
          <t>Fuel Infrastructure, Data</t>
        </is>
      </c>
      <c r="I456" s="318" t="inlineStr">
        <is>
          <t>Infrastructure</t>
        </is>
      </c>
      <c r="J456" s="224" t="inlineStr">
        <is>
          <t xml:space="preserve">Data &amp; Insights </t>
        </is>
      </c>
      <c r="K456" s="224" t="inlineStr">
        <is>
          <t xml:space="preserve">Data &amp; Insights </t>
        </is>
      </c>
      <c r="L456" s="318" t="n"/>
      <c r="M456" s="319" t="inlineStr">
        <is>
          <t>Australia</t>
        </is>
      </c>
      <c r="N456" s="320" t="inlineStr">
        <is>
          <t>CIB</t>
        </is>
      </c>
      <c r="O456" s="320" t="n">
        <v>1</v>
      </c>
      <c r="P456" s="320" t="n"/>
      <c r="Q456" s="320" t="inlineStr">
        <is>
          <t>V</t>
        </is>
      </c>
      <c r="R456" s="322" t="n"/>
      <c r="S456" s="322" t="n"/>
      <c r="T456" s="334" t="n">
        <v>151000</v>
      </c>
      <c r="U456" s="705" t="n">
        <v>151000</v>
      </c>
      <c r="V456" s="325" t="n">
        <v>0.12</v>
      </c>
      <c r="W456" s="702" t="n">
        <v>0.055</v>
      </c>
      <c r="X456" s="702" t="n">
        <v>0.12</v>
      </c>
      <c r="Y456" s="703" t="n"/>
      <c r="Z456" s="702" t="n">
        <v>0.04</v>
      </c>
      <c r="AA456" s="701">
        <f>U456*(1+V456+W456+X456+Y456+Z456)</f>
        <v>201585.0</v>
      </c>
      <c r="AC456" t="inlineStr">
        <is>
          <t>Infrastructure</t>
        </is>
      </c>
      <c r="AD456" t="inlineStr">
        <is>
          <t>Data &amp; Insights</t>
        </is>
      </c>
      <c r="AE456" t="inlineStr">
        <is>
          <t>Data &amp; Insights</t>
        </is>
      </c>
      <c r="AF456" t="inlineStr">
        <is>
          <t>Squad</t>
        </is>
      </c>
      <c r="AG456" t="inlineStr">
        <is>
          <t>Vacant</t>
        </is>
      </c>
    </row>
    <row r="457" hidden="1" ht="18" customHeight="1" s="506">
      <c r="A457" s="259" t="inlineStr">
        <is>
          <t>V</t>
        </is>
      </c>
      <c r="B457" s="224" t="inlineStr">
        <is>
          <t>Vacant</t>
        </is>
      </c>
      <c r="C457" s="317" t="inlineStr">
        <is>
          <t>Engineer Data</t>
        </is>
      </c>
      <c r="D457" s="224" t="inlineStr">
        <is>
          <t>Vacant</t>
        </is>
      </c>
      <c r="E457" s="224" t="inlineStr">
        <is>
          <t>Technology Manger, Data</t>
        </is>
      </c>
      <c r="F457" s="224" t="inlineStr">
        <is>
          <t>TDD CFE&amp;I</t>
        </is>
      </c>
      <c r="G457" s="318" t="inlineStr">
        <is>
          <t>Fuel Infrastructure</t>
        </is>
      </c>
      <c r="H457" s="318" t="inlineStr">
        <is>
          <t>Fuel Infrastructure, Data</t>
        </is>
      </c>
      <c r="I457" s="318" t="inlineStr">
        <is>
          <t>Infrastructure</t>
        </is>
      </c>
      <c r="J457" s="224" t="inlineStr">
        <is>
          <t xml:space="preserve">Data &amp; Insights </t>
        </is>
      </c>
      <c r="K457" s="224" t="inlineStr">
        <is>
          <t xml:space="preserve">Data &amp; Insights </t>
        </is>
      </c>
      <c r="L457" s="318" t="n"/>
      <c r="M457" s="319" t="inlineStr">
        <is>
          <t>Australia</t>
        </is>
      </c>
      <c r="N457" s="320" t="inlineStr">
        <is>
          <t>CIB</t>
        </is>
      </c>
      <c r="O457" s="320" t="n">
        <v>1</v>
      </c>
      <c r="P457" s="320" t="n"/>
      <c r="Q457" s="320" t="inlineStr">
        <is>
          <t>V</t>
        </is>
      </c>
      <c r="R457" s="322" t="n"/>
      <c r="S457" s="322" t="n"/>
      <c r="T457" s="334" t="n">
        <v>151950</v>
      </c>
      <c r="U457" s="705" t="n">
        <v>151950</v>
      </c>
      <c r="V457" s="325" t="n">
        <v>0.12</v>
      </c>
      <c r="W457" s="702" t="n">
        <v>0.055</v>
      </c>
      <c r="X457" s="702" t="n">
        <v>0.12</v>
      </c>
      <c r="Y457" s="703" t="n"/>
      <c r="Z457" s="702" t="n">
        <v>0.04</v>
      </c>
      <c r="AA457" s="701">
        <f>U457*(1+V457+W457+X457+Y457+Z457)</f>
        <v>202853.25</v>
      </c>
      <c r="AC457" t="inlineStr">
        <is>
          <t>Infrastructure</t>
        </is>
      </c>
      <c r="AD457" t="inlineStr">
        <is>
          <t>Data &amp; Insights</t>
        </is>
      </c>
      <c r="AE457" t="inlineStr">
        <is>
          <t>Data &amp; Insights</t>
        </is>
      </c>
      <c r="AF457" t="inlineStr">
        <is>
          <t>Squad</t>
        </is>
      </c>
      <c r="AG457" t="inlineStr">
        <is>
          <t>Vacant</t>
        </is>
      </c>
    </row>
    <row r="458" hidden="1" ht="18" customHeight="1" s="506">
      <c r="A458" s="259" t="inlineStr">
        <is>
          <t>V</t>
        </is>
      </c>
      <c r="B458" s="224" t="inlineStr">
        <is>
          <t>Vacant</t>
        </is>
      </c>
      <c r="C458" s="317" t="inlineStr">
        <is>
          <t>Lead Data Analyst</t>
        </is>
      </c>
      <c r="D458" s="224" t="inlineStr">
        <is>
          <t>Vacant</t>
        </is>
      </c>
      <c r="E458" s="224" t="inlineStr">
        <is>
          <t>Technology Manger, Data</t>
        </is>
      </c>
      <c r="F458" s="224" t="inlineStr">
        <is>
          <t>TDD CFE&amp;I</t>
        </is>
      </c>
      <c r="G458" s="318" t="inlineStr">
        <is>
          <t>Fuel Infrastructure</t>
        </is>
      </c>
      <c r="H458" s="318" t="inlineStr">
        <is>
          <t>Fuel Infrastructure, Data</t>
        </is>
      </c>
      <c r="I458" s="318" t="inlineStr">
        <is>
          <t>Infrastructure</t>
        </is>
      </c>
      <c r="J458" s="224" t="inlineStr">
        <is>
          <t xml:space="preserve">Data &amp; Insights </t>
        </is>
      </c>
      <c r="K458" s="224" t="inlineStr">
        <is>
          <t xml:space="preserve">Data &amp; Insights </t>
        </is>
      </c>
      <c r="L458" s="318" t="n"/>
      <c r="M458" s="319" t="inlineStr">
        <is>
          <t>Australia</t>
        </is>
      </c>
      <c r="N458" s="320" t="inlineStr">
        <is>
          <t>CIC</t>
        </is>
      </c>
      <c r="O458" s="320" t="n">
        <v>1</v>
      </c>
      <c r="P458" s="320" t="n"/>
      <c r="Q458" s="320" t="inlineStr">
        <is>
          <t>v</t>
        </is>
      </c>
      <c r="R458" s="322" t="n"/>
      <c r="S458" s="322" t="n"/>
      <c r="T458" s="334" t="n">
        <v>173550</v>
      </c>
      <c r="U458" s="705" t="n">
        <v>173550</v>
      </c>
      <c r="V458" s="325" t="n">
        <v>0.12</v>
      </c>
      <c r="W458" s="702" t="n">
        <v>0.055</v>
      </c>
      <c r="X458" s="702" t="n">
        <v>0.12</v>
      </c>
      <c r="Y458" s="703" t="n"/>
      <c r="Z458" s="702" t="n">
        <v>0.04</v>
      </c>
      <c r="AA458" s="701">
        <f>U458*(1+V458+W458+X458+Y458+Z458)</f>
        <v>231689.25</v>
      </c>
      <c r="AC458" t="inlineStr">
        <is>
          <t>Infrastructure</t>
        </is>
      </c>
      <c r="AD458" t="inlineStr">
        <is>
          <t>Data &amp; Insights</t>
        </is>
      </c>
      <c r="AE458" t="inlineStr">
        <is>
          <t>Data &amp; Insights</t>
        </is>
      </c>
      <c r="AF458" t="inlineStr">
        <is>
          <t>Squad</t>
        </is>
      </c>
      <c r="AG458" t="inlineStr">
        <is>
          <t>Vacant</t>
        </is>
      </c>
    </row>
    <row r="459" hidden="1" ht="18" customHeight="1" s="506">
      <c r="A459" s="259" t="inlineStr">
        <is>
          <t>V</t>
        </is>
      </c>
      <c r="B459" s="224" t="inlineStr">
        <is>
          <t>Vacant</t>
        </is>
      </c>
      <c r="C459" s="317" t="inlineStr">
        <is>
          <t>Reporting Analyst</t>
        </is>
      </c>
      <c r="D459" s="224" t="inlineStr">
        <is>
          <t>Vacant</t>
        </is>
      </c>
      <c r="E459" s="224" t="inlineStr">
        <is>
          <t>Technology Manger, Data</t>
        </is>
      </c>
      <c r="F459" s="224" t="inlineStr">
        <is>
          <t>TDD CFE&amp;I</t>
        </is>
      </c>
      <c r="G459" s="318" t="inlineStr">
        <is>
          <t>Fuel Infrastructure</t>
        </is>
      </c>
      <c r="H459" s="318" t="inlineStr">
        <is>
          <t>Fuel Infrastructure, Data</t>
        </is>
      </c>
      <c r="I459" s="318" t="inlineStr">
        <is>
          <t>Infrastructure</t>
        </is>
      </c>
      <c r="J459" s="224" t="inlineStr">
        <is>
          <t xml:space="preserve">Data &amp; Insights </t>
        </is>
      </c>
      <c r="K459" s="224" t="inlineStr">
        <is>
          <t xml:space="preserve">Data &amp; Insights </t>
        </is>
      </c>
      <c r="L459" s="318" t="n"/>
      <c r="M459" s="319" t="inlineStr">
        <is>
          <t>Australia</t>
        </is>
      </c>
      <c r="N459" s="320" t="inlineStr">
        <is>
          <t>CIB</t>
        </is>
      </c>
      <c r="O459" s="320" t="n">
        <v>1</v>
      </c>
      <c r="P459" s="320" t="n"/>
      <c r="Q459" s="320" t="inlineStr">
        <is>
          <t>v</t>
        </is>
      </c>
      <c r="R459" s="322" t="n"/>
      <c r="S459" s="322" t="n"/>
      <c r="T459" s="334" t="n">
        <v>151950</v>
      </c>
      <c r="U459" s="705" t="n">
        <v>151950</v>
      </c>
      <c r="V459" s="325" t="n">
        <v>0.12</v>
      </c>
      <c r="W459" s="702" t="n">
        <v>0.055</v>
      </c>
      <c r="X459" s="702" t="n">
        <v>0.12</v>
      </c>
      <c r="Y459" s="703" t="n"/>
      <c r="Z459" s="702" t="n">
        <v>0.04</v>
      </c>
      <c r="AA459" s="701">
        <f>U459*(1+V459+W459+X459+Y459+Z459)</f>
        <v>202853.25</v>
      </c>
      <c r="AC459" t="inlineStr">
        <is>
          <t>Infrastructure</t>
        </is>
      </c>
      <c r="AD459" t="inlineStr">
        <is>
          <t>Data &amp; Insights</t>
        </is>
      </c>
      <c r="AE459" t="inlineStr">
        <is>
          <t>Data &amp; Insights</t>
        </is>
      </c>
      <c r="AF459" t="inlineStr">
        <is>
          <t>Squad</t>
        </is>
      </c>
      <c r="AG459" t="inlineStr">
        <is>
          <t>Vacant</t>
        </is>
      </c>
    </row>
    <row r="460" hidden="1" ht="18" customHeight="1" s="506">
      <c r="A460" s="259" t="inlineStr">
        <is>
          <t>V</t>
        </is>
      </c>
      <c r="B460" s="224" t="inlineStr">
        <is>
          <t>Vacant</t>
        </is>
      </c>
      <c r="C460" s="317" t="inlineStr">
        <is>
          <t>Senior Engineer Data</t>
        </is>
      </c>
      <c r="D460" s="224" t="inlineStr">
        <is>
          <t>Vacant</t>
        </is>
      </c>
      <c r="E460" s="224" t="inlineStr">
        <is>
          <t>Technology Manger, Data</t>
        </is>
      </c>
      <c r="F460" s="224" t="inlineStr">
        <is>
          <t>TDD CFE&amp;I</t>
        </is>
      </c>
      <c r="G460" s="318" t="inlineStr">
        <is>
          <t>Fuel Infrastructure</t>
        </is>
      </c>
      <c r="H460" s="318" t="inlineStr">
        <is>
          <t>Fuel Infrastructure, Data</t>
        </is>
      </c>
      <c r="I460" s="318" t="inlineStr">
        <is>
          <t>Infrastructure</t>
        </is>
      </c>
      <c r="J460" s="224" t="inlineStr">
        <is>
          <t xml:space="preserve">Data &amp; Insights </t>
        </is>
      </c>
      <c r="K460" s="224" t="inlineStr">
        <is>
          <t xml:space="preserve">Data &amp; Insights </t>
        </is>
      </c>
      <c r="L460" s="318" t="n"/>
      <c r="M460" s="319" t="inlineStr">
        <is>
          <t>Australia</t>
        </is>
      </c>
      <c r="N460" s="320" t="inlineStr">
        <is>
          <t>CIB</t>
        </is>
      </c>
      <c r="O460" s="320" t="n">
        <v>1</v>
      </c>
      <c r="P460" s="320" t="n"/>
      <c r="Q460" s="320" t="inlineStr">
        <is>
          <t>v</t>
        </is>
      </c>
      <c r="R460" s="322" t="n"/>
      <c r="S460" s="322" t="n"/>
      <c r="T460" s="334" t="n">
        <v>151950</v>
      </c>
      <c r="U460" s="705" t="n">
        <v>151950</v>
      </c>
      <c r="V460" s="325" t="n">
        <v>0.12</v>
      </c>
      <c r="W460" s="702" t="n">
        <v>0.055</v>
      </c>
      <c r="X460" s="702" t="n">
        <v>0.12</v>
      </c>
      <c r="Y460" s="703" t="n"/>
      <c r="Z460" s="702" t="n">
        <v>0.04</v>
      </c>
      <c r="AA460" s="701">
        <f>U460*(1+V460+W460+X460+Y460+Z460)</f>
        <v>202853.25</v>
      </c>
      <c r="AC460" t="inlineStr">
        <is>
          <t>Infrastructure</t>
        </is>
      </c>
      <c r="AD460" t="inlineStr">
        <is>
          <t>Data &amp; Insights</t>
        </is>
      </c>
      <c r="AE460" t="inlineStr">
        <is>
          <t>Data &amp; Insights</t>
        </is>
      </c>
      <c r="AF460" t="inlineStr">
        <is>
          <t>Squad</t>
        </is>
      </c>
      <c r="AG460" t="inlineStr">
        <is>
          <t>Vacant</t>
        </is>
      </c>
    </row>
    <row r="461" hidden="1" ht="18" customHeight="1" s="506">
      <c r="A461" s="259" t="inlineStr">
        <is>
          <t>V</t>
        </is>
      </c>
      <c r="B461" s="224" t="inlineStr">
        <is>
          <t xml:space="preserve">Vacant </t>
        </is>
      </c>
      <c r="C461" s="317" t="inlineStr">
        <is>
          <t>Business Analyst</t>
        </is>
      </c>
      <c r="D461" s="318" t="inlineStr">
        <is>
          <t>Vacant</t>
        </is>
      </c>
      <c r="E461" s="224" t="inlineStr">
        <is>
          <t>Delivery Manager</t>
        </is>
      </c>
      <c r="F461" s="224" t="inlineStr">
        <is>
          <t>TDD CFE&amp;I</t>
        </is>
      </c>
      <c r="G461" s="318" t="inlineStr">
        <is>
          <t>B2B &amp; Energy Solutions</t>
        </is>
      </c>
      <c r="H461" s="318" t="inlineStr">
        <is>
          <t>Delivery</t>
        </is>
      </c>
      <c r="I461" s="318" t="inlineStr">
        <is>
          <t>B2B &amp; Energy Solutions</t>
        </is>
      </c>
      <c r="J461" s="224" t="inlineStr">
        <is>
          <t>B2B</t>
        </is>
      </c>
      <c r="K461" s="224" t="inlineStr">
        <is>
          <t>B2B</t>
        </is>
      </c>
      <c r="L461" s="318" t="n"/>
      <c r="M461" s="319" t="inlineStr">
        <is>
          <t>Australia</t>
        </is>
      </c>
      <c r="N461" s="320" t="inlineStr">
        <is>
          <t>CIB</t>
        </is>
      </c>
      <c r="O461" s="320" t="n">
        <v>1</v>
      </c>
      <c r="P461" s="320" t="n"/>
      <c r="Q461" s="320" t="inlineStr">
        <is>
          <t>V</t>
        </is>
      </c>
      <c r="R461" s="322" t="n"/>
      <c r="S461" s="322" t="n"/>
      <c r="T461" s="334" t="n">
        <v>151950</v>
      </c>
      <c r="U461" s="705" t="n">
        <v>151950</v>
      </c>
      <c r="V461" s="325" t="n">
        <v>0.12</v>
      </c>
      <c r="W461" s="702" t="n">
        <v>0.055</v>
      </c>
      <c r="X461" s="702" t="n">
        <v>0.12</v>
      </c>
      <c r="Y461" s="703" t="n"/>
      <c r="Z461" s="702" t="n">
        <v>0.04</v>
      </c>
      <c r="AA461" s="701">
        <f>U461*(1+V461+W461+X461+Y461+Z461)</f>
        <v>202853.25</v>
      </c>
      <c r="AC461" t="inlineStr">
        <is>
          <t>COE</t>
        </is>
      </c>
      <c r="AD461" t="inlineStr">
        <is>
          <t>COE - Strategy Architecture</t>
        </is>
      </c>
      <c r="AE461" t="inlineStr">
        <is>
          <t>COE - Strategy Architecture</t>
        </is>
      </c>
      <c r="AF461" t="inlineStr">
        <is>
          <t>COE</t>
        </is>
      </c>
      <c r="AG461" t="inlineStr">
        <is>
          <t>Vacant</t>
        </is>
      </c>
    </row>
    <row r="462" hidden="1" ht="18" customHeight="1" s="506">
      <c r="A462" s="259" t="inlineStr">
        <is>
          <t>V</t>
        </is>
      </c>
      <c r="B462" s="224" t="inlineStr">
        <is>
          <t xml:space="preserve">Vacant </t>
        </is>
      </c>
      <c r="C462" s="317" t="inlineStr">
        <is>
          <t>Business Analyst</t>
        </is>
      </c>
      <c r="D462" s="318" t="inlineStr">
        <is>
          <t>Vacant</t>
        </is>
      </c>
      <c r="E462" s="224" t="inlineStr">
        <is>
          <t>Delivery Manager</t>
        </is>
      </c>
      <c r="F462" s="224" t="inlineStr">
        <is>
          <t>TDD CFE&amp;I</t>
        </is>
      </c>
      <c r="G462" s="318" t="inlineStr">
        <is>
          <t>B2B &amp; Energy Solutions</t>
        </is>
      </c>
      <c r="H462" s="318" t="inlineStr">
        <is>
          <t>Delivery</t>
        </is>
      </c>
      <c r="I462" s="318" t="inlineStr">
        <is>
          <t>B2B &amp; Energy Solutions</t>
        </is>
      </c>
      <c r="J462" s="318" t="inlineStr">
        <is>
          <t>Energy Solutions</t>
        </is>
      </c>
      <c r="K462" s="224" t="inlineStr">
        <is>
          <t>Energy</t>
        </is>
      </c>
      <c r="L462" s="318" t="n"/>
      <c r="M462" s="319" t="inlineStr">
        <is>
          <t>Australia</t>
        </is>
      </c>
      <c r="N462" s="320" t="inlineStr">
        <is>
          <t>CIB</t>
        </is>
      </c>
      <c r="O462" s="320" t="n">
        <v>1</v>
      </c>
      <c r="P462" s="320" t="n"/>
      <c r="Q462" s="320" t="inlineStr">
        <is>
          <t>V</t>
        </is>
      </c>
      <c r="R462" s="322" t="n"/>
      <c r="S462" s="322" t="n"/>
      <c r="T462" s="334" t="n">
        <v>151950</v>
      </c>
      <c r="U462" s="705" t="n">
        <v>151950</v>
      </c>
      <c r="V462" s="325" t="n">
        <v>0.12</v>
      </c>
      <c r="W462" s="702" t="n">
        <v>0.055</v>
      </c>
      <c r="X462" s="702" t="n">
        <v>0.12</v>
      </c>
      <c r="Y462" s="703" t="n"/>
      <c r="Z462" s="702" t="n">
        <v>0.04</v>
      </c>
      <c r="AA462" s="701">
        <f>U462*(1+V462+W462+X462+Y462+Z462)</f>
        <v>202853.25</v>
      </c>
      <c r="AC462" t="inlineStr">
        <is>
          <t>COE</t>
        </is>
      </c>
      <c r="AD462" t="inlineStr">
        <is>
          <t>COE - Strategy Architecture</t>
        </is>
      </c>
      <c r="AE462" t="inlineStr">
        <is>
          <t>COE - Strategy Architecture</t>
        </is>
      </c>
      <c r="AF462" t="inlineStr">
        <is>
          <t>COE</t>
        </is>
      </c>
      <c r="AG462" t="inlineStr">
        <is>
          <t>Vacant</t>
        </is>
      </c>
    </row>
    <row r="463" hidden="1" ht="18" customHeight="1" s="506">
      <c r="A463" s="259" t="inlineStr">
        <is>
          <t>V</t>
        </is>
      </c>
      <c r="B463" s="224" t="inlineStr">
        <is>
          <t xml:space="preserve">Vacant </t>
        </is>
      </c>
      <c r="C463" s="317" t="inlineStr">
        <is>
          <t>Engineer Software</t>
        </is>
      </c>
      <c r="D463" s="318" t="inlineStr">
        <is>
          <t>Vacant</t>
        </is>
      </c>
      <c r="E463" s="224" t="inlineStr">
        <is>
          <t>Technology Manager, Engineering</t>
        </is>
      </c>
      <c r="F463" s="224" t="inlineStr">
        <is>
          <t>TDD CFE&amp;I</t>
        </is>
      </c>
      <c r="G463" s="318" t="inlineStr">
        <is>
          <t>Commercial Fuels</t>
        </is>
      </c>
      <c r="H463" s="328" t="inlineStr">
        <is>
          <t>Technology, CF Engineering</t>
        </is>
      </c>
      <c r="I463" s="318" t="inlineStr">
        <is>
          <t>Commercial Fuels</t>
        </is>
      </c>
      <c r="J463" s="318" t="inlineStr">
        <is>
          <t>Supply</t>
        </is>
      </c>
      <c r="K463" s="224" t="inlineStr">
        <is>
          <t>Supply</t>
        </is>
      </c>
      <c r="L463" s="318" t="n"/>
      <c r="M463" s="319" t="inlineStr">
        <is>
          <t>Australia</t>
        </is>
      </c>
      <c r="N463" s="320" t="inlineStr">
        <is>
          <t>CIB</t>
        </is>
      </c>
      <c r="O463" s="320" t="n">
        <v>1</v>
      </c>
      <c r="P463" s="320" t="n"/>
      <c r="Q463" s="320" t="inlineStr">
        <is>
          <t>V</t>
        </is>
      </c>
      <c r="R463" s="322" t="n"/>
      <c r="S463" s="322" t="n"/>
      <c r="T463" s="334" t="n">
        <v>151950</v>
      </c>
      <c r="U463" s="705" t="n">
        <v>151950</v>
      </c>
      <c r="V463" s="325" t="n">
        <v>0.12</v>
      </c>
      <c r="W463" s="702" t="n">
        <v>0.055</v>
      </c>
      <c r="X463" s="702" t="n">
        <v>0.12</v>
      </c>
      <c r="Y463" s="703" t="n"/>
      <c r="Z463" s="702" t="n">
        <v>0.04</v>
      </c>
      <c r="AA463" s="701">
        <f>U463*(1+V463+W463+X463+Y463+Z463)</f>
        <v>202853.25</v>
      </c>
      <c r="AC463" t="inlineStr">
        <is>
          <t>Commercial Fuels</t>
        </is>
      </c>
      <c r="AD463" t="inlineStr">
        <is>
          <t>Supply</t>
        </is>
      </c>
      <c r="AE463" t="inlineStr">
        <is>
          <t>Supply</t>
        </is>
      </c>
      <c r="AF463" t="inlineStr">
        <is>
          <t>Squad</t>
        </is>
      </c>
      <c r="AG463" t="inlineStr">
        <is>
          <t>Vacant</t>
        </is>
      </c>
    </row>
    <row r="464" hidden="1" ht="18" customHeight="1" s="506">
      <c r="A464" s="259" t="inlineStr">
        <is>
          <t>V</t>
        </is>
      </c>
      <c r="B464" s="224" t="inlineStr">
        <is>
          <t>Vacant (anaplan)</t>
        </is>
      </c>
      <c r="C464" s="317" t="inlineStr">
        <is>
          <t>System Specialist</t>
        </is>
      </c>
      <c r="D464" s="224" t="inlineStr">
        <is>
          <t>Allan Francia</t>
        </is>
      </c>
      <c r="E464" s="224" t="inlineStr">
        <is>
          <t>Technology Manager, T&amp;S</t>
        </is>
      </c>
      <c r="F464" s="224" t="inlineStr">
        <is>
          <t>TDD CFE&amp;I</t>
        </is>
      </c>
      <c r="G464" s="318" t="inlineStr">
        <is>
          <t>Commercial Fuels</t>
        </is>
      </c>
      <c r="H464" s="318" t="inlineStr">
        <is>
          <t>Technology, Trading &amp; Shipping</t>
        </is>
      </c>
      <c r="I464" s="318" t="inlineStr">
        <is>
          <t>Commercial Fuels</t>
        </is>
      </c>
      <c r="J464" s="318" t="inlineStr">
        <is>
          <t>Supply</t>
        </is>
      </c>
      <c r="K464" s="224" t="inlineStr">
        <is>
          <t>Supply</t>
        </is>
      </c>
      <c r="L464" s="318" t="n"/>
      <c r="M464" s="319" t="inlineStr">
        <is>
          <t>Australia</t>
        </is>
      </c>
      <c r="N464" s="322" t="inlineStr">
        <is>
          <t>CIB</t>
        </is>
      </c>
      <c r="O464" s="320" t="n">
        <v>1</v>
      </c>
      <c r="P464" s="322" t="n"/>
      <c r="Q464" s="320" t="inlineStr">
        <is>
          <t>v</t>
        </is>
      </c>
      <c r="R464" s="322" t="n"/>
      <c r="S464" s="322" t="n"/>
      <c r="T464" s="334" t="n">
        <v>151950</v>
      </c>
      <c r="U464" s="705" t="n">
        <v>151950</v>
      </c>
      <c r="V464" s="325" t="n">
        <v>0.12</v>
      </c>
      <c r="W464" s="702" t="n">
        <v>0.055</v>
      </c>
      <c r="X464" s="702" t="n">
        <v>0.12</v>
      </c>
      <c r="Y464" s="703" t="n"/>
      <c r="Z464" s="702" t="n">
        <v>0.04</v>
      </c>
      <c r="AA464" s="701">
        <f>U464*(1+V464+W464+X464+Y464+Z464)</f>
        <v>202853.25</v>
      </c>
      <c r="AC464" t="inlineStr">
        <is>
          <t>Commercial Fuels</t>
        </is>
      </c>
      <c r="AD464" t="inlineStr">
        <is>
          <t>Supply</t>
        </is>
      </c>
      <c r="AE464" t="inlineStr">
        <is>
          <t>Supply</t>
        </is>
      </c>
      <c r="AF464" t="inlineStr">
        <is>
          <t>Squad</t>
        </is>
      </c>
      <c r="AG464" t="inlineStr">
        <is>
          <t>Filled</t>
        </is>
      </c>
    </row>
    <row r="465" hidden="1" ht="18" customHeight="1" s="506">
      <c r="A465" s="259" t="n">
        <v>106791</v>
      </c>
      <c r="B465" s="224" t="inlineStr">
        <is>
          <t>Victor Beuk</t>
        </is>
      </c>
      <c r="C465" s="317" t="inlineStr">
        <is>
          <t>Delivery Lead</t>
        </is>
      </c>
      <c r="D465" s="318" t="inlineStr">
        <is>
          <t>Vacant</t>
        </is>
      </c>
      <c r="E465" s="224" t="inlineStr">
        <is>
          <t>Delivery Manager</t>
        </is>
      </c>
      <c r="F465" s="224" t="inlineStr">
        <is>
          <t>TDD CFE&amp;I</t>
        </is>
      </c>
      <c r="G465" s="318" t="inlineStr">
        <is>
          <t>B2B &amp; Energy Solutions</t>
        </is>
      </c>
      <c r="H465" s="318" t="inlineStr">
        <is>
          <t>Delivery</t>
        </is>
      </c>
      <c r="I465" s="318" t="inlineStr">
        <is>
          <t>RETAIL</t>
        </is>
      </c>
      <c r="J465" s="318" t="inlineStr">
        <is>
          <t>AMPOS</t>
        </is>
      </c>
      <c r="K465" s="224" t="inlineStr">
        <is>
          <t>AmPos</t>
        </is>
      </c>
      <c r="L465" s="318" t="n"/>
      <c r="M465" s="319" t="inlineStr">
        <is>
          <t>Australia</t>
        </is>
      </c>
      <c r="N465" s="320" t="inlineStr">
        <is>
          <t>CIC</t>
        </is>
      </c>
      <c r="O465" s="320" t="n">
        <v>1</v>
      </c>
      <c r="P465" s="320" t="n"/>
      <c r="Q465" s="320" t="inlineStr">
        <is>
          <t>Permanent - Full Time</t>
        </is>
      </c>
      <c r="R465" s="322" t="n"/>
      <c r="S465" s="322" t="n"/>
      <c r="T465" s="334" t="n">
        <v>185360</v>
      </c>
      <c r="U465" s="705" t="n">
        <v>185360</v>
      </c>
      <c r="V465" s="325" t="n">
        <v>0.12</v>
      </c>
      <c r="W465" s="702" t="n">
        <v>0.055</v>
      </c>
      <c r="X465" s="702" t="n">
        <v>0.12</v>
      </c>
      <c r="Y465" s="703" t="n"/>
      <c r="Z465" s="702" t="n">
        <v>0.04</v>
      </c>
      <c r="AA465" s="701">
        <f>U465*(1+V465+W465+X465+Y465+Z465)</f>
        <v>247455.6</v>
      </c>
      <c r="AC465" t="inlineStr">
        <is>
          <t>Ampol Retail</t>
        </is>
      </c>
      <c r="AD465" t="inlineStr">
        <is>
          <t>AmPOS</t>
        </is>
      </c>
      <c r="AE465" t="inlineStr">
        <is>
          <t>AmPOS</t>
        </is>
      </c>
      <c r="AF465" t="inlineStr">
        <is>
          <t>Strategic Program</t>
        </is>
      </c>
      <c r="AG465" t="inlineStr">
        <is>
          <t>Filled</t>
        </is>
      </c>
    </row>
    <row r="466" hidden="1" ht="18" customHeight="1" s="506">
      <c r="A466" s="259" t="n">
        <v>98087</v>
      </c>
      <c r="B466" s="224" t="inlineStr">
        <is>
          <t>Victor Olasanoye</t>
        </is>
      </c>
      <c r="C466" s="317" t="inlineStr">
        <is>
          <t>Senior Systems Analyst</t>
        </is>
      </c>
      <c r="D466" s="224" t="inlineStr">
        <is>
          <t>Jaya Ganasan</t>
        </is>
      </c>
      <c r="E466" s="224" t="inlineStr">
        <is>
          <t>Technology Manager, TDD Refinery</t>
        </is>
      </c>
      <c r="F466" s="224" t="inlineStr">
        <is>
          <t>TDD CFE&amp;I</t>
        </is>
      </c>
      <c r="G466" s="318" t="inlineStr">
        <is>
          <t>Fuel Infrastructure</t>
        </is>
      </c>
      <c r="H466" s="318" t="inlineStr">
        <is>
          <t>Refinery Applications</t>
        </is>
      </c>
      <c r="I466" s="318" t="inlineStr">
        <is>
          <t>Infrastructure</t>
        </is>
      </c>
      <c r="J466" s="318" t="inlineStr">
        <is>
          <t>Manufacturing</t>
        </is>
      </c>
      <c r="K466" s="224" t="inlineStr">
        <is>
          <t>Manufacturing Group Projects</t>
        </is>
      </c>
      <c r="L466" s="318" t="n"/>
      <c r="M466" s="319" t="inlineStr">
        <is>
          <t>Australia</t>
        </is>
      </c>
      <c r="N466" s="320" t="inlineStr">
        <is>
          <t>CIB</t>
        </is>
      </c>
      <c r="O466" s="320" t="n">
        <v>1</v>
      </c>
      <c r="P466" s="320" t="n"/>
      <c r="Q466" s="320" t="inlineStr">
        <is>
          <t>Permanent - Full Time</t>
        </is>
      </c>
      <c r="R466" s="322" t="n"/>
      <c r="S466" s="322" t="n"/>
      <c r="T466" s="334" t="n">
        <v>159820</v>
      </c>
      <c r="U466" s="705" t="n">
        <v>159820</v>
      </c>
      <c r="V466" s="325" t="n">
        <v>0.12</v>
      </c>
      <c r="W466" s="702" t="n">
        <v>0.055</v>
      </c>
      <c r="X466" s="702" t="n">
        <v>0.12</v>
      </c>
      <c r="Y466" s="703" t="n"/>
      <c r="Z466" s="702" t="n">
        <v>0.04</v>
      </c>
      <c r="AA466" s="701">
        <f>U466*(1+V466+W466+X466+Y466+Z466)</f>
        <v>213359.69999999998</v>
      </c>
      <c r="AC466" t="inlineStr">
        <is>
          <t>Infrastructure</t>
        </is>
      </c>
      <c r="AD466" t="inlineStr">
        <is>
          <t>Manufacturing</t>
        </is>
      </c>
      <c r="AE466" t="inlineStr">
        <is>
          <t>Manufacturing &amp; Group Projects</t>
        </is>
      </c>
      <c r="AF466" t="inlineStr">
        <is>
          <t>Squad</t>
        </is>
      </c>
      <c r="AG466" t="inlineStr">
        <is>
          <t>Filled</t>
        </is>
      </c>
    </row>
    <row r="467" hidden="1" ht="18" customHeight="1" s="506">
      <c r="A467" s="259" t="n">
        <v>96270</v>
      </c>
      <c r="B467" s="224" t="inlineStr">
        <is>
          <t>Zhan Liu</t>
        </is>
      </c>
      <c r="C467" s="317" t="inlineStr">
        <is>
          <t>Engineer Applications</t>
        </is>
      </c>
      <c r="D467" s="224" t="inlineStr">
        <is>
          <t>Allan Francia</t>
        </is>
      </c>
      <c r="E467" s="224" t="inlineStr">
        <is>
          <t>Technology Manager, T&amp;S</t>
        </is>
      </c>
      <c r="F467" s="224" t="inlineStr">
        <is>
          <t>TDD CFE&amp;I</t>
        </is>
      </c>
      <c r="G467" s="318" t="inlineStr">
        <is>
          <t>Commercial Fuels</t>
        </is>
      </c>
      <c r="H467" s="318" t="inlineStr">
        <is>
          <t>Technology, Trading &amp; Shipping</t>
        </is>
      </c>
      <c r="I467" s="318" t="inlineStr">
        <is>
          <t>Commercial Fuels</t>
        </is>
      </c>
      <c r="J467" s="224" t="inlineStr">
        <is>
          <t>CTRM</t>
        </is>
      </c>
      <c r="K467" s="224" t="inlineStr">
        <is>
          <t>CTRM</t>
        </is>
      </c>
      <c r="L467" s="318" t="n"/>
      <c r="M467" s="319" t="inlineStr">
        <is>
          <t>Australia</t>
        </is>
      </c>
      <c r="N467" s="320" t="inlineStr">
        <is>
          <t>CIC</t>
        </is>
      </c>
      <c r="O467" s="320" t="n">
        <v>1</v>
      </c>
      <c r="P467" s="320" t="n"/>
      <c r="Q467" s="320" t="inlineStr">
        <is>
          <t>Permanent - Full Time</t>
        </is>
      </c>
      <c r="R467" s="322" t="n"/>
      <c r="S467" s="322" t="n"/>
      <c r="T467" s="334" t="n">
        <v>165730</v>
      </c>
      <c r="U467" s="705" t="n">
        <v>165730</v>
      </c>
      <c r="V467" s="325" t="n">
        <v>0.12</v>
      </c>
      <c r="W467" s="702" t="n">
        <v>0.055</v>
      </c>
      <c r="X467" s="702" t="n">
        <v>0.12</v>
      </c>
      <c r="Y467" s="703" t="n"/>
      <c r="Z467" s="702" t="n">
        <v>0.04</v>
      </c>
      <c r="AA467" s="701">
        <f>U467*(1+V467+W467+X467+Y467+Z467)</f>
        <v>221249.55</v>
      </c>
      <c r="AC467" t="inlineStr">
        <is>
          <t>Commercial Fuels</t>
        </is>
      </c>
      <c r="AD467" t="inlineStr">
        <is>
          <t>CTRM</t>
        </is>
      </c>
      <c r="AE467" t="inlineStr">
        <is>
          <t>CTRM</t>
        </is>
      </c>
      <c r="AF467" t="inlineStr">
        <is>
          <t>Strategic Program</t>
        </is>
      </c>
      <c r="AG467" t="inlineStr">
        <is>
          <t>Filled</t>
        </is>
      </c>
    </row>
    <row r="468" hidden="1" ht="18" customHeight="1" s="506">
      <c r="A468" s="259" t="inlineStr">
        <is>
          <t>c</t>
        </is>
      </c>
      <c r="B468" s="224" t="inlineStr">
        <is>
          <t>Zijie Zhang</t>
        </is>
      </c>
      <c r="C468" s="317" t="inlineStr">
        <is>
          <t>Senior Data Analyst</t>
        </is>
      </c>
      <c r="D468" s="318" t="inlineStr">
        <is>
          <t>Vacant</t>
        </is>
      </c>
      <c r="E468" s="224" t="inlineStr">
        <is>
          <t>Technology Manager, Data</t>
        </is>
      </c>
      <c r="F468" s="224" t="inlineStr">
        <is>
          <t>TDD CFE&amp;I</t>
        </is>
      </c>
      <c r="G468" s="318" t="inlineStr">
        <is>
          <t>Commercial Fuels</t>
        </is>
      </c>
      <c r="H468" s="318" t="inlineStr">
        <is>
          <t>Technology, T&amp;S Data</t>
        </is>
      </c>
      <c r="I468" s="318" t="inlineStr">
        <is>
          <t>Commercial Fuels</t>
        </is>
      </c>
      <c r="J468" s="318" t="inlineStr">
        <is>
          <t>Trading &amp; Shipping</t>
        </is>
      </c>
      <c r="K468" s="318" t="inlineStr">
        <is>
          <t>Trading &amp; Shipping Data</t>
        </is>
      </c>
      <c r="L468" s="318" t="n"/>
      <c r="M468" s="319" t="inlineStr">
        <is>
          <t>Singapore</t>
        </is>
      </c>
      <c r="N468" s="322" t="n">
        <v>0</v>
      </c>
      <c r="O468" s="322" t="n">
        <v>1</v>
      </c>
      <c r="P468" s="322" t="n"/>
      <c r="Q468" s="322" t="inlineStr">
        <is>
          <t>cant find this person</t>
        </is>
      </c>
      <c r="R468" s="331" t="inlineStr">
        <is>
          <t>Daily</t>
        </is>
      </c>
      <c r="S468" s="349" t="n">
        <v>1200</v>
      </c>
      <c r="T468" s="334" t="n">
        <v>0</v>
      </c>
      <c r="U468" s="334" t="n"/>
      <c r="V468" s="318" t="n"/>
      <c r="W468" s="318" t="n"/>
      <c r="X468" s="318" t="n"/>
      <c r="Y468" s="318" t="n"/>
      <c r="Z468" s="318" t="n"/>
      <c r="AA468" s="704">
        <f>S468*222</f>
        <v>266400.0</v>
      </c>
      <c r="AC468" t="inlineStr">
        <is>
          <t>Commercial Fuels</t>
        </is>
      </c>
      <c r="AD468" t="inlineStr">
        <is>
          <t>Trading &amp; Shipping</t>
        </is>
      </c>
      <c r="AE468" t="inlineStr">
        <is>
          <t>Trading &amp; Shipping Data</t>
        </is>
      </c>
      <c r="AF468" t="inlineStr">
        <is>
          <t>Squad</t>
        </is>
      </c>
      <c r="AG468" t="inlineStr">
        <is>
          <t>Filled</t>
        </is>
      </c>
    </row>
    <row r="469" hidden="1" ht="18" customHeight="1" s="506">
      <c r="A469" s="259" t="n">
        <v>109092</v>
      </c>
      <c r="B469" s="224" t="inlineStr">
        <is>
          <t>Anjali Patra</t>
        </is>
      </c>
      <c r="C469" s="317" t="inlineStr">
        <is>
          <t>Delivery Lead - EGI</t>
        </is>
      </c>
      <c r="D469" s="318" t="inlineStr">
        <is>
          <t>Vacant</t>
        </is>
      </c>
      <c r="E469" s="335" t="inlineStr">
        <is>
          <t xml:space="preserve">Delivery Manager </t>
        </is>
      </c>
      <c r="F469" s="224" t="inlineStr">
        <is>
          <t>TDD Group Functions</t>
        </is>
      </c>
      <c r="G469" s="318" t="inlineStr">
        <is>
          <t>TDD &amp; Engineering</t>
        </is>
      </c>
      <c r="H469" s="224" t="inlineStr">
        <is>
          <t>Delivery, TDD &amp; Engineering</t>
        </is>
      </c>
      <c r="I469" s="224" t="inlineStr">
        <is>
          <t>EGI</t>
        </is>
      </c>
      <c r="J469" s="318" t="inlineStr">
        <is>
          <t>EGI</t>
        </is>
      </c>
      <c r="K469" s="318" t="inlineStr">
        <is>
          <t>EGI TDD</t>
        </is>
      </c>
      <c r="L469" s="318" t="n"/>
      <c r="M469" s="319" t="inlineStr">
        <is>
          <t>Australia</t>
        </is>
      </c>
      <c r="N469" s="320" t="inlineStr">
        <is>
          <t>CIB</t>
        </is>
      </c>
      <c r="O469" s="320" t="n">
        <v>1</v>
      </c>
      <c r="P469" s="320" t="n"/>
      <c r="Q469" s="320" t="inlineStr">
        <is>
          <t>Permanent - Full Time</t>
        </is>
      </c>
      <c r="R469" s="322" t="n"/>
      <c r="S469" s="322" t="n"/>
      <c r="T469" s="334" t="n">
        <v>158050</v>
      </c>
      <c r="U469" s="705" t="n">
        <v>158050</v>
      </c>
      <c r="V469" s="325" t="n">
        <v>0.12</v>
      </c>
      <c r="W469" s="702" t="n">
        <v>0.055</v>
      </c>
      <c r="X469" s="702" t="n">
        <v>0.12</v>
      </c>
      <c r="Y469" s="703" t="n"/>
      <c r="Z469" s="702" t="n">
        <v>0.04</v>
      </c>
      <c r="AA469" s="701">
        <f>U469*(1+V469+W469+X469+Y469+Z469)</f>
        <v>210996.75</v>
      </c>
      <c r="AC469" t="inlineStr">
        <is>
          <t>TDD Group Functions</t>
        </is>
      </c>
      <c r="AD469" t="inlineStr">
        <is>
          <t>EGI TDD</t>
        </is>
      </c>
      <c r="AE469" t="inlineStr">
        <is>
          <t>EGI TDD</t>
        </is>
      </c>
      <c r="AF469" t="inlineStr">
        <is>
          <t>Strategic Program</t>
        </is>
      </c>
      <c r="AG469" t="inlineStr">
        <is>
          <t>Filled</t>
        </is>
      </c>
    </row>
    <row r="470" hidden="1" ht="18" customHeight="1" s="506">
      <c r="A470" s="259" t="n">
        <v>114573</v>
      </c>
      <c r="B470" s="335" t="inlineStr">
        <is>
          <t>Archana Chetiwal</t>
        </is>
      </c>
      <c r="C470" s="403" t="inlineStr">
        <is>
          <t>Snr Engineer</t>
        </is>
      </c>
      <c r="D470" s="318" t="inlineStr">
        <is>
          <t>Vacant</t>
        </is>
      </c>
      <c r="E470" s="335" t="inlineStr">
        <is>
          <t>RPA Lead</t>
        </is>
      </c>
      <c r="F470" s="224" t="inlineStr">
        <is>
          <t>TDD Group Functions</t>
        </is>
      </c>
      <c r="G470" s="318" t="inlineStr">
        <is>
          <t xml:space="preserve">TDD &amp; Engineering </t>
        </is>
      </c>
      <c r="H470" s="318" t="inlineStr">
        <is>
          <t>Integration &amp; Process automation</t>
        </is>
      </c>
      <c r="I470" s="224" t="inlineStr">
        <is>
          <t>TDD</t>
        </is>
      </c>
      <c r="J470" s="318" t="inlineStr">
        <is>
          <t>TDD</t>
        </is>
      </c>
      <c r="K470" s="318" t="inlineStr">
        <is>
          <t>Integration &amp; Process automation</t>
        </is>
      </c>
      <c r="L470" s="318" t="n"/>
      <c r="M470" s="319" t="inlineStr">
        <is>
          <t>Australia</t>
        </is>
      </c>
      <c r="N470" s="320" t="inlineStr">
        <is>
          <t>CIB</t>
        </is>
      </c>
      <c r="O470" s="320" t="n">
        <v>1</v>
      </c>
      <c r="P470" s="320" t="n"/>
      <c r="Q470" s="320" t="inlineStr">
        <is>
          <t>Permanent - Full Time</t>
        </is>
      </c>
      <c r="R470" s="322" t="n"/>
      <c r="S470" s="322" t="n"/>
      <c r="T470" s="334" t="n">
        <v>140000</v>
      </c>
      <c r="U470" s="705" t="n">
        <v>140000</v>
      </c>
      <c r="V470" s="325" t="n">
        <v>0.12</v>
      </c>
      <c r="W470" s="702" t="n">
        <v>0.055</v>
      </c>
      <c r="X470" s="702" t="n">
        <v>0.12</v>
      </c>
      <c r="Y470" s="703" t="n"/>
      <c r="Z470" s="702" t="n">
        <v>0.04</v>
      </c>
      <c r="AA470" s="701">
        <f>U470*(1+V470+W470+X470+Y470+Z470)</f>
        <v>186900.0</v>
      </c>
      <c r="AC470" t="inlineStr">
        <is>
          <t>TDD Group Functions</t>
        </is>
      </c>
      <c r="AD470" t="inlineStr">
        <is>
          <t>TDD Group Functions</t>
        </is>
      </c>
      <c r="AE470" t="inlineStr">
        <is>
          <t>Integration</t>
        </is>
      </c>
      <c r="AF470" t="inlineStr">
        <is>
          <t>Squad</t>
        </is>
      </c>
      <c r="AG470" t="inlineStr">
        <is>
          <t>Filled</t>
        </is>
      </c>
    </row>
    <row r="471" hidden="1" ht="18" customHeight="1" s="506">
      <c r="A471" s="259" t="inlineStr">
        <is>
          <t>C</t>
        </is>
      </c>
      <c r="B471" s="367" t="inlineStr">
        <is>
          <t>Arun Tahlan</t>
        </is>
      </c>
      <c r="C471" s="403" t="inlineStr">
        <is>
          <t>Integration Architect (C) - Boomi</t>
        </is>
      </c>
      <c r="D471" s="224" t="inlineStr">
        <is>
          <t>Mike Seales</t>
        </is>
      </c>
      <c r="E471" s="224" t="inlineStr">
        <is>
          <t>Technology Manager Integration &amp; Process Managemetn</t>
        </is>
      </c>
      <c r="F471" s="224" t="inlineStr">
        <is>
          <t>TDD Group Functions</t>
        </is>
      </c>
      <c r="G471" s="318" t="inlineStr">
        <is>
          <t xml:space="preserve">TDD &amp; Engineering </t>
        </is>
      </c>
      <c r="H471" s="224" t="inlineStr">
        <is>
          <t>Integration &amp; Process Management</t>
        </is>
      </c>
      <c r="I471" s="224" t="inlineStr">
        <is>
          <t>EGI</t>
        </is>
      </c>
      <c r="J471" s="318" t="inlineStr">
        <is>
          <t>EGI</t>
        </is>
      </c>
      <c r="K471" s="318" t="inlineStr">
        <is>
          <t>EGI TDD</t>
        </is>
      </c>
      <c r="L471" s="318" t="n"/>
      <c r="M471" s="319" t="inlineStr">
        <is>
          <t>Australia</t>
        </is>
      </c>
      <c r="N471" s="322" t="inlineStr">
        <is>
          <t>NA</t>
        </is>
      </c>
      <c r="O471" s="320" t="n">
        <v>1</v>
      </c>
      <c r="P471" s="322" t="n"/>
      <c r="Q471" s="322" t="inlineStr">
        <is>
          <t>cxc</t>
        </is>
      </c>
      <c r="R471" s="331" t="inlineStr">
        <is>
          <t>Daily</t>
        </is>
      </c>
      <c r="S471" s="322" t="n">
        <v>1568</v>
      </c>
      <c r="T471" s="334" t="n">
        <v>0</v>
      </c>
      <c r="U471" s="334" t="n"/>
      <c r="V471" s="318" t="n"/>
      <c r="W471" s="318" t="n"/>
      <c r="X471" s="318" t="n"/>
      <c r="Y471" s="318" t="n"/>
      <c r="Z471" s="318" t="n"/>
      <c r="AA471" s="704">
        <f>S471*222</f>
        <v>348096.0</v>
      </c>
      <c r="AC471" t="inlineStr">
        <is>
          <t>TDD Group Functions</t>
        </is>
      </c>
      <c r="AD471" t="inlineStr">
        <is>
          <t>EGI TDD</t>
        </is>
      </c>
      <c r="AE471" t="inlineStr">
        <is>
          <t>EGI TDD</t>
        </is>
      </c>
      <c r="AF471" t="inlineStr">
        <is>
          <t>Strategic Program</t>
        </is>
      </c>
      <c r="AG471" t="inlineStr">
        <is>
          <t>Filled</t>
        </is>
      </c>
    </row>
    <row r="472" hidden="1" ht="18" customHeight="1" s="506">
      <c r="A472" s="259" t="n">
        <v>91635</v>
      </c>
      <c r="B472" s="224" t="inlineStr">
        <is>
          <t>Bala Thiruvadi</t>
        </is>
      </c>
      <c r="C472" s="317" t="inlineStr">
        <is>
          <t>Integration Architect - Boomi</t>
        </is>
      </c>
      <c r="D472" s="224" t="inlineStr">
        <is>
          <t>Mike Seales</t>
        </is>
      </c>
      <c r="E472" s="224" t="inlineStr">
        <is>
          <t>Technology Manager Integration &amp; Process Managemetn</t>
        </is>
      </c>
      <c r="F472" s="224" t="inlineStr">
        <is>
          <t>TDD Group Functions</t>
        </is>
      </c>
      <c r="G472" s="318" t="inlineStr">
        <is>
          <t xml:space="preserve">TDD &amp; Engineering </t>
        </is>
      </c>
      <c r="H472" s="224" t="inlineStr">
        <is>
          <t>Integration &amp; Process Management</t>
        </is>
      </c>
      <c r="I472" s="224" t="inlineStr">
        <is>
          <t>TDD</t>
        </is>
      </c>
      <c r="J472" s="318" t="inlineStr">
        <is>
          <t>TDD</t>
        </is>
      </c>
      <c r="K472" s="318" t="inlineStr">
        <is>
          <t>Integration &amp; Process automation</t>
        </is>
      </c>
      <c r="L472" s="318" t="n"/>
      <c r="M472" s="319" t="inlineStr">
        <is>
          <t>Australia</t>
        </is>
      </c>
      <c r="N472" s="320" t="inlineStr">
        <is>
          <t>CIC</t>
        </is>
      </c>
      <c r="O472" s="320" t="n">
        <v>1</v>
      </c>
      <c r="P472" s="320" t="n"/>
      <c r="Q472" s="320" t="inlineStr">
        <is>
          <t>Permanent - Full Time</t>
        </is>
      </c>
      <c r="R472" s="322" t="n"/>
      <c r="S472" s="322" t="n"/>
      <c r="T472" s="334" t="n">
        <v>203672</v>
      </c>
      <c r="U472" s="705" t="n">
        <v>203672</v>
      </c>
      <c r="V472" s="325" t="n">
        <v>0.12</v>
      </c>
      <c r="W472" s="702" t="n">
        <v>0.055</v>
      </c>
      <c r="X472" s="702" t="n">
        <v>0.12</v>
      </c>
      <c r="Y472" s="703" t="n"/>
      <c r="Z472" s="702" t="n">
        <v>0.04</v>
      </c>
      <c r="AA472" s="701">
        <f>U472*(1+V472+W472+X472+Y472+Z472)</f>
        <v>271902.12</v>
      </c>
      <c r="AC472" t="inlineStr">
        <is>
          <t>TDD Group Functions</t>
        </is>
      </c>
      <c r="AD472" t="inlineStr">
        <is>
          <t>TDD Group Functions</t>
        </is>
      </c>
      <c r="AE472" t="inlineStr">
        <is>
          <t>Integration</t>
        </is>
      </c>
      <c r="AF472" t="inlineStr">
        <is>
          <t>Squad</t>
        </is>
      </c>
      <c r="AG472" t="inlineStr">
        <is>
          <t>Filled</t>
        </is>
      </c>
    </row>
    <row r="473" hidden="1" ht="18" customHeight="1" s="506">
      <c r="A473" s="259" t="n">
        <v>99999101229</v>
      </c>
      <c r="B473" s="224" t="inlineStr">
        <is>
          <t>Billie Connolly</t>
        </is>
      </c>
      <c r="C473" s="317" t="inlineStr">
        <is>
          <t>Engineer - Modern Workplaces</t>
        </is>
      </c>
      <c r="D473" s="318" t="inlineStr">
        <is>
          <t>Vacant</t>
        </is>
      </c>
      <c r="E473" s="224" t="inlineStr">
        <is>
          <t>Technology Manager, Enterprise Tooling</t>
        </is>
      </c>
      <c r="F473" s="224" t="inlineStr">
        <is>
          <t>TDD Group Functions</t>
        </is>
      </c>
      <c r="G473" s="318" t="inlineStr">
        <is>
          <t xml:space="preserve">TDD &amp; Engineering </t>
        </is>
      </c>
      <c r="H473" s="224" t="inlineStr">
        <is>
          <t>Workplace &amp; Enterprise Tooling</t>
        </is>
      </c>
      <c r="I473" s="224" t="inlineStr">
        <is>
          <t>TDD</t>
        </is>
      </c>
      <c r="J473" s="318" t="inlineStr">
        <is>
          <t>TDD</t>
        </is>
      </c>
      <c r="K473" s="318" t="inlineStr">
        <is>
          <t>Workplace &amp; Enterprise Tooling</t>
        </is>
      </c>
      <c r="L473" s="318" t="n"/>
      <c r="M473" s="319" t="inlineStr">
        <is>
          <t>NZ</t>
        </is>
      </c>
      <c r="N473" s="320" t="inlineStr">
        <is>
          <t>CIA</t>
        </is>
      </c>
      <c r="O473" s="321" t="n">
        <v>1</v>
      </c>
      <c r="P473" s="320" t="n"/>
      <c r="Q473" s="321" t="inlineStr">
        <is>
          <t>Permanent - Full Time</t>
        </is>
      </c>
      <c r="R473" s="322" t="n"/>
      <c r="S473" s="322" t="n"/>
      <c r="T473" s="334" t="n">
        <v>117530</v>
      </c>
      <c r="U473" s="705" t="n">
        <v>108127.6</v>
      </c>
      <c r="V473" s="324" t="n">
        <v>0.15</v>
      </c>
      <c r="W473" s="321" t="n"/>
      <c r="X473" s="325" t="n">
        <v>0.05</v>
      </c>
      <c r="Y473" s="700" t="n">
        <v>2910</v>
      </c>
      <c r="Z473" s="325" t="n">
        <v>0.03</v>
      </c>
      <c r="AA473" s="701">
        <f>U473*(1+V473+X473+Z473)+Y473</f>
        <v>135906.948</v>
      </c>
      <c r="AB473" t="n">
        <v>113520</v>
      </c>
      <c r="AC473" t="inlineStr">
        <is>
          <t>TDD Group Functions</t>
        </is>
      </c>
      <c r="AD473" t="inlineStr">
        <is>
          <t>TDD Group Functions</t>
        </is>
      </c>
      <c r="AE473" t="inlineStr">
        <is>
          <t>Workplace &amp; Enterprise Tooling</t>
        </is>
      </c>
      <c r="AF473" t="inlineStr">
        <is>
          <t>Squad</t>
        </is>
      </c>
      <c r="AG473" t="inlineStr">
        <is>
          <t>Filled</t>
        </is>
      </c>
    </row>
    <row r="474" hidden="1" ht="18" customHeight="1" s="506">
      <c r="A474" s="259" t="n">
        <v>106829</v>
      </c>
      <c r="B474" s="224" t="inlineStr">
        <is>
          <t>C K Lau</t>
        </is>
      </c>
      <c r="C474" s="317" t="inlineStr">
        <is>
          <t>Delivery Lead (Cloud &amp; Network)</t>
        </is>
      </c>
      <c r="D474" s="224" t="inlineStr">
        <is>
          <t>Vacant</t>
        </is>
      </c>
      <c r="E474" s="224" t="inlineStr">
        <is>
          <t>Delivery Manager</t>
        </is>
      </c>
      <c r="F474" s="224" t="inlineStr">
        <is>
          <t>TDD Group Functions</t>
        </is>
      </c>
      <c r="G474" s="318" t="inlineStr">
        <is>
          <t xml:space="preserve">TDD &amp; Engineering </t>
        </is>
      </c>
      <c r="H474" t="inlineStr">
        <is>
          <t>Delivery, TDD &amp; Engineering</t>
        </is>
      </c>
      <c r="I474" s="224" t="inlineStr">
        <is>
          <t>TDD</t>
        </is>
      </c>
      <c r="J474" s="318" t="inlineStr">
        <is>
          <t>TDD</t>
        </is>
      </c>
      <c r="K474" s="318" t="inlineStr">
        <is>
          <t>Cloud, Network &amp; Infra Ops</t>
        </is>
      </c>
      <c r="L474" s="318" t="n"/>
      <c r="M474" s="319" t="inlineStr">
        <is>
          <t>Australia</t>
        </is>
      </c>
      <c r="N474" s="320" t="inlineStr">
        <is>
          <t>CIC</t>
        </is>
      </c>
      <c r="O474" s="320" t="n">
        <v>1</v>
      </c>
      <c r="P474" s="320" t="n"/>
      <c r="Q474" s="320" t="inlineStr">
        <is>
          <t>Permanent - Full Time</t>
        </is>
      </c>
      <c r="R474" s="322" t="n"/>
      <c r="S474" s="322" t="n"/>
      <c r="T474" s="334" t="n">
        <v>186640</v>
      </c>
      <c r="U474" s="705" t="n">
        <v>186640</v>
      </c>
      <c r="V474" s="325" t="n">
        <v>0.12</v>
      </c>
      <c r="W474" s="702" t="n">
        <v>0.055</v>
      </c>
      <c r="X474" s="702" t="n">
        <v>0.12</v>
      </c>
      <c r="Y474" s="703" t="n"/>
      <c r="Z474" s="702" t="n">
        <v>0.04</v>
      </c>
      <c r="AA474" s="701">
        <f>U474*(1+V474+W474+X474+Y474+Z474)</f>
        <v>249164.4</v>
      </c>
      <c r="AC474" t="inlineStr">
        <is>
          <t>TDD Group Functions</t>
        </is>
      </c>
      <c r="AD474" t="inlineStr">
        <is>
          <t>TDD Group Functions</t>
        </is>
      </c>
      <c r="AE474" t="inlineStr">
        <is>
          <t>Network &amp; Infrastructure</t>
        </is>
      </c>
      <c r="AF474" t="inlineStr">
        <is>
          <t>Squad</t>
        </is>
      </c>
      <c r="AG474" t="inlineStr">
        <is>
          <t>Filled</t>
        </is>
      </c>
    </row>
    <row r="475" hidden="1" ht="18" customHeight="1" s="506">
      <c r="A475" s="259" t="n">
        <v>14148</v>
      </c>
      <c r="B475" s="335" t="inlineStr">
        <is>
          <t>Ee Lynn Yap</t>
        </is>
      </c>
      <c r="C475" s="403" t="inlineStr">
        <is>
          <t>SAP ERP Application Lead</t>
        </is>
      </c>
      <c r="D475" s="318" t="inlineStr">
        <is>
          <t>Shane Ker</t>
        </is>
      </c>
      <c r="E475" s="335" t="inlineStr">
        <is>
          <t>Technology Manager Finance Platforms</t>
        </is>
      </c>
      <c r="F475" s="224" t="inlineStr">
        <is>
          <t>TDD Group Functions</t>
        </is>
      </c>
      <c r="G475" s="335" t="inlineStr">
        <is>
          <t>P&amp;C, Finance &amp; Legal</t>
        </is>
      </c>
      <c r="H475" s="328" t="inlineStr">
        <is>
          <t>Tech, Finance Platforms</t>
        </is>
      </c>
      <c r="I475" s="318" t="inlineStr">
        <is>
          <t>EGI</t>
        </is>
      </c>
      <c r="J475" s="318" t="inlineStr">
        <is>
          <t>EGI</t>
        </is>
      </c>
      <c r="K475" s="318" t="inlineStr">
        <is>
          <t>EGI Finance</t>
        </is>
      </c>
      <c r="L475" s="318" t="n"/>
      <c r="M475" s="319" t="inlineStr">
        <is>
          <t>Australia</t>
        </is>
      </c>
      <c r="N475" s="322" t="inlineStr">
        <is>
          <t>CIC</t>
        </is>
      </c>
      <c r="O475" s="322" t="n">
        <v>1</v>
      </c>
      <c r="P475" s="322" t="n"/>
      <c r="Q475" s="322" t="inlineStr">
        <is>
          <t>Permanent - Full Time</t>
        </is>
      </c>
      <c r="R475" s="322" t="n"/>
      <c r="S475" s="322" t="n"/>
      <c r="T475" s="334" t="n">
        <v>181070</v>
      </c>
      <c r="U475" s="705" t="n">
        <v>181070</v>
      </c>
      <c r="V475" s="325" t="n">
        <v>0.12</v>
      </c>
      <c r="W475" s="702" t="n">
        <v>0.055</v>
      </c>
      <c r="X475" s="702" t="n">
        <v>0.12</v>
      </c>
      <c r="Y475" s="703" t="n"/>
      <c r="Z475" s="702" t="n">
        <v>0.04</v>
      </c>
      <c r="AA475" s="390">
        <f>U475*(1+V475+W475+X475+Y475+Z475)</f>
        <v>241728.44999999998</v>
      </c>
      <c r="AC475" t="inlineStr">
        <is>
          <t>Finance</t>
        </is>
      </c>
      <c r="AD475" t="inlineStr">
        <is>
          <t>EGI Finance</t>
        </is>
      </c>
      <c r="AE475" t="inlineStr">
        <is>
          <t>EGI Finance</t>
        </is>
      </c>
      <c r="AF475" t="inlineStr">
        <is>
          <t>Strategic Program</t>
        </is>
      </c>
      <c r="AG475" t="inlineStr">
        <is>
          <t>Filled</t>
        </is>
      </c>
    </row>
    <row r="476" hidden="1" ht="18" customHeight="1" s="506">
      <c r="A476" s="259" t="n">
        <v>99999101516</v>
      </c>
      <c r="B476" s="224" t="inlineStr">
        <is>
          <t>Fan Zhang</t>
        </is>
      </c>
      <c r="C476" s="317" t="inlineStr">
        <is>
          <t>Infrastructure Engineer</t>
        </is>
      </c>
      <c r="D476" s="318" t="inlineStr">
        <is>
          <t>John McCormack</t>
        </is>
      </c>
      <c r="E476" s="335" t="inlineStr">
        <is>
          <t>Manager - Infrastructure Operations</t>
        </is>
      </c>
      <c r="F476" s="224" t="inlineStr">
        <is>
          <t>TDD Group Functions</t>
        </is>
      </c>
      <c r="G476" s="318" t="inlineStr">
        <is>
          <t>TDD &amp; Engineering</t>
        </is>
      </c>
      <c r="H476" s="318" t="inlineStr">
        <is>
          <t>Cloud, Network &amp; Infra</t>
        </is>
      </c>
      <c r="I476" s="224" t="inlineStr">
        <is>
          <t>TDD</t>
        </is>
      </c>
      <c r="J476" s="318" t="inlineStr">
        <is>
          <t>TDD</t>
        </is>
      </c>
      <c r="K476" s="318" t="inlineStr">
        <is>
          <t>Cloud, Network &amp; Infra Ops</t>
        </is>
      </c>
      <c r="L476" s="318" t="n"/>
      <c r="M476" s="319" t="inlineStr">
        <is>
          <t>NZ</t>
        </is>
      </c>
      <c r="N476" s="320" t="inlineStr">
        <is>
          <t>CIA</t>
        </is>
      </c>
      <c r="O476" s="321" t="n">
        <v>1</v>
      </c>
      <c r="P476" s="320" t="n"/>
      <c r="Q476" s="321" t="inlineStr">
        <is>
          <t>Permanent - Full Time</t>
        </is>
      </c>
      <c r="R476" s="322" t="n"/>
      <c r="S476" s="322" t="n"/>
      <c r="T476" s="334" t="n">
        <v>115679</v>
      </c>
      <c r="U476" s="705" t="n">
        <v>106424.68</v>
      </c>
      <c r="V476" s="324" t="n">
        <v>0.15</v>
      </c>
      <c r="W476" s="321" t="n"/>
      <c r="X476" s="325" t="n">
        <v>0.05</v>
      </c>
      <c r="Y476" s="700" t="n">
        <v>2910</v>
      </c>
      <c r="Z476" s="325" t="n">
        <v>0.03</v>
      </c>
      <c r="AA476" s="701">
        <f>U476*(1+V476+X476+Z476)+Y476</f>
        <v>133812.3564</v>
      </c>
      <c r="AB476" t="n">
        <v>113540</v>
      </c>
      <c r="AC476" t="inlineStr">
        <is>
          <t>TDD Group Functions</t>
        </is>
      </c>
      <c r="AD476" t="inlineStr">
        <is>
          <t>TDD Group Functions</t>
        </is>
      </c>
      <c r="AE476" t="inlineStr">
        <is>
          <t>Network &amp; Infrastructure</t>
        </is>
      </c>
      <c r="AF476" t="inlineStr">
        <is>
          <t>Squad</t>
        </is>
      </c>
      <c r="AG476" t="inlineStr">
        <is>
          <t>Filled</t>
        </is>
      </c>
    </row>
    <row r="477" hidden="1" ht="18" customHeight="1" s="506">
      <c r="A477" s="259" t="n">
        <v>83003</v>
      </c>
      <c r="B477" s="224" t="inlineStr">
        <is>
          <t>Grace Hadiwijaya</t>
        </is>
      </c>
      <c r="C477" s="317" t="inlineStr">
        <is>
          <t>Lead P&amp;C Platforms</t>
        </is>
      </c>
      <c r="D477" s="318" t="inlineStr">
        <is>
          <t>Vacant</t>
        </is>
      </c>
      <c r="E477" s="224" t="inlineStr">
        <is>
          <t>Technology Manager P&amp;C Platforms</t>
        </is>
      </c>
      <c r="F477" s="224" t="inlineStr">
        <is>
          <t>TDD Group Functions</t>
        </is>
      </c>
      <c r="G477" s="335" t="inlineStr">
        <is>
          <t>P&amp;C, Finance &amp; Legal</t>
        </is>
      </c>
      <c r="H477" s="318" t="inlineStr">
        <is>
          <t>Tech, P&amp;C Platforms</t>
        </is>
      </c>
      <c r="I477" s="318" t="inlineStr">
        <is>
          <t>P&amp;C</t>
        </is>
      </c>
      <c r="J477" s="318" t="inlineStr">
        <is>
          <t>P&amp;C</t>
        </is>
      </c>
      <c r="K477" s="318" t="inlineStr">
        <is>
          <t>P&amp;C</t>
        </is>
      </c>
      <c r="L477" s="318" t="n"/>
      <c r="M477" s="319" t="inlineStr">
        <is>
          <t>Australia</t>
        </is>
      </c>
      <c r="N477" s="322" t="inlineStr">
        <is>
          <t>CIC</t>
        </is>
      </c>
      <c r="O477" s="322" t="n">
        <v>1</v>
      </c>
      <c r="P477" s="322" t="n"/>
      <c r="Q477" s="322" t="inlineStr">
        <is>
          <t>Permanent - Full Time</t>
        </is>
      </c>
      <c r="R477" s="322" t="n"/>
      <c r="S477" s="322" t="n"/>
      <c r="T477" s="334" t="n">
        <v>178250</v>
      </c>
      <c r="U477" s="705" t="n">
        <v>178250</v>
      </c>
      <c r="V477" s="325" t="n">
        <v>0.12</v>
      </c>
      <c r="W477" s="702" t="n">
        <v>0.055</v>
      </c>
      <c r="X477" s="702" t="n">
        <v>0.12</v>
      </c>
      <c r="Y477" s="703" t="n"/>
      <c r="Z477" s="702" t="n">
        <v>0.04</v>
      </c>
      <c r="AA477" s="701">
        <f>U477*(1+V477+W477+X477+Y477+Z477)</f>
        <v>237963.75</v>
      </c>
      <c r="AC477" s="346" t="inlineStr">
        <is>
          <t>P&amp;C</t>
        </is>
      </c>
      <c r="AD477" t="inlineStr">
        <is>
          <t>P&amp;C</t>
        </is>
      </c>
      <c r="AE477" t="inlineStr">
        <is>
          <t>P&amp;C</t>
        </is>
      </c>
      <c r="AF477" t="inlineStr">
        <is>
          <t>Squad</t>
        </is>
      </c>
      <c r="AG477" t="inlineStr">
        <is>
          <t>Filled</t>
        </is>
      </c>
    </row>
    <row r="478" hidden="1" ht="18" customHeight="1" s="506">
      <c r="A478" s="259" t="n">
        <v>105823</v>
      </c>
      <c r="B478" s="335" t="inlineStr">
        <is>
          <t>Hardik Trivedi</t>
        </is>
      </c>
      <c r="C478" s="403" t="inlineStr">
        <is>
          <t>Snr Business Analyst</t>
        </is>
      </c>
      <c r="D478" s="318" t="inlineStr">
        <is>
          <t>Vacant</t>
        </is>
      </c>
      <c r="E478" s="335" t="inlineStr">
        <is>
          <t xml:space="preserve">Delivery Manager </t>
        </is>
      </c>
      <c r="F478" s="224" t="inlineStr">
        <is>
          <t>TDD Group Functions</t>
        </is>
      </c>
      <c r="G478" s="318" t="inlineStr">
        <is>
          <t>TDD &amp; Engineering</t>
        </is>
      </c>
      <c r="H478" s="224" t="inlineStr">
        <is>
          <t>Delivery, TDD &amp; Engineering</t>
        </is>
      </c>
      <c r="I478" s="224" t="inlineStr">
        <is>
          <t>Retail</t>
        </is>
      </c>
      <c r="J478" s="318" t="inlineStr">
        <is>
          <t>AmPOS</t>
        </is>
      </c>
      <c r="K478" s="318" t="inlineStr">
        <is>
          <t>AmPOS</t>
        </is>
      </c>
      <c r="L478" s="318" t="n"/>
      <c r="M478" s="319" t="inlineStr">
        <is>
          <t>Australia</t>
        </is>
      </c>
      <c r="N478" s="320" t="inlineStr">
        <is>
          <t>CIB</t>
        </is>
      </c>
      <c r="O478" s="320" t="n">
        <v>1</v>
      </c>
      <c r="P478" s="320" t="n"/>
      <c r="Q478" s="320" t="inlineStr">
        <is>
          <t>Permanent - Full Time</t>
        </is>
      </c>
      <c r="R478" s="322" t="n"/>
      <c r="S478" s="322" t="n"/>
      <c r="T478" s="334" t="n">
        <v>157560</v>
      </c>
      <c r="U478" s="705" t="n">
        <v>157560</v>
      </c>
      <c r="V478" s="325" t="n">
        <v>0.12</v>
      </c>
      <c r="W478" s="702" t="n">
        <v>0.055</v>
      </c>
      <c r="X478" s="702" t="n">
        <v>0.12</v>
      </c>
      <c r="Y478" s="703" t="n"/>
      <c r="Z478" s="702" t="n">
        <v>0.04</v>
      </c>
      <c r="AA478" s="701">
        <f>U478*(1+V478+W478+X478+Y478+Z478)</f>
        <v>210342.6</v>
      </c>
      <c r="AC478" t="inlineStr">
        <is>
          <t>Ampol Retail</t>
        </is>
      </c>
      <c r="AD478" t="inlineStr">
        <is>
          <t>AmPOS</t>
        </is>
      </c>
      <c r="AE478" t="inlineStr">
        <is>
          <t>AmPOS</t>
        </is>
      </c>
      <c r="AF478" t="inlineStr">
        <is>
          <t>Strategic Program</t>
        </is>
      </c>
      <c r="AG478" t="inlineStr">
        <is>
          <t>Filled</t>
        </is>
      </c>
    </row>
    <row r="479" hidden="1" ht="18" customHeight="1" s="506">
      <c r="A479" s="259" t="n">
        <v>110830</v>
      </c>
      <c r="B479" s="224" t="inlineStr">
        <is>
          <t>Jason Satoso</t>
        </is>
      </c>
      <c r="C479" s="317" t="inlineStr">
        <is>
          <t>Cloud Operations Engineer</t>
        </is>
      </c>
      <c r="D479" s="318" t="inlineStr">
        <is>
          <t>John McCormack</t>
        </is>
      </c>
      <c r="E479" s="335" t="inlineStr">
        <is>
          <t>Manager - Infrastructure Operations</t>
        </is>
      </c>
      <c r="F479" s="224" t="inlineStr">
        <is>
          <t>TDD Group Functions</t>
        </is>
      </c>
      <c r="G479" s="318" t="inlineStr">
        <is>
          <t>TDD &amp; Engineering</t>
        </is>
      </c>
      <c r="H479" s="318" t="inlineStr">
        <is>
          <t>Cloud, Network &amp; Infra</t>
        </is>
      </c>
      <c r="I479" s="224" t="inlineStr">
        <is>
          <t>TDD</t>
        </is>
      </c>
      <c r="J479" s="318" t="inlineStr">
        <is>
          <t>TDD</t>
        </is>
      </c>
      <c r="K479" s="318" t="inlineStr">
        <is>
          <t>Cloud, Network &amp; Infra Ops</t>
        </is>
      </c>
      <c r="L479" s="318" t="n"/>
      <c r="M479" s="319" t="inlineStr">
        <is>
          <t>Australia</t>
        </is>
      </c>
      <c r="N479" s="320" t="inlineStr">
        <is>
          <t>CIB</t>
        </is>
      </c>
      <c r="O479" s="320" t="n">
        <v>1</v>
      </c>
      <c r="P479" s="320" t="n"/>
      <c r="Q479" s="320" t="inlineStr">
        <is>
          <t>Permanent - Full Time</t>
        </is>
      </c>
      <c r="R479" s="322" t="n"/>
      <c r="S479" s="322" t="n"/>
      <c r="T479" s="334" t="n">
        <v>154450</v>
      </c>
      <c r="U479" s="705" t="n">
        <v>154450</v>
      </c>
      <c r="V479" s="325" t="n">
        <v>0.12</v>
      </c>
      <c r="W479" s="702" t="n">
        <v>0.055</v>
      </c>
      <c r="X479" s="702" t="n">
        <v>0.12</v>
      </c>
      <c r="Y479" s="703" t="n"/>
      <c r="Z479" s="702" t="n">
        <v>0.04</v>
      </c>
      <c r="AA479" s="701">
        <f>U479*(1+V479+W479+X479+Y479+Z479)</f>
        <v>206190.75</v>
      </c>
      <c r="AC479" t="inlineStr">
        <is>
          <t>TDD Group Functions</t>
        </is>
      </c>
      <c r="AD479" t="inlineStr">
        <is>
          <t>TDD Group Functions</t>
        </is>
      </c>
      <c r="AE479" t="inlineStr">
        <is>
          <t>Network &amp; Infrastructure</t>
        </is>
      </c>
      <c r="AF479" t="inlineStr">
        <is>
          <t>Squad</t>
        </is>
      </c>
      <c r="AG479" t="inlineStr">
        <is>
          <t>Filled</t>
        </is>
      </c>
    </row>
    <row r="480" hidden="1" ht="18" customHeight="1" s="506">
      <c r="A480" s="259" t="inlineStr">
        <is>
          <t>c</t>
        </is>
      </c>
      <c r="B480" s="224" t="inlineStr">
        <is>
          <t>Jens Tom</t>
        </is>
      </c>
      <c r="C480" s="317" t="inlineStr">
        <is>
          <t>SAP Solution Architect</t>
        </is>
      </c>
      <c r="D480" s="224" t="inlineStr">
        <is>
          <t>Shane Ker</t>
        </is>
      </c>
      <c r="E480" s="224" t="inlineStr">
        <is>
          <t>Solution Architect SAP</t>
        </is>
      </c>
      <c r="F480" s="224" t="inlineStr">
        <is>
          <t>TDD Group Functions</t>
        </is>
      </c>
      <c r="G480" s="318" t="n"/>
      <c r="H480" s="344" t="n"/>
      <c r="I480" s="318" t="n"/>
      <c r="J480" s="318" t="n"/>
      <c r="K480" s="224" t="n"/>
      <c r="L480" s="318" t="n"/>
      <c r="M480" s="319" t="n"/>
      <c r="N480" s="322" t="inlineStr">
        <is>
          <t>na</t>
        </is>
      </c>
      <c r="O480" s="322" t="n">
        <v>1</v>
      </c>
      <c r="P480" s="322" t="n"/>
      <c r="Q480" s="322" t="inlineStr">
        <is>
          <t>cxc</t>
        </is>
      </c>
      <c r="R480" s="322" t="inlineStr">
        <is>
          <t>daily</t>
        </is>
      </c>
      <c r="S480" s="322" t="n">
        <v>1600</v>
      </c>
      <c r="T480" s="334" t="n">
        <v>0</v>
      </c>
      <c r="U480" s="705" t="n"/>
      <c r="V480" s="325" t="n"/>
      <c r="W480" s="702" t="n"/>
      <c r="X480" s="702" t="n"/>
      <c r="Y480" s="703" t="n"/>
      <c r="Z480" s="702" t="n"/>
      <c r="AA480" s="704">
        <f>S480*222</f>
        <v>355200.0</v>
      </c>
      <c r="AC480" t="inlineStr">
        <is>
          <t>Unmapped</t>
        </is>
      </c>
      <c r="AD480" t="inlineStr">
        <is>
          <t>-</t>
        </is>
      </c>
      <c r="AE480" t="inlineStr">
        <is>
          <t>TDD Group Functions</t>
        </is>
      </c>
      <c r="AF480" t="inlineStr">
        <is>
          <t>Unmapped</t>
        </is>
      </c>
      <c r="AG480" t="inlineStr">
        <is>
          <t>Filled</t>
        </is>
      </c>
    </row>
    <row r="481" hidden="1" ht="18" customHeight="1" s="506">
      <c r="A481" s="259" t="n">
        <v>99999100381</v>
      </c>
      <c r="B481" s="224" t="inlineStr">
        <is>
          <t>Joel Krijnen</t>
        </is>
      </c>
      <c r="C481" s="317" t="inlineStr">
        <is>
          <t>Lead Engineer Software</t>
        </is>
      </c>
      <c r="D481" s="224" t="inlineStr">
        <is>
          <t>Mike Seales</t>
        </is>
      </c>
      <c r="E481" s="224" t="inlineStr">
        <is>
          <t>Technology Manager Integration &amp; Process Managemetn</t>
        </is>
      </c>
      <c r="F481" s="224" t="inlineStr">
        <is>
          <t>TDD Group Functions</t>
        </is>
      </c>
      <c r="G481" s="318" t="inlineStr">
        <is>
          <t xml:space="preserve">TDD &amp; Engineering </t>
        </is>
      </c>
      <c r="H481" s="224" t="inlineStr">
        <is>
          <t>Integration &amp; Process Management</t>
        </is>
      </c>
      <c r="I481" s="224" t="inlineStr">
        <is>
          <t>TDD</t>
        </is>
      </c>
      <c r="J481" s="318" t="inlineStr">
        <is>
          <t>TDD</t>
        </is>
      </c>
      <c r="K481" s="318" t="inlineStr">
        <is>
          <t>Integration &amp; Process automation</t>
        </is>
      </c>
      <c r="L481" s="318" t="n"/>
      <c r="M481" s="319" t="inlineStr">
        <is>
          <t>NZ</t>
        </is>
      </c>
      <c r="N481" s="320" t="inlineStr">
        <is>
          <t>CIC</t>
        </is>
      </c>
      <c r="O481" s="321" t="n">
        <v>1</v>
      </c>
      <c r="P481" s="320" t="n"/>
      <c r="Q481" s="321" t="inlineStr">
        <is>
          <t>Permanent - Full Time</t>
        </is>
      </c>
      <c r="R481" s="322" t="n"/>
      <c r="S481" s="322" t="n"/>
      <c r="T481" s="334" t="n">
        <v>154830</v>
      </c>
      <c r="U481" s="705" t="n">
        <v>142443.6</v>
      </c>
      <c r="V481" s="324" t="n">
        <v>0.15</v>
      </c>
      <c r="W481" s="321" t="n"/>
      <c r="X481" s="325" t="n">
        <v>0.05</v>
      </c>
      <c r="Y481" s="700" t="n">
        <v>2910</v>
      </c>
      <c r="Z481" s="325" t="n">
        <v>0.03</v>
      </c>
      <c r="AA481" s="701">
        <f>U481*(1+V481+X481+Z481)+Y481</f>
        <v>178115.628</v>
      </c>
      <c r="AB481" t="n">
        <v>113557</v>
      </c>
      <c r="AC481" t="inlineStr">
        <is>
          <t>TDD Group Functions</t>
        </is>
      </c>
      <c r="AD481" t="inlineStr">
        <is>
          <t>TDD Group Functions</t>
        </is>
      </c>
      <c r="AE481" t="inlineStr">
        <is>
          <t>Integration</t>
        </is>
      </c>
      <c r="AF481" t="inlineStr">
        <is>
          <t>Squad</t>
        </is>
      </c>
      <c r="AG481" t="inlineStr">
        <is>
          <t>Filled</t>
        </is>
      </c>
    </row>
    <row r="482" hidden="1" ht="18" customHeight="1" s="506">
      <c r="A482" s="259" t="n">
        <v>97800</v>
      </c>
      <c r="B482" s="224" t="inlineStr">
        <is>
          <t>John McCormack</t>
        </is>
      </c>
      <c r="C482" s="317" t="inlineStr">
        <is>
          <t>Manager - Infrastructure Operations</t>
        </is>
      </c>
      <c r="D482" s="318" t="inlineStr">
        <is>
          <t>Vacant</t>
        </is>
      </c>
      <c r="E482" s="335" t="inlineStr">
        <is>
          <t>Technology Manager - Cloud, Network &amp; Infrastructure Operations</t>
        </is>
      </c>
      <c r="F482" s="224" t="inlineStr">
        <is>
          <t>TDD Group Functions</t>
        </is>
      </c>
      <c r="G482" s="318" t="inlineStr">
        <is>
          <t>TDD &amp; Engineering</t>
        </is>
      </c>
      <c r="H482" s="318" t="inlineStr">
        <is>
          <t>Cloud, Network &amp; Infra</t>
        </is>
      </c>
      <c r="I482" s="224" t="inlineStr">
        <is>
          <t>TDD</t>
        </is>
      </c>
      <c r="J482" s="318" t="inlineStr">
        <is>
          <t>TDD</t>
        </is>
      </c>
      <c r="K482" s="318" t="inlineStr">
        <is>
          <t>Cloud, Network &amp; Infra Ops</t>
        </is>
      </c>
      <c r="L482" s="318" t="n"/>
      <c r="M482" s="319" t="inlineStr">
        <is>
          <t>Australia</t>
        </is>
      </c>
      <c r="N482" s="320" t="inlineStr">
        <is>
          <t>CIC</t>
        </is>
      </c>
      <c r="O482" s="320" t="n">
        <v>1</v>
      </c>
      <c r="P482" s="320" t="n"/>
      <c r="Q482" s="320" t="inlineStr">
        <is>
          <t>Permanent - Full Time</t>
        </is>
      </c>
      <c r="R482" s="322" t="n"/>
      <c r="S482" s="322" t="n"/>
      <c r="T482" s="334" t="n">
        <v>184640</v>
      </c>
      <c r="U482" s="705" t="n">
        <v>184640</v>
      </c>
      <c r="V482" s="325" t="n">
        <v>0.12</v>
      </c>
      <c r="W482" s="702" t="n">
        <v>0.055</v>
      </c>
      <c r="X482" s="702" t="n">
        <v>0.12</v>
      </c>
      <c r="Y482" s="703" t="n"/>
      <c r="Z482" s="702" t="n">
        <v>0.04</v>
      </c>
      <c r="AA482" s="701">
        <f>U482*(1+V482+W482+X482+Y482+Z482)</f>
        <v>246494.4</v>
      </c>
      <c r="AC482" t="inlineStr">
        <is>
          <t>TDD Group Functions</t>
        </is>
      </c>
      <c r="AD482" t="inlineStr">
        <is>
          <t>TDD Group Functions</t>
        </is>
      </c>
      <c r="AE482" t="inlineStr">
        <is>
          <t>Network &amp; Infrastructure</t>
        </is>
      </c>
      <c r="AF482" t="inlineStr">
        <is>
          <t>Squad</t>
        </is>
      </c>
      <c r="AG482" t="inlineStr">
        <is>
          <t>Filled</t>
        </is>
      </c>
    </row>
    <row r="483" hidden="1" ht="18" customHeight="1" s="506">
      <c r="A483" s="259" t="n">
        <v>11241</v>
      </c>
      <c r="B483" s="335" t="inlineStr">
        <is>
          <t>Julma Bhagwani</t>
        </is>
      </c>
      <c r="C483" s="403" t="inlineStr">
        <is>
          <t>SAP ERP Application Lead</t>
        </is>
      </c>
      <c r="D483" s="318" t="inlineStr">
        <is>
          <t>Shane Ker</t>
        </is>
      </c>
      <c r="E483" s="335" t="inlineStr">
        <is>
          <t>Technology Manager Finance Platforms</t>
        </is>
      </c>
      <c r="F483" s="224" t="inlineStr">
        <is>
          <t>TDD Group Functions</t>
        </is>
      </c>
      <c r="G483" s="335" t="inlineStr">
        <is>
          <t>P&amp;C, Finance &amp; Legal</t>
        </is>
      </c>
      <c r="H483" s="318" t="inlineStr">
        <is>
          <t>Tech, Finance Platforms</t>
        </is>
      </c>
      <c r="I483" s="318" t="inlineStr">
        <is>
          <t>Finance</t>
        </is>
      </c>
      <c r="J483" s="318" t="inlineStr">
        <is>
          <t>AU Finance</t>
        </is>
      </c>
      <c r="K483" s="318" t="inlineStr">
        <is>
          <t>SAP ERP</t>
        </is>
      </c>
      <c r="L483" s="318" t="n"/>
      <c r="M483" s="319" t="inlineStr">
        <is>
          <t>Australia</t>
        </is>
      </c>
      <c r="N483" s="322" t="inlineStr">
        <is>
          <t>CIC</t>
        </is>
      </c>
      <c r="O483" s="322" t="n">
        <v>1</v>
      </c>
      <c r="P483" s="322" t="n"/>
      <c r="Q483" s="322" t="inlineStr">
        <is>
          <t>Permanent - Full Time</t>
        </is>
      </c>
      <c r="R483" s="322" t="n"/>
      <c r="S483" s="322" t="n"/>
      <c r="T483" s="334" t="n">
        <v>179700</v>
      </c>
      <c r="U483" s="705" t="n">
        <v>179700</v>
      </c>
      <c r="V483" s="325" t="n">
        <v>0.12</v>
      </c>
      <c r="W483" s="702" t="n">
        <v>0.055</v>
      </c>
      <c r="X483" s="702" t="n">
        <v>0.12</v>
      </c>
      <c r="Y483" s="703" t="n"/>
      <c r="Z483" s="702" t="n">
        <v>0.04</v>
      </c>
      <c r="AA483" s="701">
        <f>U483*(1+V483+W483+X483+Y483+Z483)</f>
        <v>239899.5</v>
      </c>
      <c r="AC483" t="inlineStr">
        <is>
          <t>Finance</t>
        </is>
      </c>
      <c r="AD483" t="inlineStr">
        <is>
          <t>AU Finance</t>
        </is>
      </c>
      <c r="AE483" t="inlineStr">
        <is>
          <t>AU Finance</t>
        </is>
      </c>
      <c r="AF483" t="inlineStr">
        <is>
          <t>Squad</t>
        </is>
      </c>
      <c r="AG483" t="inlineStr">
        <is>
          <t>Filled</t>
        </is>
      </c>
    </row>
    <row r="484" hidden="1" ht="18" customHeight="1" s="506">
      <c r="A484" s="259" t="n">
        <v>95018</v>
      </c>
      <c r="B484" s="224" t="inlineStr">
        <is>
          <t>Ken Thomson</t>
        </is>
      </c>
      <c r="C484" s="317" t="inlineStr">
        <is>
          <t>Servicenow Platform Specialist</t>
        </is>
      </c>
      <c r="D484" s="318" t="inlineStr">
        <is>
          <t>Vacant</t>
        </is>
      </c>
      <c r="E484" s="224" t="inlineStr">
        <is>
          <t>Technology Manager, Enterprise Tooling</t>
        </is>
      </c>
      <c r="F484" s="224" t="inlineStr">
        <is>
          <t>TDD Group Functions</t>
        </is>
      </c>
      <c r="G484" s="318" t="inlineStr">
        <is>
          <t xml:space="preserve">TDD &amp; Engineering </t>
        </is>
      </c>
      <c r="H484" s="224" t="inlineStr">
        <is>
          <t>Workplace &amp; Enterprise Tooling</t>
        </is>
      </c>
      <c r="I484" s="224" t="inlineStr">
        <is>
          <t>TDD</t>
        </is>
      </c>
      <c r="J484" s="318" t="inlineStr">
        <is>
          <t>TDD</t>
        </is>
      </c>
      <c r="K484" s="318" t="inlineStr">
        <is>
          <t>Workplace &amp; Enterprise Tooling</t>
        </is>
      </c>
      <c r="L484" s="318" t="n"/>
      <c r="M484" s="319" t="inlineStr">
        <is>
          <t>Australia</t>
        </is>
      </c>
      <c r="N484" s="320" t="inlineStr">
        <is>
          <t>CIC</t>
        </is>
      </c>
      <c r="O484" s="320" t="n">
        <v>1</v>
      </c>
      <c r="P484" s="320" t="n"/>
      <c r="Q484" s="320" t="inlineStr">
        <is>
          <t>Permanent - Full Time</t>
        </is>
      </c>
      <c r="R484" s="322" t="n"/>
      <c r="S484" s="322" t="n"/>
      <c r="T484" s="334" t="n">
        <v>165450</v>
      </c>
      <c r="U484" s="705" t="n">
        <v>165450</v>
      </c>
      <c r="V484" s="325" t="n">
        <v>0.12</v>
      </c>
      <c r="W484" s="702" t="n">
        <v>0.055</v>
      </c>
      <c r="X484" s="702" t="n">
        <v>0.12</v>
      </c>
      <c r="Y484" s="703" t="n"/>
      <c r="Z484" s="702" t="n">
        <v>0.04</v>
      </c>
      <c r="AA484" s="701">
        <f>U484*(1+V484+W484+X484+Y484+Z484)</f>
        <v>220875.75</v>
      </c>
      <c r="AC484" t="inlineStr">
        <is>
          <t>TDD Group Functions</t>
        </is>
      </c>
      <c r="AD484" t="inlineStr">
        <is>
          <t>TDD Group Functions</t>
        </is>
      </c>
      <c r="AE484" t="inlineStr">
        <is>
          <t>Workplace &amp; Enterprise Tooling</t>
        </is>
      </c>
      <c r="AF484" t="inlineStr">
        <is>
          <t>Squad</t>
        </is>
      </c>
      <c r="AG484" t="inlineStr">
        <is>
          <t>Filled</t>
        </is>
      </c>
    </row>
    <row r="485" hidden="1" ht="18" customHeight="1" s="506">
      <c r="A485" s="259" t="n">
        <v>99999102153</v>
      </c>
      <c r="B485" s="367" t="inlineStr">
        <is>
          <t>Kris Thornley</t>
        </is>
      </c>
      <c r="C485" s="403" t="inlineStr">
        <is>
          <t>Integration Architect (C)</t>
        </is>
      </c>
      <c r="D485" s="224" t="inlineStr">
        <is>
          <t>Mike Seales</t>
        </is>
      </c>
      <c r="E485" s="224" t="inlineStr">
        <is>
          <t>Technology Manager Integration &amp; Process Managemetn</t>
        </is>
      </c>
      <c r="F485" s="224" t="inlineStr">
        <is>
          <t>TDD Group Functions</t>
        </is>
      </c>
      <c r="G485" s="318" t="inlineStr">
        <is>
          <t xml:space="preserve">TDD &amp; Engineering </t>
        </is>
      </c>
      <c r="H485" s="224" t="inlineStr">
        <is>
          <t>Integration &amp; Process Management</t>
        </is>
      </c>
      <c r="I485" s="224" t="inlineStr">
        <is>
          <t>EGI</t>
        </is>
      </c>
      <c r="J485" s="318" t="inlineStr">
        <is>
          <t xml:space="preserve">EGI </t>
        </is>
      </c>
      <c r="K485" s="318" t="inlineStr">
        <is>
          <t>EGI TDD</t>
        </is>
      </c>
      <c r="L485" s="318" t="n"/>
      <c r="M485" s="319" t="inlineStr">
        <is>
          <t>NZ</t>
        </is>
      </c>
      <c r="N485" s="320" t="inlineStr">
        <is>
          <t>NA</t>
        </is>
      </c>
      <c r="O485" s="320" t="n">
        <v>1</v>
      </c>
      <c r="P485" s="320" t="n"/>
      <c r="Q485" s="321" t="inlineStr">
        <is>
          <t>Contractor</t>
        </is>
      </c>
      <c r="R485" s="322" t="inlineStr">
        <is>
          <t>cant find this person</t>
        </is>
      </c>
      <c r="S485" s="349" t="n">
        <v>1200</v>
      </c>
      <c r="T485" s="334" t="n">
        <v>0</v>
      </c>
      <c r="U485" s="334" t="n"/>
      <c r="V485" s="318" t="n"/>
      <c r="W485" s="318" t="n"/>
      <c r="X485" s="318" t="n"/>
      <c r="Y485" s="318" t="n"/>
      <c r="Z485" s="318" t="n"/>
      <c r="AA485" s="704">
        <f>S485*222</f>
        <v>266400.0</v>
      </c>
      <c r="AC485" t="inlineStr">
        <is>
          <t>TDD Group Functions</t>
        </is>
      </c>
      <c r="AD485" t="inlineStr">
        <is>
          <t>EGI TDD</t>
        </is>
      </c>
      <c r="AE485" t="inlineStr">
        <is>
          <t>EGI TDD</t>
        </is>
      </c>
      <c r="AF485" t="inlineStr">
        <is>
          <t>Strategic Program</t>
        </is>
      </c>
      <c r="AG485" t="inlineStr">
        <is>
          <t>Filled</t>
        </is>
      </c>
    </row>
    <row r="486" hidden="1" ht="18" customHeight="1" s="506">
      <c r="A486" s="259" t="inlineStr">
        <is>
          <t>C</t>
        </is>
      </c>
      <c r="B486" s="224" t="inlineStr">
        <is>
          <t>Kurniaty Widjaya</t>
        </is>
      </c>
      <c r="C486" s="317" t="inlineStr">
        <is>
          <t>ERP HR Pay Functional Lead</t>
        </is>
      </c>
      <c r="D486" s="318" t="inlineStr">
        <is>
          <t>Vacant</t>
        </is>
      </c>
      <c r="E486" s="224" t="inlineStr">
        <is>
          <t>Technology Manager P&amp;C Platforms</t>
        </is>
      </c>
      <c r="F486" s="224" t="inlineStr">
        <is>
          <t>TDD Group Functions</t>
        </is>
      </c>
      <c r="G486" s="335" t="inlineStr">
        <is>
          <t>P&amp;C, Finance &amp; Legal</t>
        </is>
      </c>
      <c r="H486" s="318" t="inlineStr">
        <is>
          <t>Tech, P&amp;C Platforms</t>
        </is>
      </c>
      <c r="I486" s="318" t="inlineStr">
        <is>
          <t>P&amp;C</t>
        </is>
      </c>
      <c r="J486" s="318" t="inlineStr">
        <is>
          <t>P&amp;C</t>
        </is>
      </c>
      <c r="K486" s="318" t="inlineStr">
        <is>
          <t>P&amp;C RTA</t>
        </is>
      </c>
      <c r="L486" s="318" t="n"/>
      <c r="M486" s="319" t="inlineStr">
        <is>
          <t>Australia</t>
        </is>
      </c>
      <c r="N486" s="322" t="inlineStr">
        <is>
          <t>NA</t>
        </is>
      </c>
      <c r="O486" s="320" t="n">
        <v>1</v>
      </c>
      <c r="P486" s="322" t="n"/>
      <c r="Q486" s="322" t="inlineStr">
        <is>
          <t>cxc</t>
        </is>
      </c>
      <c r="R486" s="331" t="inlineStr">
        <is>
          <t>Daily</t>
        </is>
      </c>
      <c r="S486" s="322" t="n">
        <v>1250</v>
      </c>
      <c r="T486" s="334" t="n">
        <v>0</v>
      </c>
      <c r="U486" s="334" t="n"/>
      <c r="V486" s="318" t="n"/>
      <c r="W486" s="318" t="n"/>
      <c r="X486" s="318" t="n"/>
      <c r="Y486" s="318" t="n"/>
      <c r="Z486" s="318" t="n"/>
      <c r="AA486" s="704">
        <f>S486*222</f>
        <v>277500.0</v>
      </c>
      <c r="AC486" t="inlineStr">
        <is>
          <t>P&amp;C</t>
        </is>
      </c>
      <c r="AD486" t="inlineStr">
        <is>
          <t>P&amp;C</t>
        </is>
      </c>
      <c r="AE486" t="inlineStr">
        <is>
          <t>P&amp;C - RTA</t>
        </is>
      </c>
      <c r="AF486" t="inlineStr">
        <is>
          <t>Squad</t>
        </is>
      </c>
      <c r="AG486" t="inlineStr">
        <is>
          <t>Filled</t>
        </is>
      </c>
    </row>
    <row r="487" hidden="1" ht="18" customHeight="1" s="506">
      <c r="A487" s="259" t="n">
        <v>99999170438</v>
      </c>
      <c r="B487" s="367" t="inlineStr">
        <is>
          <t>Leilanie Avilla</t>
        </is>
      </c>
      <c r="C487" s="403" t="inlineStr">
        <is>
          <t>JDE Systems Specialist</t>
        </is>
      </c>
      <c r="D487" s="318" t="inlineStr">
        <is>
          <t>Lydia Pritchard</t>
        </is>
      </c>
      <c r="E487" s="335" t="inlineStr">
        <is>
          <t>Lead JDE System Specialist</t>
        </is>
      </c>
      <c r="F487" s="224" t="inlineStr">
        <is>
          <t>TDD Group Functions</t>
        </is>
      </c>
      <c r="G487" s="335" t="inlineStr">
        <is>
          <t>P&amp;C, Finance &amp; Legal</t>
        </is>
      </c>
      <c r="H487" s="318" t="inlineStr">
        <is>
          <t>Tech, Finance Platforms</t>
        </is>
      </c>
      <c r="I487" s="318" t="inlineStr">
        <is>
          <t>Finance</t>
        </is>
      </c>
      <c r="J487" s="318" t="inlineStr">
        <is>
          <t>NZ Finance</t>
        </is>
      </c>
      <c r="K487" s="318" t="inlineStr">
        <is>
          <t>NZ Finance</t>
        </is>
      </c>
      <c r="L487" s="318" t="n"/>
      <c r="M487" s="319" t="inlineStr">
        <is>
          <t>NZ</t>
        </is>
      </c>
      <c r="N487" s="320" t="inlineStr">
        <is>
          <t>CDB</t>
        </is>
      </c>
      <c r="O487" s="321" t="n">
        <v>1</v>
      </c>
      <c r="P487" s="320" t="n"/>
      <c r="Q487" s="321" t="inlineStr">
        <is>
          <t>Permanent - Full Time</t>
        </is>
      </c>
      <c r="R487" s="322" t="n"/>
      <c r="S487" s="322" t="n"/>
      <c r="T487" s="334" t="n">
        <v>96270</v>
      </c>
      <c r="U487" s="705" t="n">
        <v>88568.40000000001</v>
      </c>
      <c r="V487" s="324" t="n">
        <v>0.1</v>
      </c>
      <c r="W487" s="322" t="n"/>
      <c r="X487" s="325" t="n">
        <v>0.05</v>
      </c>
      <c r="Y487" s="700" t="n">
        <v>2910</v>
      </c>
      <c r="Z487" s="325" t="n">
        <v>0.03</v>
      </c>
      <c r="AA487" s="701">
        <f>U487*(1+V487+X487+Z487)+Y487</f>
        <v>107420.71200000003</v>
      </c>
      <c r="AB487" t="n">
        <v>113572</v>
      </c>
      <c r="AC487" t="inlineStr">
        <is>
          <t>Finance</t>
        </is>
      </c>
      <c r="AD487" t="inlineStr">
        <is>
          <t>NZ Finance</t>
        </is>
      </c>
      <c r="AE487" t="inlineStr">
        <is>
          <t>NZ Finance</t>
        </is>
      </c>
      <c r="AF487" t="inlineStr">
        <is>
          <t>Squad</t>
        </is>
      </c>
      <c r="AG487" t="inlineStr">
        <is>
          <t>Filled</t>
        </is>
      </c>
    </row>
    <row r="488" hidden="1" ht="18" customHeight="1" s="506">
      <c r="A488" s="259" t="n">
        <v>99999101879</v>
      </c>
      <c r="B488" s="335" t="inlineStr">
        <is>
          <t>Lisa Rademakers</t>
        </is>
      </c>
      <c r="C488" s="403" t="inlineStr">
        <is>
          <t>Delivery Lead (Integrations)</t>
        </is>
      </c>
      <c r="D488" s="224" t="inlineStr">
        <is>
          <t>Vacant</t>
        </is>
      </c>
      <c r="E488" s="224" t="inlineStr">
        <is>
          <t>Delivery Manager</t>
        </is>
      </c>
      <c r="F488" s="224" t="inlineStr">
        <is>
          <t>TDD Group Functions</t>
        </is>
      </c>
      <c r="G488" s="318" t="inlineStr">
        <is>
          <t xml:space="preserve">TDD &amp; Engineering </t>
        </is>
      </c>
      <c r="H488" s="224" t="inlineStr">
        <is>
          <t>Delivery, TDD &amp; Engineering</t>
        </is>
      </c>
      <c r="I488" s="224" t="inlineStr">
        <is>
          <t>TDD</t>
        </is>
      </c>
      <c r="J488" s="318" t="inlineStr">
        <is>
          <t>TDD</t>
        </is>
      </c>
      <c r="K488" s="318" t="inlineStr">
        <is>
          <t>Integration &amp; Process Automation</t>
        </is>
      </c>
      <c r="L488" s="318" t="n"/>
      <c r="M488" s="319" t="inlineStr">
        <is>
          <t>NZ</t>
        </is>
      </c>
      <c r="N488" s="320" t="inlineStr">
        <is>
          <t>CIC</t>
        </is>
      </c>
      <c r="O488" s="321" t="n">
        <v>1</v>
      </c>
      <c r="P488" s="320" t="n"/>
      <c r="Q488" s="321" t="inlineStr">
        <is>
          <t>Permanent - Full Time</t>
        </is>
      </c>
      <c r="R488" s="322" t="n"/>
      <c r="S488" s="322" t="n"/>
      <c r="T488" s="334" t="n">
        <v>176220</v>
      </c>
      <c r="U488" s="705" t="n">
        <v>162122.4</v>
      </c>
      <c r="V488" s="324" t="n">
        <v>0.15</v>
      </c>
      <c r="W488" s="322" t="n"/>
      <c r="X488" s="325" t="n">
        <v>0.05</v>
      </c>
      <c r="Y488" s="700" t="n">
        <v>2910</v>
      </c>
      <c r="Z488" s="325" t="n">
        <v>0.03</v>
      </c>
      <c r="AA488" s="701">
        <f>U488*(1+V488+X488+Z488)+Y488</f>
        <v>202320.552</v>
      </c>
      <c r="AB488" t="n">
        <v>113577</v>
      </c>
      <c r="AC488" t="inlineStr">
        <is>
          <t>TDD Group Functions</t>
        </is>
      </c>
      <c r="AD488" t="inlineStr">
        <is>
          <t>TDD Group Functions</t>
        </is>
      </c>
      <c r="AE488" t="inlineStr">
        <is>
          <t>Integration</t>
        </is>
      </c>
      <c r="AF488" t="inlineStr">
        <is>
          <t>Squad</t>
        </is>
      </c>
      <c r="AG488" t="inlineStr">
        <is>
          <t>Filled</t>
        </is>
      </c>
    </row>
    <row r="489" hidden="1" ht="18" customHeight="1" s="506">
      <c r="A489" s="259" t="n">
        <v>116057</v>
      </c>
      <c r="B489" s="335" t="inlineStr">
        <is>
          <t>Lucas Wang</t>
        </is>
      </c>
      <c r="C489" s="403" t="inlineStr">
        <is>
          <t>Senior Engineer (Automation Test)</t>
        </is>
      </c>
      <c r="D489" s="367" t="inlineStr">
        <is>
          <t>Shobhit Mittal</t>
        </is>
      </c>
      <c r="E489" s="335" t="inlineStr">
        <is>
          <t>Lead Engineer (Automation Test)</t>
        </is>
      </c>
      <c r="F489" s="318" t="inlineStr">
        <is>
          <t>TDD Group Functions</t>
        </is>
      </c>
      <c r="G489" s="318" t="inlineStr">
        <is>
          <t>TDD &amp; Engineering</t>
        </is>
      </c>
      <c r="H489" s="318" t="inlineStr">
        <is>
          <t>DevOps &amp; QE</t>
        </is>
      </c>
      <c r="I489" s="224" t="inlineStr">
        <is>
          <t>TDD</t>
        </is>
      </c>
      <c r="J489" s="318" t="inlineStr">
        <is>
          <t>TDD</t>
        </is>
      </c>
      <c r="K489" s="318" t="inlineStr">
        <is>
          <t>DevOps &amp; QE</t>
        </is>
      </c>
      <c r="L489" s="318" t="n"/>
      <c r="M489" s="319" t="inlineStr">
        <is>
          <t>Australia</t>
        </is>
      </c>
      <c r="N489" s="320" t="inlineStr">
        <is>
          <t>CIB</t>
        </is>
      </c>
      <c r="O489" s="320" t="n">
        <v>1</v>
      </c>
      <c r="P489" s="320" t="n"/>
      <c r="Q489" s="320" t="inlineStr">
        <is>
          <t>Permanent - Full Time</t>
        </is>
      </c>
      <c r="R489" s="322" t="n"/>
      <c r="S489" s="322" t="n"/>
      <c r="T489" s="334" t="n">
        <v>145710</v>
      </c>
      <c r="U489" s="705" t="n">
        <v>145710</v>
      </c>
      <c r="V489" s="325" t="n">
        <v>0.12</v>
      </c>
      <c r="W489" s="702" t="n">
        <v>0.055</v>
      </c>
      <c r="X489" s="702" t="n">
        <v>0.12</v>
      </c>
      <c r="Y489" s="703" t="n"/>
      <c r="Z489" s="702" t="n">
        <v>0.04</v>
      </c>
      <c r="AA489" s="701">
        <f>U489*(1+V489+W489+X489+Y489+Z489)</f>
        <v>194522.85</v>
      </c>
      <c r="AC489" t="inlineStr">
        <is>
          <t>TDD Group Functions</t>
        </is>
      </c>
      <c r="AD489" t="inlineStr">
        <is>
          <t>TDD Group Functions</t>
        </is>
      </c>
      <c r="AE489" t="inlineStr">
        <is>
          <t>DevOps &amp; Engineering</t>
        </is>
      </c>
      <c r="AF489" t="inlineStr">
        <is>
          <t>Squad</t>
        </is>
      </c>
      <c r="AG489" t="inlineStr">
        <is>
          <t>Filled</t>
        </is>
      </c>
    </row>
    <row r="490" hidden="1" ht="18" customHeight="1" s="506">
      <c r="A490" s="259" t="n">
        <v>99999101441</v>
      </c>
      <c r="B490" s="224" t="inlineStr">
        <is>
          <t>Luke Hamer</t>
        </is>
      </c>
      <c r="C490" s="317" t="inlineStr">
        <is>
          <t>Lead Engineer - Devops</t>
        </is>
      </c>
      <c r="D490" s="367" t="inlineStr">
        <is>
          <t>Vacant</t>
        </is>
      </c>
      <c r="E490" s="335" t="inlineStr">
        <is>
          <t>Technology Manager – DevOps and Quality Engineering</t>
        </is>
      </c>
      <c r="F490" s="318" t="inlineStr">
        <is>
          <t>TDD Group Functions</t>
        </is>
      </c>
      <c r="G490" s="318" t="inlineStr">
        <is>
          <t>TDD &amp; Engineering</t>
        </is>
      </c>
      <c r="H490" s="318" t="inlineStr">
        <is>
          <t>DevOps &amp; QE</t>
        </is>
      </c>
      <c r="I490" s="224" t="inlineStr">
        <is>
          <t>TDD</t>
        </is>
      </c>
      <c r="J490" s="318" t="inlineStr">
        <is>
          <t>TDD</t>
        </is>
      </c>
      <c r="K490" s="318" t="inlineStr">
        <is>
          <t>DevOps &amp; QE</t>
        </is>
      </c>
      <c r="L490" s="318" t="n"/>
      <c r="M490" s="319" t="inlineStr">
        <is>
          <t>NZ</t>
        </is>
      </c>
      <c r="N490" s="320" t="inlineStr">
        <is>
          <t>CIC</t>
        </is>
      </c>
      <c r="O490" s="321" t="n">
        <v>1</v>
      </c>
      <c r="P490" s="320" t="n"/>
      <c r="Q490" s="321" t="inlineStr">
        <is>
          <t>Permanent - Full Time</t>
        </is>
      </c>
      <c r="R490" s="322" t="n"/>
      <c r="S490" s="322" t="n"/>
      <c r="T490" s="334" t="n">
        <v>159200</v>
      </c>
      <c r="U490" s="705" t="n">
        <v>146464</v>
      </c>
      <c r="V490" s="324" t="n">
        <v>0.15</v>
      </c>
      <c r="W490" s="322" t="n"/>
      <c r="X490" s="325" t="n">
        <v>0.05</v>
      </c>
      <c r="Y490" s="700" t="n">
        <v>2910</v>
      </c>
      <c r="Z490" s="325" t="n">
        <v>0.03</v>
      </c>
      <c r="AA490" s="701">
        <f>U490*(1+V490+X490+Z490)+Y490</f>
        <v>183060.72</v>
      </c>
      <c r="AB490" t="n">
        <v>113580</v>
      </c>
      <c r="AC490" t="inlineStr">
        <is>
          <t>TDD Group Functions</t>
        </is>
      </c>
      <c r="AD490" t="inlineStr">
        <is>
          <t>TDD Group Functions</t>
        </is>
      </c>
      <c r="AE490" t="inlineStr">
        <is>
          <t>DevOps &amp; Engineering</t>
        </is>
      </c>
      <c r="AF490" t="inlineStr">
        <is>
          <t>Squad</t>
        </is>
      </c>
      <c r="AG490" t="inlineStr">
        <is>
          <t>Filled</t>
        </is>
      </c>
    </row>
    <row r="491" hidden="1" ht="18" customHeight="1" s="506">
      <c r="A491" s="259" t="n">
        <v>99999100336</v>
      </c>
      <c r="B491" s="224" t="inlineStr">
        <is>
          <t>Lydia Pritchard</t>
        </is>
      </c>
      <c r="C491" s="317" t="inlineStr">
        <is>
          <t>Lead JDE Systems Specialist</t>
        </is>
      </c>
      <c r="D491" s="224" t="inlineStr">
        <is>
          <t>Shane Ker</t>
        </is>
      </c>
      <c r="E491" s="224" t="inlineStr">
        <is>
          <t>Technology Manager Finance Platforms</t>
        </is>
      </c>
      <c r="F491" s="224" t="inlineStr">
        <is>
          <t>TDD Group Functions</t>
        </is>
      </c>
      <c r="G491" s="335" t="inlineStr">
        <is>
          <t>P&amp;C, Finance &amp; Legal</t>
        </is>
      </c>
      <c r="H491" s="318" t="inlineStr">
        <is>
          <t>Tech, Finance Platforms</t>
        </is>
      </c>
      <c r="I491" s="318" t="inlineStr">
        <is>
          <t>Finance</t>
        </is>
      </c>
      <c r="J491" s="318" t="inlineStr">
        <is>
          <t>NZ Finance</t>
        </is>
      </c>
      <c r="K491" s="318" t="inlineStr">
        <is>
          <t>NZ Finance</t>
        </is>
      </c>
      <c r="L491" s="318" t="n"/>
      <c r="M491" s="319" t="inlineStr">
        <is>
          <t>NZ</t>
        </is>
      </c>
      <c r="N491" s="320" t="inlineStr">
        <is>
          <t>CIC</t>
        </is>
      </c>
      <c r="O491" s="321" t="n">
        <v>1</v>
      </c>
      <c r="P491" s="320" t="n"/>
      <c r="Q491" s="321" t="inlineStr">
        <is>
          <t>Permanent - Full Time</t>
        </is>
      </c>
      <c r="R491" s="322" t="n"/>
      <c r="S491" s="322" t="n"/>
      <c r="T491" s="334" t="n">
        <v>172490</v>
      </c>
      <c r="U491" s="705" t="n">
        <v>158690.8</v>
      </c>
      <c r="V491" s="324" t="n">
        <v>0.15</v>
      </c>
      <c r="W491" s="322" t="n"/>
      <c r="X491" s="325" t="n">
        <v>0.05</v>
      </c>
      <c r="Y491" s="700" t="n">
        <v>2910</v>
      </c>
      <c r="Z491" s="325" t="n">
        <v>0.03</v>
      </c>
      <c r="AA491" s="701">
        <f>U491*(1+V491+X491+Z491)+Y491</f>
        <v>198099.68399999998</v>
      </c>
      <c r="AB491" t="n">
        <v>113581</v>
      </c>
      <c r="AC491" t="inlineStr">
        <is>
          <t>Finance</t>
        </is>
      </c>
      <c r="AD491" t="inlineStr">
        <is>
          <t>NZ Finance</t>
        </is>
      </c>
      <c r="AE491" t="inlineStr">
        <is>
          <t>NZ Finance</t>
        </is>
      </c>
      <c r="AF491" t="inlineStr">
        <is>
          <t>Squad</t>
        </is>
      </c>
      <c r="AG491" t="inlineStr">
        <is>
          <t>Filled</t>
        </is>
      </c>
    </row>
    <row r="492" hidden="1" ht="18" customHeight="1" s="506">
      <c r="A492" s="259" t="n">
        <v>108123</v>
      </c>
      <c r="B492" s="224" t="inlineStr">
        <is>
          <t>Maadhu Suresh</t>
        </is>
      </c>
      <c r="C492" s="317" t="inlineStr">
        <is>
          <t>Solution Architect</t>
        </is>
      </c>
      <c r="D492" s="318" t="inlineStr">
        <is>
          <t>Vacant</t>
        </is>
      </c>
      <c r="E492" s="224" t="inlineStr">
        <is>
          <t>Technology Manager P&amp;C Platforms</t>
        </is>
      </c>
      <c r="F492" s="224" t="inlineStr">
        <is>
          <t>TDD Group Functions</t>
        </is>
      </c>
      <c r="G492" s="335" t="inlineStr">
        <is>
          <t>P&amp;C, Finance &amp; Legal</t>
        </is>
      </c>
      <c r="H492" s="318" t="inlineStr">
        <is>
          <t>Tech, P&amp;C Platforms</t>
        </is>
      </c>
      <c r="I492" s="318" t="inlineStr">
        <is>
          <t>P&amp;C</t>
        </is>
      </c>
      <c r="J492" s="318" t="inlineStr">
        <is>
          <t>P&amp;C</t>
        </is>
      </c>
      <c r="K492" s="318" t="inlineStr">
        <is>
          <t>P&amp;C</t>
        </is>
      </c>
      <c r="L492" s="318" t="n"/>
      <c r="M492" s="319" t="inlineStr">
        <is>
          <t>Australia</t>
        </is>
      </c>
      <c r="N492" s="320" t="inlineStr">
        <is>
          <t>CIC</t>
        </is>
      </c>
      <c r="O492" s="320" t="n">
        <v>1</v>
      </c>
      <c r="P492" s="320" t="n"/>
      <c r="Q492" s="320" t="inlineStr">
        <is>
          <t>Permanent - Full Time</t>
        </is>
      </c>
      <c r="R492" s="322" t="n"/>
      <c r="S492" s="322" t="n"/>
      <c r="T492" s="334" t="n">
        <v>204000</v>
      </c>
      <c r="U492" s="705" t="n">
        <v>204000</v>
      </c>
      <c r="V492" s="325" t="n">
        <v>0.12</v>
      </c>
      <c r="W492" s="702" t="n">
        <v>0.055</v>
      </c>
      <c r="X492" s="702" t="n">
        <v>0.12</v>
      </c>
      <c r="Y492" s="703" t="n"/>
      <c r="Z492" s="702" t="n">
        <v>0.04</v>
      </c>
      <c r="AA492" s="701">
        <f>U492*(1+V492+W492+X492+Y492+Z492)</f>
        <v>272340.0</v>
      </c>
      <c r="AC492" t="inlineStr">
        <is>
          <t>P&amp;C</t>
        </is>
      </c>
      <c r="AD492" t="inlineStr">
        <is>
          <t>P&amp;C</t>
        </is>
      </c>
      <c r="AE492" t="inlineStr">
        <is>
          <t>P&amp;C</t>
        </is>
      </c>
      <c r="AF492" t="inlineStr">
        <is>
          <t>Squad</t>
        </is>
      </c>
      <c r="AG492" t="inlineStr">
        <is>
          <t>Filled</t>
        </is>
      </c>
    </row>
    <row r="493" hidden="1" ht="18" customHeight="1" s="506">
      <c r="A493" s="259" t="n">
        <v>4251</v>
      </c>
      <c r="B493" s="335" t="inlineStr">
        <is>
          <t>Maudud Chaudhury</t>
        </is>
      </c>
      <c r="C493" s="403" t="inlineStr">
        <is>
          <t>SAP ERP Application Lead</t>
        </is>
      </c>
      <c r="D493" s="318" t="inlineStr">
        <is>
          <t>Shane Ker</t>
        </is>
      </c>
      <c r="E493" s="335" t="inlineStr">
        <is>
          <t>Technology Manager Finance Platforms</t>
        </is>
      </c>
      <c r="F493" s="224" t="inlineStr">
        <is>
          <t>TDD Group Functions</t>
        </is>
      </c>
      <c r="G493" s="335" t="inlineStr">
        <is>
          <t>P&amp;C, Finance &amp; Legal</t>
        </is>
      </c>
      <c r="H493" s="318" t="inlineStr">
        <is>
          <t>Tech, Finance Platforms</t>
        </is>
      </c>
      <c r="I493" s="318" t="inlineStr">
        <is>
          <t>Finance</t>
        </is>
      </c>
      <c r="J493" s="318" t="inlineStr">
        <is>
          <t>AU Finance</t>
        </is>
      </c>
      <c r="K493" s="318" t="inlineStr">
        <is>
          <t>SAP ERP</t>
        </is>
      </c>
      <c r="L493" s="318" t="n"/>
      <c r="M493" s="319" t="inlineStr">
        <is>
          <t>Australia</t>
        </is>
      </c>
      <c r="N493" s="322" t="inlineStr">
        <is>
          <t>CIC</t>
        </is>
      </c>
      <c r="O493" s="322" t="n">
        <v>1</v>
      </c>
      <c r="P493" s="322" t="n"/>
      <c r="Q493" s="322" t="inlineStr">
        <is>
          <t>Permanent - Full Time</t>
        </is>
      </c>
      <c r="R493" s="322" t="n"/>
      <c r="S493" s="322" t="n"/>
      <c r="T493" s="334" t="n">
        <v>160370</v>
      </c>
      <c r="U493" s="705" t="n">
        <v>160370</v>
      </c>
      <c r="V493" s="325" t="n">
        <v>0.12</v>
      </c>
      <c r="W493" s="702" t="n">
        <v>0.055</v>
      </c>
      <c r="X493" s="702" t="n">
        <v>0.12</v>
      </c>
      <c r="Y493" s="703" t="n"/>
      <c r="Z493" s="702" t="n">
        <v>0.04</v>
      </c>
      <c r="AA493" s="701">
        <f>U493*(1+V493+W493+X493+Y493+Z493)</f>
        <v>214093.94999999998</v>
      </c>
      <c r="AC493" t="inlineStr">
        <is>
          <t>Finance</t>
        </is>
      </c>
      <c r="AD493" t="inlineStr">
        <is>
          <t>AU Finance</t>
        </is>
      </c>
      <c r="AE493" t="inlineStr">
        <is>
          <t>AU Finance</t>
        </is>
      </c>
      <c r="AF493" t="inlineStr">
        <is>
          <t>Squad</t>
        </is>
      </c>
      <c r="AG493" t="inlineStr">
        <is>
          <t>Filled</t>
        </is>
      </c>
    </row>
    <row r="494" hidden="1" ht="18" customHeight="1" s="506">
      <c r="A494" s="259" t="n">
        <v>99999101403</v>
      </c>
      <c r="B494" s="224" t="inlineStr">
        <is>
          <t>Michael Pollock</t>
        </is>
      </c>
      <c r="C494" s="317" t="inlineStr">
        <is>
          <t>Lead Business Analyst</t>
        </is>
      </c>
      <c r="D494" s="318" t="inlineStr">
        <is>
          <t>Vacant</t>
        </is>
      </c>
      <c r="E494" s="335" t="inlineStr">
        <is>
          <t>Delivery Manager, P&amp;C, Finance &amp; Legal</t>
        </is>
      </c>
      <c r="F494" s="224" t="inlineStr">
        <is>
          <t>TDD Group Functions</t>
        </is>
      </c>
      <c r="G494" s="335" t="inlineStr">
        <is>
          <t>P&amp;C, Finance &amp; Legal</t>
        </is>
      </c>
      <c r="H494" s="318" t="inlineStr">
        <is>
          <t>Delivery, P&amp;C, Finance &amp; Legal</t>
        </is>
      </c>
      <c r="I494" s="318" t="inlineStr">
        <is>
          <t>P&amp;C</t>
        </is>
      </c>
      <c r="J494" s="318" t="inlineStr">
        <is>
          <t>P&amp;C</t>
        </is>
      </c>
      <c r="K494" s="318" t="inlineStr">
        <is>
          <t>P&amp;C</t>
        </is>
      </c>
      <c r="L494" s="318" t="n"/>
      <c r="M494" s="319" t="inlineStr">
        <is>
          <t>NZ</t>
        </is>
      </c>
      <c r="N494" s="320" t="inlineStr">
        <is>
          <t>CIC</t>
        </is>
      </c>
      <c r="O494" s="321" t="n">
        <v>1</v>
      </c>
      <c r="P494" s="320" t="n"/>
      <c r="Q494" s="321" t="inlineStr">
        <is>
          <t>Permanent - Full Time</t>
        </is>
      </c>
      <c r="R494" s="322" t="n"/>
      <c r="S494" s="322" t="n"/>
      <c r="T494" s="334" t="n">
        <v>168300</v>
      </c>
      <c r="U494" s="705" t="n">
        <v>154836</v>
      </c>
      <c r="V494" s="324" t="n">
        <v>0.15</v>
      </c>
      <c r="W494" s="322" t="n"/>
      <c r="X494" s="325" t="n">
        <v>0.05</v>
      </c>
      <c r="Y494" s="700" t="n">
        <v>2910</v>
      </c>
      <c r="Z494" s="325" t="n">
        <v>0.03</v>
      </c>
      <c r="AA494" s="701">
        <f>U494*(1+V494+X494+Z494)+Y494</f>
        <v>193358.28</v>
      </c>
      <c r="AB494" t="n">
        <v>113592</v>
      </c>
      <c r="AC494" t="inlineStr">
        <is>
          <t>P&amp;C</t>
        </is>
      </c>
      <c r="AD494" t="inlineStr">
        <is>
          <t>P&amp;C</t>
        </is>
      </c>
      <c r="AE494" t="inlineStr">
        <is>
          <t>P&amp;C</t>
        </is>
      </c>
      <c r="AF494" t="inlineStr">
        <is>
          <t>Squad</t>
        </is>
      </c>
      <c r="AG494" t="inlineStr">
        <is>
          <t>Filled</t>
        </is>
      </c>
    </row>
    <row r="495" hidden="1" ht="18" customHeight="1" s="506">
      <c r="A495" s="259" t="n">
        <v>99999101273</v>
      </c>
      <c r="B495" s="224" t="inlineStr">
        <is>
          <t>Michael Weng</t>
        </is>
      </c>
      <c r="C495" s="317" t="inlineStr">
        <is>
          <t>Solution Architect</t>
        </is>
      </c>
      <c r="D495" s="224" t="inlineStr">
        <is>
          <t>Mike Seales</t>
        </is>
      </c>
      <c r="E495" s="224" t="inlineStr">
        <is>
          <t>Technology Manager Integration &amp; Process Managemetn</t>
        </is>
      </c>
      <c r="F495" s="224" t="inlineStr">
        <is>
          <t>TDD Group Functions</t>
        </is>
      </c>
      <c r="G495" s="318" t="inlineStr">
        <is>
          <t xml:space="preserve">TDD &amp; Engineering </t>
        </is>
      </c>
      <c r="H495" s="224" t="inlineStr">
        <is>
          <t>Integration &amp; Process Management</t>
        </is>
      </c>
      <c r="I495" s="224" t="inlineStr">
        <is>
          <t>TDD</t>
        </is>
      </c>
      <c r="J495" s="318" t="inlineStr">
        <is>
          <t>TDD</t>
        </is>
      </c>
      <c r="K495" s="318" t="inlineStr">
        <is>
          <t>Integration &amp; Process automation</t>
        </is>
      </c>
      <c r="L495" s="318" t="n"/>
      <c r="M495" s="319" t="inlineStr">
        <is>
          <t>NZ</t>
        </is>
      </c>
      <c r="N495" s="320" t="inlineStr">
        <is>
          <t>CIC</t>
        </is>
      </c>
      <c r="O495" s="321" t="n">
        <v>1</v>
      </c>
      <c r="P495" s="320" t="n"/>
      <c r="Q495" s="321" t="inlineStr">
        <is>
          <t>Permanent - Full Time</t>
        </is>
      </c>
      <c r="R495" s="322" t="n"/>
      <c r="S495" s="322" t="n"/>
      <c r="T495" s="334" t="n">
        <v>188510</v>
      </c>
      <c r="U495" s="705" t="n">
        <v>173429.2</v>
      </c>
      <c r="V495" s="324" t="n">
        <v>0.15</v>
      </c>
      <c r="W495" s="322" t="n"/>
      <c r="X495" s="325" t="n">
        <v>0.05</v>
      </c>
      <c r="Y495" s="700" t="n">
        <v>2910</v>
      </c>
      <c r="Z495" s="325" t="n">
        <v>0.03</v>
      </c>
      <c r="AA495" s="701">
        <f>U495*(1+V495+X495+Z495)+Y495</f>
        <v>216227.916</v>
      </c>
      <c r="AB495" t="n">
        <v>113593</v>
      </c>
      <c r="AC495" t="inlineStr">
        <is>
          <t>TDD Group Functions</t>
        </is>
      </c>
      <c r="AD495" t="inlineStr">
        <is>
          <t>TDD Group Functions</t>
        </is>
      </c>
      <c r="AE495" t="inlineStr">
        <is>
          <t>Integration</t>
        </is>
      </c>
      <c r="AF495" t="inlineStr">
        <is>
          <t>Squad</t>
        </is>
      </c>
      <c r="AG495" t="inlineStr">
        <is>
          <t>Filled</t>
        </is>
      </c>
    </row>
    <row r="496" hidden="1" ht="18" customHeight="1" s="506">
      <c r="A496" s="259" t="n">
        <v>99999101958</v>
      </c>
      <c r="B496" s="224" t="inlineStr">
        <is>
          <t>Mike Lealamanu</t>
        </is>
      </c>
      <c r="C496" s="317" t="inlineStr">
        <is>
          <t>Quality Assurance</t>
        </is>
      </c>
      <c r="D496" s="367" t="inlineStr">
        <is>
          <t>Vacant</t>
        </is>
      </c>
      <c r="E496" s="335" t="inlineStr">
        <is>
          <t>Technology Manager – DevOps and Quality Engineering</t>
        </is>
      </c>
      <c r="F496" s="318" t="inlineStr">
        <is>
          <t>TDD Group Functions</t>
        </is>
      </c>
      <c r="G496" s="318" t="inlineStr">
        <is>
          <t>TDD &amp; Engineering</t>
        </is>
      </c>
      <c r="H496" s="318" t="inlineStr">
        <is>
          <t>DevOps &amp; QE</t>
        </is>
      </c>
      <c r="I496" s="224" t="inlineStr">
        <is>
          <t>TDD</t>
        </is>
      </c>
      <c r="J496" s="318" t="inlineStr">
        <is>
          <t>TDD</t>
        </is>
      </c>
      <c r="K496" s="318" t="inlineStr">
        <is>
          <t>DevOps &amp; QE</t>
        </is>
      </c>
      <c r="L496" s="318" t="n"/>
      <c r="M496" s="319" t="inlineStr">
        <is>
          <t>NZ</t>
        </is>
      </c>
      <c r="N496" s="320" t="inlineStr">
        <is>
          <t>CIA</t>
        </is>
      </c>
      <c r="O496" s="321" t="n">
        <v>1</v>
      </c>
      <c r="P496" s="320" t="n"/>
      <c r="Q496" s="321" t="inlineStr">
        <is>
          <t>Permanent - Full Time</t>
        </is>
      </c>
      <c r="R496" s="322" t="n"/>
      <c r="S496" s="322" t="n"/>
      <c r="T496" s="334" t="n">
        <v>115830</v>
      </c>
      <c r="U496" s="705" t="n">
        <v>106563.6</v>
      </c>
      <c r="V496" s="324" t="n">
        <v>0.15</v>
      </c>
      <c r="W496" s="322" t="n"/>
      <c r="X496" s="325" t="n">
        <v>0.05</v>
      </c>
      <c r="Y496" s="700" t="n">
        <v>2910</v>
      </c>
      <c r="Z496" s="325" t="n">
        <v>0.03</v>
      </c>
      <c r="AA496" s="701">
        <f>U496*(1+V496+X496+Z496)+Y496</f>
        <v>133983.228</v>
      </c>
      <c r="AB496" t="n">
        <v>113596</v>
      </c>
      <c r="AC496" t="inlineStr">
        <is>
          <t>TDD Group Functions</t>
        </is>
      </c>
      <c r="AD496" t="inlineStr">
        <is>
          <t>TDD Group Functions</t>
        </is>
      </c>
      <c r="AE496" t="inlineStr">
        <is>
          <t>DevOps &amp; Engineering</t>
        </is>
      </c>
      <c r="AF496" t="inlineStr">
        <is>
          <t>Squad</t>
        </is>
      </c>
      <c r="AG496" t="inlineStr">
        <is>
          <t>Filled</t>
        </is>
      </c>
    </row>
    <row r="497" hidden="1" ht="18" customHeight="1" s="506">
      <c r="A497" s="259" t="n">
        <v>99999101058</v>
      </c>
      <c r="B497" s="224" t="inlineStr">
        <is>
          <t>Mike Seales</t>
        </is>
      </c>
      <c r="C497" s="317" t="inlineStr">
        <is>
          <t>Technology Manager, Integration &amp; Process Automation</t>
        </is>
      </c>
      <c r="D497" s="318" t="inlineStr">
        <is>
          <t>Vacant</t>
        </is>
      </c>
      <c r="E497" s="224" t="inlineStr">
        <is>
          <t>Head of Technology - TDD &amp; Engineering Capability Lead</t>
        </is>
      </c>
      <c r="F497" s="224" t="inlineStr">
        <is>
          <t>TDD Group Functions</t>
        </is>
      </c>
      <c r="G497" s="318" t="inlineStr">
        <is>
          <t xml:space="preserve">TDD &amp; Engineering </t>
        </is>
      </c>
      <c r="H497" s="224" t="inlineStr">
        <is>
          <t>Integration &amp; Process Management</t>
        </is>
      </c>
      <c r="I497" s="224" t="inlineStr">
        <is>
          <t>TDD</t>
        </is>
      </c>
      <c r="J497" s="318" t="inlineStr">
        <is>
          <t>TDD</t>
        </is>
      </c>
      <c r="K497" s="318" t="inlineStr">
        <is>
          <t>Integration &amp; Process automation</t>
        </is>
      </c>
      <c r="L497" s="318" t="n"/>
      <c r="M497" s="319" t="inlineStr">
        <is>
          <t>NZ</t>
        </is>
      </c>
      <c r="N497" s="320" t="inlineStr">
        <is>
          <t>CSB</t>
        </is>
      </c>
      <c r="O497" s="321" t="n">
        <v>1</v>
      </c>
      <c r="P497" s="320" t="n"/>
      <c r="Q497" s="321" t="inlineStr">
        <is>
          <t>Permanent - Full Time</t>
        </is>
      </c>
      <c r="R497" s="322" t="n"/>
      <c r="S497" s="322" t="n"/>
      <c r="T497" s="334" t="n">
        <v>200000</v>
      </c>
      <c r="U497" s="705" t="n">
        <v>184000</v>
      </c>
      <c r="V497" s="324" t="n">
        <v>0.15</v>
      </c>
      <c r="W497" s="322" t="n"/>
      <c r="X497" s="325" t="n">
        <v>0.05</v>
      </c>
      <c r="Y497" s="700" t="n">
        <v>2910</v>
      </c>
      <c r="Z497" s="325" t="n">
        <v>0.03</v>
      </c>
      <c r="AA497" s="701">
        <f>U497*(1+V497+X497+Z497)+Y497</f>
        <v>229230.0</v>
      </c>
      <c r="AB497" t="n">
        <v>113597</v>
      </c>
      <c r="AC497" t="inlineStr">
        <is>
          <t>TDD Group Functions</t>
        </is>
      </c>
      <c r="AD497" t="inlineStr">
        <is>
          <t>TDD Group Functions</t>
        </is>
      </c>
      <c r="AE497" t="inlineStr">
        <is>
          <t>Integration</t>
        </is>
      </c>
      <c r="AF497" t="inlineStr">
        <is>
          <t>Squad</t>
        </is>
      </c>
      <c r="AG497" t="inlineStr">
        <is>
          <t>Filled</t>
        </is>
      </c>
    </row>
    <row r="498" hidden="1" ht="18" customHeight="1" s="506">
      <c r="A498" s="259" t="n">
        <v>106117</v>
      </c>
      <c r="B498" s="224" t="inlineStr">
        <is>
          <t>Muhammad Abubaker</t>
        </is>
      </c>
      <c r="C498" s="317" t="inlineStr">
        <is>
          <t>Network Operations Engineer</t>
        </is>
      </c>
      <c r="D498" s="318" t="inlineStr">
        <is>
          <t>John McCormack</t>
        </is>
      </c>
      <c r="E498" s="396" t="inlineStr">
        <is>
          <t>Manager - Infrastructure Operations</t>
        </is>
      </c>
      <c r="F498" s="224" t="inlineStr">
        <is>
          <t>TDD Group Functions</t>
        </is>
      </c>
      <c r="G498" s="318" t="inlineStr">
        <is>
          <t>TDD &amp; Engineering</t>
        </is>
      </c>
      <c r="H498" s="318" t="inlineStr">
        <is>
          <t>Cloud, Network &amp; Infra</t>
        </is>
      </c>
      <c r="I498" s="224" t="inlineStr">
        <is>
          <t>TDD</t>
        </is>
      </c>
      <c r="J498" s="318" t="inlineStr">
        <is>
          <t>TDD</t>
        </is>
      </c>
      <c r="K498" s="318" t="inlineStr">
        <is>
          <t>Cloud, Network &amp; Infra Ops</t>
        </is>
      </c>
      <c r="L498" s="318" t="n"/>
      <c r="M498" s="319" t="inlineStr">
        <is>
          <t>Australia</t>
        </is>
      </c>
      <c r="N498" s="320" t="inlineStr">
        <is>
          <t>CIB</t>
        </is>
      </c>
      <c r="O498" s="320" t="n">
        <v>1</v>
      </c>
      <c r="P498" s="320" t="n"/>
      <c r="Q498" s="320" t="inlineStr">
        <is>
          <t>Permanent - Full Time</t>
        </is>
      </c>
      <c r="R498" s="322" t="n"/>
      <c r="S498" s="322" t="n"/>
      <c r="T498" s="334" t="n">
        <v>163040</v>
      </c>
      <c r="U498" s="705" t="n">
        <v>163040</v>
      </c>
      <c r="V498" s="325" t="n">
        <v>0.12</v>
      </c>
      <c r="W498" s="702" t="n">
        <v>0.055</v>
      </c>
      <c r="X498" s="702" t="n">
        <v>0.12</v>
      </c>
      <c r="Y498" s="703" t="n"/>
      <c r="Z498" s="702" t="n">
        <v>0.04</v>
      </c>
      <c r="AA498" s="701">
        <f>U498*(1+V498+W498+X498+Y498+Z498)</f>
        <v>217658.4</v>
      </c>
      <c r="AC498" t="inlineStr">
        <is>
          <t>TDD Group Functions</t>
        </is>
      </c>
      <c r="AD498" t="inlineStr">
        <is>
          <t>TDD Group Functions</t>
        </is>
      </c>
      <c r="AE498" t="inlineStr">
        <is>
          <t>Network &amp; Infrastructure</t>
        </is>
      </c>
      <c r="AF498" t="inlineStr">
        <is>
          <t>Squad</t>
        </is>
      </c>
      <c r="AG498" t="inlineStr">
        <is>
          <t>Filled</t>
        </is>
      </c>
    </row>
    <row r="499" hidden="1" ht="18" customHeight="1" s="506">
      <c r="A499" s="259" t="n">
        <v>106024</v>
      </c>
      <c r="B499" s="224" t="inlineStr">
        <is>
          <t>Nicholas McKay</t>
        </is>
      </c>
      <c r="C499" s="317" t="inlineStr">
        <is>
          <t>Workplace Tooling Specialist</t>
        </is>
      </c>
      <c r="D499" s="318" t="inlineStr">
        <is>
          <t>Vacant</t>
        </is>
      </c>
      <c r="E499" s="224" t="inlineStr">
        <is>
          <t>Technology Manager, Enterprise Tooling</t>
        </is>
      </c>
      <c r="F499" s="224" t="inlineStr">
        <is>
          <t>TDD Group Functions</t>
        </is>
      </c>
      <c r="G499" s="318" t="inlineStr">
        <is>
          <t xml:space="preserve">TDD &amp; Engineering </t>
        </is>
      </c>
      <c r="H499" s="224" t="inlineStr">
        <is>
          <t>Workplace &amp; Enterprise Tooling</t>
        </is>
      </c>
      <c r="I499" s="224" t="inlineStr">
        <is>
          <t>TDD</t>
        </is>
      </c>
      <c r="J499" s="318" t="inlineStr">
        <is>
          <t>TDD</t>
        </is>
      </c>
      <c r="K499" s="318" t="inlineStr">
        <is>
          <t>Workplace &amp; Enterprise Tooling</t>
        </is>
      </c>
      <c r="L499" s="318" t="n"/>
      <c r="M499" s="319" t="inlineStr">
        <is>
          <t>Australia</t>
        </is>
      </c>
      <c r="N499" s="320" t="inlineStr">
        <is>
          <t>CIB</t>
        </is>
      </c>
      <c r="O499" s="320" t="n">
        <v>1</v>
      </c>
      <c r="P499" s="320" t="n"/>
      <c r="Q499" s="320" t="inlineStr">
        <is>
          <t>Permanent - Full Time</t>
        </is>
      </c>
      <c r="R499" s="322" t="n"/>
      <c r="S499" s="322" t="n"/>
      <c r="T499" s="334" t="n">
        <v>159130</v>
      </c>
      <c r="U499" s="705" t="n">
        <v>159130</v>
      </c>
      <c r="V499" s="325" t="n">
        <v>0.12</v>
      </c>
      <c r="W499" s="702" t="n">
        <v>0.055</v>
      </c>
      <c r="X499" s="702" t="n">
        <v>0.12</v>
      </c>
      <c r="Y499" s="703" t="n"/>
      <c r="Z499" s="702" t="n">
        <v>0.04</v>
      </c>
      <c r="AA499" s="701">
        <f>U499*(1+V499+W499+X499+Y499+Z499)</f>
        <v>212438.55</v>
      </c>
      <c r="AC499" t="inlineStr">
        <is>
          <t>TDD Group Functions</t>
        </is>
      </c>
      <c r="AD499" t="inlineStr">
        <is>
          <t>TDD Group Functions</t>
        </is>
      </c>
      <c r="AE499" t="inlineStr">
        <is>
          <t>Workplace &amp; Enterprise Tooling</t>
        </is>
      </c>
      <c r="AF499" t="inlineStr">
        <is>
          <t>Squad</t>
        </is>
      </c>
      <c r="AG499" t="inlineStr">
        <is>
          <t>Filled</t>
        </is>
      </c>
    </row>
    <row r="500" hidden="1" ht="18" customHeight="1" s="506">
      <c r="A500" s="259" t="n">
        <v>99999101069</v>
      </c>
      <c r="B500" s="335" t="inlineStr">
        <is>
          <t>Noel Morris</t>
        </is>
      </c>
      <c r="C500" s="403" t="inlineStr">
        <is>
          <t>Snr Engineer</t>
        </is>
      </c>
      <c r="D500" s="318" t="inlineStr">
        <is>
          <t>Vacant</t>
        </is>
      </c>
      <c r="E500" s="335" t="inlineStr">
        <is>
          <t>RPA Lead</t>
        </is>
      </c>
      <c r="F500" s="224" t="inlineStr">
        <is>
          <t>TDD Group Functions</t>
        </is>
      </c>
      <c r="G500" s="318" t="inlineStr">
        <is>
          <t xml:space="preserve">TDD &amp; Engineering </t>
        </is>
      </c>
      <c r="H500" s="318" t="inlineStr">
        <is>
          <t>Integration &amp; Process automation</t>
        </is>
      </c>
      <c r="I500" s="224" t="inlineStr">
        <is>
          <t>TDD</t>
        </is>
      </c>
      <c r="J500" s="318" t="inlineStr">
        <is>
          <t>TDD</t>
        </is>
      </c>
      <c r="K500" s="318" t="inlineStr">
        <is>
          <t>Integration &amp; Process automation</t>
        </is>
      </c>
      <c r="L500" s="318" t="n"/>
      <c r="M500" s="319" t="inlineStr">
        <is>
          <t>NZ</t>
        </is>
      </c>
      <c r="N500" s="320" t="inlineStr">
        <is>
          <t>CIA</t>
        </is>
      </c>
      <c r="O500" s="321" t="n">
        <v>1</v>
      </c>
      <c r="P500" s="320" t="n"/>
      <c r="Q500" s="321" t="inlineStr">
        <is>
          <t>Permanent - Full Time</t>
        </is>
      </c>
      <c r="R500" s="322" t="n"/>
      <c r="S500" s="322" t="n"/>
      <c r="T500" s="334" t="n">
        <v>120800</v>
      </c>
      <c r="U500" s="699" t="n">
        <v>111136</v>
      </c>
      <c r="V500" s="324" t="n">
        <v>0.15</v>
      </c>
      <c r="W500" s="322" t="n"/>
      <c r="X500" s="325" t="n">
        <v>0.05</v>
      </c>
      <c r="Y500" s="700" t="n">
        <v>2910</v>
      </c>
      <c r="Z500" s="325" t="n">
        <v>0.03</v>
      </c>
      <c r="AA500" s="701">
        <f>U500*(1+V500+X500+Z500)+Y500</f>
        <v>139607.28</v>
      </c>
      <c r="AB500" t="n">
        <v>113602</v>
      </c>
      <c r="AC500" t="inlineStr">
        <is>
          <t>TDD Group Functions</t>
        </is>
      </c>
      <c r="AD500" t="inlineStr">
        <is>
          <t>TDD Group Functions</t>
        </is>
      </c>
      <c r="AE500" t="inlineStr">
        <is>
          <t>Integration</t>
        </is>
      </c>
      <c r="AF500" t="inlineStr">
        <is>
          <t>Squad</t>
        </is>
      </c>
      <c r="AG500" t="inlineStr">
        <is>
          <t>Filled</t>
        </is>
      </c>
    </row>
    <row r="501" hidden="1" ht="18" customHeight="1" s="506">
      <c r="A501" s="259" t="n">
        <v>93476</v>
      </c>
      <c r="B501" s="224" t="inlineStr">
        <is>
          <t>Prerna Sharma</t>
        </is>
      </c>
      <c r="C501" s="317" t="inlineStr">
        <is>
          <t>SAP HR Specialist</t>
        </is>
      </c>
      <c r="D501" s="318" t="inlineStr">
        <is>
          <t>Vacant</t>
        </is>
      </c>
      <c r="E501" t="inlineStr">
        <is>
          <t>Technology Manager P&amp;C Platforms</t>
        </is>
      </c>
      <c r="F501" s="224" t="inlineStr">
        <is>
          <t>TDD Group Functions</t>
        </is>
      </c>
      <c r="G501" s="335" t="inlineStr">
        <is>
          <t>P&amp;C, Finance &amp; Legal</t>
        </is>
      </c>
      <c r="H501" s="318" t="inlineStr">
        <is>
          <t>Tech, P&amp;C Platforms</t>
        </is>
      </c>
      <c r="I501" s="318" t="inlineStr">
        <is>
          <t>P&amp;C</t>
        </is>
      </c>
      <c r="J501" s="318" t="inlineStr">
        <is>
          <t>P&amp;C</t>
        </is>
      </c>
      <c r="K501" s="318" t="inlineStr">
        <is>
          <t>P&amp;C</t>
        </is>
      </c>
      <c r="L501" s="318" t="n"/>
      <c r="M501" s="319" t="inlineStr">
        <is>
          <t>Australia</t>
        </is>
      </c>
      <c r="N501" s="320" t="inlineStr">
        <is>
          <t>CIC</t>
        </is>
      </c>
      <c r="O501" s="320" t="n">
        <v>1</v>
      </c>
      <c r="P501" s="320" t="n"/>
      <c r="Q501" s="320" t="inlineStr">
        <is>
          <t>Permanent - Full Time</t>
        </is>
      </c>
      <c r="R501" s="322" t="n"/>
      <c r="S501" s="322" t="n"/>
      <c r="T501" s="334" t="n">
        <v>175410</v>
      </c>
      <c r="U501" s="699" t="n">
        <v>175410</v>
      </c>
      <c r="V501" s="325" t="n">
        <v>0.12</v>
      </c>
      <c r="W501" s="702" t="n">
        <v>0.055</v>
      </c>
      <c r="X501" s="702" t="n">
        <v>0.12</v>
      </c>
      <c r="Y501" s="703" t="n"/>
      <c r="Z501" s="702" t="n">
        <v>0.04</v>
      </c>
      <c r="AA501" s="701">
        <f>U501*(1+V501+W501+X501+Y501+Z501)</f>
        <v>234172.35</v>
      </c>
      <c r="AC501" t="inlineStr">
        <is>
          <t>P&amp;C</t>
        </is>
      </c>
      <c r="AD501" t="inlineStr">
        <is>
          <t>P&amp;C</t>
        </is>
      </c>
      <c r="AE501" t="inlineStr">
        <is>
          <t>P&amp;C</t>
        </is>
      </c>
      <c r="AF501" t="inlineStr">
        <is>
          <t>Squad</t>
        </is>
      </c>
      <c r="AG501" t="inlineStr">
        <is>
          <t>Filled</t>
        </is>
      </c>
    </row>
    <row r="502" hidden="1" ht="18" customHeight="1" s="506">
      <c r="A502" s="259" t="n"/>
      <c r="B502" s="367" t="inlineStr">
        <is>
          <t>Ring fenced</t>
        </is>
      </c>
      <c r="C502" s="403" t="inlineStr">
        <is>
          <t>JDE Senior Systems Specialist</t>
        </is>
      </c>
      <c r="D502" s="318" t="inlineStr">
        <is>
          <t>Lydia Pritchard</t>
        </is>
      </c>
      <c r="E502" s="335" t="inlineStr">
        <is>
          <t>Lead JDE System Specialist</t>
        </is>
      </c>
      <c r="F502" s="224" t="inlineStr">
        <is>
          <t>TDD Group Functions</t>
        </is>
      </c>
      <c r="G502" s="335" t="inlineStr">
        <is>
          <t>P&amp;C, Finance &amp; Legal</t>
        </is>
      </c>
      <c r="H502" s="318" t="inlineStr">
        <is>
          <t>Tech, Finance Platforms</t>
        </is>
      </c>
      <c r="I502" s="318" t="inlineStr">
        <is>
          <t>Finance</t>
        </is>
      </c>
      <c r="J502" s="318" t="inlineStr">
        <is>
          <t>NZ Finance</t>
        </is>
      </c>
      <c r="K502" s="318" t="inlineStr">
        <is>
          <t>NZ Finance</t>
        </is>
      </c>
      <c r="L502" s="318" t="n"/>
      <c r="M502" s="319" t="inlineStr">
        <is>
          <t>NZ</t>
        </is>
      </c>
      <c r="N502" s="320" t="inlineStr">
        <is>
          <t>CIC</t>
        </is>
      </c>
      <c r="O502" s="320" t="n">
        <v>1</v>
      </c>
      <c r="P502" s="320" t="n"/>
      <c r="Q502" s="320" t="inlineStr">
        <is>
          <t>v</t>
        </is>
      </c>
      <c r="R502" s="331" t="n"/>
      <c r="S502" s="322" t="n"/>
      <c r="T502" s="334" t="n">
        <v>160000</v>
      </c>
      <c r="U502" s="699" t="n">
        <v>147200</v>
      </c>
      <c r="V502" s="325" t="n">
        <v>0.15</v>
      </c>
      <c r="W502" s="322" t="n"/>
      <c r="X502" s="325" t="n">
        <v>0.05</v>
      </c>
      <c r="Y502" s="700" t="n">
        <v>2910</v>
      </c>
      <c r="Z502" s="325" t="n">
        <v>0.03</v>
      </c>
      <c r="AA502" s="701">
        <f>U502*(1+V502+X502+Z502)+Y502</f>
        <v>183966.0</v>
      </c>
      <c r="AC502" t="inlineStr">
        <is>
          <t>Finance</t>
        </is>
      </c>
      <c r="AD502" t="inlineStr">
        <is>
          <t>NZ Finance</t>
        </is>
      </c>
      <c r="AE502" t="inlineStr">
        <is>
          <t>NZ Finance</t>
        </is>
      </c>
      <c r="AF502" t="inlineStr">
        <is>
          <t>Squad</t>
        </is>
      </c>
      <c r="AG502" t="inlineStr">
        <is>
          <t>Filled</t>
        </is>
      </c>
    </row>
    <row r="503" hidden="1" ht="18" customHeight="1" s="506">
      <c r="A503" s="259" t="n"/>
      <c r="B503" s="367" t="inlineStr">
        <is>
          <t>Ring fenced</t>
        </is>
      </c>
      <c r="C503" s="403" t="inlineStr">
        <is>
          <t>JDE Senior Systems Specialist</t>
        </is>
      </c>
      <c r="D503" s="318" t="inlineStr">
        <is>
          <t>Lydia Pritchard</t>
        </is>
      </c>
      <c r="E503" s="335" t="inlineStr">
        <is>
          <t>Lead JDE System Specialist</t>
        </is>
      </c>
      <c r="F503" s="224" t="inlineStr">
        <is>
          <t>TDD Group Functions</t>
        </is>
      </c>
      <c r="G503" s="335" t="inlineStr">
        <is>
          <t>P&amp;C, Finance &amp; Legal</t>
        </is>
      </c>
      <c r="H503" s="318" t="inlineStr">
        <is>
          <t>Tech, Finance Platforms</t>
        </is>
      </c>
      <c r="I503" s="318" t="inlineStr">
        <is>
          <t>Finance</t>
        </is>
      </c>
      <c r="J503" s="318" t="inlineStr">
        <is>
          <t>NZ Finance</t>
        </is>
      </c>
      <c r="K503" s="318" t="inlineStr">
        <is>
          <t>NZ Finance</t>
        </is>
      </c>
      <c r="L503" s="318" t="n"/>
      <c r="M503" s="319" t="inlineStr">
        <is>
          <t>NZ</t>
        </is>
      </c>
      <c r="N503" s="320" t="inlineStr">
        <is>
          <t>CIC</t>
        </is>
      </c>
      <c r="O503" s="320" t="n">
        <v>1</v>
      </c>
      <c r="P503" s="320" t="n"/>
      <c r="Q503" s="320" t="inlineStr">
        <is>
          <t>v</t>
        </is>
      </c>
      <c r="R503" s="331" t="n"/>
      <c r="S503" s="322" t="n"/>
      <c r="T503" s="334" t="n">
        <v>160000</v>
      </c>
      <c r="U503" s="699" t="n">
        <v>147200</v>
      </c>
      <c r="V503" s="324" t="n">
        <v>0.15</v>
      </c>
      <c r="W503" s="322" t="n"/>
      <c r="X503" s="325" t="n">
        <v>0.05</v>
      </c>
      <c r="Y503" s="700" t="n">
        <v>2910</v>
      </c>
      <c r="Z503" s="325" t="n">
        <v>0.03</v>
      </c>
      <c r="AA503" s="701">
        <f>U503*(1+V503+X503+Z503)+Y503</f>
        <v>183966.0</v>
      </c>
      <c r="AC503" t="inlineStr">
        <is>
          <t>Finance</t>
        </is>
      </c>
      <c r="AD503" t="inlineStr">
        <is>
          <t>NZ Finance</t>
        </is>
      </c>
      <c r="AE503" t="inlineStr">
        <is>
          <t>NZ Finance</t>
        </is>
      </c>
      <c r="AF503" t="inlineStr">
        <is>
          <t>Squad</t>
        </is>
      </c>
      <c r="AG503" t="inlineStr">
        <is>
          <t>Filled</t>
        </is>
      </c>
    </row>
    <row r="504" hidden="1" ht="18" customHeight="1" s="506">
      <c r="A504" s="259" t="n"/>
      <c r="B504" s="367" t="inlineStr">
        <is>
          <t>Ring fenced selection</t>
        </is>
      </c>
      <c r="C504" s="403" t="inlineStr">
        <is>
          <t>Cloud Solutions Architect</t>
        </is>
      </c>
      <c r="D504" s="318" t="inlineStr">
        <is>
          <t>Vacant</t>
        </is>
      </c>
      <c r="E504" s="335" t="inlineStr">
        <is>
          <t>Technology Manager - Cloud, Network &amp; Infrastructure Operations</t>
        </is>
      </c>
      <c r="F504" s="224" t="inlineStr">
        <is>
          <t>TDD Group Functions</t>
        </is>
      </c>
      <c r="G504" s="318" t="inlineStr">
        <is>
          <t>TDD &amp; Engineering</t>
        </is>
      </c>
      <c r="H504" s="318" t="inlineStr">
        <is>
          <t>Cloud, Network &amp; Infra</t>
        </is>
      </c>
      <c r="I504" s="224" t="inlineStr">
        <is>
          <t>TDD</t>
        </is>
      </c>
      <c r="J504" s="318" t="inlineStr">
        <is>
          <t>TDD</t>
        </is>
      </c>
      <c r="K504" s="318" t="inlineStr">
        <is>
          <t>Cloud, Network &amp; Infra Ops</t>
        </is>
      </c>
      <c r="L504" s="318" t="n"/>
      <c r="M504" s="319" t="inlineStr">
        <is>
          <t>Australia</t>
        </is>
      </c>
      <c r="N504" s="320" t="inlineStr">
        <is>
          <t>CIC</t>
        </is>
      </c>
      <c r="O504" s="320" t="n">
        <v>1</v>
      </c>
      <c r="P504" s="320" t="n"/>
      <c r="Q504" s="320" t="inlineStr">
        <is>
          <t>v</t>
        </is>
      </c>
      <c r="R504" s="331" t="n"/>
      <c r="S504" s="322" t="n"/>
      <c r="T504" s="334" t="n">
        <v>200000</v>
      </c>
      <c r="U504" s="699" t="n">
        <v>200000</v>
      </c>
      <c r="V504" s="325" t="n">
        <v>0.12</v>
      </c>
      <c r="W504" s="702" t="n">
        <v>0.055</v>
      </c>
      <c r="X504" s="702" t="n">
        <v>0.12</v>
      </c>
      <c r="Y504" s="703" t="n"/>
      <c r="Z504" s="702" t="n">
        <v>0.04</v>
      </c>
      <c r="AA504" s="701">
        <f>U504*(1+V504+W504+X504+Y504+Z504)</f>
        <v>267000.0</v>
      </c>
      <c r="AC504" t="inlineStr">
        <is>
          <t>TDD Group Functions</t>
        </is>
      </c>
      <c r="AD504" t="inlineStr">
        <is>
          <t>TDD Group Functions</t>
        </is>
      </c>
      <c r="AE504" t="inlineStr">
        <is>
          <t>Network &amp; Infrastructure</t>
        </is>
      </c>
      <c r="AF504" t="inlineStr">
        <is>
          <t>Squad</t>
        </is>
      </c>
      <c r="AG504" t="inlineStr">
        <is>
          <t>Filled</t>
        </is>
      </c>
    </row>
    <row r="505" hidden="1" ht="18" customHeight="1" s="506">
      <c r="A505" s="259" t="n"/>
      <c r="B505" s="367" t="inlineStr">
        <is>
          <t>Ring fenced selection</t>
        </is>
      </c>
      <c r="C505" s="403" t="inlineStr">
        <is>
          <t>Cloud Solutions Architect</t>
        </is>
      </c>
      <c r="D505" s="318" t="inlineStr">
        <is>
          <t>Vacant</t>
        </is>
      </c>
      <c r="E505" s="335" t="inlineStr">
        <is>
          <t>Technology Manager - Cloud, Network &amp; Infrastructure Operations</t>
        </is>
      </c>
      <c r="F505" s="224" t="inlineStr">
        <is>
          <t>TDD Group Functions</t>
        </is>
      </c>
      <c r="G505" s="318" t="inlineStr">
        <is>
          <t>TDD &amp; Engineering</t>
        </is>
      </c>
      <c r="H505" s="318" t="inlineStr">
        <is>
          <t>Cloud, Network &amp; Infra</t>
        </is>
      </c>
      <c r="I505" s="224" t="inlineStr">
        <is>
          <t>TDD</t>
        </is>
      </c>
      <c r="J505" s="318" t="inlineStr">
        <is>
          <t>TDD</t>
        </is>
      </c>
      <c r="K505" s="318" t="inlineStr">
        <is>
          <t>Cloud, Network &amp; Infra Ops</t>
        </is>
      </c>
      <c r="L505" s="318" t="n"/>
      <c r="M505" s="319" t="inlineStr">
        <is>
          <t>Australia</t>
        </is>
      </c>
      <c r="N505" s="320" t="inlineStr">
        <is>
          <t>CIC</t>
        </is>
      </c>
      <c r="O505" s="320" t="n">
        <v>1</v>
      </c>
      <c r="P505" s="320" t="n"/>
      <c r="Q505" s="320" t="inlineStr">
        <is>
          <t>v</t>
        </is>
      </c>
      <c r="R505" s="331" t="n"/>
      <c r="S505" s="322" t="n"/>
      <c r="T505" s="334" t="n">
        <v>200000</v>
      </c>
      <c r="U505" s="699" t="n">
        <v>200000</v>
      </c>
      <c r="V505" s="325" t="n">
        <v>0.12</v>
      </c>
      <c r="W505" s="702" t="n">
        <v>0.055</v>
      </c>
      <c r="X505" s="702" t="n">
        <v>0.12</v>
      </c>
      <c r="Y505" s="703" t="n"/>
      <c r="Z505" s="702" t="n">
        <v>0.04</v>
      </c>
      <c r="AA505" s="701">
        <f>U505*(1+V505+W505+X505+Y505+Z505)</f>
        <v>267000.0</v>
      </c>
      <c r="AC505" t="inlineStr">
        <is>
          <t>TDD Group Functions</t>
        </is>
      </c>
      <c r="AD505" t="inlineStr">
        <is>
          <t>TDD Group Functions</t>
        </is>
      </c>
      <c r="AE505" t="inlineStr">
        <is>
          <t>Network &amp; Infrastructure</t>
        </is>
      </c>
      <c r="AF505" t="inlineStr">
        <is>
          <t>Squad</t>
        </is>
      </c>
      <c r="AG505" t="inlineStr">
        <is>
          <t>Filled</t>
        </is>
      </c>
    </row>
    <row r="506" hidden="1" ht="18" customHeight="1" s="506">
      <c r="A506" s="259" t="n"/>
      <c r="B506" s="367" t="inlineStr">
        <is>
          <t>Ring fenced selection</t>
        </is>
      </c>
      <c r="C506" s="403" t="inlineStr">
        <is>
          <t>Cloud Solutions Architect</t>
        </is>
      </c>
      <c r="D506" s="318" t="inlineStr">
        <is>
          <t>Vacant</t>
        </is>
      </c>
      <c r="E506" s="396" t="inlineStr">
        <is>
          <t>Technology Manager - Cloud, Network &amp; Infrastructure Operations</t>
        </is>
      </c>
      <c r="F506" s="224" t="inlineStr">
        <is>
          <t>TDD Group Functions</t>
        </is>
      </c>
      <c r="G506" s="318" t="inlineStr">
        <is>
          <t>TDD &amp; Engineering</t>
        </is>
      </c>
      <c r="H506" s="318" t="inlineStr">
        <is>
          <t>Cloud, Network &amp; Infra</t>
        </is>
      </c>
      <c r="I506" s="224" t="inlineStr">
        <is>
          <t>TDD</t>
        </is>
      </c>
      <c r="J506" s="318" t="inlineStr">
        <is>
          <t>TDD</t>
        </is>
      </c>
      <c r="K506" s="318" t="inlineStr">
        <is>
          <t>Cloud, Network &amp; Infra Ops</t>
        </is>
      </c>
      <c r="L506" s="318" t="n"/>
      <c r="M506" s="319" t="inlineStr">
        <is>
          <t>Australia</t>
        </is>
      </c>
      <c r="N506" s="320" t="inlineStr">
        <is>
          <t>CIC</t>
        </is>
      </c>
      <c r="O506" s="320" t="n">
        <v>1</v>
      </c>
      <c r="P506" s="320" t="n"/>
      <c r="Q506" s="320" t="inlineStr">
        <is>
          <t>v</t>
        </is>
      </c>
      <c r="R506" s="331" t="n"/>
      <c r="S506" s="322" t="n"/>
      <c r="T506" s="334" t="n">
        <v>200000</v>
      </c>
      <c r="U506" s="705" t="n">
        <v>200000</v>
      </c>
      <c r="V506" s="325" t="n">
        <v>0.12</v>
      </c>
      <c r="W506" s="702" t="n">
        <v>0.055</v>
      </c>
      <c r="X506" s="702" t="n">
        <v>0.12</v>
      </c>
      <c r="Y506" s="703" t="n"/>
      <c r="Z506" s="702" t="n">
        <v>0.04</v>
      </c>
      <c r="AA506" s="701">
        <f>U506*(1+V506+W506+X506+Y506+Z506)</f>
        <v>267000.0</v>
      </c>
      <c r="AC506" t="inlineStr">
        <is>
          <t>TDD Group Functions</t>
        </is>
      </c>
      <c r="AD506" t="inlineStr">
        <is>
          <t>TDD Group Functions</t>
        </is>
      </c>
      <c r="AE506" t="inlineStr">
        <is>
          <t>Network &amp; Infrastructure</t>
        </is>
      </c>
      <c r="AF506" t="inlineStr">
        <is>
          <t>Squad</t>
        </is>
      </c>
      <c r="AG506" t="inlineStr">
        <is>
          <t>Filled</t>
        </is>
      </c>
    </row>
    <row r="507" hidden="1" ht="18" customHeight="1" s="506">
      <c r="A507" s="259" t="n"/>
      <c r="B507" s="367" t="inlineStr">
        <is>
          <t>Ring fenced selection</t>
        </is>
      </c>
      <c r="C507" s="403" t="inlineStr">
        <is>
          <t>Cloud Solutions Architect</t>
        </is>
      </c>
      <c r="D507" s="318" t="inlineStr">
        <is>
          <t>Vacant</t>
        </is>
      </c>
      <c r="E507" s="335" t="inlineStr">
        <is>
          <t>Technology Manager - Cloud, Network &amp; Infrastructure Operations</t>
        </is>
      </c>
      <c r="F507" s="224" t="inlineStr">
        <is>
          <t>TDD Group Functions</t>
        </is>
      </c>
      <c r="G507" s="318" t="inlineStr">
        <is>
          <t>TDD &amp; Engineering</t>
        </is>
      </c>
      <c r="H507" s="318" t="inlineStr">
        <is>
          <t>Cloud, Network &amp; Infra</t>
        </is>
      </c>
      <c r="I507" s="224" t="inlineStr">
        <is>
          <t>TDD</t>
        </is>
      </c>
      <c r="J507" s="318" t="inlineStr">
        <is>
          <t>TDD</t>
        </is>
      </c>
      <c r="K507" s="318" t="inlineStr">
        <is>
          <t>Cloud, Network &amp; Infra Ops</t>
        </is>
      </c>
      <c r="L507" s="318" t="n"/>
      <c r="M507" s="319" t="inlineStr">
        <is>
          <t>Australia</t>
        </is>
      </c>
      <c r="N507" s="320" t="inlineStr">
        <is>
          <t>CIC</t>
        </is>
      </c>
      <c r="O507" s="320" t="n">
        <v>1</v>
      </c>
      <c r="P507" s="320" t="n"/>
      <c r="Q507" s="320" t="inlineStr">
        <is>
          <t>v</t>
        </is>
      </c>
      <c r="R507" s="331" t="n"/>
      <c r="S507" s="322" t="n"/>
      <c r="T507" s="334" t="n">
        <v>200000</v>
      </c>
      <c r="U507" s="705" t="n">
        <v>200000</v>
      </c>
      <c r="V507" s="325" t="n">
        <v>0.12</v>
      </c>
      <c r="W507" s="702" t="n">
        <v>0.055</v>
      </c>
      <c r="X507" s="702" t="n">
        <v>0.12</v>
      </c>
      <c r="Y507" s="703" t="n"/>
      <c r="Z507" s="702" t="n">
        <v>0.04</v>
      </c>
      <c r="AA507" s="701">
        <f>U507*(1+V507+W507+X507+Y507+Z507)</f>
        <v>267000.0</v>
      </c>
      <c r="AC507" t="inlineStr">
        <is>
          <t>TDD Group Functions</t>
        </is>
      </c>
      <c r="AD507" t="inlineStr">
        <is>
          <t>TDD Group Functions</t>
        </is>
      </c>
      <c r="AE507" t="inlineStr">
        <is>
          <t>Network &amp; Infrastructure</t>
        </is>
      </c>
      <c r="AF507" t="inlineStr">
        <is>
          <t>Squad</t>
        </is>
      </c>
      <c r="AG507" t="inlineStr">
        <is>
          <t>Filled</t>
        </is>
      </c>
    </row>
    <row r="508" hidden="1" ht="18" customHeight="1" s="506">
      <c r="A508" s="259" t="n">
        <v>99999101446</v>
      </c>
      <c r="B508" s="224" t="inlineStr">
        <is>
          <t>Rob Struthers</t>
        </is>
      </c>
      <c r="C508" s="317" t="inlineStr">
        <is>
          <t>Engineer - Modern Workplaces</t>
        </is>
      </c>
      <c r="D508" s="318" t="inlineStr">
        <is>
          <t>Vacant</t>
        </is>
      </c>
      <c r="E508" s="224" t="inlineStr">
        <is>
          <t>Technology Manager, Enterprise Tooling</t>
        </is>
      </c>
      <c r="F508" s="224" t="inlineStr">
        <is>
          <t>TDD Group Functions</t>
        </is>
      </c>
      <c r="G508" s="318" t="inlineStr">
        <is>
          <t xml:space="preserve">TDD &amp; Engineering </t>
        </is>
      </c>
      <c r="H508" s="224" t="inlineStr">
        <is>
          <t>Workplace &amp; Enterprise Tooling</t>
        </is>
      </c>
      <c r="I508" s="224" t="inlineStr">
        <is>
          <t>TDD</t>
        </is>
      </c>
      <c r="J508" s="318" t="inlineStr">
        <is>
          <t>TDD</t>
        </is>
      </c>
      <c r="K508" s="318" t="inlineStr">
        <is>
          <t>Workplace &amp; Enterprise Tooling</t>
        </is>
      </c>
      <c r="L508" s="318" t="n"/>
      <c r="M508" s="319" t="inlineStr">
        <is>
          <t>NZ</t>
        </is>
      </c>
      <c r="N508" s="320" t="inlineStr">
        <is>
          <t>CIA</t>
        </is>
      </c>
      <c r="O508" s="321" t="n">
        <v>1</v>
      </c>
      <c r="P508" s="320" t="n"/>
      <c r="Q508" s="321" t="inlineStr">
        <is>
          <t>Permanent - Full Time</t>
        </is>
      </c>
      <c r="R508" s="322" t="n"/>
      <c r="S508" s="322" t="n"/>
      <c r="T508" s="334" t="n">
        <v>124390</v>
      </c>
      <c r="U508" s="705" t="n">
        <v>114438.8</v>
      </c>
      <c r="V508" s="324" t="n">
        <v>0.15</v>
      </c>
      <c r="W508" s="322" t="n"/>
      <c r="X508" s="325" t="n">
        <v>0.05</v>
      </c>
      <c r="Y508" s="700" t="n">
        <v>2910</v>
      </c>
      <c r="Z508" s="325" t="n">
        <v>0.03</v>
      </c>
      <c r="AA508" s="701">
        <f>U508*(1+V508+X508+Z508)+Y508</f>
        <v>143669.724</v>
      </c>
      <c r="AB508" t="n">
        <v>113605</v>
      </c>
      <c r="AC508" t="inlineStr">
        <is>
          <t>TDD Group Functions</t>
        </is>
      </c>
      <c r="AD508" t="inlineStr">
        <is>
          <t>TDD Group Functions</t>
        </is>
      </c>
      <c r="AE508" t="inlineStr">
        <is>
          <t>Workplace &amp; Enterprise Tooling</t>
        </is>
      </c>
      <c r="AF508" t="inlineStr">
        <is>
          <t>Squad</t>
        </is>
      </c>
      <c r="AG508" t="inlineStr">
        <is>
          <t>Filled</t>
        </is>
      </c>
    </row>
    <row r="509" hidden="1" ht="18" customHeight="1" s="506">
      <c r="A509" s="259" t="n">
        <v>97625</v>
      </c>
      <c r="B509" s="224" t="inlineStr">
        <is>
          <t>Satish Chowdhary</t>
        </is>
      </c>
      <c r="C509" s="317" t="inlineStr">
        <is>
          <t>Nework Architect</t>
        </is>
      </c>
      <c r="D509" s="318" t="inlineStr">
        <is>
          <t>Vacant</t>
        </is>
      </c>
      <c r="E509" s="335" t="inlineStr">
        <is>
          <t>Technology Manager - Cloud, Network &amp; Infrastructure Operations</t>
        </is>
      </c>
      <c r="F509" s="224" t="inlineStr">
        <is>
          <t>TDD Group Functions</t>
        </is>
      </c>
      <c r="G509" s="318" t="inlineStr">
        <is>
          <t>TDD &amp; Engineering</t>
        </is>
      </c>
      <c r="H509" s="318" t="inlineStr">
        <is>
          <t>Cloud, Network &amp; Infra</t>
        </is>
      </c>
      <c r="I509" s="224" t="inlineStr">
        <is>
          <t>TDD</t>
        </is>
      </c>
      <c r="J509" s="318" t="inlineStr">
        <is>
          <t>TDD</t>
        </is>
      </c>
      <c r="K509" s="318" t="inlineStr">
        <is>
          <t>Cloud, Network &amp; Infra Ops</t>
        </is>
      </c>
      <c r="L509" s="318" t="n"/>
      <c r="M509" s="319" t="inlineStr">
        <is>
          <t>Australia</t>
        </is>
      </c>
      <c r="N509" s="320" t="inlineStr">
        <is>
          <t>CIC</t>
        </is>
      </c>
      <c r="O509" s="320" t="n">
        <v>1</v>
      </c>
      <c r="P509" s="320" t="n"/>
      <c r="Q509" s="320" t="inlineStr">
        <is>
          <t>Permanent - Full Time</t>
        </is>
      </c>
      <c r="R509" s="322" t="n"/>
      <c r="S509" s="322" t="n"/>
      <c r="T509" s="334" t="n">
        <v>194100</v>
      </c>
      <c r="U509" s="705" t="n">
        <v>194100</v>
      </c>
      <c r="V509" s="325" t="n">
        <v>0.12</v>
      </c>
      <c r="W509" s="702" t="n">
        <v>0.055</v>
      </c>
      <c r="X509" s="702" t="n">
        <v>0.12</v>
      </c>
      <c r="Y509" s="703" t="n"/>
      <c r="Z509" s="702" t="n">
        <v>0.04</v>
      </c>
      <c r="AA509" s="701">
        <f>U509*(1+V509+W509+X509+Y509+Z509)</f>
        <v>259123.5</v>
      </c>
      <c r="AC509" t="inlineStr">
        <is>
          <t>TDD Group Functions</t>
        </is>
      </c>
      <c r="AD509" t="inlineStr">
        <is>
          <t>TDD Group Functions</t>
        </is>
      </c>
      <c r="AE509" t="inlineStr">
        <is>
          <t>Network &amp; Infrastructure</t>
        </is>
      </c>
      <c r="AF509" t="inlineStr">
        <is>
          <t>Squad</t>
        </is>
      </c>
      <c r="AG509" t="inlineStr">
        <is>
          <t>Filled</t>
        </is>
      </c>
    </row>
    <row r="510" hidden="1" ht="18" customHeight="1" s="506">
      <c r="A510" s="259" t="n">
        <v>109863</v>
      </c>
      <c r="B510" s="224" t="inlineStr">
        <is>
          <t>Shane Ker</t>
        </is>
      </c>
      <c r="C510" s="317" t="inlineStr">
        <is>
          <t>Technology Manger - Finance Platfoms</t>
        </is>
      </c>
      <c r="D510" s="224" t="inlineStr">
        <is>
          <t>Vaso Vukovic</t>
        </is>
      </c>
      <c r="E510" t="inlineStr">
        <is>
          <t>Head of Technology - P&amp;C, Finance &amp; Legal</t>
        </is>
      </c>
      <c r="F510" s="224" t="inlineStr">
        <is>
          <t>TDD Group Functions</t>
        </is>
      </c>
      <c r="G510" s="335" t="inlineStr">
        <is>
          <t>P&amp;C, Finance &amp; Legal</t>
        </is>
      </c>
      <c r="H510" s="318" t="inlineStr">
        <is>
          <t>Tech, Finance Platforms</t>
        </is>
      </c>
      <c r="I510" s="318" t="inlineStr">
        <is>
          <t>Finance</t>
        </is>
      </c>
      <c r="J510" s="318" t="inlineStr">
        <is>
          <t>Finance</t>
        </is>
      </c>
      <c r="K510" s="318" t="inlineStr">
        <is>
          <t>Leadership</t>
        </is>
      </c>
      <c r="L510" s="318" t="n"/>
      <c r="M510" s="319" t="inlineStr">
        <is>
          <t>Australia</t>
        </is>
      </c>
      <c r="N510" s="320" t="inlineStr">
        <is>
          <t>CSB</t>
        </is>
      </c>
      <c r="O510" s="320" t="n">
        <v>1</v>
      </c>
      <c r="P510" s="320" t="n"/>
      <c r="Q510" s="320" t="inlineStr">
        <is>
          <t>Permanent - Full Time</t>
        </is>
      </c>
      <c r="R510" s="322" t="n"/>
      <c r="S510" s="322" t="n"/>
      <c r="T510" s="334" t="n">
        <v>238790</v>
      </c>
      <c r="U510" s="705" t="n">
        <v>238790</v>
      </c>
      <c r="V510" s="325" t="n">
        <v>0.14</v>
      </c>
      <c r="W510" s="702" t="n">
        <v>0.055</v>
      </c>
      <c r="X510" s="702" t="n">
        <v>0.12</v>
      </c>
      <c r="Y510" s="703" t="n"/>
      <c r="Z510" s="702" t="n">
        <v>0.04</v>
      </c>
      <c r="AA510" s="701">
        <f>U510*(1+V510+W510+X510+Y510+Z510)</f>
        <v>323560.45</v>
      </c>
      <c r="AC510" t="inlineStr">
        <is>
          <t>Finance</t>
        </is>
      </c>
      <c r="AD510" t="inlineStr">
        <is>
          <t>Leadership</t>
        </is>
      </c>
      <c r="AE510" t="inlineStr">
        <is>
          <t>Leadership</t>
        </is>
      </c>
      <c r="AF510" t="inlineStr">
        <is>
          <t>Leadership</t>
        </is>
      </c>
      <c r="AG510" t="inlineStr">
        <is>
          <t>Filled</t>
        </is>
      </c>
    </row>
    <row r="511" hidden="1" ht="18" customHeight="1" s="506">
      <c r="A511" s="259" t="n">
        <v>99999101466</v>
      </c>
      <c r="B511" s="224" t="inlineStr">
        <is>
          <t>Shobhit Mittal</t>
        </is>
      </c>
      <c r="C511" s="317" t="inlineStr">
        <is>
          <t>Lead Engineer - Automation Test</t>
        </is>
      </c>
      <c r="D511" s="367" t="inlineStr">
        <is>
          <t>Vacant</t>
        </is>
      </c>
      <c r="E511" s="335" t="inlineStr">
        <is>
          <t>Technology Manager – DevOps and Quality Engineering</t>
        </is>
      </c>
      <c r="F511" s="318" t="inlineStr">
        <is>
          <t>TDD Group Functions</t>
        </is>
      </c>
      <c r="G511" s="318" t="inlineStr">
        <is>
          <t>TDD &amp; Engineering</t>
        </is>
      </c>
      <c r="H511" s="318" t="inlineStr">
        <is>
          <t>Dev Ops  &amp; QE</t>
        </is>
      </c>
      <c r="I511" s="318" t="inlineStr">
        <is>
          <t>EGI</t>
        </is>
      </c>
      <c r="J511" s="318" t="inlineStr">
        <is>
          <t>EGI</t>
        </is>
      </c>
      <c r="K511" s="318" t="inlineStr">
        <is>
          <t>EGI TDD</t>
        </is>
      </c>
      <c r="L511" s="318" t="n"/>
      <c r="M511" s="319" t="inlineStr">
        <is>
          <t>NZ</t>
        </is>
      </c>
      <c r="N511" s="320" t="inlineStr">
        <is>
          <t>CIC</t>
        </is>
      </c>
      <c r="O511" s="321" t="n">
        <v>1</v>
      </c>
      <c r="P511" s="320" t="n"/>
      <c r="Q511" s="321" t="inlineStr">
        <is>
          <t>Permanent - Full Time</t>
        </is>
      </c>
      <c r="R511" s="322" t="n"/>
      <c r="S511" s="322" t="n"/>
      <c r="T511" s="334" t="n">
        <v>173600</v>
      </c>
      <c r="U511" s="705" t="n">
        <v>159712</v>
      </c>
      <c r="V511" s="324" t="n">
        <v>0.15</v>
      </c>
      <c r="W511" s="322" t="n"/>
      <c r="X511" s="325" t="n">
        <v>0.05</v>
      </c>
      <c r="Y511" s="700" t="n">
        <v>2910</v>
      </c>
      <c r="Z511" s="325" t="n">
        <v>0.03</v>
      </c>
      <c r="AA511" s="701">
        <f>U511*(1+V511+X511+Z511)+Y511</f>
        <v>199355.76</v>
      </c>
      <c r="AB511" t="n">
        <v>15180</v>
      </c>
      <c r="AC511" t="inlineStr">
        <is>
          <t>TDD Group Functions</t>
        </is>
      </c>
      <c r="AD511" t="inlineStr">
        <is>
          <t>EGI TDD</t>
        </is>
      </c>
      <c r="AE511" t="inlineStr">
        <is>
          <t>EGI TDD</t>
        </is>
      </c>
      <c r="AF511" t="inlineStr">
        <is>
          <t>Strategic Program</t>
        </is>
      </c>
      <c r="AG511" t="inlineStr">
        <is>
          <t>Filled</t>
        </is>
      </c>
    </row>
    <row r="512" hidden="1" ht="18" customHeight="1" s="506">
      <c r="A512" s="259" t="n">
        <v>6591</v>
      </c>
      <c r="B512" s="224" t="inlineStr">
        <is>
          <t>Steven Yong</t>
        </is>
      </c>
      <c r="C512" s="317" t="inlineStr">
        <is>
          <t>Nework Architect</t>
        </is>
      </c>
      <c r="D512" s="318" t="inlineStr">
        <is>
          <t>Vacant</t>
        </is>
      </c>
      <c r="E512" s="335" t="inlineStr">
        <is>
          <t>Technology Manager - Cloud, Network &amp; Infrastructure Operations</t>
        </is>
      </c>
      <c r="F512" s="224" t="inlineStr">
        <is>
          <t>TDD Group Functions</t>
        </is>
      </c>
      <c r="G512" s="318" t="inlineStr">
        <is>
          <t>TDD &amp; Engineering</t>
        </is>
      </c>
      <c r="H512" s="318" t="inlineStr">
        <is>
          <t>Cloud, Network &amp; Infra</t>
        </is>
      </c>
      <c r="I512" s="224" t="inlineStr">
        <is>
          <t>TDD</t>
        </is>
      </c>
      <c r="J512" s="318" t="inlineStr">
        <is>
          <t>TDD</t>
        </is>
      </c>
      <c r="K512" s="318" t="inlineStr">
        <is>
          <t>Cloud, Network &amp; Infra Ops</t>
        </is>
      </c>
      <c r="L512" s="318" t="n"/>
      <c r="M512" s="319" t="inlineStr">
        <is>
          <t>Australia</t>
        </is>
      </c>
      <c r="N512" s="322" t="inlineStr">
        <is>
          <t>CIC</t>
        </is>
      </c>
      <c r="O512" s="322" t="n">
        <v>1</v>
      </c>
      <c r="P512" s="322" t="n"/>
      <c r="Q512" s="322" t="inlineStr">
        <is>
          <t>Permanent - Full Time</t>
        </is>
      </c>
      <c r="R512" s="322" t="n"/>
      <c r="S512" s="322" t="n"/>
      <c r="T512" s="334" t="n">
        <v>182340</v>
      </c>
      <c r="U512" s="705" t="n">
        <v>182340</v>
      </c>
      <c r="V512" s="325" t="n">
        <v>0.12</v>
      </c>
      <c r="W512" s="702" t="n">
        <v>0.055</v>
      </c>
      <c r="X512" s="702" t="n">
        <v>0.12</v>
      </c>
      <c r="Y512" s="703" t="n"/>
      <c r="Z512" s="702" t="n">
        <v>0.04</v>
      </c>
      <c r="AA512" s="701">
        <f>U512*(1+V512+W512+X512+Y512+Z512)</f>
        <v>243423.9</v>
      </c>
      <c r="AC512" t="inlineStr">
        <is>
          <t>TDD Group Functions</t>
        </is>
      </c>
      <c r="AD512" t="inlineStr">
        <is>
          <t>TDD Group Functions</t>
        </is>
      </c>
      <c r="AE512" t="inlineStr">
        <is>
          <t>Network &amp; Infrastructure</t>
        </is>
      </c>
      <c r="AF512" t="inlineStr">
        <is>
          <t>Squad</t>
        </is>
      </c>
      <c r="AG512" t="inlineStr">
        <is>
          <t>Filled</t>
        </is>
      </c>
    </row>
    <row r="513" hidden="1" ht="18" customHeight="1" s="506">
      <c r="A513" s="259" t="n">
        <v>99999102120</v>
      </c>
      <c r="B513" s="224" t="inlineStr">
        <is>
          <t>Sunny Arya</t>
        </is>
      </c>
      <c r="C513" s="317" t="inlineStr">
        <is>
          <t>Lead Engineer, Devops</t>
        </is>
      </c>
      <c r="D513" s="367" t="inlineStr">
        <is>
          <t>Vacant</t>
        </is>
      </c>
      <c r="E513" s="335" t="inlineStr">
        <is>
          <t>Technology Manager – DevOps and Quality Engineering</t>
        </is>
      </c>
      <c r="F513" s="318" t="inlineStr">
        <is>
          <t>TDD Group Functions</t>
        </is>
      </c>
      <c r="G513" s="318" t="inlineStr">
        <is>
          <t>TDD &amp; Engineering</t>
        </is>
      </c>
      <c r="H513" s="318" t="inlineStr">
        <is>
          <t>DevOps &amp; QE</t>
        </is>
      </c>
      <c r="I513" s="224" t="inlineStr">
        <is>
          <t>TDD</t>
        </is>
      </c>
      <c r="J513" s="318" t="inlineStr">
        <is>
          <t>TDD</t>
        </is>
      </c>
      <c r="K513" s="318" t="inlineStr">
        <is>
          <t>DevOps &amp; QE</t>
        </is>
      </c>
      <c r="L513" s="318" t="n"/>
      <c r="M513" s="319" t="inlineStr">
        <is>
          <t>NZ</t>
        </is>
      </c>
      <c r="N513" s="320" t="inlineStr">
        <is>
          <t>CIC</t>
        </is>
      </c>
      <c r="O513" s="321" t="n">
        <v>1</v>
      </c>
      <c r="P513" s="320" t="n"/>
      <c r="Q513" s="321" t="inlineStr">
        <is>
          <t>Permanent - Full Time</t>
        </is>
      </c>
      <c r="R513" s="322" t="n"/>
      <c r="S513" s="322" t="n"/>
      <c r="T513" s="334" t="n">
        <v>175000</v>
      </c>
      <c r="U513" s="705" t="n">
        <v>161000</v>
      </c>
      <c r="V513" s="324" t="n">
        <v>0.15</v>
      </c>
      <c r="W513" s="322" t="n"/>
      <c r="X513" s="325" t="n">
        <v>0.05</v>
      </c>
      <c r="Y513" s="700" t="n">
        <v>2910</v>
      </c>
      <c r="Z513" s="325" t="n">
        <v>0.03</v>
      </c>
      <c r="AA513" s="701">
        <f>U513*(1+V513+X513+Z513)+Y513</f>
        <v>200940.0</v>
      </c>
      <c r="AB513" t="n">
        <v>115802</v>
      </c>
      <c r="AC513" t="inlineStr">
        <is>
          <t>TDD Group Functions</t>
        </is>
      </c>
      <c r="AD513" t="inlineStr">
        <is>
          <t>TDD Group Functions</t>
        </is>
      </c>
      <c r="AE513" t="inlineStr">
        <is>
          <t>DevOps &amp; Engineering</t>
        </is>
      </c>
      <c r="AF513" t="inlineStr">
        <is>
          <t>Squad</t>
        </is>
      </c>
      <c r="AG513" t="inlineStr">
        <is>
          <t>Filled</t>
        </is>
      </c>
    </row>
    <row r="514" hidden="1" ht="18" customHeight="1" s="506">
      <c r="A514" s="259" t="n">
        <v>99876</v>
      </c>
      <c r="B514" s="335" t="inlineStr">
        <is>
          <t>Thai Pung</t>
        </is>
      </c>
      <c r="C514" s="403" t="inlineStr">
        <is>
          <t>Delivery Lead - (P&amp;C)</t>
        </is>
      </c>
      <c r="D514" s="335" t="inlineStr">
        <is>
          <t>Vacant</t>
        </is>
      </c>
      <c r="E514" s="335" t="inlineStr">
        <is>
          <t>Delivery Manager, P&amp;C, Finance &amp; Legal</t>
        </is>
      </c>
      <c r="F514" s="224" t="inlineStr">
        <is>
          <t>TDD Group Functions</t>
        </is>
      </c>
      <c r="G514" s="335" t="inlineStr">
        <is>
          <t>P&amp;C, Finance &amp; Legal</t>
        </is>
      </c>
      <c r="H514" s="318" t="inlineStr">
        <is>
          <t>Delivery, P&amp;C, Finance &amp; Legal</t>
        </is>
      </c>
      <c r="I514" s="318" t="inlineStr">
        <is>
          <t>P&amp;C</t>
        </is>
      </c>
      <c r="J514" s="318" t="inlineStr">
        <is>
          <t>P&amp;C</t>
        </is>
      </c>
      <c r="K514" s="318" t="inlineStr">
        <is>
          <t>P&amp;C</t>
        </is>
      </c>
      <c r="L514" s="318" t="n"/>
      <c r="M514" s="319" t="inlineStr">
        <is>
          <t>Australia</t>
        </is>
      </c>
      <c r="N514" s="320" t="inlineStr">
        <is>
          <t>CIC</t>
        </is>
      </c>
      <c r="O514" s="320" t="n">
        <v>1</v>
      </c>
      <c r="P514" s="320" t="n"/>
      <c r="Q514" s="320" t="inlineStr">
        <is>
          <t>Permanent - Full Time</t>
        </is>
      </c>
      <c r="R514" s="322" t="n"/>
      <c r="S514" s="322" t="n"/>
      <c r="T514" s="334" t="n">
        <v>188380</v>
      </c>
      <c r="U514" s="705" t="n">
        <v>188380</v>
      </c>
      <c r="V514" s="325" t="n">
        <v>0.12</v>
      </c>
      <c r="W514" s="702" t="n">
        <v>0.055</v>
      </c>
      <c r="X514" s="702" t="n">
        <v>0.12</v>
      </c>
      <c r="Y514" s="703" t="n"/>
      <c r="Z514" s="702" t="n">
        <v>0.04</v>
      </c>
      <c r="AA514" s="701">
        <f>U514*(1+V514+W514+X514+Y514+Z514)</f>
        <v>251487.3</v>
      </c>
      <c r="AC514" t="inlineStr">
        <is>
          <t>P&amp;C</t>
        </is>
      </c>
      <c r="AD514" t="inlineStr">
        <is>
          <t>P&amp;C</t>
        </is>
      </c>
      <c r="AE514" t="inlineStr">
        <is>
          <t>P&amp;C</t>
        </is>
      </c>
      <c r="AF514" t="inlineStr">
        <is>
          <t>Squad</t>
        </is>
      </c>
      <c r="AG514" t="inlineStr">
        <is>
          <t>Filled</t>
        </is>
      </c>
    </row>
    <row r="515" hidden="1" ht="18" customHeight="1" s="506">
      <c r="A515" s="259" t="n">
        <v>114367</v>
      </c>
      <c r="B515" s="335" t="inlineStr">
        <is>
          <t>Thandava Krishna Kakarala</t>
        </is>
      </c>
      <c r="C515" s="403" t="inlineStr">
        <is>
          <t>Snr Engineer - Boomi</t>
        </is>
      </c>
      <c r="D515" s="224" t="inlineStr">
        <is>
          <t>Mike Seales</t>
        </is>
      </c>
      <c r="E515" s="224" t="inlineStr">
        <is>
          <t>Technology Manager Integration &amp; Process Managemetn</t>
        </is>
      </c>
      <c r="F515" s="224" t="inlineStr">
        <is>
          <t>TDD Group Functions</t>
        </is>
      </c>
      <c r="G515" s="318" t="inlineStr">
        <is>
          <t xml:space="preserve">TDD &amp; Engineering </t>
        </is>
      </c>
      <c r="H515" s="224" t="inlineStr">
        <is>
          <t>Integration &amp; Process Management</t>
        </is>
      </c>
      <c r="I515" t="inlineStr">
        <is>
          <t>TDD</t>
        </is>
      </c>
      <c r="J515" s="318" t="inlineStr">
        <is>
          <t>TDD</t>
        </is>
      </c>
      <c r="K515" s="318" t="inlineStr">
        <is>
          <t>Integration &amp; Process automation</t>
        </is>
      </c>
      <c r="L515" s="318" t="n"/>
      <c r="M515" s="319" t="inlineStr">
        <is>
          <t>Australia</t>
        </is>
      </c>
      <c r="N515" s="320" t="inlineStr">
        <is>
          <t>CIB</t>
        </is>
      </c>
      <c r="O515" s="320" t="n">
        <v>1</v>
      </c>
      <c r="P515" s="320" t="n"/>
      <c r="Q515" s="320" t="inlineStr">
        <is>
          <t>Permanent - Full Time</t>
        </is>
      </c>
      <c r="R515" s="322" t="n"/>
      <c r="S515" s="322" t="n"/>
      <c r="T515" s="334" t="n">
        <v>140000</v>
      </c>
      <c r="U515" s="705" t="n">
        <v>140000</v>
      </c>
      <c r="V515" s="325" t="n">
        <v>0.12</v>
      </c>
      <c r="W515" s="702" t="n">
        <v>0.055</v>
      </c>
      <c r="X515" s="702" t="n">
        <v>0.12</v>
      </c>
      <c r="Y515" s="703" t="n"/>
      <c r="Z515" s="702" t="n">
        <v>0.04</v>
      </c>
      <c r="AA515" s="701">
        <f>U515*(1+V515+W515+X515+Y515+Z515)</f>
        <v>186900.0</v>
      </c>
      <c r="AC515" t="inlineStr">
        <is>
          <t>TDD Group Functions</t>
        </is>
      </c>
      <c r="AD515" t="inlineStr">
        <is>
          <t>TDD Group Functions</t>
        </is>
      </c>
      <c r="AE515" t="inlineStr">
        <is>
          <t>Integration</t>
        </is>
      </c>
      <c r="AF515" t="inlineStr">
        <is>
          <t>Squad</t>
        </is>
      </c>
      <c r="AG515" t="inlineStr">
        <is>
          <t>Filled</t>
        </is>
      </c>
    </row>
    <row r="516" hidden="1" ht="18" customHeight="1" s="506">
      <c r="A516" s="259" t="inlineStr">
        <is>
          <t>V</t>
        </is>
      </c>
      <c r="B516" s="367" t="inlineStr">
        <is>
          <t>Vacant</t>
        </is>
      </c>
      <c r="C516" s="403" t="inlineStr">
        <is>
          <t>SAP Functional Specialist</t>
        </is>
      </c>
      <c r="D516" s="318" t="inlineStr">
        <is>
          <t>EE Lynn Yap</t>
        </is>
      </c>
      <c r="E516" s="335" t="inlineStr">
        <is>
          <t>SAP ERP Application Lead</t>
        </is>
      </c>
      <c r="F516" s="224" t="inlineStr">
        <is>
          <t>TDD Group Functions</t>
        </is>
      </c>
      <c r="G516" s="335" t="inlineStr">
        <is>
          <t>P&amp;C, Finance &amp; Legal</t>
        </is>
      </c>
      <c r="H516" s="318" t="inlineStr">
        <is>
          <t>Tech, Finance Platforms</t>
        </is>
      </c>
      <c r="I516" s="318" t="inlineStr">
        <is>
          <t>Finance</t>
        </is>
      </c>
      <c r="J516" s="318" t="inlineStr">
        <is>
          <t>AU Finance</t>
        </is>
      </c>
      <c r="K516" s="318" t="inlineStr">
        <is>
          <t>SAP ERP</t>
        </is>
      </c>
      <c r="L516" s="318" t="n"/>
      <c r="M516" s="319" t="inlineStr">
        <is>
          <t>Australia</t>
        </is>
      </c>
      <c r="N516" s="322" t="inlineStr">
        <is>
          <t>CIC</t>
        </is>
      </c>
      <c r="O516" s="320" t="n">
        <v>1</v>
      </c>
      <c r="P516" s="320" t="n"/>
      <c r="Q516" s="320" t="inlineStr">
        <is>
          <t>v</t>
        </is>
      </c>
      <c r="R516" s="322" t="n"/>
      <c r="S516" s="322" t="n"/>
      <c r="T516" s="334" t="n">
        <v>173550</v>
      </c>
      <c r="U516" s="705" t="n">
        <v>173550</v>
      </c>
      <c r="V516" s="325" t="n">
        <v>0.12</v>
      </c>
      <c r="W516" s="702" t="n">
        <v>0.055</v>
      </c>
      <c r="X516" s="702" t="n">
        <v>0.12</v>
      </c>
      <c r="Y516" s="703" t="n"/>
      <c r="Z516" s="702" t="n">
        <v>0.04</v>
      </c>
      <c r="AA516" s="701">
        <f>U516*(1+V516+W516+X516+Y516+Z516)</f>
        <v>231689.25</v>
      </c>
      <c r="AC516" t="inlineStr">
        <is>
          <t>Finance</t>
        </is>
      </c>
      <c r="AD516" t="inlineStr">
        <is>
          <t>AU Finance</t>
        </is>
      </c>
      <c r="AE516" t="inlineStr">
        <is>
          <t>AU Finance</t>
        </is>
      </c>
      <c r="AF516" t="inlineStr">
        <is>
          <t>Squad</t>
        </is>
      </c>
      <c r="AG516" t="inlineStr">
        <is>
          <t>Vacant</t>
        </is>
      </c>
    </row>
    <row r="517" hidden="1" ht="18" customHeight="1" s="506">
      <c r="A517" s="259" t="inlineStr">
        <is>
          <t>V</t>
        </is>
      </c>
      <c r="B517" s="367" t="inlineStr">
        <is>
          <t>Vacant</t>
        </is>
      </c>
      <c r="C517" s="403" t="inlineStr">
        <is>
          <t>SAP Functional Specialist</t>
        </is>
      </c>
      <c r="D517" s="318" t="inlineStr">
        <is>
          <t>Julma Bhagwani</t>
        </is>
      </c>
      <c r="E517" s="335" t="inlineStr">
        <is>
          <t>SAP ERP Application Lead</t>
        </is>
      </c>
      <c r="F517" s="224" t="inlineStr">
        <is>
          <t>TDD Group Functions</t>
        </is>
      </c>
      <c r="G517" s="335" t="inlineStr">
        <is>
          <t>P&amp;C, Finance &amp; Legal</t>
        </is>
      </c>
      <c r="H517" s="318" t="inlineStr">
        <is>
          <t>Tech, Finance Platforms</t>
        </is>
      </c>
      <c r="I517" s="318" t="inlineStr">
        <is>
          <t>Finance</t>
        </is>
      </c>
      <c r="J517" s="318" t="inlineStr">
        <is>
          <t>AU Finance</t>
        </is>
      </c>
      <c r="K517" s="318" t="inlineStr">
        <is>
          <t>SAP ERP</t>
        </is>
      </c>
      <c r="L517" s="318" t="n"/>
      <c r="M517" s="319" t="inlineStr">
        <is>
          <t>Australia</t>
        </is>
      </c>
      <c r="N517" s="322" t="inlineStr">
        <is>
          <t>CIC</t>
        </is>
      </c>
      <c r="O517" s="320" t="n">
        <v>1</v>
      </c>
      <c r="P517" s="320" t="n"/>
      <c r="Q517" s="320" t="inlineStr">
        <is>
          <t>v</t>
        </is>
      </c>
      <c r="R517" s="322" t="n"/>
      <c r="S517" s="322" t="n"/>
      <c r="T517" s="334" t="n">
        <v>173550</v>
      </c>
      <c r="U517" s="705" t="n">
        <v>173550</v>
      </c>
      <c r="V517" s="325" t="n">
        <v>0.12</v>
      </c>
      <c r="W517" s="702" t="n">
        <v>0.055</v>
      </c>
      <c r="X517" s="702" t="n">
        <v>0.12</v>
      </c>
      <c r="Y517" s="703" t="n"/>
      <c r="Z517" s="702" t="n">
        <v>0.04</v>
      </c>
      <c r="AA517" s="701">
        <f>U517*(1+V517+W517+X517+Y517+Z517)</f>
        <v>231689.25</v>
      </c>
      <c r="AC517" t="inlineStr">
        <is>
          <t>Finance</t>
        </is>
      </c>
      <c r="AD517" t="inlineStr">
        <is>
          <t>AU Finance</t>
        </is>
      </c>
      <c r="AE517" t="inlineStr">
        <is>
          <t>AU Finance</t>
        </is>
      </c>
      <c r="AF517" t="inlineStr">
        <is>
          <t>Squad</t>
        </is>
      </c>
      <c r="AG517" t="inlineStr">
        <is>
          <t>Vacant</t>
        </is>
      </c>
    </row>
    <row r="518" hidden="1" ht="18" customHeight="1" s="506">
      <c r="A518" s="259" t="inlineStr">
        <is>
          <t>V</t>
        </is>
      </c>
      <c r="B518" s="367" t="inlineStr">
        <is>
          <t>Vacant</t>
        </is>
      </c>
      <c r="C518" s="403" t="inlineStr">
        <is>
          <t>SAP Functional Specialist</t>
        </is>
      </c>
      <c r="D518" s="318" t="inlineStr">
        <is>
          <t>Maudud Chaudhury</t>
        </is>
      </c>
      <c r="E518" s="335" t="inlineStr">
        <is>
          <t>SAP ERP Application Lead</t>
        </is>
      </c>
      <c r="F518" s="224" t="inlineStr">
        <is>
          <t>TDD Group Functions</t>
        </is>
      </c>
      <c r="G518" s="335" t="inlineStr">
        <is>
          <t>P&amp;C, Finance &amp; Legal</t>
        </is>
      </c>
      <c r="H518" s="318" t="inlineStr">
        <is>
          <t>Tech, Finance Platforms</t>
        </is>
      </c>
      <c r="I518" s="318" t="inlineStr">
        <is>
          <t>Finance</t>
        </is>
      </c>
      <c r="J518" s="318" t="inlineStr">
        <is>
          <t>AU Finance</t>
        </is>
      </c>
      <c r="K518" s="318" t="inlineStr">
        <is>
          <t>SAP ERP</t>
        </is>
      </c>
      <c r="L518" s="318" t="n"/>
      <c r="M518" s="319" t="inlineStr">
        <is>
          <t>Australia</t>
        </is>
      </c>
      <c r="N518" s="322" t="inlineStr">
        <is>
          <t>CIC</t>
        </is>
      </c>
      <c r="O518" s="320" t="n">
        <v>1</v>
      </c>
      <c r="P518" s="320" t="n"/>
      <c r="Q518" s="320" t="inlineStr">
        <is>
          <t>v</t>
        </is>
      </c>
      <c r="R518" s="322" t="n"/>
      <c r="S518" s="322" t="n"/>
      <c r="T518" s="334" t="n">
        <v>173550</v>
      </c>
      <c r="U518" s="705" t="n">
        <v>173550</v>
      </c>
      <c r="V518" s="325" t="n">
        <v>0.12</v>
      </c>
      <c r="W518" s="702" t="n">
        <v>0.055</v>
      </c>
      <c r="X518" s="702" t="n">
        <v>0.12</v>
      </c>
      <c r="Y518" s="703" t="n"/>
      <c r="Z518" s="702" t="n">
        <v>0.04</v>
      </c>
      <c r="AA518" s="701">
        <f>U518*(1+V518+W518+X518+Y518+Z518)</f>
        <v>231689.25</v>
      </c>
      <c r="AC518" t="inlineStr">
        <is>
          <t>Finance</t>
        </is>
      </c>
      <c r="AD518" t="inlineStr">
        <is>
          <t>AU Finance</t>
        </is>
      </c>
      <c r="AE518" t="inlineStr">
        <is>
          <t>AU Finance</t>
        </is>
      </c>
      <c r="AF518" t="inlineStr">
        <is>
          <t>Squad</t>
        </is>
      </c>
      <c r="AG518" t="inlineStr">
        <is>
          <t>Vacant</t>
        </is>
      </c>
    </row>
    <row r="519" hidden="1" ht="18" customHeight="1" s="506">
      <c r="A519" s="259" t="inlineStr">
        <is>
          <t>V</t>
        </is>
      </c>
      <c r="B519" s="367" t="inlineStr">
        <is>
          <t>Vacant</t>
        </is>
      </c>
      <c r="C519" s="403" t="inlineStr">
        <is>
          <t>SAP Functional Specialist</t>
        </is>
      </c>
      <c r="D519" s="318" t="inlineStr">
        <is>
          <t>Shane Ker</t>
        </is>
      </c>
      <c r="E519" s="335" t="inlineStr">
        <is>
          <t>Technology Manager Finance Platforms</t>
        </is>
      </c>
      <c r="F519" s="224" t="inlineStr">
        <is>
          <t>TDD Group Functions</t>
        </is>
      </c>
      <c r="G519" s="335" t="inlineStr">
        <is>
          <t>P&amp;C, Finance &amp; Legal</t>
        </is>
      </c>
      <c r="H519" s="318" t="inlineStr">
        <is>
          <t>Tech, Finance Platforms</t>
        </is>
      </c>
      <c r="I519" s="318" t="inlineStr">
        <is>
          <t>Finance</t>
        </is>
      </c>
      <c r="J519" s="318" t="inlineStr">
        <is>
          <t>AU Finance</t>
        </is>
      </c>
      <c r="K519" s="318" t="inlineStr">
        <is>
          <t>SAP ERP</t>
        </is>
      </c>
      <c r="L519" s="318" t="n"/>
      <c r="M519" s="319" t="inlineStr">
        <is>
          <t>Australia</t>
        </is>
      </c>
      <c r="N519" s="322" t="inlineStr">
        <is>
          <t>CIC</t>
        </is>
      </c>
      <c r="O519" s="320" t="n">
        <v>1</v>
      </c>
      <c r="P519" s="320" t="n"/>
      <c r="Q519" s="320" t="inlineStr">
        <is>
          <t>v</t>
        </is>
      </c>
      <c r="R519" s="322" t="n"/>
      <c r="S519" s="322" t="n"/>
      <c r="T519" s="334" t="n">
        <v>173550</v>
      </c>
      <c r="U519" s="705" t="n">
        <v>173550</v>
      </c>
      <c r="V519" s="325" t="n">
        <v>0.12</v>
      </c>
      <c r="W519" s="702" t="n">
        <v>0.055</v>
      </c>
      <c r="X519" s="702" t="n">
        <v>0.12</v>
      </c>
      <c r="Y519" s="703" t="n"/>
      <c r="Z519" s="702" t="n">
        <v>0.04</v>
      </c>
      <c r="AA519" s="701">
        <f>U519*(1+V519+W519+X519+Y519+Z519)</f>
        <v>231689.25</v>
      </c>
      <c r="AC519" t="inlineStr">
        <is>
          <t>Finance</t>
        </is>
      </c>
      <c r="AD519" t="inlineStr">
        <is>
          <t>AU Finance</t>
        </is>
      </c>
      <c r="AE519" t="inlineStr">
        <is>
          <t>AU Finance</t>
        </is>
      </c>
      <c r="AF519" t="inlineStr">
        <is>
          <t>Squad</t>
        </is>
      </c>
      <c r="AG519" t="inlineStr">
        <is>
          <t>Vacant</t>
        </is>
      </c>
    </row>
    <row r="520" hidden="1" ht="18" customHeight="1" s="506">
      <c r="A520" s="259" t="inlineStr">
        <is>
          <t>V</t>
        </is>
      </c>
      <c r="B520" s="367" t="inlineStr">
        <is>
          <t>Vacant</t>
        </is>
      </c>
      <c r="C520" s="403" t="inlineStr">
        <is>
          <t>Solution Architect - Finance</t>
        </is>
      </c>
      <c r="D520" s="318" t="inlineStr">
        <is>
          <t>Shane Ker</t>
        </is>
      </c>
      <c r="E520" s="335" t="inlineStr">
        <is>
          <t>Technology Manager Finance Platforms</t>
        </is>
      </c>
      <c r="F520" s="224" t="inlineStr">
        <is>
          <t>TDD Group Functions</t>
        </is>
      </c>
      <c r="G520" s="335" t="inlineStr">
        <is>
          <t>P&amp;C, Finance &amp; Legal</t>
        </is>
      </c>
      <c r="H520" s="318" t="inlineStr">
        <is>
          <t>Tech, Finance Platforms</t>
        </is>
      </c>
      <c r="I520" s="318" t="inlineStr">
        <is>
          <t>Finance</t>
        </is>
      </c>
      <c r="J520" s="318" t="inlineStr">
        <is>
          <t>AU Finance</t>
        </is>
      </c>
      <c r="K520" s="318" t="inlineStr">
        <is>
          <t>SAP ERP</t>
        </is>
      </c>
      <c r="L520" s="318" t="n"/>
      <c r="M520" s="319" t="inlineStr">
        <is>
          <t>australia</t>
        </is>
      </c>
      <c r="N520" s="320" t="inlineStr">
        <is>
          <t>CIC</t>
        </is>
      </c>
      <c r="O520" s="320" t="n">
        <v>1</v>
      </c>
      <c r="P520" s="320" t="n"/>
      <c r="Q520" s="320" t="inlineStr">
        <is>
          <t>v</t>
        </is>
      </c>
      <c r="R520" s="322" t="n"/>
      <c r="S520" s="322" t="n"/>
      <c r="T520" s="334" t="n">
        <v>173550</v>
      </c>
      <c r="U520" s="705" t="n">
        <v>173550</v>
      </c>
      <c r="V520" s="325" t="n">
        <v>0.12</v>
      </c>
      <c r="W520" s="702" t="n">
        <v>0.055</v>
      </c>
      <c r="X520" s="702" t="n">
        <v>0.12</v>
      </c>
      <c r="Y520" s="703" t="n"/>
      <c r="Z520" s="702" t="n">
        <v>0.04</v>
      </c>
      <c r="AA520" s="701">
        <f>U520*(1+V520+W520+X520+Y520+Z520)</f>
        <v>231689.25</v>
      </c>
      <c r="AC520" t="inlineStr">
        <is>
          <t>Finance</t>
        </is>
      </c>
      <c r="AD520" t="inlineStr">
        <is>
          <t>AU Finance</t>
        </is>
      </c>
      <c r="AE520" t="inlineStr">
        <is>
          <t>AU Finance</t>
        </is>
      </c>
      <c r="AF520" t="inlineStr">
        <is>
          <t>Squad</t>
        </is>
      </c>
      <c r="AG520" t="inlineStr">
        <is>
          <t>Vacant</t>
        </is>
      </c>
    </row>
    <row r="521" hidden="1" ht="18" customHeight="1" s="506">
      <c r="A521" s="259" t="inlineStr">
        <is>
          <t>V</t>
        </is>
      </c>
      <c r="B521" s="367" t="inlineStr">
        <is>
          <t>Vacant</t>
        </is>
      </c>
      <c r="C521" s="403" t="inlineStr">
        <is>
          <t>Delivery Lead (JDE)</t>
        </is>
      </c>
      <c r="D521" s="318" t="inlineStr">
        <is>
          <t>Vacant</t>
        </is>
      </c>
      <c r="E521" s="335" t="inlineStr">
        <is>
          <t>Delivery Manager, P&amp;C, Finance &amp; Legal</t>
        </is>
      </c>
      <c r="F521" s="224" t="inlineStr">
        <is>
          <t>TDD Group Functions</t>
        </is>
      </c>
      <c r="G521" s="335" t="inlineStr">
        <is>
          <t>P&amp;C, Finance &amp; Legal</t>
        </is>
      </c>
      <c r="H521" s="318" t="inlineStr">
        <is>
          <t>Delivery, P&amp;C, Finance &amp; Legal</t>
        </is>
      </c>
      <c r="I521" s="318" t="inlineStr">
        <is>
          <t>Finance</t>
        </is>
      </c>
      <c r="J521" s="318" t="inlineStr">
        <is>
          <t>NZ Finance</t>
        </is>
      </c>
      <c r="K521" s="318" t="inlineStr">
        <is>
          <t>NZ Finance</t>
        </is>
      </c>
      <c r="L521" s="318" t="n"/>
      <c r="M521" s="319" t="inlineStr">
        <is>
          <t>Australia</t>
        </is>
      </c>
      <c r="N521" s="320" t="inlineStr">
        <is>
          <t>CIC</t>
        </is>
      </c>
      <c r="O521" s="320" t="n">
        <v>1</v>
      </c>
      <c r="P521" s="320" t="n"/>
      <c r="Q521" s="320" t="inlineStr">
        <is>
          <t>V</t>
        </is>
      </c>
      <c r="R521" s="322" t="n"/>
      <c r="S521" s="322" t="n"/>
      <c r="T521" s="334" t="n">
        <v>173550</v>
      </c>
      <c r="U521" s="705" t="n">
        <v>173550</v>
      </c>
      <c r="V521" s="325" t="n">
        <v>0.12</v>
      </c>
      <c r="W521" s="702" t="n">
        <v>0.055</v>
      </c>
      <c r="X521" s="702" t="n">
        <v>0.12</v>
      </c>
      <c r="Y521" s="703" t="n"/>
      <c r="Z521" s="702" t="n">
        <v>0.04</v>
      </c>
      <c r="AA521" s="701">
        <f>U521*(1+V521+W521+X521+Y521+Z521)</f>
        <v>231689.25</v>
      </c>
      <c r="AC521" t="inlineStr">
        <is>
          <t>Finance</t>
        </is>
      </c>
      <c r="AD521" t="inlineStr">
        <is>
          <t>NZ Finance</t>
        </is>
      </c>
      <c r="AE521" t="inlineStr">
        <is>
          <t>NZ Finance</t>
        </is>
      </c>
      <c r="AF521" t="inlineStr">
        <is>
          <t>Squad</t>
        </is>
      </c>
      <c r="AG521" t="inlineStr">
        <is>
          <t>Vacant</t>
        </is>
      </c>
    </row>
    <row r="522" hidden="1" ht="18" customHeight="1" s="506">
      <c r="A522" s="259" t="inlineStr">
        <is>
          <t>V</t>
        </is>
      </c>
      <c r="B522" s="367" t="inlineStr">
        <is>
          <t>Vacant</t>
        </is>
      </c>
      <c r="C522" s="403" t="inlineStr">
        <is>
          <t>Delivery Lead (SAP)</t>
        </is>
      </c>
      <c r="D522" s="318" t="inlineStr">
        <is>
          <t>Vacant</t>
        </is>
      </c>
      <c r="E522" s="335" t="inlineStr">
        <is>
          <t>Delivery Manager, P&amp;C, Finance &amp; Legal</t>
        </is>
      </c>
      <c r="F522" s="224" t="inlineStr">
        <is>
          <t>TDD Group Functions</t>
        </is>
      </c>
      <c r="G522" s="335" t="inlineStr">
        <is>
          <t>P&amp;C, Finance &amp; Legal</t>
        </is>
      </c>
      <c r="H522" s="318" t="inlineStr">
        <is>
          <t>Delivery, P&amp;C, Finance &amp; Legal</t>
        </is>
      </c>
      <c r="I522" s="318" t="inlineStr">
        <is>
          <t>Finance</t>
        </is>
      </c>
      <c r="J522" s="318" t="inlineStr">
        <is>
          <t>AU Finance</t>
        </is>
      </c>
      <c r="K522" s="318" t="inlineStr">
        <is>
          <t>SAP ERP</t>
        </is>
      </c>
      <c r="L522" s="318" t="n"/>
      <c r="M522" s="319" t="inlineStr">
        <is>
          <t>Australia</t>
        </is>
      </c>
      <c r="N522" s="320" t="inlineStr">
        <is>
          <t>CIC</t>
        </is>
      </c>
      <c r="O522" s="320" t="n">
        <v>1</v>
      </c>
      <c r="P522" s="320" t="n"/>
      <c r="Q522" s="320" t="inlineStr">
        <is>
          <t>V</t>
        </is>
      </c>
      <c r="R522" s="322" t="n"/>
      <c r="S522" s="322" t="n"/>
      <c r="T522" s="334" t="n">
        <v>173550</v>
      </c>
      <c r="U522" s="705" t="n">
        <v>173550</v>
      </c>
      <c r="V522" s="325" t="n">
        <v>0.12</v>
      </c>
      <c r="W522" s="702" t="n">
        <v>0.055</v>
      </c>
      <c r="X522" s="702" t="n">
        <v>0.12</v>
      </c>
      <c r="Y522" s="703" t="n"/>
      <c r="Z522" s="702" t="n">
        <v>0.04</v>
      </c>
      <c r="AA522" s="701">
        <f>U522*(1+V522+W522+X522+Y522+Z522)</f>
        <v>231689.25</v>
      </c>
      <c r="AC522" t="inlineStr">
        <is>
          <t>Finance</t>
        </is>
      </c>
      <c r="AD522" t="inlineStr">
        <is>
          <t>AU Finance</t>
        </is>
      </c>
      <c r="AE522" t="inlineStr">
        <is>
          <t>AU Finance</t>
        </is>
      </c>
      <c r="AF522" t="inlineStr">
        <is>
          <t>Squad</t>
        </is>
      </c>
      <c r="AG522" t="inlineStr">
        <is>
          <t>Vacant</t>
        </is>
      </c>
    </row>
    <row r="523" hidden="1" ht="18" customHeight="1" s="506">
      <c r="A523" s="259" t="inlineStr">
        <is>
          <t>V</t>
        </is>
      </c>
      <c r="B523" s="367" t="inlineStr">
        <is>
          <t>Vacant</t>
        </is>
      </c>
      <c r="C523" s="403" t="inlineStr">
        <is>
          <t>Business Analyst (P&amp;C RTA)</t>
        </is>
      </c>
      <c r="D523" s="318" t="inlineStr">
        <is>
          <t>Vacant</t>
        </is>
      </c>
      <c r="E523" s="335" t="inlineStr">
        <is>
          <t>Delivery Manager, P&amp;C, Finance &amp; Legal</t>
        </is>
      </c>
      <c r="F523" s="224" t="inlineStr">
        <is>
          <t>TDD Group Functions</t>
        </is>
      </c>
      <c r="G523" s="335" t="inlineStr">
        <is>
          <t>P&amp;C, Finance &amp; Legal</t>
        </is>
      </c>
      <c r="H523" s="318" t="inlineStr">
        <is>
          <t>Delivery, P&amp;C, Finance &amp; Legal</t>
        </is>
      </c>
      <c r="I523" s="318" t="inlineStr">
        <is>
          <t>P&amp;C</t>
        </is>
      </c>
      <c r="J523" s="318" t="inlineStr">
        <is>
          <t>P&amp;C</t>
        </is>
      </c>
      <c r="K523" s="318" t="inlineStr">
        <is>
          <t>P&amp;C RTA</t>
        </is>
      </c>
      <c r="L523" s="318" t="n"/>
      <c r="M523" s="319" t="inlineStr">
        <is>
          <t>Australia</t>
        </is>
      </c>
      <c r="N523" s="320" t="inlineStr">
        <is>
          <t>CIB</t>
        </is>
      </c>
      <c r="O523" s="320" t="n">
        <v>1</v>
      </c>
      <c r="P523" s="320" t="n"/>
      <c r="Q523" s="320" t="inlineStr">
        <is>
          <t>V</t>
        </is>
      </c>
      <c r="R523" s="322" t="n"/>
      <c r="S523" s="322" t="n"/>
      <c r="T523" s="334" t="n">
        <v>151000</v>
      </c>
      <c r="U523" s="705" t="n">
        <v>151000</v>
      </c>
      <c r="V523" s="325" t="n">
        <v>0.12</v>
      </c>
      <c r="W523" s="702" t="n">
        <v>0.055</v>
      </c>
      <c r="X523" s="702" t="n">
        <v>0.12</v>
      </c>
      <c r="Y523" s="703" t="n"/>
      <c r="Z523" s="702" t="n">
        <v>0.04</v>
      </c>
      <c r="AA523" s="701">
        <f>U523*(1+V523+W523+X523+Y523+Z523)</f>
        <v>201585.0</v>
      </c>
      <c r="AC523" t="inlineStr">
        <is>
          <t>P&amp;C</t>
        </is>
      </c>
      <c r="AD523" t="inlineStr">
        <is>
          <t>P&amp;C</t>
        </is>
      </c>
      <c r="AE523" t="inlineStr">
        <is>
          <t>P&amp;C - RTA</t>
        </is>
      </c>
      <c r="AF523" t="inlineStr">
        <is>
          <t>Squad</t>
        </is>
      </c>
      <c r="AG523" t="inlineStr">
        <is>
          <t>Vacant</t>
        </is>
      </c>
    </row>
    <row r="524" hidden="1" ht="18" customHeight="1" s="506">
      <c r="A524" s="259" t="inlineStr">
        <is>
          <t>V</t>
        </is>
      </c>
      <c r="B524" s="367" t="inlineStr">
        <is>
          <t>Vacant</t>
        </is>
      </c>
      <c r="C524" s="403" t="inlineStr">
        <is>
          <t>Delivery Lead (RTA)</t>
        </is>
      </c>
      <c r="D524" s="318" t="inlineStr">
        <is>
          <t>Vacant</t>
        </is>
      </c>
      <c r="E524" s="335" t="inlineStr">
        <is>
          <t>Delivery Manager, P&amp;C, Finance &amp; Legal</t>
        </is>
      </c>
      <c r="F524" s="224" t="inlineStr">
        <is>
          <t>TDD Group Functions</t>
        </is>
      </c>
      <c r="G524" s="335" t="inlineStr">
        <is>
          <t>P&amp;C, Finance &amp; Legal</t>
        </is>
      </c>
      <c r="H524" s="318" t="inlineStr">
        <is>
          <t>Delivery, P&amp;C, Finance &amp; Legal</t>
        </is>
      </c>
      <c r="I524" s="318" t="inlineStr">
        <is>
          <t>P&amp;C</t>
        </is>
      </c>
      <c r="J524" s="328" t="inlineStr">
        <is>
          <t>P&amp;C</t>
        </is>
      </c>
      <c r="K524" s="318" t="inlineStr">
        <is>
          <t>P&amp;C RTA</t>
        </is>
      </c>
      <c r="L524" s="318" t="n"/>
      <c r="M524" s="319" t="inlineStr">
        <is>
          <t>Australia</t>
        </is>
      </c>
      <c r="N524" s="320" t="inlineStr">
        <is>
          <t>CIC</t>
        </is>
      </c>
      <c r="O524" s="320" t="n">
        <v>1</v>
      </c>
      <c r="P524" s="320" t="n"/>
      <c r="Q524" s="320" t="inlineStr">
        <is>
          <t>V</t>
        </is>
      </c>
      <c r="R524" s="322" t="n"/>
      <c r="S524" s="322" t="n"/>
      <c r="T524" s="334" t="n">
        <v>173550</v>
      </c>
      <c r="U524" s="705" t="n">
        <v>173550</v>
      </c>
      <c r="V524" s="325" t="n">
        <v>0.12</v>
      </c>
      <c r="W524" s="702" t="n">
        <v>0.055</v>
      </c>
      <c r="X524" s="702" t="n">
        <v>0.12</v>
      </c>
      <c r="Y524" s="703" t="n"/>
      <c r="Z524" s="702" t="n">
        <v>0.04</v>
      </c>
      <c r="AA524" s="701">
        <f>U524*(1+V524+W524+X524+Y524+Z524)</f>
        <v>231689.25</v>
      </c>
      <c r="AC524" t="inlineStr">
        <is>
          <t>P&amp;C</t>
        </is>
      </c>
      <c r="AD524" t="inlineStr">
        <is>
          <t>P&amp;C</t>
        </is>
      </c>
      <c r="AE524" t="inlineStr">
        <is>
          <t>P&amp;C - RTA</t>
        </is>
      </c>
      <c r="AF524" t="inlineStr">
        <is>
          <t>Squad</t>
        </is>
      </c>
      <c r="AG524" t="inlineStr">
        <is>
          <t>Vacant</t>
        </is>
      </c>
    </row>
    <row r="525" hidden="1" ht="18" customHeight="1" s="506">
      <c r="A525" s="259" t="inlineStr">
        <is>
          <t>V</t>
        </is>
      </c>
      <c r="B525" s="367" t="inlineStr">
        <is>
          <t>Vacant</t>
        </is>
      </c>
      <c r="C525" s="403" t="inlineStr">
        <is>
          <t>Engineer</t>
        </is>
      </c>
      <c r="D525" s="318" t="inlineStr">
        <is>
          <t>Vacant</t>
        </is>
      </c>
      <c r="E525" s="224" t="inlineStr">
        <is>
          <t>Technology Manager P&amp;C Platforms</t>
        </is>
      </c>
      <c r="F525" s="224" t="inlineStr">
        <is>
          <t>TDD Group Functions</t>
        </is>
      </c>
      <c r="G525" s="335" t="inlineStr">
        <is>
          <t>P&amp;C, Finance &amp; Legal</t>
        </is>
      </c>
      <c r="H525" s="318" t="inlineStr">
        <is>
          <t>Tech, P&amp;C Platforms</t>
        </is>
      </c>
      <c r="I525" s="318" t="inlineStr">
        <is>
          <t>P&amp;C</t>
        </is>
      </c>
      <c r="J525" s="318" t="inlineStr">
        <is>
          <t>P&amp;C</t>
        </is>
      </c>
      <c r="K525" s="318" t="inlineStr">
        <is>
          <t>P&amp;C</t>
        </is>
      </c>
      <c r="L525" s="318" t="n"/>
      <c r="M525" s="319" t="inlineStr">
        <is>
          <t>Australia</t>
        </is>
      </c>
      <c r="N525" s="322" t="inlineStr">
        <is>
          <t>cib</t>
        </is>
      </c>
      <c r="O525" s="320" t="n">
        <v>1</v>
      </c>
      <c r="P525" s="320" t="n"/>
      <c r="Q525" s="320" t="inlineStr">
        <is>
          <t>V</t>
        </is>
      </c>
      <c r="R525" s="322" t="n"/>
      <c r="S525" s="322" t="n"/>
      <c r="T525" s="334" t="n">
        <v>151950</v>
      </c>
      <c r="U525" s="705" t="n">
        <v>151950</v>
      </c>
      <c r="V525" s="325" t="n">
        <v>0.12</v>
      </c>
      <c r="W525" s="702" t="n">
        <v>0.055</v>
      </c>
      <c r="X525" s="702" t="n">
        <v>0.12</v>
      </c>
      <c r="Y525" s="703" t="n"/>
      <c r="Z525" s="702" t="n">
        <v>0.04</v>
      </c>
      <c r="AA525" s="701">
        <f>U525*(1+V525+W525+X525+Y525+Z525)</f>
        <v>202853.25</v>
      </c>
      <c r="AC525" t="inlineStr">
        <is>
          <t>P&amp;C</t>
        </is>
      </c>
      <c r="AD525" t="inlineStr">
        <is>
          <t>P&amp;C</t>
        </is>
      </c>
      <c r="AE525" t="inlineStr">
        <is>
          <t>P&amp;C</t>
        </is>
      </c>
      <c r="AF525" t="inlineStr">
        <is>
          <t>Squad</t>
        </is>
      </c>
      <c r="AG525" t="inlineStr">
        <is>
          <t>Vacant</t>
        </is>
      </c>
    </row>
    <row r="526" hidden="1" ht="18" customHeight="1" s="506">
      <c r="A526" s="259" t="inlineStr">
        <is>
          <t>V</t>
        </is>
      </c>
      <c r="B526" s="367" t="inlineStr">
        <is>
          <t>Vacant</t>
        </is>
      </c>
      <c r="C526" s="403" t="inlineStr">
        <is>
          <t>Engineer</t>
        </is>
      </c>
      <c r="D526" s="318" t="inlineStr">
        <is>
          <t>Vacant</t>
        </is>
      </c>
      <c r="E526" s="224" t="inlineStr">
        <is>
          <t>Technology Manager P&amp;C Platforms</t>
        </is>
      </c>
      <c r="F526" s="224" t="inlineStr">
        <is>
          <t>TDD Group Functions</t>
        </is>
      </c>
      <c r="G526" s="335" t="inlineStr">
        <is>
          <t>P&amp;C, Finance &amp; Legal</t>
        </is>
      </c>
      <c r="H526" s="318" t="inlineStr">
        <is>
          <t>Tech, P&amp;C Platforms</t>
        </is>
      </c>
      <c r="I526" s="318" t="inlineStr">
        <is>
          <t>P&amp;C</t>
        </is>
      </c>
      <c r="J526" s="318" t="inlineStr">
        <is>
          <t>P&amp;C</t>
        </is>
      </c>
      <c r="K526" s="318" t="inlineStr">
        <is>
          <t>P&amp;C</t>
        </is>
      </c>
      <c r="L526" s="318" t="n"/>
      <c r="M526" s="319" t="inlineStr">
        <is>
          <t>Australia</t>
        </is>
      </c>
      <c r="N526" s="322" t="inlineStr">
        <is>
          <t>cib</t>
        </is>
      </c>
      <c r="O526" s="320" t="n">
        <v>1</v>
      </c>
      <c r="P526" s="320" t="n"/>
      <c r="Q526" s="320" t="inlineStr">
        <is>
          <t>V</t>
        </is>
      </c>
      <c r="R526" s="322" t="n"/>
      <c r="S526" s="322" t="n"/>
      <c r="T526" s="334" t="n">
        <v>151950</v>
      </c>
      <c r="U526" s="705" t="n">
        <v>151950</v>
      </c>
      <c r="V526" s="325" t="n">
        <v>0.12</v>
      </c>
      <c r="W526" s="702" t="n">
        <v>0.055</v>
      </c>
      <c r="X526" s="702" t="n">
        <v>0.12</v>
      </c>
      <c r="Y526" s="703" t="n"/>
      <c r="Z526" s="702" t="n">
        <v>0.04</v>
      </c>
      <c r="AA526" s="701">
        <f>U526*(1+V526+W526+X526+Y526+Z526)</f>
        <v>202853.25</v>
      </c>
      <c r="AC526" t="inlineStr">
        <is>
          <t>P&amp;C</t>
        </is>
      </c>
      <c r="AD526" t="inlineStr">
        <is>
          <t>P&amp;C</t>
        </is>
      </c>
      <c r="AE526" t="inlineStr">
        <is>
          <t>P&amp;C</t>
        </is>
      </c>
      <c r="AF526" t="inlineStr">
        <is>
          <t>Squad</t>
        </is>
      </c>
      <c r="AG526" t="inlineStr">
        <is>
          <t>Vacant</t>
        </is>
      </c>
    </row>
    <row r="527" hidden="1" ht="18" customHeight="1" s="506">
      <c r="A527" s="259" t="inlineStr">
        <is>
          <t>V</t>
        </is>
      </c>
      <c r="B527" s="367" t="inlineStr">
        <is>
          <t>Vacant</t>
        </is>
      </c>
      <c r="C527" s="403" t="inlineStr">
        <is>
          <t>Engineer</t>
        </is>
      </c>
      <c r="D527" s="318" t="inlineStr">
        <is>
          <t>Vacant</t>
        </is>
      </c>
      <c r="E527" s="224" t="inlineStr">
        <is>
          <t>Technology Manager P&amp;C Platforms</t>
        </is>
      </c>
      <c r="F527" s="224" t="inlineStr">
        <is>
          <t>TDD Group Functions</t>
        </is>
      </c>
      <c r="G527" s="335" t="inlineStr">
        <is>
          <t>P&amp;C, Finance &amp; Legal</t>
        </is>
      </c>
      <c r="H527" s="318" t="inlineStr">
        <is>
          <t>Tech, P&amp;C Platforms</t>
        </is>
      </c>
      <c r="I527" s="318" t="inlineStr">
        <is>
          <t>P&amp;C</t>
        </is>
      </c>
      <c r="J527" s="318" t="inlineStr">
        <is>
          <t>P&amp;C</t>
        </is>
      </c>
      <c r="K527" s="318" t="inlineStr">
        <is>
          <t>P&amp;C RTA</t>
        </is>
      </c>
      <c r="L527" s="318" t="n"/>
      <c r="M527" s="319" t="inlineStr">
        <is>
          <t>Australia</t>
        </is>
      </c>
      <c r="N527" s="322" t="inlineStr">
        <is>
          <t>cib</t>
        </is>
      </c>
      <c r="O527" s="320" t="n">
        <v>1</v>
      </c>
      <c r="P527" s="320" t="n"/>
      <c r="Q527" s="320" t="inlineStr">
        <is>
          <t>V</t>
        </is>
      </c>
      <c r="R527" s="322" t="n"/>
      <c r="S527" s="322" t="n"/>
      <c r="T527" s="334" t="n">
        <v>151950</v>
      </c>
      <c r="U527" s="705" t="n">
        <v>151950</v>
      </c>
      <c r="V527" s="325" t="n">
        <v>0.12</v>
      </c>
      <c r="W527" s="702" t="n">
        <v>0.055</v>
      </c>
      <c r="X527" s="702" t="n">
        <v>0.12</v>
      </c>
      <c r="Y527" s="703" t="n"/>
      <c r="Z527" s="702" t="n">
        <v>0.04</v>
      </c>
      <c r="AA527" s="701">
        <f>U527*(1+V527+W527+X527+Y527+Z527)</f>
        <v>202853.25</v>
      </c>
      <c r="AC527" t="inlineStr">
        <is>
          <t>P&amp;C</t>
        </is>
      </c>
      <c r="AD527" t="inlineStr">
        <is>
          <t>P&amp;C</t>
        </is>
      </c>
      <c r="AE527" t="inlineStr">
        <is>
          <t>P&amp;C - RTA</t>
        </is>
      </c>
      <c r="AF527" t="inlineStr">
        <is>
          <t>Squad</t>
        </is>
      </c>
      <c r="AG527" t="inlineStr">
        <is>
          <t>Vacant</t>
        </is>
      </c>
    </row>
    <row r="528" hidden="1" ht="18" customHeight="1" s="506">
      <c r="A528" s="259" t="inlineStr">
        <is>
          <t>V</t>
        </is>
      </c>
      <c r="B528" s="367" t="inlineStr">
        <is>
          <t>Vacant</t>
        </is>
      </c>
      <c r="C528" s="403" t="inlineStr">
        <is>
          <t>Quality Assurance</t>
        </is>
      </c>
      <c r="D528" s="318" t="inlineStr">
        <is>
          <t>Vacant</t>
        </is>
      </c>
      <c r="E528" s="224" t="inlineStr">
        <is>
          <t>Technology Manager P&amp;C Platforms</t>
        </is>
      </c>
      <c r="F528" s="224" t="inlineStr">
        <is>
          <t>TDD Group Functions</t>
        </is>
      </c>
      <c r="G528" s="335" t="inlineStr">
        <is>
          <t>P&amp;C, Finance &amp; Legal</t>
        </is>
      </c>
      <c r="H528" s="318" t="inlineStr">
        <is>
          <t>Tech, P&amp;C Platforms</t>
        </is>
      </c>
      <c r="I528" s="318" t="inlineStr">
        <is>
          <t>P&amp;C</t>
        </is>
      </c>
      <c r="J528" s="318" t="inlineStr">
        <is>
          <t>P&amp;C</t>
        </is>
      </c>
      <c r="K528" s="318" t="inlineStr">
        <is>
          <t>P&amp;C</t>
        </is>
      </c>
      <c r="L528" s="318" t="n"/>
      <c r="M528" s="319" t="inlineStr">
        <is>
          <t>Australia</t>
        </is>
      </c>
      <c r="N528" s="320" t="inlineStr">
        <is>
          <t>CIA</t>
        </is>
      </c>
      <c r="O528" s="320" t="n">
        <v>1</v>
      </c>
      <c r="P528" s="320" t="n"/>
      <c r="Q528" s="320" t="inlineStr">
        <is>
          <t>v</t>
        </is>
      </c>
      <c r="R528" s="322" t="n"/>
      <c r="S528" s="322" t="n"/>
      <c r="T528" s="334" t="n">
        <v>129650</v>
      </c>
      <c r="U528" s="705" t="n">
        <v>129650</v>
      </c>
      <c r="V528" s="325" t="n">
        <v>0.1</v>
      </c>
      <c r="W528" s="702" t="n">
        <v>0.055</v>
      </c>
      <c r="X528" s="702" t="n">
        <v>0.12</v>
      </c>
      <c r="Y528" s="703" t="n"/>
      <c r="Z528" s="702" t="n">
        <v>0.04</v>
      </c>
      <c r="AA528" s="701">
        <f>U528*(1+V528+W528+X528+Y528+Z528)</f>
        <v>170489.75</v>
      </c>
      <c r="AC528" t="inlineStr">
        <is>
          <t>P&amp;C</t>
        </is>
      </c>
      <c r="AD528" t="inlineStr">
        <is>
          <t>P&amp;C</t>
        </is>
      </c>
      <c r="AE528" t="inlineStr">
        <is>
          <t>P&amp;C</t>
        </is>
      </c>
      <c r="AF528" t="inlineStr">
        <is>
          <t>Squad</t>
        </is>
      </c>
      <c r="AG528" t="inlineStr">
        <is>
          <t>Vacant</t>
        </is>
      </c>
    </row>
    <row r="529" hidden="1" ht="18" customHeight="1" s="506">
      <c r="A529" s="259" t="inlineStr">
        <is>
          <t>V</t>
        </is>
      </c>
      <c r="B529" s="367" t="inlineStr">
        <is>
          <t>Vacant</t>
        </is>
      </c>
      <c r="C529" s="403" t="inlineStr">
        <is>
          <t>Quality Assurance</t>
        </is>
      </c>
      <c r="D529" s="318" t="inlineStr">
        <is>
          <t>Vacant</t>
        </is>
      </c>
      <c r="E529" s="224" t="inlineStr">
        <is>
          <t>Technology Manager P&amp;C Platforms</t>
        </is>
      </c>
      <c r="F529" s="224" t="inlineStr">
        <is>
          <t>TDD Group Functions</t>
        </is>
      </c>
      <c r="G529" s="335" t="inlineStr">
        <is>
          <t>P&amp;C, Finance &amp; Legal</t>
        </is>
      </c>
      <c r="H529" s="318" t="inlineStr">
        <is>
          <t>Tech, P&amp;C Platforms</t>
        </is>
      </c>
      <c r="I529" s="318" t="inlineStr">
        <is>
          <t>P&amp;C</t>
        </is>
      </c>
      <c r="J529" s="318" t="inlineStr">
        <is>
          <t>P&amp;C</t>
        </is>
      </c>
      <c r="K529" s="318" t="inlineStr">
        <is>
          <t>P&amp;C RTA</t>
        </is>
      </c>
      <c r="L529" s="318" t="n"/>
      <c r="M529" s="319" t="inlineStr">
        <is>
          <t>Australia</t>
        </is>
      </c>
      <c r="N529" s="320" t="inlineStr">
        <is>
          <t>CIA</t>
        </is>
      </c>
      <c r="O529" s="320" t="n">
        <v>1</v>
      </c>
      <c r="P529" s="320" t="n"/>
      <c r="Q529" s="320" t="inlineStr">
        <is>
          <t>v</t>
        </is>
      </c>
      <c r="R529" s="322" t="n"/>
      <c r="S529" s="322" t="n"/>
      <c r="T529" s="334" t="n">
        <v>129650</v>
      </c>
      <c r="U529" s="705" t="n">
        <v>129650</v>
      </c>
      <c r="V529" s="325" t="n">
        <v>0.1</v>
      </c>
      <c r="W529" s="702" t="n">
        <v>0.055</v>
      </c>
      <c r="X529" s="702" t="n">
        <v>0.12</v>
      </c>
      <c r="Y529" s="703" t="n"/>
      <c r="Z529" s="702" t="n">
        <v>0.04</v>
      </c>
      <c r="AA529" s="701">
        <f>U529*(1+V529+W529+X529+Y529+Z529)</f>
        <v>170489.75</v>
      </c>
      <c r="AC529" t="inlineStr">
        <is>
          <t>P&amp;C</t>
        </is>
      </c>
      <c r="AD529" t="inlineStr">
        <is>
          <t>P&amp;C</t>
        </is>
      </c>
      <c r="AE529" t="inlineStr">
        <is>
          <t>P&amp;C - RTA</t>
        </is>
      </c>
      <c r="AF529" t="inlineStr">
        <is>
          <t>Squad</t>
        </is>
      </c>
      <c r="AG529" t="inlineStr">
        <is>
          <t>Vacant</t>
        </is>
      </c>
    </row>
    <row r="530" hidden="1" ht="18" customHeight="1" s="506">
      <c r="A530" s="259" t="inlineStr">
        <is>
          <t>V</t>
        </is>
      </c>
      <c r="B530" s="367" t="inlineStr">
        <is>
          <t>Vacant</t>
        </is>
      </c>
      <c r="C530" s="403" t="inlineStr">
        <is>
          <t>Systems Specialist</t>
        </is>
      </c>
      <c r="D530" s="318" t="inlineStr">
        <is>
          <t>Vacant</t>
        </is>
      </c>
      <c r="E530" s="224" t="inlineStr">
        <is>
          <t>Technology Manager P&amp;C Platforms</t>
        </is>
      </c>
      <c r="F530" s="224" t="inlineStr">
        <is>
          <t>TDD Group Functions</t>
        </is>
      </c>
      <c r="G530" s="335" t="inlineStr">
        <is>
          <t>P&amp;C, Finance &amp; Legal</t>
        </is>
      </c>
      <c r="H530" s="318" t="inlineStr">
        <is>
          <t>Tech, P&amp;C Platforms</t>
        </is>
      </c>
      <c r="I530" s="328" t="inlineStr">
        <is>
          <t>P&amp;C</t>
        </is>
      </c>
      <c r="J530" s="318" t="inlineStr">
        <is>
          <t>P&amp;C</t>
        </is>
      </c>
      <c r="K530" s="318" t="inlineStr">
        <is>
          <t>P&amp;C RTA</t>
        </is>
      </c>
      <c r="L530" s="318" t="n"/>
      <c r="M530" s="319" t="inlineStr">
        <is>
          <t>Australia</t>
        </is>
      </c>
      <c r="N530" s="322" t="inlineStr">
        <is>
          <t>CIA</t>
        </is>
      </c>
      <c r="O530" s="322" t="n">
        <v>1</v>
      </c>
      <c r="P530" s="322" t="n"/>
      <c r="Q530" s="322" t="inlineStr">
        <is>
          <t>v</t>
        </is>
      </c>
      <c r="R530" s="322" t="n"/>
      <c r="S530" s="322" t="n"/>
      <c r="T530" s="334" t="n">
        <v>136860</v>
      </c>
      <c r="U530" s="705" t="n">
        <v>136860</v>
      </c>
      <c r="V530" s="325" t="n">
        <v>0.1</v>
      </c>
      <c r="W530" s="702" t="n">
        <v>0.055</v>
      </c>
      <c r="X530" s="702" t="n">
        <v>0.12</v>
      </c>
      <c r="Y530" s="703" t="n"/>
      <c r="Z530" s="702" t="n">
        <v>0.04</v>
      </c>
      <c r="AA530" s="701">
        <f>U530*(1+V530+W530+X530+Y530+Z530)</f>
        <v>179970.9</v>
      </c>
      <c r="AC530" t="inlineStr">
        <is>
          <t>P&amp;C</t>
        </is>
      </c>
      <c r="AD530" t="inlineStr">
        <is>
          <t>P&amp;C</t>
        </is>
      </c>
      <c r="AE530" t="inlineStr">
        <is>
          <t>P&amp;C - RTA</t>
        </is>
      </c>
      <c r="AF530" t="inlineStr">
        <is>
          <t>Squad</t>
        </is>
      </c>
      <c r="AG530" t="inlineStr">
        <is>
          <t>Vacant</t>
        </is>
      </c>
    </row>
    <row r="531" hidden="1" ht="18" customHeight="1" s="506">
      <c r="A531" s="259" t="inlineStr">
        <is>
          <t>V</t>
        </is>
      </c>
      <c r="B531" s="367" t="inlineStr">
        <is>
          <t>Vacant</t>
        </is>
      </c>
      <c r="C531" s="403" t="inlineStr">
        <is>
          <t>Technology Manager – P&amp;C Platforms</t>
        </is>
      </c>
      <c r="D531" s="318" t="inlineStr">
        <is>
          <t>Vaso Vukovic</t>
        </is>
      </c>
      <c r="E531" s="335" t="inlineStr">
        <is>
          <t>Head of Technology - P&amp;C, Finance &amp; Legal</t>
        </is>
      </c>
      <c r="F531" s="224" t="inlineStr">
        <is>
          <t>TDD Group Functions</t>
        </is>
      </c>
      <c r="G531" s="335" t="inlineStr">
        <is>
          <t>P&amp;C, Finance &amp; Legal</t>
        </is>
      </c>
      <c r="H531" s="328" t="inlineStr">
        <is>
          <t>Tech, P&amp;C Platforms</t>
        </is>
      </c>
      <c r="I531" s="318" t="inlineStr">
        <is>
          <t>P&amp;C</t>
        </is>
      </c>
      <c r="J531" s="318" t="inlineStr">
        <is>
          <t>P&amp;C</t>
        </is>
      </c>
      <c r="K531" s="328" t="inlineStr">
        <is>
          <t>Leadership</t>
        </is>
      </c>
      <c r="L531" s="318" t="n"/>
      <c r="M531" s="319" t="inlineStr">
        <is>
          <t>Australia</t>
        </is>
      </c>
      <c r="N531" s="320" t="inlineStr">
        <is>
          <t>CSB</t>
        </is>
      </c>
      <c r="O531" s="320" t="n">
        <v>1</v>
      </c>
      <c r="P531" s="320" t="n"/>
      <c r="Q531" s="320" t="inlineStr">
        <is>
          <t>v</t>
        </is>
      </c>
      <c r="R531" s="322" t="n"/>
      <c r="S531" s="322" t="n"/>
      <c r="T531" s="334" t="n">
        <v>203550</v>
      </c>
      <c r="U531" s="705" t="n">
        <v>203550</v>
      </c>
      <c r="V531" s="325" t="n">
        <v>0.14</v>
      </c>
      <c r="W531" s="702" t="n">
        <v>0.055</v>
      </c>
      <c r="X531" s="702" t="n">
        <v>0.12</v>
      </c>
      <c r="Y531" s="703" t="n"/>
      <c r="Z531" s="702" t="n">
        <v>0.04</v>
      </c>
      <c r="AA531" s="701">
        <f>U531*(1+V531+W531+X531+Y531+Z531)</f>
        <v>275810.25</v>
      </c>
      <c r="AC531" t="inlineStr">
        <is>
          <t>P&amp;C</t>
        </is>
      </c>
      <c r="AD531" t="inlineStr">
        <is>
          <t>Leadership</t>
        </is>
      </c>
      <c r="AE531" t="inlineStr">
        <is>
          <t>Leadership</t>
        </is>
      </c>
      <c r="AF531" t="inlineStr">
        <is>
          <t>Leadership</t>
        </is>
      </c>
      <c r="AG531" t="inlineStr">
        <is>
          <t>Vacant</t>
        </is>
      </c>
    </row>
    <row r="532" hidden="1" ht="18" customHeight="1" s="506">
      <c r="A532" s="259" t="inlineStr">
        <is>
          <t>V</t>
        </is>
      </c>
      <c r="B532" s="367" t="inlineStr">
        <is>
          <t>Vacant</t>
        </is>
      </c>
      <c r="C532" s="403" t="inlineStr">
        <is>
          <t>Delivery Manager</t>
        </is>
      </c>
      <c r="D532" s="318" t="inlineStr">
        <is>
          <t>Vaso Vukovic</t>
        </is>
      </c>
      <c r="E532" s="335" t="inlineStr">
        <is>
          <t>Head of Technology - P&amp;C, Finance &amp; Legal</t>
        </is>
      </c>
      <c r="F532" s="224" t="inlineStr">
        <is>
          <t>TDD Group Functions</t>
        </is>
      </c>
      <c r="G532" s="335" t="inlineStr">
        <is>
          <t>P&amp;C, Finance &amp; Legal</t>
        </is>
      </c>
      <c r="H532" s="318" t="inlineStr">
        <is>
          <t>Delivery, P&amp;C, Finance &amp; Legal</t>
        </is>
      </c>
      <c r="I532" s="318" t="inlineStr">
        <is>
          <t>P&amp;C, Finance &amp; Legal</t>
        </is>
      </c>
      <c r="J532" s="318" t="inlineStr">
        <is>
          <t>P&amp;C, Finance &amp; Legal</t>
        </is>
      </c>
      <c r="K532" s="318" t="inlineStr">
        <is>
          <t>Leadership</t>
        </is>
      </c>
      <c r="L532" s="318" t="n"/>
      <c r="M532" s="319" t="inlineStr">
        <is>
          <t>Australia</t>
        </is>
      </c>
      <c r="N532" s="320" t="inlineStr">
        <is>
          <t>CSB</t>
        </is>
      </c>
      <c r="O532" s="320" t="n">
        <v>1</v>
      </c>
      <c r="P532" s="320" t="n"/>
      <c r="Q532" s="320" t="inlineStr">
        <is>
          <t>V</t>
        </is>
      </c>
      <c r="R532" s="322" t="n"/>
      <c r="S532" s="322" t="n"/>
      <c r="T532" s="334" t="n">
        <v>203550</v>
      </c>
      <c r="U532" s="705" t="n">
        <v>203550</v>
      </c>
      <c r="V532" s="325" t="n">
        <v>0.14</v>
      </c>
      <c r="W532" s="702" t="n">
        <v>0.055</v>
      </c>
      <c r="X532" s="702" t="n">
        <v>0.12</v>
      </c>
      <c r="Y532" s="703" t="n"/>
      <c r="Z532" s="702" t="n">
        <v>0.04</v>
      </c>
      <c r="AA532" s="701">
        <f>U532*(1+V532+W532+X532+Y532+Z532)</f>
        <v>275810.25</v>
      </c>
      <c r="AC532" t="inlineStr">
        <is>
          <t>P&amp;C</t>
        </is>
      </c>
      <c r="AD532" t="inlineStr">
        <is>
          <t>Leadership</t>
        </is>
      </c>
      <c r="AE532" t="inlineStr">
        <is>
          <t>Leadership</t>
        </is>
      </c>
      <c r="AF532" t="inlineStr">
        <is>
          <t>Leadership</t>
        </is>
      </c>
      <c r="AG532" t="inlineStr">
        <is>
          <t>Vacant</t>
        </is>
      </c>
    </row>
    <row r="533" hidden="1" ht="18" customHeight="1" s="506">
      <c r="A533" s="259" t="inlineStr">
        <is>
          <t>V</t>
        </is>
      </c>
      <c r="B533" s="224" t="inlineStr">
        <is>
          <t>Vacant</t>
        </is>
      </c>
      <c r="C533" s="317" t="inlineStr">
        <is>
          <t>Head of Technology - TDD &amp; Engineering Capability Lead</t>
        </is>
      </c>
      <c r="D533" s="335" t="inlineStr">
        <is>
          <t>Emily Mogic</t>
        </is>
      </c>
      <c r="E533" s="224" t="inlineStr">
        <is>
          <t>GM TDD, Group Function</t>
        </is>
      </c>
      <c r="F533" s="224" t="inlineStr">
        <is>
          <t>TDD Group Functions</t>
        </is>
      </c>
      <c r="G533" s="318" t="inlineStr">
        <is>
          <t xml:space="preserve">TDD &amp; Engineering </t>
        </is>
      </c>
      <c r="H533" s="318" t="inlineStr">
        <is>
          <t>na</t>
        </is>
      </c>
      <c r="I533" s="318" t="inlineStr">
        <is>
          <t>TDD</t>
        </is>
      </c>
      <c r="J533" s="318" t="inlineStr">
        <is>
          <t>TDD</t>
        </is>
      </c>
      <c r="K533" s="318" t="inlineStr">
        <is>
          <t>Leadership</t>
        </is>
      </c>
      <c r="L533" s="318" t="n"/>
      <c r="M533" s="319" t="inlineStr">
        <is>
          <t>Australia</t>
        </is>
      </c>
      <c r="N533" s="320" t="inlineStr">
        <is>
          <t>CSC</t>
        </is>
      </c>
      <c r="O533" s="320" t="n">
        <v>1</v>
      </c>
      <c r="P533" s="320" t="n"/>
      <c r="Q533" s="320" t="inlineStr">
        <is>
          <t>v</t>
        </is>
      </c>
      <c r="R533" s="322" t="n"/>
      <c r="S533" s="322" t="n"/>
      <c r="T533" s="334" t="n">
        <v>235350</v>
      </c>
      <c r="U533" s="705" t="n">
        <v>235350</v>
      </c>
      <c r="V533" s="325" t="n">
        <v>0.2</v>
      </c>
      <c r="W533" s="702" t="n">
        <v>0.055</v>
      </c>
      <c r="X533" s="702" t="n">
        <v>0.12</v>
      </c>
      <c r="Y533" s="703" t="n"/>
      <c r="Z533" s="702" t="n">
        <v>0.04</v>
      </c>
      <c r="AA533" s="701">
        <f>U533*(1+V533+W533+X533+Y533+Z533)</f>
        <v>333020.25</v>
      </c>
      <c r="AC533" t="inlineStr">
        <is>
          <t>TDD Group Functions</t>
        </is>
      </c>
      <c r="AD533" t="inlineStr">
        <is>
          <t>Leadership</t>
        </is>
      </c>
      <c r="AE533" t="inlineStr">
        <is>
          <t>Leadership</t>
        </is>
      </c>
      <c r="AF533" t="inlineStr">
        <is>
          <t>Leadership</t>
        </is>
      </c>
      <c r="AG533" t="inlineStr">
        <is>
          <t>Vacant</t>
        </is>
      </c>
    </row>
    <row r="534" hidden="1" ht="18" customHeight="1" s="506">
      <c r="A534" s="259" t="inlineStr">
        <is>
          <t>V</t>
        </is>
      </c>
      <c r="B534" s="367" t="inlineStr">
        <is>
          <t>Vacant</t>
        </is>
      </c>
      <c r="C534" s="403" t="inlineStr">
        <is>
          <t>Infrastructure Operations Lead</t>
        </is>
      </c>
      <c r="D534" s="318" t="inlineStr">
        <is>
          <t>John McCormack</t>
        </is>
      </c>
      <c r="E534" s="335" t="inlineStr">
        <is>
          <t>Manager - Infrastructure Operations</t>
        </is>
      </c>
      <c r="F534" s="224" t="inlineStr">
        <is>
          <t>TDD Group Functions</t>
        </is>
      </c>
      <c r="G534" s="318" t="inlineStr">
        <is>
          <t>TDD &amp; Engineering</t>
        </is>
      </c>
      <c r="H534" s="318" t="inlineStr">
        <is>
          <t>Cloud, Network &amp; Infra</t>
        </is>
      </c>
      <c r="I534" s="224" t="inlineStr">
        <is>
          <t>TDD</t>
        </is>
      </c>
      <c r="J534" s="318" t="inlineStr">
        <is>
          <t>TDD</t>
        </is>
      </c>
      <c r="K534" s="318" t="inlineStr">
        <is>
          <t>Cloud, Network &amp; Infra Ops</t>
        </is>
      </c>
      <c r="L534" s="318" t="n"/>
      <c r="M534" s="319" t="inlineStr">
        <is>
          <t>Australia</t>
        </is>
      </c>
      <c r="N534" s="320" t="inlineStr">
        <is>
          <t>CIB</t>
        </is>
      </c>
      <c r="O534" s="320" t="n">
        <v>1</v>
      </c>
      <c r="P534" s="320" t="n"/>
      <c r="Q534" s="320" t="inlineStr">
        <is>
          <t>v</t>
        </is>
      </c>
      <c r="R534" s="322" t="n"/>
      <c r="S534" s="322" t="n"/>
      <c r="T534" s="334" t="n">
        <v>151950</v>
      </c>
      <c r="U534" s="705" t="n">
        <v>151950</v>
      </c>
      <c r="V534" s="325" t="n">
        <v>0.12</v>
      </c>
      <c r="W534" s="702" t="n">
        <v>0.055</v>
      </c>
      <c r="X534" s="702" t="n">
        <v>0.12</v>
      </c>
      <c r="Y534" s="703" t="n"/>
      <c r="Z534" s="702" t="n">
        <v>0.04</v>
      </c>
      <c r="AA534" s="701">
        <f>U534*(1+V534+W534+X534+Y534+Z534)</f>
        <v>202853.25</v>
      </c>
      <c r="AC534" t="inlineStr">
        <is>
          <t>TDD Group Functions</t>
        </is>
      </c>
      <c r="AD534" t="inlineStr">
        <is>
          <t>TDD Group Functions</t>
        </is>
      </c>
      <c r="AE534" t="inlineStr">
        <is>
          <t>Network &amp; Infrastructure</t>
        </is>
      </c>
      <c r="AF534" t="inlineStr">
        <is>
          <t>Squad</t>
        </is>
      </c>
      <c r="AG534" t="inlineStr">
        <is>
          <t>Vacant</t>
        </is>
      </c>
    </row>
    <row r="535" hidden="1" ht="18" customHeight="1" s="506">
      <c r="A535" s="259" t="inlineStr">
        <is>
          <t>V</t>
        </is>
      </c>
      <c r="B535" s="367" t="inlineStr">
        <is>
          <t>Vacant</t>
        </is>
      </c>
      <c r="C535" s="403" t="inlineStr">
        <is>
          <t>RPA Lead</t>
        </is>
      </c>
      <c r="D535" s="224" t="inlineStr">
        <is>
          <t>Mike Seales</t>
        </is>
      </c>
      <c r="E535" s="224" t="inlineStr">
        <is>
          <t>Technology Manager Integration &amp; Process Managemetn</t>
        </is>
      </c>
      <c r="F535" s="224" t="inlineStr">
        <is>
          <t>TDD Group Functions</t>
        </is>
      </c>
      <c r="G535" s="318" t="inlineStr">
        <is>
          <t xml:space="preserve">TDD &amp; Engineering </t>
        </is>
      </c>
      <c r="H535" s="224" t="inlineStr">
        <is>
          <t>Integration &amp; Process Management</t>
        </is>
      </c>
      <c r="I535" s="224" t="inlineStr">
        <is>
          <t>TDD</t>
        </is>
      </c>
      <c r="J535" s="318" t="inlineStr">
        <is>
          <t>TDD</t>
        </is>
      </c>
      <c r="K535" s="318" t="inlineStr">
        <is>
          <t>Integration &amp; Process automation</t>
        </is>
      </c>
      <c r="L535" s="318" t="n"/>
      <c r="M535" s="319" t="inlineStr">
        <is>
          <t>Australia</t>
        </is>
      </c>
      <c r="N535" s="320" t="inlineStr">
        <is>
          <t>CIC</t>
        </is>
      </c>
      <c r="O535" s="320" t="n">
        <v>1</v>
      </c>
      <c r="P535" s="320" t="n"/>
      <c r="Q535" s="320" t="inlineStr">
        <is>
          <t>v</t>
        </is>
      </c>
      <c r="R535" s="322" t="n"/>
      <c r="S535" s="322" t="n"/>
      <c r="T535" s="334" t="n">
        <v>173550</v>
      </c>
      <c r="U535" s="705" t="n">
        <v>173550</v>
      </c>
      <c r="V535" s="325" t="n">
        <v>0.12</v>
      </c>
      <c r="W535" s="702" t="n">
        <v>0.055</v>
      </c>
      <c r="X535" s="702" t="n">
        <v>0.12</v>
      </c>
      <c r="Y535" s="703" t="n"/>
      <c r="Z535" s="702" t="n">
        <v>0.04</v>
      </c>
      <c r="AA535" s="701">
        <f>U535*(1+V535+W535+X535+Y535+Z535)</f>
        <v>231689.25</v>
      </c>
      <c r="AC535" t="inlineStr">
        <is>
          <t>TDD Group Functions</t>
        </is>
      </c>
      <c r="AD535" t="inlineStr">
        <is>
          <t>TDD Group Functions</t>
        </is>
      </c>
      <c r="AE535" t="inlineStr">
        <is>
          <t>Integration</t>
        </is>
      </c>
      <c r="AF535" t="inlineStr">
        <is>
          <t>Squad</t>
        </is>
      </c>
      <c r="AG535" t="inlineStr">
        <is>
          <t>Vacant</t>
        </is>
      </c>
    </row>
    <row r="536" hidden="1" ht="18" customHeight="1" s="506">
      <c r="A536" s="259" t="inlineStr">
        <is>
          <t>V</t>
        </is>
      </c>
      <c r="B536" s="367" t="inlineStr">
        <is>
          <t>Vacant</t>
        </is>
      </c>
      <c r="C536" s="403" t="inlineStr">
        <is>
          <t>Senior Engineer (Automation Test)</t>
        </is>
      </c>
      <c r="D536" s="367" t="inlineStr">
        <is>
          <t>Shobhit Mittal</t>
        </is>
      </c>
      <c r="E536" s="335" t="inlineStr">
        <is>
          <t>Lead Engineer (Automation Test)</t>
        </is>
      </c>
      <c r="F536" s="318" t="inlineStr">
        <is>
          <t>TDD Group Functions</t>
        </is>
      </c>
      <c r="G536" s="318" t="inlineStr">
        <is>
          <t>TDD &amp; Engineering</t>
        </is>
      </c>
      <c r="H536" s="318" t="inlineStr">
        <is>
          <t>DevOps &amp; QE</t>
        </is>
      </c>
      <c r="I536" s="224" t="inlineStr">
        <is>
          <t>TDD</t>
        </is>
      </c>
      <c r="J536" s="318" t="inlineStr">
        <is>
          <t>TDD</t>
        </is>
      </c>
      <c r="K536" s="318" t="inlineStr">
        <is>
          <t>DevOps &amp; QE</t>
        </is>
      </c>
      <c r="L536" s="318" t="n"/>
      <c r="M536" s="319" t="inlineStr">
        <is>
          <t>Australia</t>
        </is>
      </c>
      <c r="N536" s="320" t="inlineStr">
        <is>
          <t>CIB</t>
        </is>
      </c>
      <c r="O536" s="320" t="n">
        <v>1</v>
      </c>
      <c r="P536" s="320" t="n"/>
      <c r="Q536" s="320" t="inlineStr">
        <is>
          <t>v</t>
        </is>
      </c>
      <c r="R536" s="322" t="n"/>
      <c r="S536" s="322" t="n"/>
      <c r="T536" s="334" t="n">
        <v>151950</v>
      </c>
      <c r="U536" s="705" t="n">
        <v>151950</v>
      </c>
      <c r="V536" s="325" t="n">
        <v>0.12</v>
      </c>
      <c r="W536" s="702" t="n">
        <v>0.055</v>
      </c>
      <c r="X536" s="702" t="n">
        <v>0.12</v>
      </c>
      <c r="Y536" s="703" t="n"/>
      <c r="Z536" s="702" t="n">
        <v>0.04</v>
      </c>
      <c r="AA536" s="701">
        <f>U536*(1+V536+W536+X536+Y536+Z536)</f>
        <v>202853.25</v>
      </c>
      <c r="AC536" t="inlineStr">
        <is>
          <t>TDD Group Functions</t>
        </is>
      </c>
      <c r="AD536" t="inlineStr">
        <is>
          <t>TDD Group Functions</t>
        </is>
      </c>
      <c r="AE536" t="inlineStr">
        <is>
          <t>DevOps &amp; Engineering</t>
        </is>
      </c>
      <c r="AF536" t="inlineStr">
        <is>
          <t>Squad</t>
        </is>
      </c>
      <c r="AG536" t="inlineStr">
        <is>
          <t>Vacant</t>
        </is>
      </c>
    </row>
    <row r="537" hidden="1" ht="18" customHeight="1" s="506">
      <c r="A537" s="259" t="inlineStr">
        <is>
          <t>V</t>
        </is>
      </c>
      <c r="B537" s="367" t="inlineStr">
        <is>
          <t>Vacant</t>
        </is>
      </c>
      <c r="C537" s="403" t="inlineStr">
        <is>
          <t>Business Analyst (Integrations)</t>
        </is>
      </c>
      <c r="D537" s="224" t="inlineStr">
        <is>
          <t>Vacant</t>
        </is>
      </c>
      <c r="E537" s="224" t="inlineStr">
        <is>
          <t>Delivery Manager</t>
        </is>
      </c>
      <c r="F537" s="224" t="inlineStr">
        <is>
          <t>TDD Group Functions</t>
        </is>
      </c>
      <c r="G537" s="318" t="inlineStr">
        <is>
          <t xml:space="preserve">TDD &amp; Engineering </t>
        </is>
      </c>
      <c r="H537" s="224" t="inlineStr">
        <is>
          <t>Delivery, TDD &amp; Engineering</t>
        </is>
      </c>
      <c r="I537" s="224" t="inlineStr">
        <is>
          <t>TDD</t>
        </is>
      </c>
      <c r="J537" s="318" t="inlineStr">
        <is>
          <t>TDD</t>
        </is>
      </c>
      <c r="K537" s="318" t="inlineStr">
        <is>
          <t>Integration &amp; Process Automation</t>
        </is>
      </c>
      <c r="L537" s="318" t="n"/>
      <c r="M537" s="319" t="inlineStr">
        <is>
          <t>Australia</t>
        </is>
      </c>
      <c r="N537" s="320" t="inlineStr">
        <is>
          <t>CIB</t>
        </is>
      </c>
      <c r="O537" s="320" t="n">
        <v>1</v>
      </c>
      <c r="P537" s="320" t="n"/>
      <c r="Q537" s="320" t="inlineStr">
        <is>
          <t>V</t>
        </is>
      </c>
      <c r="R537" s="322" t="n"/>
      <c r="S537" s="322" t="n"/>
      <c r="T537" s="334" t="n">
        <v>151000</v>
      </c>
      <c r="U537" s="705" t="n">
        <v>151000</v>
      </c>
      <c r="V537" s="325" t="n">
        <v>0.12</v>
      </c>
      <c r="W537" s="702" t="n">
        <v>0.055</v>
      </c>
      <c r="X537" s="702" t="n">
        <v>0.12</v>
      </c>
      <c r="Y537" s="703" t="n"/>
      <c r="Z537" s="702" t="n">
        <v>0.04</v>
      </c>
      <c r="AA537" s="701">
        <f>U537*(1+V537+W537+X537+Y537+Z537)</f>
        <v>201585.0</v>
      </c>
      <c r="AC537" t="inlineStr">
        <is>
          <t>TDD Group Functions</t>
        </is>
      </c>
      <c r="AD537" t="inlineStr">
        <is>
          <t>TDD Group Functions</t>
        </is>
      </c>
      <c r="AE537" t="inlineStr">
        <is>
          <t>Integration</t>
        </is>
      </c>
      <c r="AF537" t="inlineStr">
        <is>
          <t>Squad</t>
        </is>
      </c>
      <c r="AG537" t="inlineStr">
        <is>
          <t>Vacant</t>
        </is>
      </c>
    </row>
    <row r="538" hidden="1" ht="18" customHeight="1" s="506">
      <c r="A538" s="259" t="inlineStr">
        <is>
          <t>V</t>
        </is>
      </c>
      <c r="B538" s="367" t="inlineStr">
        <is>
          <t>Vacant</t>
        </is>
      </c>
      <c r="C538" s="403" t="inlineStr">
        <is>
          <t>Business Analyst (Workplace &amp; Enterprise Tooling)</t>
        </is>
      </c>
      <c r="D538" s="318" t="inlineStr">
        <is>
          <t>Vacant</t>
        </is>
      </c>
      <c r="E538" s="335" t="inlineStr">
        <is>
          <t xml:space="preserve">Delivery Manager </t>
        </is>
      </c>
      <c r="F538" s="224" t="inlineStr">
        <is>
          <t>TDD Group Functions</t>
        </is>
      </c>
      <c r="G538" s="318" t="inlineStr">
        <is>
          <t>TDD &amp; Engineering</t>
        </is>
      </c>
      <c r="H538" s="224" t="inlineStr">
        <is>
          <t>Delivery, TDD &amp; Engineering</t>
        </is>
      </c>
      <c r="I538" s="224" t="inlineStr">
        <is>
          <t>TDD</t>
        </is>
      </c>
      <c r="J538" s="318" t="inlineStr">
        <is>
          <t>TDD</t>
        </is>
      </c>
      <c r="K538" s="318" t="inlineStr">
        <is>
          <t>Workplace &amp; Enterprise Tooling</t>
        </is>
      </c>
      <c r="L538" s="318" t="n"/>
      <c r="M538" s="319" t="inlineStr">
        <is>
          <t>Australia</t>
        </is>
      </c>
      <c r="N538" s="320" t="inlineStr">
        <is>
          <t>CIB</t>
        </is>
      </c>
      <c r="O538" s="320" t="n">
        <v>1</v>
      </c>
      <c r="P538" s="320" t="n"/>
      <c r="Q538" s="320" t="inlineStr">
        <is>
          <t>V</t>
        </is>
      </c>
      <c r="R538" s="322" t="n"/>
      <c r="S538" s="322" t="n"/>
      <c r="T538" s="334" t="n">
        <v>151000</v>
      </c>
      <c r="U538" s="705" t="n">
        <v>151000</v>
      </c>
      <c r="V538" s="325" t="n">
        <v>0.12</v>
      </c>
      <c r="W538" s="702" t="n">
        <v>0.055</v>
      </c>
      <c r="X538" s="702" t="n">
        <v>0.12</v>
      </c>
      <c r="Y538" s="703" t="n"/>
      <c r="Z538" s="702" t="n">
        <v>0.04</v>
      </c>
      <c r="AA538" s="701">
        <f>U538*(1+V538+W538+X538+Y538+Z538)</f>
        <v>201585.0</v>
      </c>
      <c r="AC538" t="inlineStr">
        <is>
          <t>TDD Group Functions</t>
        </is>
      </c>
      <c r="AD538" t="inlineStr">
        <is>
          <t>TDD Group Functions</t>
        </is>
      </c>
      <c r="AE538" t="inlineStr">
        <is>
          <t>Workplace &amp; Enterprise Tooling</t>
        </is>
      </c>
      <c r="AF538" t="inlineStr">
        <is>
          <t>Squad</t>
        </is>
      </c>
      <c r="AG538" t="inlineStr">
        <is>
          <t>Vacant</t>
        </is>
      </c>
    </row>
    <row r="539" hidden="1" ht="18" customHeight="1" s="506">
      <c r="A539" s="259" t="inlineStr">
        <is>
          <t>V</t>
        </is>
      </c>
      <c r="B539" s="367" t="inlineStr">
        <is>
          <t>Vacant</t>
        </is>
      </c>
      <c r="C539" s="403" t="inlineStr">
        <is>
          <t>Delivery Manager</t>
        </is>
      </c>
      <c r="D539" s="318" t="inlineStr">
        <is>
          <t>Vacant</t>
        </is>
      </c>
      <c r="E539" s="335" t="inlineStr">
        <is>
          <t>Head of Technology - TDD &amp; Engineering Capability Lead</t>
        </is>
      </c>
      <c r="F539" s="224" t="inlineStr">
        <is>
          <t>TDD Group Functions</t>
        </is>
      </c>
      <c r="G539" s="318" t="inlineStr">
        <is>
          <t xml:space="preserve">TDD &amp; Engineering </t>
        </is>
      </c>
      <c r="H539" s="318" t="n"/>
      <c r="I539" s="318" t="inlineStr">
        <is>
          <t>TDD</t>
        </is>
      </c>
      <c r="J539" s="318" t="inlineStr">
        <is>
          <t>TDD</t>
        </is>
      </c>
      <c r="K539" s="318" t="inlineStr">
        <is>
          <t>Leadership</t>
        </is>
      </c>
      <c r="L539" s="318" t="n"/>
      <c r="M539" s="319" t="inlineStr">
        <is>
          <t>Australia</t>
        </is>
      </c>
      <c r="N539" s="320" t="inlineStr">
        <is>
          <t>CSB</t>
        </is>
      </c>
      <c r="O539" s="320" t="n">
        <v>1</v>
      </c>
      <c r="P539" s="320" t="n"/>
      <c r="Q539" s="320" t="inlineStr">
        <is>
          <t>V</t>
        </is>
      </c>
      <c r="R539" s="322" t="n"/>
      <c r="S539" s="322" t="n"/>
      <c r="T539" s="334" t="n">
        <v>203550</v>
      </c>
      <c r="U539" s="705" t="n">
        <v>203550</v>
      </c>
      <c r="V539" s="325" t="n">
        <v>0.14</v>
      </c>
      <c r="W539" s="702" t="n">
        <v>0.055</v>
      </c>
      <c r="X539" s="702" t="n">
        <v>0.12</v>
      </c>
      <c r="Y539" s="703" t="n"/>
      <c r="Z539" s="702" t="n">
        <v>0.04</v>
      </c>
      <c r="AA539" s="701">
        <f>U539*(1+V539+W539+X539+Y539+Z539)</f>
        <v>275810.25</v>
      </c>
      <c r="AC539" t="inlineStr">
        <is>
          <t>TDD Group Functions</t>
        </is>
      </c>
      <c r="AD539" t="inlineStr">
        <is>
          <t>Leadership</t>
        </is>
      </c>
      <c r="AE539" t="inlineStr">
        <is>
          <t>Leadership</t>
        </is>
      </c>
      <c r="AF539" t="inlineStr">
        <is>
          <t>Leadership</t>
        </is>
      </c>
      <c r="AG539" t="inlineStr">
        <is>
          <t>Vacant</t>
        </is>
      </c>
    </row>
    <row r="540" hidden="1" ht="18" customHeight="1" s="506">
      <c r="A540" s="259" t="inlineStr">
        <is>
          <t>V</t>
        </is>
      </c>
      <c r="B540" s="367" t="inlineStr">
        <is>
          <t>Vacant</t>
        </is>
      </c>
      <c r="C540" s="403" t="inlineStr">
        <is>
          <t>Enterprise Systems Specialist</t>
        </is>
      </c>
      <c r="D540" s="318" t="inlineStr">
        <is>
          <t>Vacant</t>
        </is>
      </c>
      <c r="E540" s="224" t="inlineStr">
        <is>
          <t>Technology Manager, Enterprise Tooling</t>
        </is>
      </c>
      <c r="F540" s="224" t="inlineStr">
        <is>
          <t>TDD Group Functions</t>
        </is>
      </c>
      <c r="G540" s="318" t="inlineStr">
        <is>
          <t xml:space="preserve">TDD &amp; Engineering </t>
        </is>
      </c>
      <c r="H540" s="224" t="inlineStr">
        <is>
          <t>Workplace &amp; Enterprise Tooling</t>
        </is>
      </c>
      <c r="I540" s="224" t="inlineStr">
        <is>
          <t>TDD</t>
        </is>
      </c>
      <c r="J540" s="318" t="inlineStr">
        <is>
          <t>TDD</t>
        </is>
      </c>
      <c r="K540" s="318" t="inlineStr">
        <is>
          <t>Workplace &amp; Enterprise Tooling</t>
        </is>
      </c>
      <c r="L540" s="318" t="n"/>
      <c r="M540" s="319" t="inlineStr">
        <is>
          <t>Australia</t>
        </is>
      </c>
      <c r="N540" s="320" t="inlineStr">
        <is>
          <t>CIB</t>
        </is>
      </c>
      <c r="O540" s="320" t="n">
        <v>1</v>
      </c>
      <c r="P540" s="320" t="n"/>
      <c r="Q540" s="320" t="inlineStr">
        <is>
          <t>V</t>
        </is>
      </c>
      <c r="R540" s="322" t="n"/>
      <c r="S540" s="322" t="n"/>
      <c r="T540" s="334" t="n">
        <v>151950</v>
      </c>
      <c r="U540" s="705" t="n">
        <v>151950</v>
      </c>
      <c r="V540" s="325" t="n">
        <v>0.12</v>
      </c>
      <c r="W540" s="702" t="n">
        <v>0.055</v>
      </c>
      <c r="X540" s="702" t="n">
        <v>0.12</v>
      </c>
      <c r="Y540" s="703" t="n"/>
      <c r="Z540" s="702" t="n">
        <v>0.04</v>
      </c>
      <c r="AA540" s="701">
        <f>U540*(1+V540+W540+X540+Y540+Z540)</f>
        <v>202853.25</v>
      </c>
      <c r="AC540" t="inlineStr">
        <is>
          <t>TDD Group Functions</t>
        </is>
      </c>
      <c r="AD540" t="inlineStr">
        <is>
          <t>TDD Group Functions</t>
        </is>
      </c>
      <c r="AE540" t="inlineStr">
        <is>
          <t>Workplace &amp; Enterprise Tooling</t>
        </is>
      </c>
      <c r="AF540" t="inlineStr">
        <is>
          <t>Squad</t>
        </is>
      </c>
      <c r="AG540" t="inlineStr">
        <is>
          <t>Vacant</t>
        </is>
      </c>
    </row>
    <row r="541" hidden="1" ht="18" customHeight="1" s="506">
      <c r="A541" s="259" t="inlineStr">
        <is>
          <t>V</t>
        </is>
      </c>
      <c r="B541" s="367" t="inlineStr">
        <is>
          <t>vacant</t>
        </is>
      </c>
      <c r="C541" s="403" t="inlineStr">
        <is>
          <t>Environments and Test Data Manager</t>
        </is>
      </c>
      <c r="D541" s="367" t="inlineStr">
        <is>
          <t>Vacant</t>
        </is>
      </c>
      <c r="E541" s="335" t="inlineStr">
        <is>
          <t>Technology Manager – DevOps and Quality Engineering</t>
        </is>
      </c>
      <c r="F541" s="318" t="inlineStr">
        <is>
          <t>TDD Group Functions</t>
        </is>
      </c>
      <c r="G541" s="318" t="inlineStr">
        <is>
          <t>TDD &amp; Engineering</t>
        </is>
      </c>
      <c r="H541" s="318" t="inlineStr">
        <is>
          <t>DevOps &amp; QE</t>
        </is>
      </c>
      <c r="I541" s="224" t="inlineStr">
        <is>
          <t>TDD</t>
        </is>
      </c>
      <c r="J541" s="318" t="inlineStr">
        <is>
          <t>TDD</t>
        </is>
      </c>
      <c r="K541" s="318" t="inlineStr">
        <is>
          <t>DevOps &amp; QE</t>
        </is>
      </c>
      <c r="L541" s="318" t="n"/>
      <c r="M541" s="319" t="inlineStr">
        <is>
          <t>Australia</t>
        </is>
      </c>
      <c r="N541" s="320" t="inlineStr">
        <is>
          <t>CIB</t>
        </is>
      </c>
      <c r="O541" s="320" t="n">
        <v>1</v>
      </c>
      <c r="P541" s="320" t="n"/>
      <c r="Q541" s="320" t="inlineStr">
        <is>
          <t>V</t>
        </is>
      </c>
      <c r="R541" s="322" t="n"/>
      <c r="S541" s="322" t="n"/>
      <c r="T541" s="334" t="n">
        <v>151950</v>
      </c>
      <c r="U541" s="705" t="n">
        <v>151950</v>
      </c>
      <c r="V541" s="325" t="n">
        <v>0.12</v>
      </c>
      <c r="W541" s="702" t="n">
        <v>0.055</v>
      </c>
      <c r="X541" s="702" t="n">
        <v>0.12</v>
      </c>
      <c r="Y541" s="703" t="n"/>
      <c r="Z541" s="702" t="n">
        <v>0.04</v>
      </c>
      <c r="AA541" s="701">
        <f>U541*(1+V541+W541+X541+Y541+Z541)</f>
        <v>202853.25</v>
      </c>
      <c r="AC541" t="inlineStr">
        <is>
          <t>TDD Group Functions</t>
        </is>
      </c>
      <c r="AD541" t="inlineStr">
        <is>
          <t>TDD Group Functions</t>
        </is>
      </c>
      <c r="AE541" t="inlineStr">
        <is>
          <t>DevOps &amp; Engineering</t>
        </is>
      </c>
      <c r="AF541" t="inlineStr">
        <is>
          <t>Squad</t>
        </is>
      </c>
      <c r="AG541" t="inlineStr">
        <is>
          <t>Vacant</t>
        </is>
      </c>
    </row>
    <row r="542" hidden="1" ht="18" customHeight="1" s="506">
      <c r="A542" s="259" t="inlineStr">
        <is>
          <t>V</t>
        </is>
      </c>
      <c r="B542" s="367" t="inlineStr">
        <is>
          <t>Vacant</t>
        </is>
      </c>
      <c r="C542" s="403" t="inlineStr">
        <is>
          <t>Lead Engineer (Automation Test)</t>
        </is>
      </c>
      <c r="D542" s="367" t="inlineStr">
        <is>
          <t>Vacant</t>
        </is>
      </c>
      <c r="E542" s="335" t="inlineStr">
        <is>
          <t>Technology Manager – DevOps and Quality Engineering</t>
        </is>
      </c>
      <c r="F542" s="318" t="inlineStr">
        <is>
          <t>TDD Group Functions</t>
        </is>
      </c>
      <c r="G542" s="318" t="inlineStr">
        <is>
          <t>TDD &amp; Engineering</t>
        </is>
      </c>
      <c r="H542" s="318" t="inlineStr">
        <is>
          <t>DevOps &amp; QE</t>
        </is>
      </c>
      <c r="I542" s="224" t="inlineStr">
        <is>
          <t>TDD</t>
        </is>
      </c>
      <c r="J542" s="318" t="inlineStr">
        <is>
          <t>TDD</t>
        </is>
      </c>
      <c r="K542" s="318" t="inlineStr">
        <is>
          <t>DevOps &amp; QE</t>
        </is>
      </c>
      <c r="L542" s="318" t="n"/>
      <c r="M542" s="319" t="inlineStr">
        <is>
          <t>Australia</t>
        </is>
      </c>
      <c r="N542" s="320" t="inlineStr">
        <is>
          <t>CIC</t>
        </is>
      </c>
      <c r="O542" s="320" t="n">
        <v>1</v>
      </c>
      <c r="P542" s="320" t="n"/>
      <c r="Q542" s="320" t="inlineStr">
        <is>
          <t>v</t>
        </is>
      </c>
      <c r="R542" s="322" t="n"/>
      <c r="S542" s="322" t="n"/>
      <c r="T542" s="334" t="n">
        <v>173550</v>
      </c>
      <c r="U542" s="705" t="n">
        <v>173550</v>
      </c>
      <c r="V542" s="325" t="n">
        <v>0.12</v>
      </c>
      <c r="W542" s="702" t="n">
        <v>0.055</v>
      </c>
      <c r="X542" s="702" t="n">
        <v>0.12</v>
      </c>
      <c r="Y542" s="703" t="n"/>
      <c r="Z542" s="702" t="n">
        <v>0.04</v>
      </c>
      <c r="AA542" s="701">
        <f>U542*(1+V542+W542+X542+Y542+Z542)</f>
        <v>231689.25</v>
      </c>
      <c r="AC542" t="inlineStr">
        <is>
          <t>TDD Group Functions</t>
        </is>
      </c>
      <c r="AD542" t="inlineStr">
        <is>
          <t>TDD Group Functions</t>
        </is>
      </c>
      <c r="AE542" t="inlineStr">
        <is>
          <t>DevOps &amp; Engineering</t>
        </is>
      </c>
      <c r="AF542" t="inlineStr">
        <is>
          <t>Squad</t>
        </is>
      </c>
      <c r="AG542" t="inlineStr">
        <is>
          <t>Vacant</t>
        </is>
      </c>
    </row>
    <row r="543" hidden="1" ht="18" customHeight="1" s="506">
      <c r="A543" s="259" t="inlineStr">
        <is>
          <t>V</t>
        </is>
      </c>
      <c r="B543" s="367" t="inlineStr">
        <is>
          <t>vacant</t>
        </is>
      </c>
      <c r="C543" s="403" t="inlineStr">
        <is>
          <t>Lead Engineer Software</t>
        </is>
      </c>
      <c r="D543" s="367" t="inlineStr">
        <is>
          <t>Vacant</t>
        </is>
      </c>
      <c r="E543" s="335" t="inlineStr">
        <is>
          <t>Technology Manager – DevOps and Quality Engineering</t>
        </is>
      </c>
      <c r="F543" s="318" t="inlineStr">
        <is>
          <t>TDD Group Functions</t>
        </is>
      </c>
      <c r="G543" s="318" t="inlineStr">
        <is>
          <t>TDD &amp; Engineering</t>
        </is>
      </c>
      <c r="H543" s="318" t="inlineStr">
        <is>
          <t>DevOps &amp; QE</t>
        </is>
      </c>
      <c r="I543" s="224" t="inlineStr">
        <is>
          <t>TDD</t>
        </is>
      </c>
      <c r="J543" s="318" t="inlineStr">
        <is>
          <t>TDD</t>
        </is>
      </c>
      <c r="K543" s="318" t="inlineStr">
        <is>
          <t>DevOps &amp; QE</t>
        </is>
      </c>
      <c r="L543" s="318" t="n"/>
      <c r="M543" s="319" t="inlineStr">
        <is>
          <t>Australia</t>
        </is>
      </c>
      <c r="N543" s="320" t="inlineStr">
        <is>
          <t>CIC</t>
        </is>
      </c>
      <c r="O543" s="320" t="n">
        <v>1</v>
      </c>
      <c r="P543" s="320" t="n"/>
      <c r="Q543" s="320" t="inlineStr">
        <is>
          <t>v</t>
        </is>
      </c>
      <c r="R543" s="322" t="n"/>
      <c r="S543" s="322" t="n"/>
      <c r="T543" s="334" t="n">
        <v>173550</v>
      </c>
      <c r="U543" s="705" t="n">
        <v>173550</v>
      </c>
      <c r="V543" s="325" t="n">
        <v>0.12</v>
      </c>
      <c r="W543" s="702" t="n">
        <v>0.055</v>
      </c>
      <c r="X543" s="702" t="n">
        <v>0.12</v>
      </c>
      <c r="Y543" s="703" t="n"/>
      <c r="Z543" s="702" t="n">
        <v>0.04</v>
      </c>
      <c r="AA543" s="701">
        <f>U543*(1+V543+W543+X543+Y543+Z543)</f>
        <v>231689.25</v>
      </c>
      <c r="AC543" t="inlineStr">
        <is>
          <t>TDD Group Functions</t>
        </is>
      </c>
      <c r="AD543" t="inlineStr">
        <is>
          <t>TDD Group Functions</t>
        </is>
      </c>
      <c r="AE543" t="inlineStr">
        <is>
          <t>DevOps &amp; Engineering</t>
        </is>
      </c>
      <c r="AF543" t="inlineStr">
        <is>
          <t>Squad</t>
        </is>
      </c>
      <c r="AG543" t="inlineStr">
        <is>
          <t>Vacant</t>
        </is>
      </c>
    </row>
    <row r="544" hidden="1" ht="18" customHeight="1" s="506">
      <c r="A544" s="259" t="inlineStr">
        <is>
          <t>V</t>
        </is>
      </c>
      <c r="B544" s="367" t="inlineStr">
        <is>
          <t>Vacant</t>
        </is>
      </c>
      <c r="C544" s="403" t="inlineStr">
        <is>
          <t>Technology Manager – Cloud, Network and Infrastructure Operations</t>
        </is>
      </c>
      <c r="D544" s="335" t="inlineStr">
        <is>
          <t>Vacant</t>
        </is>
      </c>
      <c r="E544" s="318" t="inlineStr">
        <is>
          <t>Head of Technology - TDD &amp; Engineering Capability Lead</t>
        </is>
      </c>
      <c r="F544" s="224" t="inlineStr">
        <is>
          <t>TDD Group Functions</t>
        </is>
      </c>
      <c r="G544" s="318" t="inlineStr">
        <is>
          <t>TDD &amp; Engineering</t>
        </is>
      </c>
      <c r="H544" s="318" t="inlineStr">
        <is>
          <t>Cloud Network &amp; Infra Ops</t>
        </is>
      </c>
      <c r="I544" s="318" t="inlineStr">
        <is>
          <t>TDD</t>
        </is>
      </c>
      <c r="J544" s="318" t="inlineStr">
        <is>
          <t>TDD</t>
        </is>
      </c>
      <c r="K544" s="318" t="inlineStr">
        <is>
          <t>Leadership</t>
        </is>
      </c>
      <c r="L544" s="318" t="n"/>
      <c r="M544" s="319" t="inlineStr">
        <is>
          <t>Australia</t>
        </is>
      </c>
      <c r="N544" s="320" t="inlineStr">
        <is>
          <t>CSB</t>
        </is>
      </c>
      <c r="O544" s="320" t="n">
        <v>1</v>
      </c>
      <c r="P544" s="320" t="n"/>
      <c r="Q544" s="320" t="inlineStr">
        <is>
          <t>v</t>
        </is>
      </c>
      <c r="R544" s="322" t="n"/>
      <c r="S544" s="322" t="n"/>
      <c r="T544" s="334" t="n">
        <v>203550</v>
      </c>
      <c r="U544" s="705" t="n">
        <v>203550</v>
      </c>
      <c r="V544" s="325" t="n">
        <v>0.14</v>
      </c>
      <c r="W544" s="702" t="n">
        <v>0.055</v>
      </c>
      <c r="X544" s="702" t="n">
        <v>0.12</v>
      </c>
      <c r="Y544" s="703" t="n"/>
      <c r="Z544" s="702" t="n">
        <v>0.04</v>
      </c>
      <c r="AA544" s="701">
        <f>U544*(1+V544+W544+X544+Y544+Z544)</f>
        <v>275810.25</v>
      </c>
      <c r="AC544" t="inlineStr">
        <is>
          <t>TDD Group Functions</t>
        </is>
      </c>
      <c r="AD544" t="inlineStr">
        <is>
          <t>Leadership</t>
        </is>
      </c>
      <c r="AE544" t="inlineStr">
        <is>
          <t>Leadership</t>
        </is>
      </c>
      <c r="AF544" t="inlineStr">
        <is>
          <t>Leadership</t>
        </is>
      </c>
      <c r="AG544" t="inlineStr">
        <is>
          <t>Vacant</t>
        </is>
      </c>
    </row>
    <row r="545" hidden="1" ht="18" customHeight="1" s="506">
      <c r="A545" s="259" t="inlineStr">
        <is>
          <t>V</t>
        </is>
      </c>
      <c r="B545" s="367" t="inlineStr">
        <is>
          <t>Vacant</t>
        </is>
      </c>
      <c r="C545" s="403" t="inlineStr">
        <is>
          <t>Technology Manager – DevOps and Quality Engineering</t>
        </is>
      </c>
      <c r="D545" s="335" t="inlineStr">
        <is>
          <t>Vacant</t>
        </is>
      </c>
      <c r="E545" s="318" t="inlineStr">
        <is>
          <t>Head of Technology- TDD &amp; Engineering Capability</t>
        </is>
      </c>
      <c r="F545" s="224" t="inlineStr">
        <is>
          <t>TDD Group Functions</t>
        </is>
      </c>
      <c r="G545" s="318" t="inlineStr">
        <is>
          <t>TDD &amp; Engineering</t>
        </is>
      </c>
      <c r="H545" s="318" t="n"/>
      <c r="I545" s="318" t="inlineStr">
        <is>
          <t>TDD</t>
        </is>
      </c>
      <c r="J545" s="318" t="inlineStr">
        <is>
          <t>TDD</t>
        </is>
      </c>
      <c r="K545" s="318" t="inlineStr">
        <is>
          <t>Leadership</t>
        </is>
      </c>
      <c r="L545" s="318" t="n"/>
      <c r="M545" s="319" t="inlineStr">
        <is>
          <t>Australia</t>
        </is>
      </c>
      <c r="N545" s="320" t="inlineStr">
        <is>
          <t>CSB</t>
        </is>
      </c>
      <c r="O545" s="320" t="n">
        <v>1</v>
      </c>
      <c r="P545" s="320" t="n"/>
      <c r="Q545" s="320" t="inlineStr">
        <is>
          <t>v</t>
        </is>
      </c>
      <c r="R545" s="322" t="n"/>
      <c r="S545" s="322" t="n"/>
      <c r="T545" s="334" t="n">
        <v>203550</v>
      </c>
      <c r="U545" s="705" t="n">
        <v>203550</v>
      </c>
      <c r="V545" s="325" t="n">
        <v>0.14</v>
      </c>
      <c r="W545" s="702" t="n">
        <v>0.055</v>
      </c>
      <c r="X545" s="702" t="n">
        <v>0.12</v>
      </c>
      <c r="Y545" s="703" t="n"/>
      <c r="Z545" s="702" t="n">
        <v>0.04</v>
      </c>
      <c r="AA545" s="701">
        <f>U545*(1+V545+W545+X545+Y545+Z545)</f>
        <v>275810.25</v>
      </c>
      <c r="AC545" t="inlineStr">
        <is>
          <t>TDD Group Functions</t>
        </is>
      </c>
      <c r="AD545" t="inlineStr">
        <is>
          <t>Leadership</t>
        </is>
      </c>
      <c r="AE545" t="inlineStr">
        <is>
          <t>Leadership</t>
        </is>
      </c>
      <c r="AF545" t="inlineStr">
        <is>
          <t>Leadership</t>
        </is>
      </c>
      <c r="AG545" t="inlineStr">
        <is>
          <t>Vacant</t>
        </is>
      </c>
    </row>
    <row r="546" hidden="1" ht="18" customHeight="1" s="506">
      <c r="A546" s="259" t="inlineStr">
        <is>
          <t>V</t>
        </is>
      </c>
      <c r="B546" s="367" t="inlineStr">
        <is>
          <t>Vacant</t>
        </is>
      </c>
      <c r="C546" s="403" t="inlineStr">
        <is>
          <t>Technology Manager, Enterprise Tooling</t>
        </is>
      </c>
      <c r="D546" s="318" t="inlineStr">
        <is>
          <t>Vacant</t>
        </is>
      </c>
      <c r="E546" s="335" t="inlineStr">
        <is>
          <t>Head of Technology - TDD &amp; Engineering Capability Lead</t>
        </is>
      </c>
      <c r="F546" s="224" t="inlineStr">
        <is>
          <t>TDD Group Functions</t>
        </is>
      </c>
      <c r="G546" s="318" t="inlineStr">
        <is>
          <t xml:space="preserve">TDD &amp; Engineering </t>
        </is>
      </c>
      <c r="H546" s="318" t="n"/>
      <c r="I546" s="318" t="inlineStr">
        <is>
          <t>TDD</t>
        </is>
      </c>
      <c r="J546" s="328" t="inlineStr">
        <is>
          <t>TDD</t>
        </is>
      </c>
      <c r="K546" s="318" t="inlineStr">
        <is>
          <t>Leadership</t>
        </is>
      </c>
      <c r="L546" s="318" t="n"/>
      <c r="M546" s="319" t="inlineStr">
        <is>
          <t>Australia</t>
        </is>
      </c>
      <c r="N546" s="320" t="inlineStr">
        <is>
          <t>CSB</t>
        </is>
      </c>
      <c r="O546" s="320" t="n">
        <v>1</v>
      </c>
      <c r="P546" s="320" t="n"/>
      <c r="Q546" s="320" t="inlineStr">
        <is>
          <t>v</t>
        </is>
      </c>
      <c r="R546" s="322" t="n"/>
      <c r="S546" s="322" t="n"/>
      <c r="T546" s="334" t="n">
        <v>203550</v>
      </c>
      <c r="U546" s="705" t="n">
        <v>203550</v>
      </c>
      <c r="V546" s="325" t="n">
        <v>0.14</v>
      </c>
      <c r="W546" s="702" t="n">
        <v>0.055</v>
      </c>
      <c r="X546" s="702" t="n">
        <v>0.12</v>
      </c>
      <c r="Y546" s="703" t="n"/>
      <c r="Z546" s="702" t="n">
        <v>0.04</v>
      </c>
      <c r="AA546" s="701">
        <f>U546*(1+V546+W546+X546+Y546+Z546)</f>
        <v>275810.25</v>
      </c>
      <c r="AC546" t="inlineStr">
        <is>
          <t>TDD Group Functions</t>
        </is>
      </c>
      <c r="AD546" t="inlineStr">
        <is>
          <t>Leadership</t>
        </is>
      </c>
      <c r="AE546" t="inlineStr">
        <is>
          <t>Leadership</t>
        </is>
      </c>
      <c r="AF546" t="inlineStr">
        <is>
          <t>Leadership</t>
        </is>
      </c>
      <c r="AG546" t="inlineStr">
        <is>
          <t>Vacant</t>
        </is>
      </c>
    </row>
    <row r="547" hidden="1" ht="18" customHeight="1" s="506">
      <c r="A547" s="259" t="inlineStr">
        <is>
          <t>V</t>
        </is>
      </c>
      <c r="B547" s="367" t="inlineStr">
        <is>
          <t xml:space="preserve">Vacant </t>
        </is>
      </c>
      <c r="C547" s="403" t="inlineStr">
        <is>
          <t>Integration Specialist (ASAPIO CTRM)</t>
        </is>
      </c>
      <c r="D547" s="318" t="inlineStr">
        <is>
          <t>Shane Ker</t>
        </is>
      </c>
      <c r="E547" s="335" t="inlineStr">
        <is>
          <t>Technology Manager Finance Platforms</t>
        </is>
      </c>
      <c r="F547" s="224" t="inlineStr">
        <is>
          <t>TDD Group Functions</t>
        </is>
      </c>
      <c r="G547" s="335" t="inlineStr">
        <is>
          <t>P&amp;C, Finance &amp; Legal</t>
        </is>
      </c>
      <c r="H547" s="318" t="inlineStr">
        <is>
          <t>Tech, Finance Platforms</t>
        </is>
      </c>
      <c r="I547" s="318" t="inlineStr">
        <is>
          <t>Finance</t>
        </is>
      </c>
      <c r="J547" s="328" t="inlineStr">
        <is>
          <t>AU Finance</t>
        </is>
      </c>
      <c r="K547" s="318" t="inlineStr">
        <is>
          <t>SAP ERP</t>
        </is>
      </c>
      <c r="L547" s="318" t="n"/>
      <c r="M547" s="319" t="inlineStr">
        <is>
          <t>NZ</t>
        </is>
      </c>
      <c r="N547" s="320" t="inlineStr">
        <is>
          <t>CIB</t>
        </is>
      </c>
      <c r="O547" s="320" t="n">
        <v>1</v>
      </c>
      <c r="P547" s="320" t="n"/>
      <c r="Q547" s="320" t="inlineStr">
        <is>
          <t>v</t>
        </is>
      </c>
      <c r="R547" s="322" t="n"/>
      <c r="S547" s="322" t="n"/>
      <c r="T547" s="334" t="n">
        <v>151950</v>
      </c>
      <c r="U547" s="705" t="n">
        <v>139794</v>
      </c>
      <c r="V547" s="324" t="n">
        <v>0.15</v>
      </c>
      <c r="W547" s="322" t="n"/>
      <c r="X547" s="325" t="n">
        <v>0.05</v>
      </c>
      <c r="Y547" s="700" t="n">
        <v>2910</v>
      </c>
      <c r="Z547" s="325" t="n">
        <v>0.03</v>
      </c>
      <c r="AA547" s="701">
        <f>U547*(1+V547+X547+Z547)+Y547</f>
        <v>174856.62</v>
      </c>
      <c r="AC547" t="inlineStr">
        <is>
          <t>Finance</t>
        </is>
      </c>
      <c r="AD547" t="inlineStr">
        <is>
          <t>AU Finance</t>
        </is>
      </c>
      <c r="AE547" t="inlineStr">
        <is>
          <t>AU Finance</t>
        </is>
      </c>
      <c r="AF547" t="inlineStr">
        <is>
          <t>Squad</t>
        </is>
      </c>
      <c r="AG547" t="inlineStr">
        <is>
          <t>Vacant</t>
        </is>
      </c>
    </row>
    <row r="548" hidden="1" ht="18" customHeight="1" s="506">
      <c r="A548" s="259" t="n">
        <v>4818</v>
      </c>
      <c r="B548" s="224" t="inlineStr">
        <is>
          <t>Vaso Vukovic</t>
        </is>
      </c>
      <c r="C548" s="317" t="inlineStr">
        <is>
          <t>Head of Technology - P&amp;C, Finance &amp; Legal</t>
        </is>
      </c>
      <c r="D548" s="335" t="inlineStr">
        <is>
          <t>Emily Mogic</t>
        </is>
      </c>
      <c r="E548" s="224" t="inlineStr">
        <is>
          <t>GM TDD, Group Function</t>
        </is>
      </c>
      <c r="F548" s="224" t="inlineStr">
        <is>
          <t>TDD Group Functions</t>
        </is>
      </c>
      <c r="G548" s="335" t="inlineStr">
        <is>
          <t>P&amp;C, Finance &amp; Legal</t>
        </is>
      </c>
      <c r="H548" s="318" t="inlineStr">
        <is>
          <t>na</t>
        </is>
      </c>
      <c r="I548" s="318" t="inlineStr">
        <is>
          <t>P&amp;C, Finance &amp; Legal</t>
        </is>
      </c>
      <c r="J548" s="328" t="inlineStr">
        <is>
          <t>P&amp;C, Finance &amp; Legal</t>
        </is>
      </c>
      <c r="K548" s="318" t="inlineStr">
        <is>
          <t>Leadership</t>
        </is>
      </c>
      <c r="L548" s="318" t="n"/>
      <c r="M548" s="319" t="inlineStr">
        <is>
          <t>Australia</t>
        </is>
      </c>
      <c r="N548" s="320" t="inlineStr">
        <is>
          <t>CSC</t>
        </is>
      </c>
      <c r="O548" s="322" t="n">
        <v>1</v>
      </c>
      <c r="P548" s="322" t="n"/>
      <c r="Q548" s="322" t="inlineStr">
        <is>
          <t>Permanent - Full Time</t>
        </is>
      </c>
      <c r="R548" s="322" t="n"/>
      <c r="S548" s="322" t="n"/>
      <c r="T548" s="334" t="n">
        <v>257420</v>
      </c>
      <c r="U548" s="705" t="n">
        <v>257420</v>
      </c>
      <c r="V548" s="325" t="n">
        <v>0.2</v>
      </c>
      <c r="W548" s="702" t="n">
        <v>0.055</v>
      </c>
      <c r="X548" s="702" t="n">
        <v>0.12</v>
      </c>
      <c r="Y548" s="703" t="n"/>
      <c r="Z548" s="702" t="n">
        <v>0.04</v>
      </c>
      <c r="AA548" s="701">
        <f>U548*(1+V548+W548+X548+Y548+Z548)</f>
        <v>364249.3</v>
      </c>
      <c r="AC548" s="328" t="inlineStr">
        <is>
          <t>P&amp;C</t>
        </is>
      </c>
      <c r="AD548" t="inlineStr">
        <is>
          <t>Leadership</t>
        </is>
      </c>
      <c r="AE548" t="inlineStr">
        <is>
          <t>Leadership</t>
        </is>
      </c>
      <c r="AF548" t="inlineStr">
        <is>
          <t>Leadership</t>
        </is>
      </c>
      <c r="AG548" t="inlineStr">
        <is>
          <t>Filled</t>
        </is>
      </c>
    </row>
    <row r="549" hidden="1" ht="18" customHeight="1" s="506">
      <c r="A549" s="259" t="n">
        <v>113067</v>
      </c>
      <c r="B549" s="301" t="inlineStr">
        <is>
          <t>Vikram Chhahira</t>
        </is>
      </c>
      <c r="C549" s="403" t="inlineStr">
        <is>
          <t>Delivery Lead, EGI</t>
        </is>
      </c>
      <c r="D549" s="318" t="inlineStr">
        <is>
          <t>Vacant</t>
        </is>
      </c>
      <c r="E549" s="335" t="inlineStr">
        <is>
          <t>Delivery Manager, P&amp;C, Finance &amp; Legal</t>
        </is>
      </c>
      <c r="F549" s="224" t="inlineStr">
        <is>
          <t>TDD Group Functions</t>
        </is>
      </c>
      <c r="G549" s="318" t="inlineStr">
        <is>
          <t>EGI</t>
        </is>
      </c>
      <c r="H549" s="318" t="n"/>
      <c r="I549" s="318" t="inlineStr">
        <is>
          <t>EGI</t>
        </is>
      </c>
      <c r="J549" s="318" t="inlineStr">
        <is>
          <t>EGI</t>
        </is>
      </c>
      <c r="K549" s="318" t="inlineStr">
        <is>
          <t>EGI P&amp;C</t>
        </is>
      </c>
      <c r="L549" s="318" t="n"/>
      <c r="M549" s="319" t="inlineStr">
        <is>
          <t>Australia</t>
        </is>
      </c>
      <c r="N549" s="320" t="inlineStr">
        <is>
          <t>CIC</t>
        </is>
      </c>
      <c r="O549" s="320" t="n">
        <v>1</v>
      </c>
      <c r="P549" s="320" t="n"/>
      <c r="Q549" s="320" t="inlineStr">
        <is>
          <t>Permanent - Full Time</t>
        </is>
      </c>
      <c r="R549" s="322" t="n"/>
      <c r="S549" s="322" t="n"/>
      <c r="T549" s="334" t="n">
        <v>179000</v>
      </c>
      <c r="U549" s="705" t="n">
        <v>179000</v>
      </c>
      <c r="V549" s="325" t="n">
        <v>0.12</v>
      </c>
      <c r="W549" s="702" t="n">
        <v>0.055</v>
      </c>
      <c r="X549" s="702" t="n">
        <v>0.12</v>
      </c>
      <c r="Y549" s="703" t="n"/>
      <c r="Z549" s="702" t="n">
        <v>0.04</v>
      </c>
      <c r="AA549" s="701">
        <f>U549*(1+V549+W549+X549+Y549+Z549)</f>
        <v>238965.0</v>
      </c>
      <c r="AC549" t="inlineStr">
        <is>
          <t>P&amp;C</t>
        </is>
      </c>
      <c r="AD549" t="inlineStr">
        <is>
          <t>EGI P&amp;C</t>
        </is>
      </c>
      <c r="AE549" t="inlineStr">
        <is>
          <t>EGI P&amp;C</t>
        </is>
      </c>
      <c r="AF549" t="inlineStr">
        <is>
          <t>Strategic Program</t>
        </is>
      </c>
      <c r="AG549" t="inlineStr">
        <is>
          <t>Filled</t>
        </is>
      </c>
    </row>
    <row r="550" hidden="1" ht="18" customHeight="1" s="506">
      <c r="A550" s="259" t="n">
        <v>99999102124</v>
      </c>
      <c r="B550" s="224" t="n"/>
      <c r="C550" s="317" t="n"/>
      <c r="D550" s="224" t="n"/>
      <c r="E550" s="224" t="n"/>
      <c r="F550" s="224" t="n"/>
      <c r="G550" s="318" t="n"/>
      <c r="H550" s="224" t="n"/>
      <c r="I550" s="318" t="n"/>
      <c r="J550" s="224" t="n"/>
      <c r="K550" s="224" t="n"/>
      <c r="L550" s="318" t="n"/>
      <c r="M550" s="319" t="inlineStr">
        <is>
          <t>NZ</t>
        </is>
      </c>
      <c r="N550" s="320" t="inlineStr">
        <is>
          <t>CIA</t>
        </is>
      </c>
      <c r="O550" s="321" t="n">
        <v>1</v>
      </c>
      <c r="P550" s="320" t="n"/>
      <c r="Q550" s="321" t="inlineStr">
        <is>
          <t>Permanent - Full Time</t>
        </is>
      </c>
      <c r="R550" s="322" t="n"/>
      <c r="S550" s="322" t="n"/>
      <c r="T550" s="322" t="n">
        <v>120000</v>
      </c>
      <c r="U550" s="726" t="n">
        <v>110400</v>
      </c>
      <c r="V550" s="324" t="n">
        <v>0.15</v>
      </c>
      <c r="W550" s="322" t="n"/>
      <c r="X550" s="325" t="n">
        <v>0.05</v>
      </c>
      <c r="Y550" s="700" t="n">
        <v>2910</v>
      </c>
      <c r="Z550" s="325" t="n">
        <v>0.03</v>
      </c>
      <c r="AA550" s="701">
        <f>U550*(1+V550+X550+Z550)+Y550</f>
        <v>138702.0</v>
      </c>
      <c r="AB550" t="n">
        <v>114753</v>
      </c>
    </row>
    <row r="551" ht="18" customHeight="1" s="506">
      <c r="A551" s="337" t="n"/>
      <c r="C551" s="418" t="n"/>
      <c r="M551" s="419" t="n"/>
      <c r="N551" s="343" t="n"/>
      <c r="O551" s="345" t="n"/>
      <c r="P551" s="343" t="n"/>
      <c r="Q551" s="345" t="n"/>
      <c r="U551" s="726" t="n"/>
      <c r="V551" s="365" t="n"/>
      <c r="X551" s="361" t="n"/>
      <c r="Y551" s="709" t="n"/>
      <c r="Z551" s="361" t="n"/>
      <c r="AA551" s="328" t="n">
        <v>6400561.822000001</v>
      </c>
      <c r="AB551" s="708" t="n">
        <v>116452</v>
      </c>
    </row>
    <row r="552" ht="18" customHeight="1" s="506">
      <c r="AA552" s="727">
        <f t="array" ref="AA552">SUM(IFERROR(AA2:AA550,0))</f>
        <v/>
      </c>
    </row>
    <row r="553" ht="18" customHeight="1" s="506">
      <c r="AA553" s="423" t="n">
        <v>5100000</v>
      </c>
    </row>
    <row r="554" ht="18" customHeight="1" s="506">
      <c r="AA554" s="727">
        <f>SUM(AA552:AA553)</f>
        <v>125276881.9531</v>
      </c>
    </row>
    <row r="555" ht="14.5" customHeight="1" s="506"/>
    <row r="556" ht="18" customHeight="1" s="506">
      <c r="F556" s="328" t="n">
        <v>115</v>
      </c>
      <c r="I556" s="328" t="inlineStr">
        <is>
          <t>163 Vacancies</t>
        </is>
      </c>
      <c r="S556" s="424" t="inlineStr">
        <is>
          <t>estimated numbers</t>
        </is>
      </c>
      <c r="U556" s="728" t="n"/>
    </row>
    <row r="557" ht="18" customHeight="1" s="506">
      <c r="F557" s="328" t="inlineStr">
        <is>
          <t xml:space="preserve">48 FTE with no new roles in new structure </t>
        </is>
      </c>
    </row>
    <row r="558" ht="18" customHeight="1" s="506">
      <c r="F558" s="328" t="inlineStr">
        <is>
          <t>163 vacancies</t>
        </is>
      </c>
    </row>
    <row r="559" ht="14.5" customHeight="1" s="506"/>
    <row r="560" ht="14.5" customHeight="1" s="506"/>
    <row r="561" ht="18" customHeight="1" s="506">
      <c r="I561" s="426">
        <f>(550/173)/10</f>
        <v>0.3179190751445087</v>
      </c>
      <c r="M561" s="318" t="inlineStr">
        <is>
          <t xml:space="preserve">Squad </t>
        </is>
      </c>
      <c r="N561" s="322" t="inlineStr">
        <is>
          <t xml:space="preserve">Roles </t>
        </is>
      </c>
      <c r="O561" s="322" t="inlineStr">
        <is>
          <t>Filled</t>
        </is>
      </c>
      <c r="P561" s="322" t="inlineStr">
        <is>
          <t xml:space="preserve">Vacant </t>
        </is>
      </c>
    </row>
    <row r="562" ht="14.5" customHeight="1" s="506"/>
    <row r="563" ht="18" customHeight="1" s="506">
      <c r="E563" s="328" t="n">
        <v>376</v>
      </c>
    </row>
    <row r="564" ht="18" customHeight="1" s="506">
      <c r="E564" s="328" t="n">
        <v>550</v>
      </c>
      <c r="I564" s="328" t="inlineStr">
        <is>
          <t xml:space="preserve">How many squads with no vacancies/ how many full squads </t>
        </is>
      </c>
    </row>
    <row r="565" ht="18" customHeight="1" s="506">
      <c r="E565" s="328">
        <f>E563-E564</f>
        <v>-174.0</v>
      </c>
      <c r="I565" s="328" t="inlineStr">
        <is>
          <t xml:space="preserve">What is the makeup of vacancies across TDD </t>
        </is>
      </c>
    </row>
    <row r="566" ht="14.5" customHeight="1" s="506"/>
    <row r="567" ht="14.5" customHeight="1" s="506"/>
    <row r="568" ht="14.5" customHeight="1" s="506"/>
    <row r="569" ht="14.5" customHeight="1" s="506"/>
    <row r="570" ht="14.5" customHeight="1" s="506"/>
    <row r="571" ht="14.5" customHeight="1" s="506"/>
    <row r="572" ht="18" customHeight="1" s="506">
      <c r="I572" s="328" t="inlineStr">
        <is>
          <t xml:space="preserve">173 Roles </t>
        </is>
      </c>
    </row>
  </sheetData>
  <autoFilter ref="A1:AC550">
    <filterColumn colId="5" hiddenButton="0" showButton="1">
      <filters>
        <filter val="Partnering &amp; Transformation"/>
      </filters>
    </filterColumn>
    <sortState ref="A115:AC202">
      <sortCondition ref="K1:K550"/>
    </sortState>
  </autoFilter>
  <pageMargins left="0.75" right="0.75" top="1" bottom="1" header="0.5" footer="0.5"/>
  <headerFooter>
    <oddHeader>&amp;L&amp;"Aptos"&amp;1 &amp;K000000 Restricted#_x000d_</oddHeader>
    <oddFooter/>
    <evenHeader/>
    <evenFooter/>
    <firstHeader/>
    <firstFooter/>
  </headerFooter>
</worksheet>
</file>

<file path=xl/worksheets/sheet47.xml><?xml version="1.0" encoding="utf-8"?>
<worksheet xmlns="http://schemas.openxmlformats.org/spreadsheetml/2006/main">
  <sheetPr>
    <tabColor rgb="00375623"/>
    <outlinePr summaryBelow="1" summaryRight="1"/>
    <pageSetUpPr/>
  </sheetPr>
  <dimension ref="A1:AB153"/>
  <sheetViews>
    <sheetView topLeftCell="E138" zoomScale="80" zoomScaleNormal="80" workbookViewId="0">
      <selection activeCell="G60" sqref="G60"/>
    </sheetView>
  </sheetViews>
  <sheetFormatPr baseColWidth="8" defaultRowHeight="14.5" outlineLevelCol="0"/>
  <cols>
    <col width="13.90625" bestFit="1" customWidth="1" style="589" min="1" max="1"/>
    <col width="25.26953125" bestFit="1" customWidth="1" style="589" min="2" max="2"/>
    <col width="51.6328125" bestFit="1" customWidth="1" style="589" min="3" max="3"/>
    <col width="32.54296875" bestFit="1" customWidth="1" style="589" min="4" max="4"/>
    <col width="58" bestFit="1" customWidth="1" style="589" min="5" max="5"/>
    <col width="25.1796875" bestFit="1" customWidth="1" style="589" min="6" max="6"/>
    <col width="30.54296875" bestFit="1" customWidth="1" style="589" min="7" max="8"/>
    <col width="13.81640625" bestFit="1" customWidth="1" style="589" min="9" max="9"/>
    <col width="40.26953125" bestFit="1" customWidth="1" style="589" min="10" max="10"/>
    <col width="26.453125" bestFit="1" customWidth="1" style="589" min="11" max="11"/>
    <col width="3" bestFit="1" customWidth="1" style="589" min="12" max="12"/>
    <col width="9.08984375" bestFit="1" customWidth="1" style="589" min="13" max="13"/>
    <col width="10" bestFit="1" customWidth="1" style="589" min="14" max="14"/>
    <col width="3.81640625" bestFit="1" customWidth="1" style="589" min="15" max="15"/>
    <col width="8.7265625" customWidth="1" style="589" min="16" max="16"/>
    <col width="19.6328125" bestFit="1" customWidth="1" style="589" min="17" max="17"/>
    <col width="10.36328125" bestFit="1" customWidth="1" style="589" min="18" max="18"/>
    <col width="13.7265625" bestFit="1" customWidth="1" style="589" min="19" max="19"/>
    <col width="16.36328125" bestFit="1" customWidth="1" style="589" min="20" max="20"/>
    <col width="15.1796875" bestFit="1" customWidth="1" style="589" min="21" max="21"/>
    <col width="9.1796875" bestFit="1" customWidth="1" style="589" min="22" max="22"/>
    <col width="13.26953125" bestFit="1" customWidth="1" style="589" min="23" max="23"/>
    <col width="14.453125" bestFit="1" customWidth="1" style="589" min="24" max="24"/>
    <col width="14.54296875" bestFit="1" customWidth="1" style="589" min="25" max="25"/>
    <col width="6.1796875" customWidth="1" style="589" min="26" max="26"/>
    <col width="14.90625" bestFit="1" customWidth="1" style="589" min="27" max="27"/>
    <col width="10.90625" bestFit="1" customWidth="1" style="589" min="28" max="28"/>
    <col width="8.7265625" customWidth="1" style="589" min="29" max="16384"/>
  </cols>
  <sheetData>
    <row r="1" ht="29" customHeight="1" s="506">
      <c r="A1" s="251" t="inlineStr">
        <is>
          <t>EE Number</t>
        </is>
      </c>
      <c r="B1" s="252" t="inlineStr">
        <is>
          <t>Name</t>
        </is>
      </c>
      <c r="C1" s="252" t="inlineStr">
        <is>
          <t>Position Title</t>
        </is>
      </c>
      <c r="D1" s="252" t="inlineStr">
        <is>
          <t>Reports to name</t>
        </is>
      </c>
      <c r="E1" s="252" t="inlineStr">
        <is>
          <t>Reports to Position</t>
        </is>
      </c>
      <c r="F1" s="582" t="inlineStr">
        <is>
          <t>Division (GM)</t>
        </is>
      </c>
      <c r="G1" s="583" t="inlineStr">
        <is>
          <t>Department (GM-1)</t>
        </is>
      </c>
      <c r="H1" s="583" t="inlineStr">
        <is>
          <t>Team (GM-2)</t>
        </is>
      </c>
      <c r="I1" s="584" t="inlineStr">
        <is>
          <t>Portfolio</t>
        </is>
      </c>
      <c r="J1" s="256" t="inlineStr">
        <is>
          <t>Platform</t>
        </is>
      </c>
      <c r="K1" s="584" t="inlineStr">
        <is>
          <t>Squad</t>
        </is>
      </c>
      <c r="L1" s="584" t="inlineStr">
        <is>
          <t>CC</t>
        </is>
      </c>
      <c r="M1" s="585" t="inlineStr">
        <is>
          <t>Country</t>
        </is>
      </c>
      <c r="N1" s="586" t="inlineStr">
        <is>
          <t>Job Level</t>
        </is>
      </c>
      <c r="O1" s="586" t="inlineStr">
        <is>
          <t>FTE</t>
        </is>
      </c>
      <c r="P1" s="586" t="n"/>
      <c r="Q1" s="586" t="inlineStr">
        <is>
          <t>Type</t>
        </is>
      </c>
      <c r="R1" s="312" t="inlineStr">
        <is>
          <t>Unit</t>
        </is>
      </c>
      <c r="S1" s="312" t="inlineStr">
        <is>
          <t>day rate</t>
        </is>
      </c>
      <c r="T1" s="311" t="inlineStr">
        <is>
          <t>FTE Base
 Local</t>
        </is>
      </c>
      <c r="U1" s="312" t="inlineStr">
        <is>
          <t>FTE Base 
AUD</t>
        </is>
      </c>
      <c r="V1" s="587" t="inlineStr">
        <is>
          <t>STI</t>
        </is>
      </c>
      <c r="W1" s="315" t="inlineStr">
        <is>
          <t>Payroll</t>
        </is>
      </c>
      <c r="X1" s="315" t="inlineStr">
        <is>
          <t>Pensions</t>
        </is>
      </c>
      <c r="Y1" s="315" t="inlineStr">
        <is>
          <t>medical</t>
        </is>
      </c>
      <c r="Z1" s="315" t="inlineStr">
        <is>
          <t>CPI</t>
        </is>
      </c>
      <c r="AA1" s="315" t="inlineStr">
        <is>
          <t>Full Cost 
AUD</t>
        </is>
      </c>
      <c r="AB1" s="588" t="inlineStr">
        <is>
          <t>MyHR ee no</t>
        </is>
      </c>
    </row>
    <row r="2">
      <c r="A2" s="590" t="n">
        <v>99999101684</v>
      </c>
      <c r="B2" s="591" t="inlineStr">
        <is>
          <t>Ashley Mueller</t>
        </is>
      </c>
      <c r="C2" s="592" t="inlineStr">
        <is>
          <t>Lead – Service Assurance</t>
        </is>
      </c>
      <c r="D2" s="591" t="inlineStr">
        <is>
          <t>Mick Collins</t>
        </is>
      </c>
      <c r="E2" s="591" t="inlineStr">
        <is>
          <t>Cyber Architecture Lead</t>
        </is>
      </c>
      <c r="F2" s="591" t="inlineStr">
        <is>
          <t>Cyber, Risk &amp; Operations</t>
        </is>
      </c>
      <c r="G2" s="593" t="inlineStr">
        <is>
          <t>Service Op &amp; Assurance</t>
        </is>
      </c>
      <c r="H2" s="591" t="inlineStr">
        <is>
          <t xml:space="preserve">Service Performance &amp; Assurance </t>
        </is>
      </c>
      <c r="I2" s="591" t="inlineStr">
        <is>
          <t>NA</t>
        </is>
      </c>
      <c r="J2" s="591" t="inlineStr">
        <is>
          <t>NA</t>
        </is>
      </c>
      <c r="K2" s="591" t="inlineStr">
        <is>
          <t>NA</t>
        </is>
      </c>
      <c r="L2" s="591" t="n"/>
      <c r="M2" s="594" t="inlineStr">
        <is>
          <t>NZ</t>
        </is>
      </c>
      <c r="N2" s="595" t="inlineStr">
        <is>
          <t>CIC</t>
        </is>
      </c>
      <c r="O2" s="596" t="n">
        <v>1</v>
      </c>
      <c r="P2" s="595" t="n"/>
      <c r="Q2" s="596" t="inlineStr">
        <is>
          <t>Permanent - Full Time</t>
        </is>
      </c>
      <c r="R2" s="597" t="n"/>
      <c r="S2" s="597" t="n"/>
      <c r="T2" s="598" t="n">
        <v>165310</v>
      </c>
      <c r="U2" s="729" t="n">
        <v>152085.2</v>
      </c>
      <c r="V2" s="600" t="n">
        <v>0.15</v>
      </c>
      <c r="W2" s="596" t="n"/>
      <c r="X2" s="601" t="n">
        <v>0.05</v>
      </c>
      <c r="Y2" s="730" t="n">
        <v>2910</v>
      </c>
      <c r="Z2" s="601" t="n">
        <v>0.03</v>
      </c>
      <c r="AA2" s="731">
        <f>U2*(1+V2+X2+Z2)+Y2</f>
        <v>189974.796</v>
      </c>
      <c r="AB2" s="589" t="n">
        <v>113516</v>
      </c>
    </row>
    <row r="3">
      <c r="A3" s="590" t="n">
        <v>108013</v>
      </c>
      <c r="B3" s="591" t="inlineStr">
        <is>
          <t>Belinda Hoskens</t>
        </is>
      </c>
      <c r="C3" s="592" t="inlineStr">
        <is>
          <t>Technology Support Engineer</t>
        </is>
      </c>
      <c r="D3" s="591" t="inlineStr">
        <is>
          <t>Mark Pearson</t>
        </is>
      </c>
      <c r="E3" s="591" t="inlineStr">
        <is>
          <t xml:space="preserve">Lead Technology Support </t>
        </is>
      </c>
      <c r="F3" s="591" t="inlineStr">
        <is>
          <t>Cyber, Risk &amp; Operations</t>
        </is>
      </c>
      <c r="G3" s="593" t="inlineStr">
        <is>
          <t>Service Op &amp; Assurance</t>
        </is>
      </c>
      <c r="H3" s="591" t="inlineStr">
        <is>
          <t xml:space="preserve">Technology Support </t>
        </is>
      </c>
      <c r="I3" s="591" t="inlineStr">
        <is>
          <t>NA</t>
        </is>
      </c>
      <c r="J3" s="591" t="inlineStr">
        <is>
          <t>NA</t>
        </is>
      </c>
      <c r="K3" s="591" t="inlineStr">
        <is>
          <t>NA</t>
        </is>
      </c>
      <c r="L3" s="591" t="n"/>
      <c r="M3" s="594" t="inlineStr">
        <is>
          <t>Australia</t>
        </is>
      </c>
      <c r="N3" s="595" t="inlineStr">
        <is>
          <t>CIA</t>
        </is>
      </c>
      <c r="O3" s="595" t="n">
        <v>1</v>
      </c>
      <c r="P3" s="595" t="n"/>
      <c r="Q3" s="595" t="inlineStr">
        <is>
          <t>Permanent - Full Time</t>
        </is>
      </c>
      <c r="R3" s="597" t="n"/>
      <c r="S3" s="597" t="n"/>
      <c r="T3" s="598" t="n">
        <v>123300</v>
      </c>
      <c r="U3" s="729" t="n">
        <v>123300</v>
      </c>
      <c r="V3" s="601" t="n">
        <v>0.1</v>
      </c>
      <c r="W3" s="732" t="n">
        <v>0.055</v>
      </c>
      <c r="X3" s="732" t="n">
        <v>0.12</v>
      </c>
      <c r="Y3" s="733" t="n"/>
      <c r="Z3" s="732" t="n">
        <v>0.04</v>
      </c>
      <c r="AA3" s="731">
        <f>U3*(1+V3+W3+X3+Y3+Z3)</f>
        <v>162139.5</v>
      </c>
      <c r="AB3" s="606" t="n"/>
    </row>
    <row r="4">
      <c r="A4" s="590" t="n">
        <v>98823</v>
      </c>
      <c r="B4" s="591" t="inlineStr">
        <is>
          <t>Brian Gates</t>
        </is>
      </c>
      <c r="C4" s="592" t="inlineStr">
        <is>
          <t>Manager Risk &amp; Resilience</t>
        </is>
      </c>
      <c r="D4" s="591" t="inlineStr">
        <is>
          <t>Frances Bouzo</t>
        </is>
      </c>
      <c r="E4" s="591" t="inlineStr">
        <is>
          <t xml:space="preserve">CISO </t>
        </is>
      </c>
      <c r="F4" s="591" t="inlineStr">
        <is>
          <t>Cyber, Risk &amp; Operations</t>
        </is>
      </c>
      <c r="G4" s="593" t="inlineStr">
        <is>
          <t>Cyber Risk</t>
        </is>
      </c>
      <c r="H4" s="591" t="inlineStr">
        <is>
          <t xml:space="preserve">Risk &amp; Resilience </t>
        </is>
      </c>
      <c r="I4" s="591" t="inlineStr">
        <is>
          <t>NA</t>
        </is>
      </c>
      <c r="J4" s="591" t="inlineStr">
        <is>
          <t>NA</t>
        </is>
      </c>
      <c r="K4" s="591" t="inlineStr">
        <is>
          <t>NA</t>
        </is>
      </c>
      <c r="L4" s="591" t="n"/>
      <c r="M4" s="594" t="inlineStr">
        <is>
          <t>Australia</t>
        </is>
      </c>
      <c r="N4" s="595" t="inlineStr">
        <is>
          <t>CSB</t>
        </is>
      </c>
      <c r="O4" s="595" t="n">
        <v>1</v>
      </c>
      <c r="P4" s="595" t="n"/>
      <c r="Q4" s="595" t="inlineStr">
        <is>
          <t>Permanent - Full Time</t>
        </is>
      </c>
      <c r="R4" s="597" t="n"/>
      <c r="S4" s="597" t="n"/>
      <c r="T4" s="598" t="n">
        <v>211840</v>
      </c>
      <c r="U4" s="729" t="n">
        <v>211840</v>
      </c>
      <c r="V4" s="601" t="n">
        <v>0.14</v>
      </c>
      <c r="W4" s="732" t="n">
        <v>0.055</v>
      </c>
      <c r="X4" s="732" t="n">
        <v>0.12</v>
      </c>
      <c r="Y4" s="733" t="n"/>
      <c r="Z4" s="732" t="n">
        <v>0.04</v>
      </c>
      <c r="AA4" s="731">
        <f>U4*(1+V4+W4+X4+Y4+Z4)</f>
        <v>287043.2</v>
      </c>
      <c r="AB4" s="606" t="n"/>
    </row>
    <row r="5">
      <c r="A5" s="590" t="n">
        <v>86962</v>
      </c>
      <c r="B5" s="591" t="inlineStr">
        <is>
          <t>Cameron Watman</t>
        </is>
      </c>
      <c r="C5" s="592" t="inlineStr">
        <is>
          <t>Engineer - IDAM</t>
        </is>
      </c>
      <c r="D5" s="591" t="inlineStr">
        <is>
          <t>Joe Nahma</t>
        </is>
      </c>
      <c r="E5" s="591" t="inlineStr">
        <is>
          <t xml:space="preserve">Head of Cyber Strategy &amp; Technology </t>
        </is>
      </c>
      <c r="F5" s="591" t="inlineStr">
        <is>
          <t>Cyber, Risk &amp; Operations</t>
        </is>
      </c>
      <c r="G5" s="593" t="inlineStr">
        <is>
          <t>Cyber Strat &amp; Tech</t>
        </is>
      </c>
      <c r="H5" s="593" t="inlineStr">
        <is>
          <t xml:space="preserve">Identity &amp; Access Management </t>
        </is>
      </c>
      <c r="I5" s="591" t="inlineStr">
        <is>
          <t>NA</t>
        </is>
      </c>
      <c r="J5" s="591" t="inlineStr">
        <is>
          <t>NA</t>
        </is>
      </c>
      <c r="K5" s="591" t="inlineStr">
        <is>
          <t>NA</t>
        </is>
      </c>
      <c r="L5" s="591" t="n"/>
      <c r="M5" s="594" t="inlineStr">
        <is>
          <t>Australia</t>
        </is>
      </c>
      <c r="N5" s="597" t="inlineStr">
        <is>
          <t>CIA</t>
        </is>
      </c>
      <c r="O5" s="597" t="n">
        <v>1</v>
      </c>
      <c r="P5" s="597" t="n"/>
      <c r="Q5" s="597" t="inlineStr">
        <is>
          <t>Permanent - Full Time</t>
        </is>
      </c>
      <c r="R5" s="597" t="n"/>
      <c r="S5" s="597" t="n"/>
      <c r="T5" s="598" t="n">
        <v>131660</v>
      </c>
      <c r="U5" s="729" t="n">
        <v>131660</v>
      </c>
      <c r="V5" s="601" t="n">
        <v>0.1</v>
      </c>
      <c r="W5" s="732" t="n">
        <v>0.055</v>
      </c>
      <c r="X5" s="732" t="n">
        <v>0.12</v>
      </c>
      <c r="Y5" s="733" t="n"/>
      <c r="Z5" s="732" t="n">
        <v>0.04</v>
      </c>
      <c r="AA5" s="731">
        <f>U5*(1+V5+W5+X5+Y5+Z5)</f>
        <v>173132.9</v>
      </c>
      <c r="AB5" s="606" t="n"/>
    </row>
    <row r="6">
      <c r="A6" s="590" t="n">
        <v>106511</v>
      </c>
      <c r="B6" s="591" t="inlineStr">
        <is>
          <t>Catherine Gire</t>
        </is>
      </c>
      <c r="C6" s="592" t="inlineStr">
        <is>
          <t>Cyber Technical Business Analyst</t>
        </is>
      </c>
      <c r="D6" s="591" t="inlineStr">
        <is>
          <t>Vivienne Vasak</t>
        </is>
      </c>
      <c r="E6" s="591" t="inlineStr">
        <is>
          <t xml:space="preserve">Portfolio Manger Cyber Security </t>
        </is>
      </c>
      <c r="F6" s="591" t="inlineStr">
        <is>
          <t>Cyber, Risk &amp; Operations</t>
        </is>
      </c>
      <c r="G6" s="593" t="inlineStr">
        <is>
          <t>Cyber Strat &amp; Tech</t>
        </is>
      </c>
      <c r="H6" s="591" t="inlineStr">
        <is>
          <t>Cyber Security Uplift Program</t>
        </is>
      </c>
      <c r="I6" s="591" t="inlineStr">
        <is>
          <t>NA</t>
        </is>
      </c>
      <c r="J6" s="591" t="inlineStr">
        <is>
          <t>NA</t>
        </is>
      </c>
      <c r="K6" s="591" t="inlineStr">
        <is>
          <t>NA</t>
        </is>
      </c>
      <c r="L6" s="591" t="n"/>
      <c r="M6" s="594" t="inlineStr">
        <is>
          <t>Australia</t>
        </is>
      </c>
      <c r="N6" s="595" t="inlineStr">
        <is>
          <t>CIB</t>
        </is>
      </c>
      <c r="O6" s="595" t="n">
        <v>1</v>
      </c>
      <c r="P6" s="595" t="n"/>
      <c r="Q6" s="595" t="inlineStr">
        <is>
          <t>Permanent - Full Time</t>
        </is>
      </c>
      <c r="R6" s="597" t="n"/>
      <c r="S6" s="597" t="n"/>
      <c r="T6" s="598" t="n">
        <v>170160</v>
      </c>
      <c r="U6" s="729" t="n">
        <v>170160</v>
      </c>
      <c r="V6" s="601" t="n">
        <v>0.12</v>
      </c>
      <c r="W6" s="732" t="n">
        <v>0.055</v>
      </c>
      <c r="X6" s="732" t="n">
        <v>0.12</v>
      </c>
      <c r="Y6" s="733" t="n"/>
      <c r="Z6" s="732" t="n">
        <v>0.04</v>
      </c>
      <c r="AA6" s="731">
        <f>U6*(1+V6+W6+X6+Y6+Z6)</f>
        <v>227163.6</v>
      </c>
      <c r="AB6" s="606" t="n"/>
    </row>
    <row r="7">
      <c r="A7" s="590" t="n">
        <v>102385</v>
      </c>
      <c r="B7" s="591" t="inlineStr">
        <is>
          <t>Chris Lyons</t>
        </is>
      </c>
      <c r="C7" s="592" t="inlineStr">
        <is>
          <t>Cyber Security Architect</t>
        </is>
      </c>
      <c r="D7" s="591" t="inlineStr">
        <is>
          <t>Kevin Sheerin</t>
        </is>
      </c>
      <c r="E7" s="591" t="inlineStr">
        <is>
          <t xml:space="preserve">Head of Cyber Strategy &amp; Technology </t>
        </is>
      </c>
      <c r="F7" s="591" t="inlineStr">
        <is>
          <t>Cyber, Risk &amp; Operations</t>
        </is>
      </c>
      <c r="G7" s="593" t="inlineStr">
        <is>
          <t>Cyber Strat &amp; Tech</t>
        </is>
      </c>
      <c r="H7" s="591" t="inlineStr">
        <is>
          <t>NA</t>
        </is>
      </c>
      <c r="I7" s="591" t="inlineStr">
        <is>
          <t>NA</t>
        </is>
      </c>
      <c r="J7" s="591" t="inlineStr">
        <is>
          <t>NA</t>
        </is>
      </c>
      <c r="K7" s="591" t="inlineStr">
        <is>
          <t>NA</t>
        </is>
      </c>
      <c r="L7" s="591" t="n"/>
      <c r="M7" s="594" t="inlineStr">
        <is>
          <t>Australia</t>
        </is>
      </c>
      <c r="N7" s="595" t="inlineStr">
        <is>
          <t>CIC</t>
        </is>
      </c>
      <c r="O7" s="595" t="n">
        <v>1</v>
      </c>
      <c r="P7" s="595" t="n"/>
      <c r="Q7" s="595" t="inlineStr">
        <is>
          <t>Permanent - Full Time</t>
        </is>
      </c>
      <c r="R7" s="597" t="n"/>
      <c r="S7" s="597" t="n"/>
      <c r="T7" s="598" t="n">
        <v>212250</v>
      </c>
      <c r="U7" s="729" t="n">
        <v>212250</v>
      </c>
      <c r="V7" s="601" t="n">
        <v>0.12</v>
      </c>
      <c r="W7" s="732" t="n">
        <v>0.055</v>
      </c>
      <c r="X7" s="732" t="n">
        <v>0.12</v>
      </c>
      <c r="Y7" s="733" t="n"/>
      <c r="Z7" s="732" t="n">
        <v>0.04</v>
      </c>
      <c r="AA7" s="731">
        <f>U7*(1+V7+W7+X7+Y7+Z7)</f>
        <v>283353.75</v>
      </c>
      <c r="AB7" s="606" t="n"/>
    </row>
    <row r="8">
      <c r="A8" s="590" t="n">
        <v>84274</v>
      </c>
      <c r="B8" s="591" t="inlineStr">
        <is>
          <t>Chris Rojas</t>
        </is>
      </c>
      <c r="C8" s="592" t="inlineStr">
        <is>
          <t>Manager, Customer Support Operations</t>
        </is>
      </c>
      <c r="D8" s="591" t="inlineStr">
        <is>
          <t>Rajini Onteddu Reddy</t>
        </is>
      </c>
      <c r="E8" s="591" t="inlineStr">
        <is>
          <t xml:space="preserve">Manager Cyber Security Operations </t>
        </is>
      </c>
      <c r="F8" s="591" t="inlineStr">
        <is>
          <t>Cyber, Risk &amp; Operations</t>
        </is>
      </c>
      <c r="G8" s="593" t="inlineStr">
        <is>
          <t>Service Op &amp; Assurance</t>
        </is>
      </c>
      <c r="H8" s="591" t="inlineStr">
        <is>
          <t>NA</t>
        </is>
      </c>
      <c r="I8" s="591" t="inlineStr">
        <is>
          <t>NA</t>
        </is>
      </c>
      <c r="J8" s="591" t="inlineStr">
        <is>
          <t>NA</t>
        </is>
      </c>
      <c r="K8" s="591" t="inlineStr">
        <is>
          <t>NA</t>
        </is>
      </c>
      <c r="L8" s="591" t="n"/>
      <c r="M8" s="594" t="inlineStr">
        <is>
          <t>Australia</t>
        </is>
      </c>
      <c r="N8" s="597" t="inlineStr">
        <is>
          <t>CIC</t>
        </is>
      </c>
      <c r="O8" s="597" t="n">
        <v>1</v>
      </c>
      <c r="P8" s="597" t="n"/>
      <c r="Q8" s="597" t="inlineStr">
        <is>
          <t>Permanent - Full Time</t>
        </is>
      </c>
      <c r="R8" s="597" t="n"/>
      <c r="S8" s="597" t="n"/>
      <c r="T8" s="598" t="n">
        <v>182250</v>
      </c>
      <c r="U8" s="729" t="n">
        <v>182250</v>
      </c>
      <c r="V8" s="601" t="n">
        <v>0.12</v>
      </c>
      <c r="W8" s="732" t="n">
        <v>0.055</v>
      </c>
      <c r="X8" s="732" t="n">
        <v>0.12</v>
      </c>
      <c r="Y8" s="733" t="n"/>
      <c r="Z8" s="732" t="n">
        <v>0.04</v>
      </c>
      <c r="AA8" s="731">
        <f>U8*(1+V8+W8+X8+Y8+Z8)</f>
        <v>243303.75</v>
      </c>
      <c r="AB8" s="606" t="n"/>
    </row>
    <row r="9">
      <c r="A9" s="590" t="n">
        <v>98924</v>
      </c>
      <c r="B9" s="591" t="inlineStr">
        <is>
          <t>Dan Balsamo</t>
        </is>
      </c>
      <c r="C9" s="592" t="inlineStr">
        <is>
          <t>Senior Cyber Project Manager</t>
        </is>
      </c>
      <c r="D9" s="591" t="inlineStr">
        <is>
          <t>Vivienne Vasak</t>
        </is>
      </c>
      <c r="E9" s="591" t="inlineStr">
        <is>
          <t xml:space="preserve">Head of Cyber Strategy &amp; Technology </t>
        </is>
      </c>
      <c r="F9" s="591" t="inlineStr">
        <is>
          <t>Cyber, Risk &amp; Operations</t>
        </is>
      </c>
      <c r="G9" s="593" t="inlineStr">
        <is>
          <t>Cyber Strat &amp; Tech</t>
        </is>
      </c>
      <c r="H9" s="589" t="inlineStr">
        <is>
          <t>NA</t>
        </is>
      </c>
      <c r="I9" s="591" t="inlineStr">
        <is>
          <t>NA</t>
        </is>
      </c>
      <c r="J9" s="591" t="inlineStr">
        <is>
          <t>NA</t>
        </is>
      </c>
      <c r="K9" s="591" t="inlineStr">
        <is>
          <t>NA</t>
        </is>
      </c>
      <c r="L9" s="591" t="n"/>
      <c r="M9" s="594" t="inlineStr">
        <is>
          <t>Australia</t>
        </is>
      </c>
      <c r="N9" s="595" t="inlineStr">
        <is>
          <t>CIC</t>
        </is>
      </c>
      <c r="O9" s="595" t="n">
        <v>1</v>
      </c>
      <c r="P9" s="595" t="n"/>
      <c r="Q9" s="595" t="inlineStr">
        <is>
          <t>Permanent - Full Time</t>
        </is>
      </c>
      <c r="R9" s="597" t="n"/>
      <c r="S9" s="597" t="n"/>
      <c r="T9" s="598" t="n">
        <v>193690</v>
      </c>
      <c r="U9" s="729" t="n">
        <v>193690</v>
      </c>
      <c r="V9" s="601" t="n">
        <v>0.12</v>
      </c>
      <c r="W9" s="732" t="n">
        <v>0.055</v>
      </c>
      <c r="X9" s="732" t="n">
        <v>0.12</v>
      </c>
      <c r="Y9" s="733" t="n"/>
      <c r="Z9" s="732" t="n">
        <v>0.04</v>
      </c>
      <c r="AA9" s="731">
        <f>U9*(1+V9+W9+X9+Y9+Z9)</f>
        <v>258576.15</v>
      </c>
      <c r="AB9" s="606" t="n"/>
    </row>
    <row r="10">
      <c r="A10" s="590" t="n">
        <v>110204</v>
      </c>
      <c r="B10" s="591" t="inlineStr">
        <is>
          <t>Daniel Jolley</t>
        </is>
      </c>
      <c r="C10" s="592" t="inlineStr">
        <is>
          <t>Tech Support Technician</t>
        </is>
      </c>
      <c r="D10" s="591" t="inlineStr">
        <is>
          <t>Mark Pearson</t>
        </is>
      </c>
      <c r="E10" s="591" t="inlineStr">
        <is>
          <t xml:space="preserve">Lead Technology Support </t>
        </is>
      </c>
      <c r="F10" s="591" t="inlineStr">
        <is>
          <t>Cyber, Risk &amp; Operations</t>
        </is>
      </c>
      <c r="G10" s="593" t="inlineStr">
        <is>
          <t>Service Op &amp; Assurance</t>
        </is>
      </c>
      <c r="H10" s="589" t="inlineStr">
        <is>
          <t>NA</t>
        </is>
      </c>
      <c r="I10" s="591" t="inlineStr">
        <is>
          <t>NA</t>
        </is>
      </c>
      <c r="J10" s="591" t="inlineStr">
        <is>
          <t>NA</t>
        </is>
      </c>
      <c r="K10" s="591" t="inlineStr">
        <is>
          <t>NA</t>
        </is>
      </c>
      <c r="L10" s="591" t="n"/>
      <c r="M10" s="594" t="inlineStr">
        <is>
          <t>Australia</t>
        </is>
      </c>
      <c r="N10" s="595" t="inlineStr">
        <is>
          <t>CDC</t>
        </is>
      </c>
      <c r="O10" s="595" t="n">
        <v>1</v>
      </c>
      <c r="P10" s="595" t="n"/>
      <c r="Q10" s="595" t="inlineStr">
        <is>
          <t>Permanent - Full Time</t>
        </is>
      </c>
      <c r="R10" s="597" t="n"/>
      <c r="S10" s="597" t="n"/>
      <c r="T10" s="598" t="n">
        <v>88100</v>
      </c>
      <c r="U10" s="729" t="n">
        <v>88100</v>
      </c>
      <c r="V10" s="601" t="n">
        <v>0.1</v>
      </c>
      <c r="W10" s="732" t="n">
        <v>0.055</v>
      </c>
      <c r="X10" s="732" t="n">
        <v>0.12</v>
      </c>
      <c r="Y10" s="733" t="n"/>
      <c r="Z10" s="732" t="n">
        <v>0.04</v>
      </c>
      <c r="AA10" s="731">
        <f>U10*(1+V10+W10+X10+Y10+Z10)</f>
        <v>115851.5</v>
      </c>
      <c r="AB10" s="606" t="n"/>
    </row>
    <row r="11">
      <c r="A11" s="590" t="n">
        <v>6307</v>
      </c>
      <c r="B11" s="591" t="inlineStr">
        <is>
          <t>Darren Koller</t>
        </is>
      </c>
      <c r="C11" s="592" t="inlineStr">
        <is>
          <t>Manager, Service Management &amp; Major Incident Mgmt Lead</t>
        </is>
      </c>
      <c r="D11" s="591" t="inlineStr">
        <is>
          <t>Rajini Onteddu Reddy</t>
        </is>
      </c>
      <c r="E11" s="591" t="inlineStr">
        <is>
          <t>Head of Service Operatoins &amp; Assurance</t>
        </is>
      </c>
      <c r="F11" s="591" t="inlineStr">
        <is>
          <t>Cyber, Risk &amp; Operations</t>
        </is>
      </c>
      <c r="G11" s="593" t="inlineStr">
        <is>
          <t>Service Op &amp; Assurance</t>
        </is>
      </c>
      <c r="H11" s="591" t="inlineStr">
        <is>
          <t>NA</t>
        </is>
      </c>
      <c r="I11" s="591" t="inlineStr">
        <is>
          <t>NA</t>
        </is>
      </c>
      <c r="J11" s="591" t="inlineStr">
        <is>
          <t>NA</t>
        </is>
      </c>
      <c r="K11" s="591" t="inlineStr">
        <is>
          <t>NA</t>
        </is>
      </c>
      <c r="L11" s="591" t="n"/>
      <c r="M11" s="594" t="inlineStr">
        <is>
          <t>Australia</t>
        </is>
      </c>
      <c r="N11" s="597" t="inlineStr">
        <is>
          <t>CIC</t>
        </is>
      </c>
      <c r="O11" s="597" t="n">
        <v>1</v>
      </c>
      <c r="P11" s="597" t="n"/>
      <c r="Q11" s="597" t="inlineStr">
        <is>
          <t>Permanent - Full Time</t>
        </is>
      </c>
      <c r="R11" s="597" t="n"/>
      <c r="S11" s="597" t="n"/>
      <c r="T11" s="598" t="n">
        <v>205950</v>
      </c>
      <c r="U11" s="729" t="n">
        <v>205950</v>
      </c>
      <c r="V11" s="601" t="n">
        <v>0.12</v>
      </c>
      <c r="W11" s="732" t="n">
        <v>0.055</v>
      </c>
      <c r="X11" s="732" t="n">
        <v>0.12</v>
      </c>
      <c r="Y11" s="733" t="n"/>
      <c r="Z11" s="732" t="n">
        <v>0.04</v>
      </c>
      <c r="AA11" s="731">
        <f>U11*(1+V11+W11+X11+Y11+Z11)</f>
        <v>274943.25</v>
      </c>
      <c r="AB11" s="606" t="n"/>
    </row>
    <row r="12">
      <c r="A12" s="590" t="n">
        <v>99707</v>
      </c>
      <c r="B12" s="591" t="inlineStr">
        <is>
          <t>Darshan Suvama</t>
        </is>
      </c>
      <c r="C12" s="592" t="inlineStr">
        <is>
          <t>Cyber Offensive Security Lead</t>
        </is>
      </c>
      <c r="D12" s="591" t="inlineStr">
        <is>
          <t>Kevin Sheerin</t>
        </is>
      </c>
      <c r="E12" s="591" t="inlineStr">
        <is>
          <t>Cyber Architecture Lead</t>
        </is>
      </c>
      <c r="F12" s="591" t="inlineStr">
        <is>
          <t>Cyber, Risk &amp; Operations</t>
        </is>
      </c>
      <c r="G12" s="593" t="inlineStr">
        <is>
          <t>Cyber Strat &amp; Tech</t>
        </is>
      </c>
      <c r="H12" s="591" t="inlineStr">
        <is>
          <t>NA</t>
        </is>
      </c>
      <c r="I12" s="591" t="inlineStr">
        <is>
          <t>NA</t>
        </is>
      </c>
      <c r="J12" s="591" t="inlineStr">
        <is>
          <t>NA</t>
        </is>
      </c>
      <c r="K12" s="591" t="inlineStr">
        <is>
          <t>NA</t>
        </is>
      </c>
      <c r="L12" s="591" t="n"/>
      <c r="M12" s="594" t="inlineStr">
        <is>
          <t>Australia</t>
        </is>
      </c>
      <c r="N12" s="595" t="inlineStr">
        <is>
          <t>CIC</t>
        </is>
      </c>
      <c r="O12" s="595" t="n">
        <v>1</v>
      </c>
      <c r="P12" s="595" t="n"/>
      <c r="Q12" s="595" t="inlineStr">
        <is>
          <t>Permanent - Full Time</t>
        </is>
      </c>
      <c r="R12" s="597" t="n"/>
      <c r="S12" s="597" t="n"/>
      <c r="T12" s="598" t="n">
        <v>213740</v>
      </c>
      <c r="U12" s="729" t="n">
        <v>213740</v>
      </c>
      <c r="V12" s="601" t="n">
        <v>0.12</v>
      </c>
      <c r="W12" s="732" t="n">
        <v>0.055</v>
      </c>
      <c r="X12" s="732" t="n">
        <v>0.12</v>
      </c>
      <c r="Y12" s="733" t="n"/>
      <c r="Z12" s="732" t="n">
        <v>0.04</v>
      </c>
      <c r="AA12" s="731">
        <f>U12*(1+V12+W12+X12+Y12+Z12)</f>
        <v>285342.89999999997</v>
      </c>
      <c r="AB12" s="606" t="n"/>
    </row>
    <row r="13">
      <c r="A13" s="590" t="n">
        <v>101700</v>
      </c>
      <c r="B13" s="591" t="inlineStr">
        <is>
          <t>Diya Thomas</t>
        </is>
      </c>
      <c r="C13" s="592" t="inlineStr">
        <is>
          <t>Manager Cyber Security GRC</t>
        </is>
      </c>
      <c r="D13" s="591" t="inlineStr">
        <is>
          <t>Frances Bouzo</t>
        </is>
      </c>
      <c r="E13" s="591" t="inlineStr">
        <is>
          <t xml:space="preserve">Manager Cyber Security Operations </t>
        </is>
      </c>
      <c r="F13" s="591" t="inlineStr">
        <is>
          <t>Cyber, Risk &amp; Operations</t>
        </is>
      </c>
      <c r="G13" s="593" t="inlineStr">
        <is>
          <t>Cyber GRC</t>
        </is>
      </c>
      <c r="H13" s="591" t="inlineStr">
        <is>
          <t>NA</t>
        </is>
      </c>
      <c r="I13" s="591" t="inlineStr">
        <is>
          <t>NA</t>
        </is>
      </c>
      <c r="J13" s="591" t="inlineStr">
        <is>
          <t>NA</t>
        </is>
      </c>
      <c r="K13" s="591" t="inlineStr">
        <is>
          <t>NA</t>
        </is>
      </c>
      <c r="L13" s="591" t="n"/>
      <c r="M13" s="594" t="inlineStr">
        <is>
          <t>Australia</t>
        </is>
      </c>
      <c r="N13" s="595" t="inlineStr">
        <is>
          <t>CSB</t>
        </is>
      </c>
      <c r="O13" s="595" t="n">
        <v>1</v>
      </c>
      <c r="P13" s="595" t="n"/>
      <c r="Q13" s="595" t="inlineStr">
        <is>
          <t>Permanent - Full Time</t>
        </is>
      </c>
      <c r="R13" s="597" t="n"/>
      <c r="S13" s="597" t="n"/>
      <c r="T13" s="598" t="n">
        <v>211840</v>
      </c>
      <c r="U13" s="734" t="n">
        <v>211840</v>
      </c>
      <c r="V13" s="608" t="n">
        <v>0.14</v>
      </c>
      <c r="W13" s="735" t="n">
        <v>0.055</v>
      </c>
      <c r="X13" s="735" t="n">
        <v>0.12</v>
      </c>
      <c r="Y13" s="736" t="n"/>
      <c r="Z13" s="735" t="n">
        <v>0.04</v>
      </c>
      <c r="AA13" s="737">
        <f>U13*(1+V13+W13+X13+Y13+Z13)</f>
        <v>287043.2</v>
      </c>
      <c r="AB13" s="606" t="n"/>
    </row>
    <row r="14">
      <c r="A14" s="590" t="n">
        <v>99999102157</v>
      </c>
      <c r="B14" s="591" t="inlineStr">
        <is>
          <t>Ethan Lamhert (FT)</t>
        </is>
      </c>
      <c r="C14" s="592" t="inlineStr">
        <is>
          <t>Tech Support Technician</t>
        </is>
      </c>
      <c r="D14" s="591" t="inlineStr">
        <is>
          <t>Mark Pearson</t>
        </is>
      </c>
      <c r="E14" s="591" t="inlineStr">
        <is>
          <t xml:space="preserve">Lead Technology Support </t>
        </is>
      </c>
      <c r="F14" s="591" t="inlineStr">
        <is>
          <t>Cyber, Risk &amp; Operations</t>
        </is>
      </c>
      <c r="G14" s="593" t="inlineStr">
        <is>
          <t>Service Op &amp; Assurance</t>
        </is>
      </c>
      <c r="H14" s="591" t="inlineStr">
        <is>
          <t>NA</t>
        </is>
      </c>
      <c r="I14" s="591" t="inlineStr">
        <is>
          <t>NA</t>
        </is>
      </c>
      <c r="J14" s="591" t="inlineStr">
        <is>
          <t>NA</t>
        </is>
      </c>
      <c r="K14" s="591" t="inlineStr">
        <is>
          <t>NA</t>
        </is>
      </c>
      <c r="L14" s="591" t="n"/>
      <c r="M14" s="594" t="inlineStr">
        <is>
          <t>NZ</t>
        </is>
      </c>
      <c r="N14" s="595" t="inlineStr">
        <is>
          <t>CDB</t>
        </is>
      </c>
      <c r="O14" s="596" t="n">
        <v>1</v>
      </c>
      <c r="P14" s="595" t="n"/>
      <c r="Q14" s="596" t="inlineStr">
        <is>
          <t>Temporary - Full Time</t>
        </is>
      </c>
      <c r="R14" s="597" t="n"/>
      <c r="S14" s="597" t="n"/>
      <c r="T14" s="598" t="n">
        <v>80000</v>
      </c>
      <c r="U14" s="734" t="n">
        <v>73600</v>
      </c>
      <c r="V14" s="612" t="n">
        <v>0.1</v>
      </c>
      <c r="W14" s="613" t="n"/>
      <c r="X14" s="608" t="n">
        <v>0.05</v>
      </c>
      <c r="Y14" s="738" t="n">
        <v>2910</v>
      </c>
      <c r="Z14" s="608" t="n">
        <v>0.03</v>
      </c>
      <c r="AA14" s="737">
        <f>U14*(1+V14+X14+Z14)+Y14</f>
        <v>89758.00000000001</v>
      </c>
      <c r="AB14" s="589" t="n">
        <v>117353</v>
      </c>
    </row>
    <row r="15">
      <c r="A15" s="590" t="n">
        <v>87951</v>
      </c>
      <c r="B15" s="591" t="inlineStr">
        <is>
          <t>Iwan Wibisono</t>
        </is>
      </c>
      <c r="C15" s="592" t="inlineStr">
        <is>
          <t>Engineer - IDAM</t>
        </is>
      </c>
      <c r="D15" s="591" t="inlineStr">
        <is>
          <t>Joe Nahma</t>
        </is>
      </c>
      <c r="E15" s="591" t="inlineStr">
        <is>
          <t xml:space="preserve">Lead Service Desk </t>
        </is>
      </c>
      <c r="F15" s="591" t="inlineStr">
        <is>
          <t>Cyber, Risk &amp; Operations</t>
        </is>
      </c>
      <c r="G15" s="593" t="inlineStr">
        <is>
          <t>Cyber Strat &amp; Tech</t>
        </is>
      </c>
      <c r="H15" s="591" t="inlineStr">
        <is>
          <t>NA</t>
        </is>
      </c>
      <c r="I15" s="591" t="inlineStr">
        <is>
          <t>NA</t>
        </is>
      </c>
      <c r="J15" s="591" t="inlineStr">
        <is>
          <t>NA</t>
        </is>
      </c>
      <c r="K15" s="591" t="inlineStr">
        <is>
          <t>NA</t>
        </is>
      </c>
      <c r="L15" s="591" t="n"/>
      <c r="M15" s="594" t="inlineStr">
        <is>
          <t>Australia</t>
        </is>
      </c>
      <c r="N15" s="597" t="inlineStr">
        <is>
          <t>CIB</t>
        </is>
      </c>
      <c r="O15" s="597" t="n">
        <v>1</v>
      </c>
      <c r="P15" s="597" t="n"/>
      <c r="Q15" s="597" t="inlineStr">
        <is>
          <t>Permanent - Full Time</t>
        </is>
      </c>
      <c r="R15" s="597" t="n"/>
      <c r="S15" s="597" t="n"/>
      <c r="T15" s="598" t="n">
        <v>161560</v>
      </c>
      <c r="U15" s="734" t="n">
        <v>161560</v>
      </c>
      <c r="V15" s="608" t="n">
        <v>0.12</v>
      </c>
      <c r="W15" s="735" t="n">
        <v>0.055</v>
      </c>
      <c r="X15" s="735" t="n">
        <v>0.12</v>
      </c>
      <c r="Y15" s="736" t="n"/>
      <c r="Z15" s="735" t="n">
        <v>0.04</v>
      </c>
      <c r="AA15" s="737">
        <f>U15*(1+V15+W15+X15+Y15+Z15)</f>
        <v>215682.6</v>
      </c>
      <c r="AB15" s="606" t="n"/>
    </row>
    <row r="16">
      <c r="A16" s="590" t="n">
        <v>113382</v>
      </c>
      <c r="B16" s="591" t="inlineStr">
        <is>
          <t>Jack Jenkins</t>
        </is>
      </c>
      <c r="C16" s="592" t="inlineStr">
        <is>
          <t>Asset Analyst</t>
        </is>
      </c>
      <c r="D16" s="591" t="inlineStr">
        <is>
          <t>Vacant</t>
        </is>
      </c>
      <c r="E16" s="591" t="inlineStr">
        <is>
          <t>Lead – Asset &amp; Configuration (Vacant)</t>
        </is>
      </c>
      <c r="F16" s="591" t="inlineStr">
        <is>
          <t>Cyber, Risk &amp; Operations</t>
        </is>
      </c>
      <c r="G16" s="593" t="inlineStr">
        <is>
          <t>Service Op &amp; Assurance</t>
        </is>
      </c>
      <c r="H16" s="591" t="inlineStr">
        <is>
          <t>NA</t>
        </is>
      </c>
      <c r="I16" s="591" t="inlineStr">
        <is>
          <t>NA</t>
        </is>
      </c>
      <c r="J16" s="591" t="inlineStr">
        <is>
          <t>NA</t>
        </is>
      </c>
      <c r="K16" s="591" t="inlineStr">
        <is>
          <t>NA</t>
        </is>
      </c>
      <c r="L16" s="591" t="n"/>
      <c r="M16" s="594" t="inlineStr">
        <is>
          <t>Australia</t>
        </is>
      </c>
      <c r="N16" s="595" t="inlineStr">
        <is>
          <t>CIA</t>
        </is>
      </c>
      <c r="O16" s="595" t="n">
        <v>1</v>
      </c>
      <c r="P16" s="595" t="n"/>
      <c r="Q16" s="595" t="inlineStr">
        <is>
          <t>Permanent - Full Time</t>
        </is>
      </c>
      <c r="R16" s="597" t="n"/>
      <c r="S16" s="597" t="n"/>
      <c r="T16" s="598" t="n">
        <v>105710</v>
      </c>
      <c r="U16" s="729" t="n">
        <v>105710</v>
      </c>
      <c r="V16" s="601" t="n">
        <v>0.1</v>
      </c>
      <c r="W16" s="732" t="n">
        <v>0.055</v>
      </c>
      <c r="X16" s="732" t="n">
        <v>0.12</v>
      </c>
      <c r="Y16" s="733" t="n"/>
      <c r="Z16" s="732" t="n">
        <v>0.04</v>
      </c>
      <c r="AA16" s="731">
        <f>U16*(1+V16+W16+X16+Y16+Z16)</f>
        <v>139008.65</v>
      </c>
      <c r="AB16" s="606" t="n"/>
    </row>
    <row r="17">
      <c r="A17" s="590" t="n">
        <v>100825</v>
      </c>
      <c r="B17" s="591" t="inlineStr">
        <is>
          <t>James Byrne</t>
        </is>
      </c>
      <c r="C17" s="592" t="inlineStr">
        <is>
          <t>Head of Cyber Strategy &amp; Technology</t>
        </is>
      </c>
      <c r="D17" s="591" t="inlineStr">
        <is>
          <t>Frances Bouzo</t>
        </is>
      </c>
      <c r="E17" s="591" t="inlineStr">
        <is>
          <t xml:space="preserve">Manager Customer Support Operations </t>
        </is>
      </c>
      <c r="F17" s="591" t="inlineStr">
        <is>
          <t>Cyber, Risk &amp; Operations</t>
        </is>
      </c>
      <c r="G17" s="593" t="inlineStr">
        <is>
          <t>Cyber Strat &amp; Tech</t>
        </is>
      </c>
      <c r="H17" s="591" t="inlineStr">
        <is>
          <t>NA</t>
        </is>
      </c>
      <c r="I17" s="591" t="inlineStr">
        <is>
          <t>NA</t>
        </is>
      </c>
      <c r="J17" s="591" t="inlineStr">
        <is>
          <t>NA</t>
        </is>
      </c>
      <c r="K17" s="591" t="inlineStr">
        <is>
          <t>NA</t>
        </is>
      </c>
      <c r="L17" s="591" t="n"/>
      <c r="M17" s="594" t="inlineStr">
        <is>
          <t>Australia</t>
        </is>
      </c>
      <c r="N17" s="595" t="inlineStr">
        <is>
          <t>CSC</t>
        </is>
      </c>
      <c r="O17" s="595" t="n">
        <v>1</v>
      </c>
      <c r="P17" s="595" t="n"/>
      <c r="Q17" s="595" t="inlineStr">
        <is>
          <t>Permanent - Full Time</t>
        </is>
      </c>
      <c r="R17" s="597" t="n"/>
      <c r="S17" s="597" t="n"/>
      <c r="T17" s="598" t="n">
        <v>270380</v>
      </c>
      <c r="U17" s="729" t="n">
        <v>270380</v>
      </c>
      <c r="V17" s="601" t="n">
        <v>0.2</v>
      </c>
      <c r="W17" s="739" t="n">
        <v>0.055</v>
      </c>
      <c r="X17" s="739" t="n">
        <v>0.12</v>
      </c>
      <c r="Y17" s="740" t="n"/>
      <c r="Z17" s="739" t="n">
        <v>0.04</v>
      </c>
      <c r="AA17" s="731">
        <f>U17*(1+V17+W17+X17+Y17+Z17)</f>
        <v>382587.7</v>
      </c>
      <c r="AB17" s="606" t="n"/>
    </row>
    <row r="18">
      <c r="A18" s="590" t="n">
        <v>108727</v>
      </c>
      <c r="B18" s="591" t="inlineStr">
        <is>
          <t>Jas Mann</t>
        </is>
      </c>
      <c r="C18" s="592" t="inlineStr">
        <is>
          <t>Technology Support Engineer</t>
        </is>
      </c>
      <c r="D18" s="591" t="inlineStr">
        <is>
          <t>Mark Pearson</t>
        </is>
      </c>
      <c r="E18" s="591" t="inlineStr">
        <is>
          <t xml:space="preserve">Lead Technology Support </t>
        </is>
      </c>
      <c r="F18" s="591" t="inlineStr">
        <is>
          <t>Cyber, Risk &amp; Operations</t>
        </is>
      </c>
      <c r="G18" s="593" t="inlineStr">
        <is>
          <t>Service Op &amp; Assurance</t>
        </is>
      </c>
      <c r="H18" s="591" t="inlineStr">
        <is>
          <t>NA</t>
        </is>
      </c>
      <c r="I18" s="591" t="inlineStr">
        <is>
          <t>NA</t>
        </is>
      </c>
      <c r="J18" s="591" t="inlineStr">
        <is>
          <t>NA</t>
        </is>
      </c>
      <c r="K18" s="591" t="inlineStr">
        <is>
          <t>NA</t>
        </is>
      </c>
      <c r="L18" s="591" t="n"/>
      <c r="M18" s="594" t="inlineStr">
        <is>
          <t>Australia</t>
        </is>
      </c>
      <c r="N18" s="595" t="inlineStr">
        <is>
          <t>CIA</t>
        </is>
      </c>
      <c r="O18" s="595" t="n">
        <v>1</v>
      </c>
      <c r="P18" s="595" t="n"/>
      <c r="Q18" s="595" t="inlineStr">
        <is>
          <t>Permanent - Full Time</t>
        </is>
      </c>
      <c r="R18" s="597" t="n"/>
      <c r="S18" s="597" t="n"/>
      <c r="T18" s="598" t="n">
        <v>111700</v>
      </c>
      <c r="U18" s="729" t="n">
        <v>111700</v>
      </c>
      <c r="V18" s="601" t="n">
        <v>0.1</v>
      </c>
      <c r="W18" s="732" t="n">
        <v>0.055</v>
      </c>
      <c r="X18" s="732" t="n">
        <v>0.12</v>
      </c>
      <c r="Y18" s="733" t="n"/>
      <c r="Z18" s="732" t="n">
        <v>0.04</v>
      </c>
      <c r="AA18" s="731">
        <f>U18*(1+V18+W18+X18+Y18+Z18)</f>
        <v>146885.5</v>
      </c>
      <c r="AB18" s="606" t="n"/>
    </row>
    <row r="19">
      <c r="A19" s="590" t="n">
        <v>108809</v>
      </c>
      <c r="B19" s="591" t="inlineStr">
        <is>
          <t>Joe Nahma</t>
        </is>
      </c>
      <c r="C19" s="592" t="inlineStr">
        <is>
          <t>Manager Identity &amp; Access Management</t>
        </is>
      </c>
      <c r="D19" s="591" t="inlineStr">
        <is>
          <t>James Byrne</t>
        </is>
      </c>
      <c r="E19" s="591" t="inlineStr">
        <is>
          <t>Manager Cyber Security GRC</t>
        </is>
      </c>
      <c r="F19" s="591" t="inlineStr">
        <is>
          <t>Cyber, Risk &amp; Operations</t>
        </is>
      </c>
      <c r="G19" s="593" t="inlineStr">
        <is>
          <t>Cyber Strat &amp; Tech</t>
        </is>
      </c>
      <c r="H19" s="591" t="inlineStr">
        <is>
          <t>NA</t>
        </is>
      </c>
      <c r="I19" s="591" t="inlineStr">
        <is>
          <t>NA</t>
        </is>
      </c>
      <c r="J19" s="591" t="inlineStr">
        <is>
          <t>NA</t>
        </is>
      </c>
      <c r="K19" s="591" t="inlineStr">
        <is>
          <t>NA</t>
        </is>
      </c>
      <c r="L19" s="591" t="n"/>
      <c r="M19" s="594" t="inlineStr">
        <is>
          <t>Australia</t>
        </is>
      </c>
      <c r="N19" s="595" t="inlineStr">
        <is>
          <t>CIC</t>
        </is>
      </c>
      <c r="O19" s="595" t="n">
        <v>1</v>
      </c>
      <c r="P19" s="595" t="n"/>
      <c r="Q19" s="595" t="inlineStr">
        <is>
          <t>Permanent - Full Time</t>
        </is>
      </c>
      <c r="R19" s="597" t="n"/>
      <c r="S19" s="597" t="n"/>
      <c r="T19" s="598" t="n">
        <v>193790</v>
      </c>
      <c r="U19" s="729" t="n">
        <v>193790</v>
      </c>
      <c r="V19" s="601" t="n">
        <v>0.12</v>
      </c>
      <c r="W19" s="732" t="n">
        <v>0.055</v>
      </c>
      <c r="X19" s="732" t="n">
        <v>0.12</v>
      </c>
      <c r="Y19" s="733" t="n"/>
      <c r="Z19" s="732" t="n">
        <v>0.04</v>
      </c>
      <c r="AA19" s="731">
        <f>U19*(1+V19+W19+X19+Y19+Z19)</f>
        <v>258709.65</v>
      </c>
      <c r="AB19" s="606" t="n"/>
    </row>
    <row r="20">
      <c r="A20" s="590" t="n">
        <v>114354</v>
      </c>
      <c r="B20" s="591" t="inlineStr">
        <is>
          <t>Kaaviya Salai Manimudian</t>
        </is>
      </c>
      <c r="C20" s="592" t="inlineStr">
        <is>
          <t>Graduate</t>
        </is>
      </c>
      <c r="D20" s="591" t="inlineStr">
        <is>
          <t>Lynda Niewidok</t>
        </is>
      </c>
      <c r="E20" s="591" t="inlineStr">
        <is>
          <t xml:space="preserve">Manager Customer Support Operations </t>
        </is>
      </c>
      <c r="F20" s="591" t="inlineStr">
        <is>
          <t>Cyber, Risk &amp; Operations</t>
        </is>
      </c>
      <c r="G20" s="593" t="inlineStr">
        <is>
          <t>Service Op &amp; Assurance</t>
        </is>
      </c>
      <c r="H20" s="591" t="inlineStr">
        <is>
          <t>NA</t>
        </is>
      </c>
      <c r="I20" s="591" t="inlineStr">
        <is>
          <t>NA</t>
        </is>
      </c>
      <c r="J20" s="591" t="inlineStr">
        <is>
          <t>NA</t>
        </is>
      </c>
      <c r="K20" s="591" t="inlineStr">
        <is>
          <t>NA</t>
        </is>
      </c>
      <c r="L20" s="591" t="n"/>
      <c r="M20" s="594" t="inlineStr">
        <is>
          <t>Australia</t>
        </is>
      </c>
      <c r="N20" s="595" t="inlineStr">
        <is>
          <t>CDB</t>
        </is>
      </c>
      <c r="O20" s="595" t="n">
        <v>1</v>
      </c>
      <c r="P20" s="595" t="n"/>
      <c r="Q20" s="595" t="inlineStr">
        <is>
          <t>Permanent - Full Time</t>
        </is>
      </c>
      <c r="R20" s="597" t="n"/>
      <c r="S20" s="597" t="n"/>
      <c r="T20" s="598" t="n">
        <v>85000</v>
      </c>
      <c r="U20" s="729" t="n">
        <v>85000</v>
      </c>
      <c r="V20" s="601" t="n">
        <v>0.08</v>
      </c>
      <c r="W20" s="732" t="n">
        <v>0.055</v>
      </c>
      <c r="X20" s="732" t="n">
        <v>0.12</v>
      </c>
      <c r="Y20" s="733" t="n"/>
      <c r="Z20" s="732" t="n">
        <v>0.04</v>
      </c>
      <c r="AA20" s="731">
        <f>U20*(1+V20+W20+X20+Y20+Z20)</f>
        <v>110075.0</v>
      </c>
      <c r="AB20" s="606" t="n"/>
    </row>
    <row r="21">
      <c r="A21" s="590" t="n">
        <v>97592</v>
      </c>
      <c r="B21" s="591" t="inlineStr">
        <is>
          <t>Kevin Sheerin</t>
        </is>
      </c>
      <c r="C21" s="592" t="inlineStr">
        <is>
          <t>Cyber Architecture Lead</t>
        </is>
      </c>
      <c r="D21" s="591" t="inlineStr">
        <is>
          <t>James Byrne</t>
        </is>
      </c>
      <c r="E21" s="591" t="n"/>
      <c r="F21" s="591" t="inlineStr">
        <is>
          <t>Cyber, Risk &amp; Operations</t>
        </is>
      </c>
      <c r="G21" s="593" t="inlineStr">
        <is>
          <t>Cyber Strat &amp; Tech</t>
        </is>
      </c>
      <c r="H21" s="591" t="inlineStr">
        <is>
          <t>NA</t>
        </is>
      </c>
      <c r="I21" s="591" t="inlineStr">
        <is>
          <t>NA</t>
        </is>
      </c>
      <c r="J21" s="591" t="inlineStr">
        <is>
          <t>NA</t>
        </is>
      </c>
      <c r="K21" s="591" t="inlineStr">
        <is>
          <t>NA</t>
        </is>
      </c>
      <c r="L21" s="591" t="n"/>
      <c r="M21" s="594" t="inlineStr">
        <is>
          <t>Australia</t>
        </is>
      </c>
      <c r="N21" s="595" t="inlineStr">
        <is>
          <t>CIC</t>
        </is>
      </c>
      <c r="O21" s="595" t="n">
        <v>1</v>
      </c>
      <c r="P21" s="595" t="n"/>
      <c r="Q21" s="595" t="inlineStr">
        <is>
          <t>Permanent - Full Time</t>
        </is>
      </c>
      <c r="R21" s="597" t="n"/>
      <c r="S21" s="597" t="n"/>
      <c r="T21" s="598" t="n">
        <v>213470</v>
      </c>
      <c r="U21" s="729" t="n">
        <v>213470</v>
      </c>
      <c r="V21" s="601" t="n">
        <v>0.12</v>
      </c>
      <c r="W21" s="732" t="n">
        <v>0.055</v>
      </c>
      <c r="X21" s="732" t="n">
        <v>0.12</v>
      </c>
      <c r="Y21" s="733" t="n"/>
      <c r="Z21" s="732" t="n">
        <v>0.04</v>
      </c>
      <c r="AA21" s="731">
        <f>U21*(1+V21+W21+X21+Y21+Z21)</f>
        <v>284982.45</v>
      </c>
      <c r="AB21" s="606" t="n"/>
    </row>
    <row r="22">
      <c r="A22" s="590" t="n">
        <v>99999101673</v>
      </c>
      <c r="B22" s="591" t="inlineStr">
        <is>
          <t>Lisa Ng</t>
        </is>
      </c>
      <c r="C22" s="592" t="inlineStr">
        <is>
          <t>Cyber Security Analyst</t>
        </is>
      </c>
      <c r="D22" s="591" t="inlineStr">
        <is>
          <t>Steven Atcheson</t>
        </is>
      </c>
      <c r="E22" s="591" t="n"/>
      <c r="F22" s="591" t="inlineStr">
        <is>
          <t>Cyber, Risk &amp; Operations</t>
        </is>
      </c>
      <c r="G22" s="593" t="inlineStr">
        <is>
          <t>Cyber Sec Ops</t>
        </is>
      </c>
      <c r="H22" s="591" t="inlineStr">
        <is>
          <t>NA</t>
        </is>
      </c>
      <c r="I22" s="591" t="inlineStr">
        <is>
          <t>NA</t>
        </is>
      </c>
      <c r="J22" s="591" t="inlineStr">
        <is>
          <t>NA</t>
        </is>
      </c>
      <c r="K22" s="591" t="inlineStr">
        <is>
          <t>NA</t>
        </is>
      </c>
      <c r="L22" s="591" t="n"/>
      <c r="M22" s="594" t="inlineStr">
        <is>
          <t>NZ</t>
        </is>
      </c>
      <c r="N22" s="595" t="inlineStr">
        <is>
          <t>CIA</t>
        </is>
      </c>
      <c r="O22" s="596" t="n">
        <v>0.8</v>
      </c>
      <c r="P22" s="595" t="n"/>
      <c r="Q22" s="596" t="inlineStr">
        <is>
          <t>Permanent - Part Time</t>
        </is>
      </c>
      <c r="R22" s="597" t="n"/>
      <c r="S22" s="597" t="n"/>
      <c r="T22" s="598" t="n">
        <v>128040</v>
      </c>
      <c r="U22" s="729" t="n">
        <v>117796.8</v>
      </c>
      <c r="V22" s="600" t="n">
        <v>0.15</v>
      </c>
      <c r="W22" s="597" t="n"/>
      <c r="X22" s="601" t="n">
        <v>0.05</v>
      </c>
      <c r="Y22" s="730" t="n">
        <v>2910</v>
      </c>
      <c r="Z22" s="601" t="n">
        <v>0.03</v>
      </c>
      <c r="AA22" s="731">
        <f>U22*(1+V22+X22+Z22)+Y22</f>
        <v>147800.064</v>
      </c>
      <c r="AB22" s="589" t="n">
        <v>113576</v>
      </c>
    </row>
    <row r="23">
      <c r="A23" s="590" t="n">
        <v>96830</v>
      </c>
      <c r="B23" s="591" t="inlineStr">
        <is>
          <t>Lynda Niewidok</t>
        </is>
      </c>
      <c r="C23" s="592" t="inlineStr">
        <is>
          <t>Lead – Service Desk</t>
        </is>
      </c>
      <c r="D23" s="591" t="inlineStr">
        <is>
          <t>Chris Rojas</t>
        </is>
      </c>
      <c r="E23" s="591" t="inlineStr">
        <is>
          <t xml:space="preserve">CISO </t>
        </is>
      </c>
      <c r="F23" s="591" t="inlineStr">
        <is>
          <t>Cyber, Risk &amp; Operations</t>
        </is>
      </c>
      <c r="G23" s="593" t="inlineStr">
        <is>
          <t>Service Op &amp; Assurance</t>
        </is>
      </c>
      <c r="H23" s="591" t="inlineStr">
        <is>
          <t>NA</t>
        </is>
      </c>
      <c r="I23" s="591" t="inlineStr">
        <is>
          <t>NA</t>
        </is>
      </c>
      <c r="J23" s="591" t="inlineStr">
        <is>
          <t>NA</t>
        </is>
      </c>
      <c r="K23" s="591" t="inlineStr">
        <is>
          <t>NA</t>
        </is>
      </c>
      <c r="L23" s="591" t="n"/>
      <c r="M23" s="594" t="inlineStr">
        <is>
          <t>Australia</t>
        </is>
      </c>
      <c r="N23" s="595" t="inlineStr">
        <is>
          <t>CIB</t>
        </is>
      </c>
      <c r="O23" s="595" t="n">
        <v>1</v>
      </c>
      <c r="P23" s="595" t="n"/>
      <c r="Q23" s="595" t="inlineStr">
        <is>
          <t>Permanent - Full Time</t>
        </is>
      </c>
      <c r="R23" s="597" t="n"/>
      <c r="S23" s="597" t="n"/>
      <c r="T23" s="598" t="n">
        <v>152800</v>
      </c>
      <c r="U23" s="729" t="n">
        <v>152800</v>
      </c>
      <c r="V23" s="601" t="n">
        <v>0.12</v>
      </c>
      <c r="W23" s="732" t="n">
        <v>0.055</v>
      </c>
      <c r="X23" s="732" t="n">
        <v>0.12</v>
      </c>
      <c r="Y23" s="733" t="n"/>
      <c r="Z23" s="732" t="n">
        <v>0.04</v>
      </c>
      <c r="AA23" s="731">
        <f>U23*(1+V23+W23+X23+Y23+Z23)</f>
        <v>203988.0</v>
      </c>
      <c r="AB23" s="606" t="n"/>
    </row>
    <row r="24">
      <c r="A24" s="590" t="n">
        <v>92681</v>
      </c>
      <c r="B24" s="591" t="inlineStr">
        <is>
          <t>Mark Pearson</t>
        </is>
      </c>
      <c r="C24" s="592" t="inlineStr">
        <is>
          <t>Lead – Technology Support</t>
        </is>
      </c>
      <c r="D24" s="591" t="inlineStr">
        <is>
          <t>Chris Rojas</t>
        </is>
      </c>
      <c r="E24" s="591" t="inlineStr">
        <is>
          <t xml:space="preserve">Manager Service Management &amp; Major Incident Management Lead </t>
        </is>
      </c>
      <c r="F24" s="591" t="inlineStr">
        <is>
          <t>Cyber, Risk &amp; Operations</t>
        </is>
      </c>
      <c r="G24" s="593" t="inlineStr">
        <is>
          <t>Service Op &amp; Assurance</t>
        </is>
      </c>
      <c r="H24" s="591" t="inlineStr">
        <is>
          <t>NA</t>
        </is>
      </c>
      <c r="I24" s="591" t="inlineStr">
        <is>
          <t>NA</t>
        </is>
      </c>
      <c r="J24" s="591" t="inlineStr">
        <is>
          <t>NA</t>
        </is>
      </c>
      <c r="K24" s="591" t="inlineStr">
        <is>
          <t>NA</t>
        </is>
      </c>
      <c r="L24" s="591" t="n"/>
      <c r="M24" s="594" t="inlineStr">
        <is>
          <t>Australia</t>
        </is>
      </c>
      <c r="N24" s="595" t="inlineStr">
        <is>
          <t>CIB</t>
        </is>
      </c>
      <c r="O24" s="595" t="n">
        <v>1</v>
      </c>
      <c r="P24" s="595" t="n"/>
      <c r="Q24" s="595" t="inlineStr">
        <is>
          <t>Permanent - Full Time</t>
        </is>
      </c>
      <c r="R24" s="597" t="n"/>
      <c r="S24" s="597" t="n"/>
      <c r="T24" s="598" t="n">
        <v>152690</v>
      </c>
      <c r="U24" s="729" t="n">
        <v>152690</v>
      </c>
      <c r="V24" s="601" t="n">
        <v>0.12</v>
      </c>
      <c r="W24" s="732" t="n">
        <v>0.055</v>
      </c>
      <c r="X24" s="732" t="n">
        <v>0.12</v>
      </c>
      <c r="Y24" s="733" t="n"/>
      <c r="Z24" s="732" t="n">
        <v>0.04</v>
      </c>
      <c r="AA24" s="731">
        <f>U24*(1+V24+W24+X24+Y24+Z24)</f>
        <v>203841.15</v>
      </c>
      <c r="AB24" s="606" t="n"/>
    </row>
    <row r="25">
      <c r="A25" s="590" t="n">
        <v>90096</v>
      </c>
      <c r="B25" s="591" t="inlineStr">
        <is>
          <t>Mary-Grace Rivera</t>
        </is>
      </c>
      <c r="C25" s="592" t="inlineStr">
        <is>
          <t>Lead, Service Management</t>
        </is>
      </c>
      <c r="D25" s="617" t="inlineStr">
        <is>
          <t>Vacant</t>
        </is>
      </c>
      <c r="E25" s="591" t="inlineStr">
        <is>
          <t>Darren Koller</t>
        </is>
      </c>
      <c r="F25" s="591" t="inlineStr">
        <is>
          <t>Cyber, Risk &amp; Operations</t>
        </is>
      </c>
      <c r="G25" s="593" t="inlineStr">
        <is>
          <t>Service Op &amp; Assurance</t>
        </is>
      </c>
      <c r="H25" s="591" t="inlineStr">
        <is>
          <t>NA</t>
        </is>
      </c>
      <c r="I25" s="591" t="inlineStr">
        <is>
          <t>NA</t>
        </is>
      </c>
      <c r="J25" s="591" t="inlineStr">
        <is>
          <t>NA</t>
        </is>
      </c>
      <c r="K25" s="591" t="inlineStr">
        <is>
          <t>NA</t>
        </is>
      </c>
      <c r="L25" s="591" t="n"/>
      <c r="M25" s="594" t="inlineStr">
        <is>
          <t>Australia</t>
        </is>
      </c>
      <c r="N25" s="595" t="inlineStr">
        <is>
          <t>CIA</t>
        </is>
      </c>
      <c r="O25" s="595" t="n">
        <v>1</v>
      </c>
      <c r="P25" s="595" t="n"/>
      <c r="Q25" s="595" t="inlineStr">
        <is>
          <t>Permanent - Full Time</t>
        </is>
      </c>
      <c r="R25" s="597" t="n"/>
      <c r="S25" s="597" t="n"/>
      <c r="T25" s="598" t="n">
        <v>137620</v>
      </c>
      <c r="U25" s="729" t="n">
        <v>137620</v>
      </c>
      <c r="V25" s="601" t="n">
        <v>0.1</v>
      </c>
      <c r="W25" s="732" t="n">
        <v>0.055</v>
      </c>
      <c r="X25" s="732" t="n">
        <v>0.12</v>
      </c>
      <c r="Y25" s="733" t="n"/>
      <c r="Z25" s="732" t="n">
        <v>0.04</v>
      </c>
      <c r="AA25" s="731">
        <f>U25*(1+V25+W25+X25+Y25+Z25)</f>
        <v>180970.3</v>
      </c>
      <c r="AB25" s="606" t="n"/>
    </row>
    <row r="26">
      <c r="A26" s="590" t="n">
        <v>113900</v>
      </c>
      <c r="B26" s="591" t="inlineStr">
        <is>
          <t>Mick Collins</t>
        </is>
      </c>
      <c r="C26" s="592" t="inlineStr">
        <is>
          <t>Manager, Service Performance &amp; Assurance</t>
        </is>
      </c>
      <c r="D26" s="591" t="inlineStr">
        <is>
          <t>Rajini Onteddu Reddy</t>
        </is>
      </c>
      <c r="E26" s="591" t="n"/>
      <c r="F26" s="591" t="inlineStr">
        <is>
          <t>Cyber, Risk &amp; Operations</t>
        </is>
      </c>
      <c r="G26" s="593" t="inlineStr">
        <is>
          <t>Service Op &amp; Assurance</t>
        </is>
      </c>
      <c r="H26" s="591" t="inlineStr">
        <is>
          <t>NA</t>
        </is>
      </c>
      <c r="I26" s="591" t="inlineStr">
        <is>
          <t>NA</t>
        </is>
      </c>
      <c r="J26" s="591" t="inlineStr">
        <is>
          <t>NA</t>
        </is>
      </c>
      <c r="K26" s="591" t="inlineStr">
        <is>
          <t>NA</t>
        </is>
      </c>
      <c r="L26" s="591" t="n"/>
      <c r="M26" s="594" t="inlineStr">
        <is>
          <t>Australia</t>
        </is>
      </c>
      <c r="N26" s="595" t="inlineStr">
        <is>
          <t>CSB</t>
        </is>
      </c>
      <c r="O26" s="595" t="n">
        <v>1</v>
      </c>
      <c r="P26" s="595" t="n"/>
      <c r="Q26" s="595" t="inlineStr">
        <is>
          <t>Permanent - Full Time</t>
        </is>
      </c>
      <c r="R26" s="597" t="n"/>
      <c r="S26" s="597" t="n"/>
      <c r="T26" s="598" t="n">
        <v>200790</v>
      </c>
      <c r="U26" s="729" t="n">
        <v>200790</v>
      </c>
      <c r="V26" s="601" t="n">
        <v>0.14</v>
      </c>
      <c r="W26" s="732" t="n">
        <v>0.055</v>
      </c>
      <c r="X26" s="732" t="n">
        <v>0.12</v>
      </c>
      <c r="Y26" s="733" t="n"/>
      <c r="Z26" s="732" t="n">
        <v>0.04</v>
      </c>
      <c r="AA26" s="731">
        <f>U26*(1+V26+W26+X26+Y26+Z26)</f>
        <v>272070.45</v>
      </c>
      <c r="AB26" s="606" t="n"/>
    </row>
    <row r="27">
      <c r="A27" s="590" t="n">
        <v>97425</v>
      </c>
      <c r="B27" s="591" t="inlineStr">
        <is>
          <t>Nischal Bhusal</t>
        </is>
      </c>
      <c r="C27" s="592" t="inlineStr">
        <is>
          <t>Cyber Security Analyst</t>
        </is>
      </c>
      <c r="D27" s="591" t="inlineStr">
        <is>
          <t>Steven Atcheson</t>
        </is>
      </c>
      <c r="E27" s="591" t="n"/>
      <c r="F27" s="591" t="inlineStr">
        <is>
          <t>Cyber, Risk &amp; Operations</t>
        </is>
      </c>
      <c r="G27" s="593" t="inlineStr">
        <is>
          <t>Cyber Sec Ops</t>
        </is>
      </c>
      <c r="H27" s="591" t="inlineStr">
        <is>
          <t>NA</t>
        </is>
      </c>
      <c r="I27" s="591" t="inlineStr">
        <is>
          <t>NA</t>
        </is>
      </c>
      <c r="J27" s="591" t="inlineStr">
        <is>
          <t>NA</t>
        </is>
      </c>
      <c r="K27" s="591" t="inlineStr">
        <is>
          <t>NA</t>
        </is>
      </c>
      <c r="L27" s="591" t="n"/>
      <c r="M27" s="594" t="inlineStr">
        <is>
          <t>Australia</t>
        </is>
      </c>
      <c r="N27" s="595" t="inlineStr">
        <is>
          <t>CIB</t>
        </is>
      </c>
      <c r="O27" s="595" t="n">
        <v>1</v>
      </c>
      <c r="P27" s="595" t="n"/>
      <c r="Q27" s="595" t="inlineStr">
        <is>
          <t>Permanent - Full Time</t>
        </is>
      </c>
      <c r="R27" s="597" t="n"/>
      <c r="S27" s="597" t="n"/>
      <c r="T27" s="598" t="n">
        <v>161520</v>
      </c>
      <c r="U27" s="729" t="n">
        <v>161520</v>
      </c>
      <c r="V27" s="601" t="n">
        <v>0.12</v>
      </c>
      <c r="W27" s="732" t="n">
        <v>0.055</v>
      </c>
      <c r="X27" s="732" t="n">
        <v>0.12</v>
      </c>
      <c r="Y27" s="733" t="n"/>
      <c r="Z27" s="732" t="n">
        <v>0.04</v>
      </c>
      <c r="AA27" s="731">
        <f>U27*(1+V27+W27+X27+Y27+Z27)</f>
        <v>215629.19999999998</v>
      </c>
      <c r="AB27" s="606" t="n"/>
    </row>
    <row r="28">
      <c r="A28" s="590" t="n">
        <v>109491</v>
      </c>
      <c r="B28" s="591" t="inlineStr">
        <is>
          <t>Pooja Kuperkar</t>
        </is>
      </c>
      <c r="C28" s="592" t="inlineStr">
        <is>
          <t>Cyber GRC Analyst</t>
        </is>
      </c>
      <c r="D28" s="591" t="inlineStr">
        <is>
          <t>Diya Thomas</t>
        </is>
      </c>
      <c r="E28" s="591" t="n"/>
      <c r="F28" s="591" t="inlineStr">
        <is>
          <t>Cyber, Risk &amp; Operations</t>
        </is>
      </c>
      <c r="G28" s="593" t="inlineStr">
        <is>
          <t>Cyber GRC</t>
        </is>
      </c>
      <c r="H28" s="591" t="inlineStr">
        <is>
          <t>NA</t>
        </is>
      </c>
      <c r="I28" s="591" t="inlineStr">
        <is>
          <t>NA</t>
        </is>
      </c>
      <c r="J28" s="591" t="inlineStr">
        <is>
          <t>NA</t>
        </is>
      </c>
      <c r="K28" s="591" t="inlineStr">
        <is>
          <t>NA</t>
        </is>
      </c>
      <c r="L28" s="591" t="n"/>
      <c r="M28" s="594" t="inlineStr">
        <is>
          <t>Australia</t>
        </is>
      </c>
      <c r="N28" s="595" t="inlineStr">
        <is>
          <t>CIB</t>
        </is>
      </c>
      <c r="O28" s="595" t="n">
        <v>1</v>
      </c>
      <c r="P28" s="595" t="n"/>
      <c r="Q28" s="595" t="inlineStr">
        <is>
          <t>Permanent - Full Time</t>
        </is>
      </c>
      <c r="R28" s="597" t="n"/>
      <c r="S28" s="597" t="n"/>
      <c r="T28" s="598" t="n">
        <v>152390</v>
      </c>
      <c r="U28" s="729" t="n">
        <v>152390</v>
      </c>
      <c r="V28" s="601" t="n">
        <v>0.12</v>
      </c>
      <c r="W28" s="732" t="n">
        <v>0.055</v>
      </c>
      <c r="X28" s="732" t="n">
        <v>0.12</v>
      </c>
      <c r="Y28" s="733" t="n"/>
      <c r="Z28" s="732" t="n">
        <v>0.04</v>
      </c>
      <c r="AA28" s="731">
        <f>U28*(1+V28+W28+X28+Y28+Z28)</f>
        <v>203440.65</v>
      </c>
      <c r="AB28" s="606" t="n"/>
    </row>
    <row r="29">
      <c r="A29" s="590" t="n">
        <v>114683</v>
      </c>
      <c r="B29" s="591" t="inlineStr">
        <is>
          <t>Prashanth Chandran</t>
        </is>
      </c>
      <c r="C29" s="592" t="inlineStr">
        <is>
          <t>Senior Cyber GRC Specialist</t>
        </is>
      </c>
      <c r="D29" s="591" t="inlineStr">
        <is>
          <t>Diya Thomas</t>
        </is>
      </c>
      <c r="E29" s="591" t="inlineStr">
        <is>
          <t>Manager Cyber Security GRC</t>
        </is>
      </c>
      <c r="F29" s="591" t="inlineStr">
        <is>
          <t>Cyber, Risk &amp; Operations</t>
        </is>
      </c>
      <c r="G29" s="593" t="inlineStr">
        <is>
          <t>Cyber GRC</t>
        </is>
      </c>
      <c r="H29" s="591" t="inlineStr">
        <is>
          <t>NA</t>
        </is>
      </c>
      <c r="I29" s="591" t="inlineStr">
        <is>
          <t>NA</t>
        </is>
      </c>
      <c r="J29" s="591" t="inlineStr">
        <is>
          <t>NA</t>
        </is>
      </c>
      <c r="K29" s="591" t="inlineStr">
        <is>
          <t>NA</t>
        </is>
      </c>
      <c r="L29" s="591" t="n"/>
      <c r="M29" s="594" t="inlineStr">
        <is>
          <t>Australia</t>
        </is>
      </c>
      <c r="N29" s="595" t="inlineStr">
        <is>
          <t>CIC</t>
        </is>
      </c>
      <c r="O29" s="595" t="n">
        <v>1</v>
      </c>
      <c r="P29" s="595" t="n"/>
      <c r="Q29" s="595" t="inlineStr">
        <is>
          <t>Permanent - Full Time</t>
        </is>
      </c>
      <c r="R29" s="597" t="n"/>
      <c r="S29" s="597" t="n"/>
      <c r="T29" s="598" t="n">
        <v>165000</v>
      </c>
      <c r="U29" s="729" t="n">
        <v>165000</v>
      </c>
      <c r="V29" s="601" t="n">
        <v>0.12</v>
      </c>
      <c r="W29" s="732" t="n">
        <v>0.055</v>
      </c>
      <c r="X29" s="732" t="n">
        <v>0.12</v>
      </c>
      <c r="Y29" s="733" t="n"/>
      <c r="Z29" s="732" t="n">
        <v>0.04</v>
      </c>
      <c r="AA29" s="731">
        <f>U29*(1+V29+W29+X29+Y29+Z29)</f>
        <v>220275.0</v>
      </c>
      <c r="AB29" s="606" t="n"/>
    </row>
    <row r="30">
      <c r="A30" s="590" t="n">
        <v>104966</v>
      </c>
      <c r="B30" s="591" t="inlineStr">
        <is>
          <t>Rahul Sahni</t>
        </is>
      </c>
      <c r="C30" s="592" t="inlineStr">
        <is>
          <t>Cyber Security Architect</t>
        </is>
      </c>
      <c r="D30" s="591" t="inlineStr">
        <is>
          <t>Kevin Sheerin</t>
        </is>
      </c>
      <c r="E30" s="591" t="n"/>
      <c r="F30" s="591" t="inlineStr">
        <is>
          <t>Cyber, Risk &amp; Operations</t>
        </is>
      </c>
      <c r="G30" s="593" t="inlineStr">
        <is>
          <t>Cyber Strat &amp; Tech</t>
        </is>
      </c>
      <c r="H30" s="591" t="inlineStr">
        <is>
          <t>NA</t>
        </is>
      </c>
      <c r="I30" s="591" t="inlineStr">
        <is>
          <t>NA</t>
        </is>
      </c>
      <c r="J30" s="591" t="inlineStr">
        <is>
          <t>NA</t>
        </is>
      </c>
      <c r="K30" s="591" t="inlineStr">
        <is>
          <t>NA</t>
        </is>
      </c>
      <c r="L30" s="591" t="n"/>
      <c r="M30" s="594" t="inlineStr">
        <is>
          <t>Australia</t>
        </is>
      </c>
      <c r="N30" s="595" t="inlineStr">
        <is>
          <t>CIC</t>
        </is>
      </c>
      <c r="O30" s="595" t="n">
        <v>1</v>
      </c>
      <c r="P30" s="595" t="n"/>
      <c r="Q30" s="595" t="inlineStr">
        <is>
          <t>Permanent - Full Time</t>
        </is>
      </c>
      <c r="R30" s="597" t="n"/>
      <c r="S30" s="597" t="n"/>
      <c r="T30" s="598" t="n">
        <v>169500</v>
      </c>
      <c r="U30" s="729" t="n">
        <v>169500</v>
      </c>
      <c r="V30" s="601" t="n">
        <v>0.12</v>
      </c>
      <c r="W30" s="732" t="n">
        <v>0.055</v>
      </c>
      <c r="X30" s="732" t="n">
        <v>0.12</v>
      </c>
      <c r="Y30" s="733" t="n"/>
      <c r="Z30" s="732" t="n">
        <v>0.04</v>
      </c>
      <c r="AA30" s="731">
        <f>U30*(1+V30+W30+X30+Y30+Z30)</f>
        <v>226282.5</v>
      </c>
      <c r="AB30" s="606" t="n"/>
    </row>
    <row r="31">
      <c r="A31" s="590" t="n">
        <v>105647</v>
      </c>
      <c r="B31" s="591" t="inlineStr">
        <is>
          <t>Rajini Onteddu Reddy</t>
        </is>
      </c>
      <c r="C31" s="592" t="inlineStr">
        <is>
          <t>Head of Service Operations &amp; Assurance</t>
        </is>
      </c>
      <c r="D31" s="591" t="inlineStr">
        <is>
          <t>Frances Bouzo</t>
        </is>
      </c>
      <c r="E31" s="591" t="inlineStr">
        <is>
          <t xml:space="preserve">Manager Service Management &amp; Major Incident Management Lead </t>
        </is>
      </c>
      <c r="F31" s="591" t="inlineStr">
        <is>
          <t>Cyber, Risk &amp; Operations</t>
        </is>
      </c>
      <c r="G31" s="593" t="inlineStr">
        <is>
          <t>Service Op &amp; Assurance</t>
        </is>
      </c>
      <c r="H31" s="591" t="inlineStr">
        <is>
          <t>NA</t>
        </is>
      </c>
      <c r="I31" s="591" t="inlineStr">
        <is>
          <t>NA</t>
        </is>
      </c>
      <c r="J31" s="591" t="inlineStr">
        <is>
          <t>NA</t>
        </is>
      </c>
      <c r="K31" s="591" t="inlineStr">
        <is>
          <t>NA</t>
        </is>
      </c>
      <c r="L31" s="591" t="n"/>
      <c r="M31" s="594" t="inlineStr">
        <is>
          <t>Australia</t>
        </is>
      </c>
      <c r="N31" s="595" t="inlineStr">
        <is>
          <t>CSC</t>
        </is>
      </c>
      <c r="O31" s="595" t="n">
        <v>1</v>
      </c>
      <c r="P31" s="595" t="n"/>
      <c r="Q31" s="595" t="inlineStr">
        <is>
          <t>Permanent - Full Time</t>
        </is>
      </c>
      <c r="R31" s="597" t="n"/>
      <c r="S31" s="597" t="n"/>
      <c r="T31" s="598" t="n">
        <v>283160</v>
      </c>
      <c r="U31" s="729" t="n">
        <v>283160</v>
      </c>
      <c r="V31" s="601" t="n">
        <v>0.2</v>
      </c>
      <c r="W31" s="732" t="n">
        <v>0.055</v>
      </c>
      <c r="X31" s="732" t="n">
        <v>0.12</v>
      </c>
      <c r="Y31" s="733" t="n"/>
      <c r="Z31" s="732" t="n">
        <v>0.04</v>
      </c>
      <c r="AA31" s="731">
        <f>U31*(1+V31+W31+X31+Y31+Z31)</f>
        <v>400671.4</v>
      </c>
      <c r="AB31" s="606" t="n"/>
    </row>
    <row r="32">
      <c r="A32" s="590" t="n">
        <v>116241</v>
      </c>
      <c r="B32" s="591" t="inlineStr">
        <is>
          <t>Raymond Cheung</t>
        </is>
      </c>
      <c r="C32" s="592" t="inlineStr">
        <is>
          <t>Engineer - IDAM</t>
        </is>
      </c>
      <c r="D32" s="591" t="inlineStr">
        <is>
          <t>Joe Nahma</t>
        </is>
      </c>
      <c r="E32" s="591" t="inlineStr">
        <is>
          <t xml:space="preserve">Head Cyber Strategy &amp; Technology </t>
        </is>
      </c>
      <c r="F32" s="591" t="inlineStr">
        <is>
          <t>Cyber, Risk &amp; Operations</t>
        </is>
      </c>
      <c r="G32" s="593" t="inlineStr">
        <is>
          <t>Cyber Strat &amp; Tech</t>
        </is>
      </c>
      <c r="H32" s="591" t="inlineStr">
        <is>
          <t>NA</t>
        </is>
      </c>
      <c r="I32" s="591" t="inlineStr">
        <is>
          <t>NA</t>
        </is>
      </c>
      <c r="J32" s="591" t="inlineStr">
        <is>
          <t>NA</t>
        </is>
      </c>
      <c r="K32" s="591" t="inlineStr">
        <is>
          <t>NA</t>
        </is>
      </c>
      <c r="L32" s="591" t="n"/>
      <c r="M32" s="594" t="inlineStr">
        <is>
          <t>Australia</t>
        </is>
      </c>
      <c r="N32" s="595" t="inlineStr">
        <is>
          <t>CIA</t>
        </is>
      </c>
      <c r="O32" s="595" t="n">
        <v>1</v>
      </c>
      <c r="P32" s="595" t="n"/>
      <c r="Q32" s="595" t="inlineStr">
        <is>
          <t>Permanent - Full Time</t>
        </is>
      </c>
      <c r="R32" s="597" t="n"/>
      <c r="S32" s="597" t="n"/>
      <c r="T32" s="598" t="n">
        <v>145000</v>
      </c>
      <c r="U32" s="729" t="n">
        <v>145000</v>
      </c>
      <c r="V32" s="601" t="n">
        <v>0.1</v>
      </c>
      <c r="W32" s="732" t="n">
        <v>0.055</v>
      </c>
      <c r="X32" s="732" t="n">
        <v>0.12</v>
      </c>
      <c r="Y32" s="733" t="n"/>
      <c r="Z32" s="732" t="n">
        <v>0.04</v>
      </c>
      <c r="AA32" s="731">
        <f>U32*(1+V32+W32+X32+Y32+Z32)</f>
        <v>190675.0</v>
      </c>
      <c r="AB32" s="606" t="n"/>
    </row>
    <row r="33">
      <c r="A33" s="590" t="n">
        <v>108728</v>
      </c>
      <c r="B33" s="591" t="inlineStr">
        <is>
          <t>Remya Pookat</t>
        </is>
      </c>
      <c r="C33" s="592" t="inlineStr">
        <is>
          <t>Lead – Change &amp; Release Management</t>
        </is>
      </c>
      <c r="D33" s="591" t="inlineStr">
        <is>
          <t>Darren Koller</t>
        </is>
      </c>
      <c r="E33" s="591" t="inlineStr">
        <is>
          <t>Manager Cyber Security GRC</t>
        </is>
      </c>
      <c r="F33" s="591" t="inlineStr">
        <is>
          <t>Cyber, Risk &amp; Operations</t>
        </is>
      </c>
      <c r="G33" s="593" t="inlineStr">
        <is>
          <t>Service Op &amp; Assurance</t>
        </is>
      </c>
      <c r="H33" s="591" t="inlineStr">
        <is>
          <t>NA</t>
        </is>
      </c>
      <c r="I33" s="591" t="inlineStr">
        <is>
          <t>NA</t>
        </is>
      </c>
      <c r="J33" s="591" t="inlineStr">
        <is>
          <t>NA</t>
        </is>
      </c>
      <c r="K33" s="591" t="inlineStr">
        <is>
          <t>NA</t>
        </is>
      </c>
      <c r="L33" s="591" t="n"/>
      <c r="M33" s="594" t="inlineStr">
        <is>
          <t>Australia</t>
        </is>
      </c>
      <c r="N33" s="595" t="inlineStr">
        <is>
          <t>CIB</t>
        </is>
      </c>
      <c r="O33" s="595" t="n">
        <v>1</v>
      </c>
      <c r="P33" s="595" t="n"/>
      <c r="Q33" s="595" t="inlineStr">
        <is>
          <t>Permanent - Full Time</t>
        </is>
      </c>
      <c r="R33" s="597" t="n"/>
      <c r="S33" s="597" t="n"/>
      <c r="T33" s="598" t="n">
        <v>165450</v>
      </c>
      <c r="U33" s="729" t="n">
        <v>165450</v>
      </c>
      <c r="V33" s="601" t="n">
        <v>0.12</v>
      </c>
      <c r="W33" s="732" t="n">
        <v>0.055</v>
      </c>
      <c r="X33" s="732" t="n">
        <v>0.12</v>
      </c>
      <c r="Y33" s="733" t="n"/>
      <c r="Z33" s="732" t="n">
        <v>0.04</v>
      </c>
      <c r="AA33" s="731">
        <f>U33*(1+V33+W33+X33+Y33+Z33)</f>
        <v>220875.75</v>
      </c>
      <c r="AB33" s="606" t="n"/>
    </row>
    <row r="34">
      <c r="A34" s="590" t="n">
        <v>104555</v>
      </c>
      <c r="B34" s="591" t="inlineStr">
        <is>
          <t>Ritika Salaria</t>
        </is>
      </c>
      <c r="C34" s="592" t="inlineStr">
        <is>
          <t>Configuration Analyst</t>
        </is>
      </c>
      <c r="D34" s="591" t="inlineStr">
        <is>
          <t>Lead – Asset &amp; Configuration (Vacant)</t>
        </is>
      </c>
      <c r="E34" s="591" t="n"/>
      <c r="F34" s="591" t="inlineStr">
        <is>
          <t>Cyber, Risk &amp; Operations</t>
        </is>
      </c>
      <c r="G34" s="593" t="inlineStr">
        <is>
          <t>Service Op &amp; Assurance</t>
        </is>
      </c>
      <c r="H34" s="589" t="inlineStr">
        <is>
          <t>NA</t>
        </is>
      </c>
      <c r="I34" s="591" t="inlineStr">
        <is>
          <t>NA</t>
        </is>
      </c>
      <c r="J34" s="591" t="inlineStr">
        <is>
          <t>NA</t>
        </is>
      </c>
      <c r="K34" s="591" t="inlineStr">
        <is>
          <t>NA</t>
        </is>
      </c>
      <c r="L34" s="591" t="n"/>
      <c r="M34" s="594" t="inlineStr">
        <is>
          <t>Australia</t>
        </is>
      </c>
      <c r="N34" s="595" t="inlineStr">
        <is>
          <t>CIA</t>
        </is>
      </c>
      <c r="O34" s="595" t="n">
        <v>1</v>
      </c>
      <c r="P34" s="595" t="n"/>
      <c r="Q34" s="595" t="inlineStr">
        <is>
          <t>Permanent - Full Time</t>
        </is>
      </c>
      <c r="R34" s="597" t="n"/>
      <c r="S34" s="597" t="n"/>
      <c r="T34" s="598" t="n">
        <v>131640</v>
      </c>
      <c r="U34" s="729" t="n">
        <v>131640</v>
      </c>
      <c r="V34" s="601" t="n">
        <v>0.1</v>
      </c>
      <c r="W34" s="732" t="n">
        <v>0.055</v>
      </c>
      <c r="X34" s="732" t="n">
        <v>0.12</v>
      </c>
      <c r="Y34" s="733" t="n"/>
      <c r="Z34" s="732" t="n">
        <v>0.04</v>
      </c>
      <c r="AA34" s="731">
        <f>U34*(1+V34+W34+X34+Y34+Z34)</f>
        <v>173106.6</v>
      </c>
      <c r="AB34" s="606" t="n"/>
    </row>
    <row r="35">
      <c r="A35" s="590" t="n">
        <v>99999101321</v>
      </c>
      <c r="B35" s="591" t="inlineStr">
        <is>
          <t>Sameer Pattanaik</t>
        </is>
      </c>
      <c r="C35" s="592" t="inlineStr">
        <is>
          <t>Cyber Security Operations Lead</t>
        </is>
      </c>
      <c r="D35" s="591" t="inlineStr">
        <is>
          <t>Steven Atcheson</t>
        </is>
      </c>
      <c r="E35" s="591" t="n"/>
      <c r="F35" s="591" t="inlineStr">
        <is>
          <t>Cyber, Risk &amp; Operations</t>
        </is>
      </c>
      <c r="G35" s="593" t="inlineStr">
        <is>
          <t>Cyber Sec Ops</t>
        </is>
      </c>
      <c r="H35" s="591" t="inlineStr">
        <is>
          <t>NA</t>
        </is>
      </c>
      <c r="I35" s="591" t="inlineStr">
        <is>
          <t>NA</t>
        </is>
      </c>
      <c r="J35" s="591" t="inlineStr">
        <is>
          <t>NA</t>
        </is>
      </c>
      <c r="K35" s="591" t="inlineStr">
        <is>
          <t>NA</t>
        </is>
      </c>
      <c r="L35" s="591" t="n"/>
      <c r="M35" s="594" t="inlineStr">
        <is>
          <t>NZ</t>
        </is>
      </c>
      <c r="N35" s="595" t="inlineStr">
        <is>
          <t>CIC</t>
        </is>
      </c>
      <c r="O35" s="596" t="n">
        <v>1</v>
      </c>
      <c r="P35" s="595" t="n"/>
      <c r="Q35" s="596" t="inlineStr">
        <is>
          <t>Permanent - Full Time</t>
        </is>
      </c>
      <c r="R35" s="597" t="n"/>
      <c r="S35" s="597" t="n"/>
      <c r="T35" s="598" t="n">
        <v>185550</v>
      </c>
      <c r="U35" s="729" t="n">
        <v>170706</v>
      </c>
      <c r="V35" s="600" t="n">
        <v>0.15</v>
      </c>
      <c r="W35" s="597" t="n"/>
      <c r="X35" s="601" t="n">
        <v>0.05</v>
      </c>
      <c r="Y35" s="730" t="n">
        <v>2910</v>
      </c>
      <c r="Z35" s="601" t="n">
        <v>0.03</v>
      </c>
      <c r="AA35" s="731">
        <f>U35*(1+V35+X35+Z35)+Y35</f>
        <v>212878.38</v>
      </c>
      <c r="AB35" s="589" t="n">
        <v>113609</v>
      </c>
    </row>
    <row r="36">
      <c r="A36" s="590" t="n">
        <v>99999101346</v>
      </c>
      <c r="B36" s="591" t="inlineStr">
        <is>
          <t>Shomiya Shayal</t>
        </is>
      </c>
      <c r="C36" s="592" t="inlineStr">
        <is>
          <t>Risk &amp; Resilience Lead</t>
        </is>
      </c>
      <c r="D36" s="591" t="inlineStr">
        <is>
          <t>Brian Gates</t>
        </is>
      </c>
      <c r="E36" s="591" t="inlineStr">
        <is>
          <t xml:space="preserve">Manager Risk &amp; Resilience </t>
        </is>
      </c>
      <c r="F36" s="591" t="inlineStr">
        <is>
          <t>Cyber, Risk &amp; Operations</t>
        </is>
      </c>
      <c r="G36" s="593" t="inlineStr">
        <is>
          <t>Cyber Risk</t>
        </is>
      </c>
      <c r="H36" s="591" t="inlineStr">
        <is>
          <t>NA</t>
        </is>
      </c>
      <c r="I36" s="591" t="inlineStr">
        <is>
          <t>NA</t>
        </is>
      </c>
      <c r="J36" s="591" t="inlineStr">
        <is>
          <t>NA</t>
        </is>
      </c>
      <c r="K36" s="591" t="inlineStr">
        <is>
          <t>NA</t>
        </is>
      </c>
      <c r="L36" s="591" t="n"/>
      <c r="M36" s="594" t="inlineStr">
        <is>
          <t>NZ</t>
        </is>
      </c>
      <c r="N36" s="595" t="inlineStr">
        <is>
          <t>CIC</t>
        </is>
      </c>
      <c r="O36" s="596" t="n">
        <v>1</v>
      </c>
      <c r="P36" s="595" t="n"/>
      <c r="Q36" s="596" t="inlineStr">
        <is>
          <t>Permanent - Full Time</t>
        </is>
      </c>
      <c r="R36" s="597" t="n"/>
      <c r="S36" s="597" t="n"/>
      <c r="T36" s="598" t="n">
        <v>164020</v>
      </c>
      <c r="U36" s="729" t="n">
        <v>150898.4</v>
      </c>
      <c r="V36" s="600" t="n">
        <v>0.15</v>
      </c>
      <c r="W36" s="597" t="n"/>
      <c r="X36" s="601" t="n">
        <v>0.05</v>
      </c>
      <c r="Y36" s="730" t="n">
        <v>2910</v>
      </c>
      <c r="Z36" s="601" t="n">
        <v>0.03</v>
      </c>
      <c r="AA36" s="731">
        <f>U36*(1+V36+X36+Z36)+Y36</f>
        <v>188515.03199999998</v>
      </c>
      <c r="AB36" s="589" t="n">
        <v>113615</v>
      </c>
    </row>
    <row r="37">
      <c r="A37" s="590" t="n">
        <v>104805</v>
      </c>
      <c r="B37" s="591" t="inlineStr">
        <is>
          <t>Shruti Manchanda</t>
        </is>
      </c>
      <c r="C37" s="592" t="inlineStr">
        <is>
          <t>Cyber GRC Analyst</t>
        </is>
      </c>
      <c r="D37" s="591" t="inlineStr">
        <is>
          <t>Diya Thomas</t>
        </is>
      </c>
      <c r="E37" s="591" t="n"/>
      <c r="F37" s="591" t="inlineStr">
        <is>
          <t>Cyber, Risk &amp; Operations</t>
        </is>
      </c>
      <c r="G37" s="593" t="inlineStr">
        <is>
          <t>Cyber GRC</t>
        </is>
      </c>
      <c r="H37" s="591" t="inlineStr">
        <is>
          <t>NA</t>
        </is>
      </c>
      <c r="I37" s="591" t="inlineStr">
        <is>
          <t>NA</t>
        </is>
      </c>
      <c r="J37" s="591" t="inlineStr">
        <is>
          <t>NA</t>
        </is>
      </c>
      <c r="K37" s="591" t="inlineStr">
        <is>
          <t>NA</t>
        </is>
      </c>
      <c r="L37" s="591" t="n"/>
      <c r="M37" s="594" t="inlineStr">
        <is>
          <t>Australia</t>
        </is>
      </c>
      <c r="N37" s="595" t="inlineStr">
        <is>
          <t>CIB</t>
        </is>
      </c>
      <c r="O37" s="595" t="n">
        <v>1</v>
      </c>
      <c r="P37" s="595" t="n"/>
      <c r="Q37" s="595" t="inlineStr">
        <is>
          <t>Permanent - Full Time</t>
        </is>
      </c>
      <c r="R37" s="597" t="n"/>
      <c r="S37" s="597" t="n"/>
      <c r="T37" s="598" t="n">
        <v>171450</v>
      </c>
      <c r="U37" s="729" t="n">
        <v>171450</v>
      </c>
      <c r="V37" s="601" t="n">
        <v>0.12</v>
      </c>
      <c r="W37" s="732" t="n">
        <v>0.055</v>
      </c>
      <c r="X37" s="732" t="n">
        <v>0.12</v>
      </c>
      <c r="Y37" s="733" t="n"/>
      <c r="Z37" s="732" t="n">
        <v>0.04</v>
      </c>
      <c r="AA37" s="731">
        <f>U37*(1+V37+W37+X37+Y37+Z37)</f>
        <v>228885.75</v>
      </c>
      <c r="AB37" s="606" t="n"/>
    </row>
    <row r="38">
      <c r="A38" s="590" t="n">
        <v>99999100770</v>
      </c>
      <c r="B38" s="591" t="inlineStr">
        <is>
          <t>Spoilagi Bhutwala</t>
        </is>
      </c>
      <c r="C38" s="592" t="inlineStr">
        <is>
          <t>Tech Support Technician</t>
        </is>
      </c>
      <c r="D38" s="591" t="inlineStr">
        <is>
          <t>Mark Pearson</t>
        </is>
      </c>
      <c r="E38" s="591" t="inlineStr">
        <is>
          <t xml:space="preserve">Lead Technology Support </t>
        </is>
      </c>
      <c r="F38" s="591" t="inlineStr">
        <is>
          <t>Cyber, Risk &amp; Operations</t>
        </is>
      </c>
      <c r="G38" s="593" t="inlineStr">
        <is>
          <t>Service Op &amp; Assurance</t>
        </is>
      </c>
      <c r="H38" s="591" t="inlineStr">
        <is>
          <t>NA</t>
        </is>
      </c>
      <c r="I38" s="591" t="inlineStr">
        <is>
          <t>NA</t>
        </is>
      </c>
      <c r="J38" s="591" t="inlineStr">
        <is>
          <t>NA</t>
        </is>
      </c>
      <c r="K38" s="591" t="inlineStr">
        <is>
          <t>NA</t>
        </is>
      </c>
      <c r="L38" s="591" t="n"/>
      <c r="M38" s="594" t="inlineStr">
        <is>
          <t>NZ</t>
        </is>
      </c>
      <c r="N38" s="595" t="inlineStr">
        <is>
          <t>CDB</t>
        </is>
      </c>
      <c r="O38" s="596" t="n">
        <v>1</v>
      </c>
      <c r="P38" s="595" t="n"/>
      <c r="Q38" s="596" t="inlineStr">
        <is>
          <t>Permanent - Full Time</t>
        </is>
      </c>
      <c r="R38" s="597" t="n"/>
      <c r="S38" s="597" t="n"/>
      <c r="T38" s="598" t="n">
        <v>86890</v>
      </c>
      <c r="U38" s="729" t="n">
        <v>79938.8</v>
      </c>
      <c r="V38" s="600" t="n">
        <v>0.1</v>
      </c>
      <c r="W38" s="597" t="n"/>
      <c r="X38" s="601" t="n">
        <v>0.05</v>
      </c>
      <c r="Y38" s="730" t="n">
        <v>2910</v>
      </c>
      <c r="Z38" s="601" t="n">
        <v>0.03</v>
      </c>
      <c r="AA38" s="731">
        <f>U38*(1+V38+X38+Z38)+Y38</f>
        <v>97237.78400000001</v>
      </c>
      <c r="AB38" s="589" t="n">
        <v>113569</v>
      </c>
    </row>
    <row r="39">
      <c r="A39" s="590" t="n">
        <v>98371</v>
      </c>
      <c r="B39" s="591" t="inlineStr">
        <is>
          <t>Stafford Dowling</t>
        </is>
      </c>
      <c r="C39" s="592" t="inlineStr">
        <is>
          <t>Cyber Security Analyst</t>
        </is>
      </c>
      <c r="D39" s="591" t="inlineStr">
        <is>
          <t>Steven Atcheson</t>
        </is>
      </c>
      <c r="E39" s="591" t="n"/>
      <c r="F39" s="591" t="inlineStr">
        <is>
          <t>Cyber, Risk &amp; Operations</t>
        </is>
      </c>
      <c r="G39" s="593" t="inlineStr">
        <is>
          <t>Cyber Sec Ops</t>
        </is>
      </c>
      <c r="H39" s="591" t="inlineStr">
        <is>
          <t>NA</t>
        </is>
      </c>
      <c r="I39" s="591" t="inlineStr">
        <is>
          <t>NA</t>
        </is>
      </c>
      <c r="J39" s="591" t="inlineStr">
        <is>
          <t>NA</t>
        </is>
      </c>
      <c r="K39" s="591" t="inlineStr">
        <is>
          <t>NA</t>
        </is>
      </c>
      <c r="L39" s="591" t="n"/>
      <c r="M39" s="594" t="inlineStr">
        <is>
          <t>Australia</t>
        </is>
      </c>
      <c r="N39" s="595" t="inlineStr">
        <is>
          <t>CIB</t>
        </is>
      </c>
      <c r="O39" s="595" t="n">
        <v>1</v>
      </c>
      <c r="P39" s="595" t="n"/>
      <c r="Q39" s="595" t="inlineStr">
        <is>
          <t>Permanent - Full Time</t>
        </is>
      </c>
      <c r="R39" s="597" t="n"/>
      <c r="S39" s="597" t="n"/>
      <c r="T39" s="598" t="n">
        <v>163830</v>
      </c>
      <c r="U39" s="729" t="n">
        <v>163830</v>
      </c>
      <c r="V39" s="601" t="n">
        <v>0.12</v>
      </c>
      <c r="W39" s="732" t="n">
        <v>0.055</v>
      </c>
      <c r="X39" s="732" t="n">
        <v>0.12</v>
      </c>
      <c r="Y39" s="733" t="n"/>
      <c r="Z39" s="732" t="n">
        <v>0.04</v>
      </c>
      <c r="AA39" s="731">
        <f>U39*(1+V39+W39+X39+Y39+Z39)</f>
        <v>218713.05</v>
      </c>
      <c r="AB39" s="606" t="n"/>
    </row>
    <row r="40">
      <c r="A40" s="590" t="n">
        <v>101504</v>
      </c>
      <c r="B40" s="591" t="inlineStr">
        <is>
          <t>Steven Atcheson</t>
        </is>
      </c>
      <c r="C40" s="592" t="inlineStr">
        <is>
          <t>Manager Cyber Security Operations</t>
        </is>
      </c>
      <c r="D40" s="591" t="inlineStr">
        <is>
          <t>Frances Bouzo</t>
        </is>
      </c>
      <c r="E40" s="591" t="inlineStr">
        <is>
          <t xml:space="preserve">Manager, Risk &amp; Resilience </t>
        </is>
      </c>
      <c r="F40" s="591" t="inlineStr">
        <is>
          <t>Cyber, Risk &amp; Operations</t>
        </is>
      </c>
      <c r="G40" s="593" t="inlineStr">
        <is>
          <t>Cyber Sec Ops</t>
        </is>
      </c>
      <c r="H40" s="591" t="inlineStr">
        <is>
          <t>NA</t>
        </is>
      </c>
      <c r="I40" s="591" t="inlineStr">
        <is>
          <t>NA</t>
        </is>
      </c>
      <c r="J40" s="591" t="inlineStr">
        <is>
          <t>NA</t>
        </is>
      </c>
      <c r="K40" s="591" t="inlineStr">
        <is>
          <t>NA</t>
        </is>
      </c>
      <c r="L40" s="591" t="n"/>
      <c r="M40" s="594" t="inlineStr">
        <is>
          <t>Australia</t>
        </is>
      </c>
      <c r="N40" s="595" t="inlineStr">
        <is>
          <t>CSB</t>
        </is>
      </c>
      <c r="O40" s="595" t="n">
        <v>1</v>
      </c>
      <c r="P40" s="595" t="n"/>
      <c r="Q40" s="595" t="inlineStr">
        <is>
          <t>Permanent - Full Time</t>
        </is>
      </c>
      <c r="R40" s="597" t="n"/>
      <c r="S40" s="597" t="n"/>
      <c r="T40" s="598" t="n">
        <v>233630</v>
      </c>
      <c r="U40" s="729" t="n">
        <v>233630</v>
      </c>
      <c r="V40" s="601" t="n">
        <v>0.14</v>
      </c>
      <c r="W40" s="732" t="n">
        <v>0.055</v>
      </c>
      <c r="X40" s="732" t="n">
        <v>0.12</v>
      </c>
      <c r="Y40" s="733" t="n"/>
      <c r="Z40" s="732" t="n">
        <v>0.04</v>
      </c>
      <c r="AA40" s="731">
        <f>U40*(1+V40+W40+X40+Y40+Z40)</f>
        <v>316568.65</v>
      </c>
      <c r="AB40" s="606" t="n"/>
    </row>
    <row r="41">
      <c r="A41" s="590" t="n">
        <v>114383</v>
      </c>
      <c r="B41" s="591" t="inlineStr">
        <is>
          <t>Tony Keeler</t>
        </is>
      </c>
      <c r="C41" s="592" t="inlineStr">
        <is>
          <t>Cyber Business Analyst</t>
        </is>
      </c>
      <c r="D41" s="591" t="inlineStr">
        <is>
          <t>Vivienne Vasak</t>
        </is>
      </c>
      <c r="E41" s="591" t="inlineStr">
        <is>
          <t xml:space="preserve">Portfolio Manger Cyber Security </t>
        </is>
      </c>
      <c r="F41" s="591" t="inlineStr">
        <is>
          <t>Cyber, Risk &amp; Operations</t>
        </is>
      </c>
      <c r="G41" s="593" t="inlineStr">
        <is>
          <t>Cyber Strat &amp; Tech</t>
        </is>
      </c>
      <c r="H41" s="591" t="inlineStr">
        <is>
          <t>NA</t>
        </is>
      </c>
      <c r="I41" s="591" t="inlineStr">
        <is>
          <t>NA</t>
        </is>
      </c>
      <c r="J41" s="591" t="inlineStr">
        <is>
          <t>NA</t>
        </is>
      </c>
      <c r="K41" s="591" t="inlineStr">
        <is>
          <t>NA</t>
        </is>
      </c>
      <c r="L41" s="591" t="n"/>
      <c r="M41" s="594" t="inlineStr">
        <is>
          <t>Australia</t>
        </is>
      </c>
      <c r="N41" s="595" t="inlineStr">
        <is>
          <t>CIB</t>
        </is>
      </c>
      <c r="O41" s="595" t="n">
        <v>1</v>
      </c>
      <c r="P41" s="595" t="n"/>
      <c r="Q41" s="595" t="inlineStr">
        <is>
          <t>Permanent - Full Time</t>
        </is>
      </c>
      <c r="R41" s="597" t="n"/>
      <c r="S41" s="597" t="n"/>
      <c r="T41" s="598" t="n">
        <v>160000</v>
      </c>
      <c r="U41" s="729" t="n">
        <v>160000</v>
      </c>
      <c r="V41" s="601" t="n">
        <v>0.12</v>
      </c>
      <c r="W41" s="732" t="n">
        <v>0.055</v>
      </c>
      <c r="X41" s="732" t="n">
        <v>0.12</v>
      </c>
      <c r="Y41" s="733" t="n"/>
      <c r="Z41" s="732" t="n">
        <v>0.04</v>
      </c>
      <c r="AA41" s="731">
        <f>U41*(1+V41+W41+X41+Y41+Z41)</f>
        <v>213600.0</v>
      </c>
      <c r="AB41" s="606" t="n"/>
    </row>
    <row r="42">
      <c r="A42" s="590" t="inlineStr">
        <is>
          <t>V</t>
        </is>
      </c>
      <c r="B42" s="591" t="inlineStr">
        <is>
          <t>Vacant</t>
        </is>
      </c>
      <c r="C42" s="592" t="inlineStr">
        <is>
          <t>Lead – Problem Management</t>
        </is>
      </c>
      <c r="D42" s="591" t="inlineStr">
        <is>
          <t>Darren Koller</t>
        </is>
      </c>
      <c r="E42" s="591" t="inlineStr">
        <is>
          <t>Manager Cyber Security GRC</t>
        </is>
      </c>
      <c r="F42" s="591" t="inlineStr">
        <is>
          <t>Cyber, Risk &amp; Operations</t>
        </is>
      </c>
      <c r="G42" s="593" t="inlineStr">
        <is>
          <t>Service Op &amp; Assurance</t>
        </is>
      </c>
      <c r="H42" s="591" t="inlineStr">
        <is>
          <t>NA</t>
        </is>
      </c>
      <c r="I42" s="591" t="inlineStr">
        <is>
          <t>NA</t>
        </is>
      </c>
      <c r="J42" s="591" t="inlineStr">
        <is>
          <t>NA</t>
        </is>
      </c>
      <c r="K42" s="591" t="inlineStr">
        <is>
          <t>NA</t>
        </is>
      </c>
      <c r="L42" s="591" t="n"/>
      <c r="M42" s="594" t="inlineStr">
        <is>
          <t>Australia</t>
        </is>
      </c>
      <c r="N42" s="595" t="inlineStr">
        <is>
          <t>CIA</t>
        </is>
      </c>
      <c r="O42" s="595" t="n">
        <v>1</v>
      </c>
      <c r="P42" s="595" t="n"/>
      <c r="Q42" s="595" t="inlineStr">
        <is>
          <t>v</t>
        </is>
      </c>
      <c r="R42" s="597" t="n"/>
      <c r="S42" s="597" t="n"/>
      <c r="T42" s="598" t="n">
        <v>129650</v>
      </c>
      <c r="U42" s="729" t="n">
        <v>129650</v>
      </c>
      <c r="V42" s="601" t="n">
        <v>0.1</v>
      </c>
      <c r="W42" s="732" t="n">
        <v>0.055</v>
      </c>
      <c r="X42" s="732" t="n">
        <v>0.12</v>
      </c>
      <c r="Y42" s="733" t="n"/>
      <c r="Z42" s="732" t="n">
        <v>0.04</v>
      </c>
      <c r="AA42" s="731">
        <f>U42*(1+V42+W42+X42+Y42+Z42)</f>
        <v>170489.75</v>
      </c>
      <c r="AB42" s="606" t="n"/>
    </row>
    <row r="43">
      <c r="A43" s="590" t="inlineStr">
        <is>
          <t>V</t>
        </is>
      </c>
      <c r="B43" s="591" t="inlineStr">
        <is>
          <t>Vacant</t>
        </is>
      </c>
      <c r="C43" s="592" t="inlineStr">
        <is>
          <t>Cyber Architect (backfill for EGI Secondment)</t>
        </is>
      </c>
      <c r="D43" s="591" t="inlineStr">
        <is>
          <t>Kevin Sheerin</t>
        </is>
      </c>
      <c r="E43" s="591" t="n"/>
      <c r="F43" s="591" t="inlineStr">
        <is>
          <t>Cyber, Risk &amp; Operations</t>
        </is>
      </c>
      <c r="G43" s="593" t="inlineStr">
        <is>
          <t>Cyber Strat &amp; Tech</t>
        </is>
      </c>
      <c r="H43" s="591" t="inlineStr">
        <is>
          <t>NA</t>
        </is>
      </c>
      <c r="I43" s="591" t="inlineStr">
        <is>
          <t>NA</t>
        </is>
      </c>
      <c r="J43" s="591" t="inlineStr">
        <is>
          <t>NA</t>
        </is>
      </c>
      <c r="K43" s="591" t="inlineStr">
        <is>
          <t>NA</t>
        </is>
      </c>
      <c r="L43" s="591" t="n"/>
      <c r="M43" s="594" t="inlineStr">
        <is>
          <t>Australia</t>
        </is>
      </c>
      <c r="N43" s="595" t="inlineStr">
        <is>
          <t>CIB</t>
        </is>
      </c>
      <c r="O43" s="595" t="n">
        <v>1</v>
      </c>
      <c r="P43" s="595" t="n"/>
      <c r="Q43" s="595" t="inlineStr">
        <is>
          <t>V</t>
        </is>
      </c>
      <c r="R43" s="597" t="n"/>
      <c r="S43" s="597" t="n"/>
      <c r="T43" s="598" t="n">
        <v>160000</v>
      </c>
      <c r="U43" s="729" t="n">
        <v>160000</v>
      </c>
      <c r="V43" s="601" t="n">
        <v>0.12</v>
      </c>
      <c r="W43" s="732" t="n">
        <v>0.055</v>
      </c>
      <c r="X43" s="732" t="n">
        <v>0.12</v>
      </c>
      <c r="Y43" s="733" t="n"/>
      <c r="Z43" s="732" t="n">
        <v>0.04</v>
      </c>
      <c r="AA43" s="731">
        <f>U43*(1+V43+W43+X43+Y43+Z43)</f>
        <v>213600.0</v>
      </c>
      <c r="AB43" s="606" t="n"/>
    </row>
    <row r="44">
      <c r="A44" s="590" t="inlineStr">
        <is>
          <t>V</t>
        </is>
      </c>
      <c r="B44" s="591" t="inlineStr">
        <is>
          <t>Vacant</t>
        </is>
      </c>
      <c r="C44" s="592" t="inlineStr">
        <is>
          <t>Lead – Asset &amp; Configuration</t>
        </is>
      </c>
      <c r="D44" s="591" t="inlineStr">
        <is>
          <t>Mick Collins</t>
        </is>
      </c>
      <c r="E44" s="591" t="inlineStr">
        <is>
          <t xml:space="preserve">Manager Cyber Security Operations </t>
        </is>
      </c>
      <c r="F44" s="591" t="inlineStr">
        <is>
          <t>Cyber, Risk &amp; Operations</t>
        </is>
      </c>
      <c r="G44" s="593" t="inlineStr">
        <is>
          <t>Service Op &amp; Assurance</t>
        </is>
      </c>
      <c r="H44" s="591" t="inlineStr">
        <is>
          <t>NA</t>
        </is>
      </c>
      <c r="I44" s="589" t="inlineStr">
        <is>
          <t>NA</t>
        </is>
      </c>
      <c r="J44" s="591" t="inlineStr">
        <is>
          <t>NA</t>
        </is>
      </c>
      <c r="K44" s="591" t="inlineStr">
        <is>
          <t>NA</t>
        </is>
      </c>
      <c r="L44" s="591" t="n"/>
      <c r="M44" s="594" t="inlineStr">
        <is>
          <t>Australia</t>
        </is>
      </c>
      <c r="N44" s="595" t="inlineStr">
        <is>
          <t>CIB</t>
        </is>
      </c>
      <c r="O44" s="595" t="n">
        <v>1</v>
      </c>
      <c r="P44" s="595" t="n"/>
      <c r="Q44" s="595" t="inlineStr">
        <is>
          <t>v</t>
        </is>
      </c>
      <c r="R44" s="597" t="n"/>
      <c r="S44" s="597" t="n"/>
      <c r="T44" s="598" t="n">
        <v>151950</v>
      </c>
      <c r="U44" s="729" t="n">
        <v>151950</v>
      </c>
      <c r="V44" s="601" t="n">
        <v>0.12</v>
      </c>
      <c r="W44" s="732" t="n">
        <v>0.055</v>
      </c>
      <c r="X44" s="732" t="n">
        <v>0.12</v>
      </c>
      <c r="Y44" s="733" t="n"/>
      <c r="Z44" s="732" t="n">
        <v>0.04</v>
      </c>
      <c r="AA44" s="731">
        <f>U44*(1+V44+W44+X44+Y44+Z44)</f>
        <v>202853.25</v>
      </c>
      <c r="AB44" s="606" t="n"/>
    </row>
    <row r="45">
      <c r="A45" s="590" t="inlineStr">
        <is>
          <t>V</t>
        </is>
      </c>
      <c r="B45" s="591" t="inlineStr">
        <is>
          <t>Vacant</t>
        </is>
      </c>
      <c r="C45" s="592" t="inlineStr">
        <is>
          <t>Lead – Service Performance &amp; Insights</t>
        </is>
      </c>
      <c r="D45" s="591" t="inlineStr">
        <is>
          <t>Mick Collins</t>
        </is>
      </c>
      <c r="E45" s="591" t="inlineStr">
        <is>
          <t xml:space="preserve">Manager Identity &amp; Access Management </t>
        </is>
      </c>
      <c r="F45" s="591" t="inlineStr">
        <is>
          <t>Cyber, Risk &amp; Operations</t>
        </is>
      </c>
      <c r="G45" s="593" t="inlineStr">
        <is>
          <t>Service Op &amp; Assurance</t>
        </is>
      </c>
      <c r="H45" s="591" t="inlineStr">
        <is>
          <t>NA</t>
        </is>
      </c>
      <c r="I45" s="591" t="inlineStr">
        <is>
          <t>NA</t>
        </is>
      </c>
      <c r="J45" s="591" t="inlineStr">
        <is>
          <t>NA</t>
        </is>
      </c>
      <c r="K45" s="591" t="inlineStr">
        <is>
          <t>NA</t>
        </is>
      </c>
      <c r="L45" s="591" t="n"/>
      <c r="M45" s="594" t="inlineStr">
        <is>
          <t>Australia</t>
        </is>
      </c>
      <c r="N45" s="595" t="inlineStr">
        <is>
          <t>CIB</t>
        </is>
      </c>
      <c r="O45" s="595" t="n">
        <v>1</v>
      </c>
      <c r="P45" s="595" t="n"/>
      <c r="Q45" s="595" t="inlineStr">
        <is>
          <t>v</t>
        </is>
      </c>
      <c r="R45" s="597" t="n"/>
      <c r="S45" s="597" t="n"/>
      <c r="T45" s="598" t="n">
        <v>151950</v>
      </c>
      <c r="U45" s="729" t="n">
        <v>151950</v>
      </c>
      <c r="V45" s="601" t="n">
        <v>0.12</v>
      </c>
      <c r="W45" s="732" t="n">
        <v>0.055</v>
      </c>
      <c r="X45" s="732" t="n">
        <v>0.12</v>
      </c>
      <c r="Y45" s="733" t="n"/>
      <c r="Z45" s="732" t="n">
        <v>0.04</v>
      </c>
      <c r="AA45" s="731">
        <f>U45*(1+V45+W45+X45+Y45+Z45)</f>
        <v>202853.25</v>
      </c>
      <c r="AB45" s="606" t="n"/>
    </row>
    <row r="46">
      <c r="A46" s="590" t="inlineStr">
        <is>
          <t>V</t>
        </is>
      </c>
      <c r="B46" s="591" t="inlineStr">
        <is>
          <t>Vacant</t>
        </is>
      </c>
      <c r="C46" s="592" t="inlineStr">
        <is>
          <t>Operations Analyst</t>
        </is>
      </c>
      <c r="D46" s="591" t="inlineStr">
        <is>
          <t>Mick Collins</t>
        </is>
      </c>
      <c r="E46" s="591" t="inlineStr">
        <is>
          <t>Cyber Architecture Lead</t>
        </is>
      </c>
      <c r="F46" s="591" t="inlineStr">
        <is>
          <t>Cyber, Risk &amp; Operations</t>
        </is>
      </c>
      <c r="G46" s="593" t="inlineStr">
        <is>
          <t>Service Op &amp; Assurance</t>
        </is>
      </c>
      <c r="H46" s="591" t="inlineStr">
        <is>
          <t>NA</t>
        </is>
      </c>
      <c r="I46" s="591" t="inlineStr">
        <is>
          <t>NA</t>
        </is>
      </c>
      <c r="J46" s="591" t="inlineStr">
        <is>
          <t>NA</t>
        </is>
      </c>
      <c r="K46" s="591" t="inlineStr">
        <is>
          <t>NA</t>
        </is>
      </c>
      <c r="L46" s="591" t="n"/>
      <c r="M46" s="594" t="inlineStr">
        <is>
          <t>Australia</t>
        </is>
      </c>
      <c r="N46" s="595" t="inlineStr">
        <is>
          <t>cia</t>
        </is>
      </c>
      <c r="O46" s="595" t="n">
        <v>1</v>
      </c>
      <c r="P46" s="595" t="n"/>
      <c r="Q46" s="595" t="inlineStr">
        <is>
          <t>v</t>
        </is>
      </c>
      <c r="R46" s="597" t="n"/>
      <c r="S46" s="597" t="n"/>
      <c r="T46" s="598" t="n">
        <v>129650</v>
      </c>
      <c r="U46" s="729" t="n">
        <v>129650</v>
      </c>
      <c r="V46" s="601" t="n">
        <v>0.1</v>
      </c>
      <c r="W46" s="732" t="n">
        <v>0.055</v>
      </c>
      <c r="X46" s="732" t="n">
        <v>0.12</v>
      </c>
      <c r="Y46" s="733" t="n"/>
      <c r="Z46" s="732" t="n">
        <v>0.04</v>
      </c>
      <c r="AA46" s="731">
        <f>U46*(1+V46+W46+X46+Y46+Z46)</f>
        <v>170489.75</v>
      </c>
      <c r="AB46" s="606" t="n"/>
    </row>
    <row r="47">
      <c r="A47" s="590" t="inlineStr">
        <is>
          <t>V</t>
        </is>
      </c>
      <c r="B47" s="591" t="inlineStr">
        <is>
          <t>Vacant</t>
        </is>
      </c>
      <c r="C47" s="592" t="inlineStr">
        <is>
          <t>Operations Analyst</t>
        </is>
      </c>
      <c r="D47" s="591" t="inlineStr">
        <is>
          <t>Mick Collins</t>
        </is>
      </c>
      <c r="E47" s="591" t="inlineStr">
        <is>
          <t xml:space="preserve">Manager Service Management &amp; Major Incident Management Lead </t>
        </is>
      </c>
      <c r="F47" s="591" t="inlineStr">
        <is>
          <t>Cyber, Risk &amp; Operations</t>
        </is>
      </c>
      <c r="G47" s="593" t="inlineStr">
        <is>
          <t>Service Op &amp; Assurance</t>
        </is>
      </c>
      <c r="H47" s="591" t="inlineStr">
        <is>
          <t>NA</t>
        </is>
      </c>
      <c r="I47" s="591" t="inlineStr">
        <is>
          <t>NA</t>
        </is>
      </c>
      <c r="J47" s="591" t="inlineStr">
        <is>
          <t>NA</t>
        </is>
      </c>
      <c r="K47" s="591" t="inlineStr">
        <is>
          <t>NA</t>
        </is>
      </c>
      <c r="L47" s="591" t="n"/>
      <c r="M47" s="594" t="inlineStr">
        <is>
          <t>Australia</t>
        </is>
      </c>
      <c r="N47" s="595" t="inlineStr">
        <is>
          <t>cia</t>
        </is>
      </c>
      <c r="O47" s="595" t="n">
        <v>1</v>
      </c>
      <c r="P47" s="595" t="n"/>
      <c r="Q47" s="595" t="inlineStr">
        <is>
          <t>v</t>
        </is>
      </c>
      <c r="R47" s="597" t="n"/>
      <c r="S47" s="597" t="n"/>
      <c r="T47" s="598" t="n">
        <v>129650</v>
      </c>
      <c r="U47" s="729" t="n">
        <v>129650</v>
      </c>
      <c r="V47" s="601" t="n">
        <v>0.1</v>
      </c>
      <c r="W47" s="732" t="n">
        <v>0.055</v>
      </c>
      <c r="X47" s="732" t="n">
        <v>0.12</v>
      </c>
      <c r="Y47" s="733" t="n"/>
      <c r="Z47" s="732" t="n">
        <v>0.04</v>
      </c>
      <c r="AA47" s="731">
        <f>U47*(1+V47+W47+X47+Y47+Z47)</f>
        <v>170489.75</v>
      </c>
      <c r="AB47" s="606" t="n"/>
    </row>
    <row r="48">
      <c r="A48" s="590" t="inlineStr">
        <is>
          <t>V</t>
        </is>
      </c>
      <c r="B48" s="591" t="inlineStr">
        <is>
          <t xml:space="preserve">Vacant </t>
        </is>
      </c>
      <c r="C48" s="592" t="inlineStr">
        <is>
          <t>Data Risk Analyst</t>
        </is>
      </c>
      <c r="D48" s="591" t="inlineStr">
        <is>
          <t>Brian Gates</t>
        </is>
      </c>
      <c r="E48" s="591" t="n"/>
      <c r="F48" s="591" t="inlineStr">
        <is>
          <t>Cyber, Risk &amp; Operations</t>
        </is>
      </c>
      <c r="G48" s="593" t="inlineStr">
        <is>
          <t>Cyber Risk</t>
        </is>
      </c>
      <c r="H48" s="591" t="inlineStr">
        <is>
          <t>NA</t>
        </is>
      </c>
      <c r="I48" s="591" t="inlineStr">
        <is>
          <t>NA</t>
        </is>
      </c>
      <c r="J48" s="591" t="inlineStr">
        <is>
          <t>NA</t>
        </is>
      </c>
      <c r="K48" s="591" t="inlineStr">
        <is>
          <t>NA</t>
        </is>
      </c>
      <c r="L48" s="591" t="n"/>
      <c r="M48" s="594" t="inlineStr">
        <is>
          <t>Australia</t>
        </is>
      </c>
      <c r="N48" s="595" t="inlineStr">
        <is>
          <t>CIA</t>
        </is>
      </c>
      <c r="O48" s="595" t="n">
        <v>1</v>
      </c>
      <c r="P48" s="595" t="n"/>
      <c r="Q48" s="595" t="inlineStr">
        <is>
          <t>V</t>
        </is>
      </c>
      <c r="R48" s="597" t="n"/>
      <c r="S48" s="597" t="n"/>
      <c r="T48" s="598" t="n">
        <v>129650</v>
      </c>
      <c r="U48" s="729" t="n">
        <v>129650</v>
      </c>
      <c r="V48" s="601" t="n">
        <v>0.1</v>
      </c>
      <c r="W48" s="732" t="n">
        <v>0.055</v>
      </c>
      <c r="X48" s="732" t="n">
        <v>0.12</v>
      </c>
      <c r="Y48" s="733" t="n"/>
      <c r="Z48" s="732" t="n">
        <v>0.04</v>
      </c>
      <c r="AA48" s="731">
        <f>U48*(1+V48+W48+X48+Y48+Z48)</f>
        <v>170489.75</v>
      </c>
      <c r="AB48" s="606" t="n"/>
    </row>
    <row r="49">
      <c r="A49" s="590" t="inlineStr">
        <is>
          <t>V</t>
        </is>
      </c>
      <c r="B49" s="591" t="inlineStr">
        <is>
          <t xml:space="preserve">Vacant </t>
        </is>
      </c>
      <c r="C49" s="592" t="inlineStr">
        <is>
          <t>Data Risk Analyst</t>
        </is>
      </c>
      <c r="D49" s="591" t="inlineStr">
        <is>
          <t>Brian Gates</t>
        </is>
      </c>
      <c r="E49" s="591" t="n"/>
      <c r="F49" s="591" t="inlineStr">
        <is>
          <t>Cyber, Risk &amp; Operations</t>
        </is>
      </c>
      <c r="G49" s="593" t="inlineStr">
        <is>
          <t>Cyber Risk</t>
        </is>
      </c>
      <c r="H49" s="591" t="inlineStr">
        <is>
          <t>NA</t>
        </is>
      </c>
      <c r="I49" s="591" t="inlineStr">
        <is>
          <t>NA</t>
        </is>
      </c>
      <c r="J49" s="591" t="inlineStr">
        <is>
          <t>NA</t>
        </is>
      </c>
      <c r="K49" s="591" t="inlineStr">
        <is>
          <t>NA</t>
        </is>
      </c>
      <c r="L49" s="591" t="n"/>
      <c r="M49" s="594" t="inlineStr">
        <is>
          <t>Australia</t>
        </is>
      </c>
      <c r="N49" s="595" t="inlineStr">
        <is>
          <t>CIA</t>
        </is>
      </c>
      <c r="O49" s="595" t="n">
        <v>1</v>
      </c>
      <c r="P49" s="595" t="n"/>
      <c r="Q49" s="595" t="inlineStr">
        <is>
          <t>V</t>
        </is>
      </c>
      <c r="R49" s="597" t="n"/>
      <c r="S49" s="597" t="n"/>
      <c r="T49" s="598" t="n">
        <v>129650</v>
      </c>
      <c r="U49" s="729" t="n">
        <v>129650</v>
      </c>
      <c r="V49" s="601" t="n">
        <v>0.1</v>
      </c>
      <c r="W49" s="732" t="n">
        <v>0.055</v>
      </c>
      <c r="X49" s="732" t="n">
        <v>0.12</v>
      </c>
      <c r="Y49" s="733" t="n"/>
      <c r="Z49" s="732" t="n">
        <v>0.04</v>
      </c>
      <c r="AA49" s="731">
        <f>U49*(1+V49+W49+X49+Y49+Z49)</f>
        <v>170489.75</v>
      </c>
      <c r="AB49" s="606" t="n"/>
    </row>
    <row r="50">
      <c r="A50" s="590" t="inlineStr">
        <is>
          <t>V</t>
        </is>
      </c>
      <c r="B50" s="591" t="inlineStr">
        <is>
          <t>Vacant  (AKL )</t>
        </is>
      </c>
      <c r="C50" s="592" t="inlineStr">
        <is>
          <t>Tech Support Technician</t>
        </is>
      </c>
      <c r="D50" s="591" t="inlineStr">
        <is>
          <t>Mark Pearson</t>
        </is>
      </c>
      <c r="E50" s="591" t="n"/>
      <c r="F50" s="591" t="inlineStr">
        <is>
          <t>Cyber, Risk &amp; Operations</t>
        </is>
      </c>
      <c r="G50" s="593" t="inlineStr">
        <is>
          <t>Service Op &amp; Assurance</t>
        </is>
      </c>
      <c r="H50" s="591" t="inlineStr">
        <is>
          <t>NA</t>
        </is>
      </c>
      <c r="I50" s="591" t="inlineStr">
        <is>
          <t>NA</t>
        </is>
      </c>
      <c r="J50" s="591" t="inlineStr">
        <is>
          <t>NA</t>
        </is>
      </c>
      <c r="K50" s="591" t="inlineStr">
        <is>
          <t>NA</t>
        </is>
      </c>
      <c r="L50" s="591" t="n"/>
      <c r="M50" s="594" t="inlineStr">
        <is>
          <t>Australia</t>
        </is>
      </c>
      <c r="N50" s="595" t="inlineStr">
        <is>
          <t>CDB</t>
        </is>
      </c>
      <c r="O50" s="595" t="n">
        <v>1</v>
      </c>
      <c r="P50" s="595" t="n"/>
      <c r="Q50" s="595" t="inlineStr">
        <is>
          <t>v</t>
        </is>
      </c>
      <c r="R50" s="597" t="n"/>
      <c r="S50" s="597" t="n"/>
      <c r="T50" s="598" t="n">
        <v>94650</v>
      </c>
      <c r="U50" s="729" t="n">
        <v>94650</v>
      </c>
      <c r="V50" s="601" t="n">
        <v>0.08</v>
      </c>
      <c r="W50" s="732" t="n">
        <v>0.055</v>
      </c>
      <c r="X50" s="732" t="n">
        <v>0.12</v>
      </c>
      <c r="Y50" s="733" t="n"/>
      <c r="Z50" s="732" t="n">
        <v>0.04</v>
      </c>
      <c r="AA50" s="731">
        <f>U50*(1+V50+W50+X50+Y50+Z50)</f>
        <v>122571.75</v>
      </c>
      <c r="AB50" s="606" t="n"/>
    </row>
    <row r="51">
      <c r="A51" s="590" t="inlineStr">
        <is>
          <t>V</t>
        </is>
      </c>
      <c r="B51" s="591" t="inlineStr">
        <is>
          <t>Vacant (SYD)</t>
        </is>
      </c>
      <c r="C51" s="592" t="inlineStr">
        <is>
          <t>Tech Support Technician</t>
        </is>
      </c>
      <c r="D51" s="591" t="inlineStr">
        <is>
          <t>Mark Pearson</t>
        </is>
      </c>
      <c r="E51" s="591" t="n"/>
      <c r="F51" s="591" t="inlineStr">
        <is>
          <t>Cyber, Risk &amp; Operations</t>
        </is>
      </c>
      <c r="G51" s="593" t="inlineStr">
        <is>
          <t>Service Op &amp; Assurance</t>
        </is>
      </c>
      <c r="H51" s="591" t="inlineStr">
        <is>
          <t>NA</t>
        </is>
      </c>
      <c r="I51" s="591" t="inlineStr">
        <is>
          <t>NA</t>
        </is>
      </c>
      <c r="J51" s="591" t="inlineStr">
        <is>
          <t>NA</t>
        </is>
      </c>
      <c r="K51" s="591" t="inlineStr">
        <is>
          <t>NA</t>
        </is>
      </c>
      <c r="L51" s="591" t="n"/>
      <c r="M51" s="594" t="inlineStr">
        <is>
          <t>Australia</t>
        </is>
      </c>
      <c r="N51" s="595" t="inlineStr">
        <is>
          <t>CDB</t>
        </is>
      </c>
      <c r="O51" s="595" t="n">
        <v>1</v>
      </c>
      <c r="P51" s="595" t="n"/>
      <c r="Q51" s="595" t="inlineStr">
        <is>
          <t>v</t>
        </is>
      </c>
      <c r="R51" s="597" t="n"/>
      <c r="S51" s="597" t="n"/>
      <c r="T51" s="598" t="n">
        <v>94650</v>
      </c>
      <c r="U51" s="729" t="n">
        <v>94650</v>
      </c>
      <c r="V51" s="601" t="n">
        <v>0.08</v>
      </c>
      <c r="W51" s="732" t="n">
        <v>0.055</v>
      </c>
      <c r="X51" s="732" t="n">
        <v>0.12</v>
      </c>
      <c r="Y51" s="733" t="n"/>
      <c r="Z51" s="732" t="n">
        <v>0.04</v>
      </c>
      <c r="AA51" s="731">
        <f>U51*(1+V51+W51+X51+Y51+Z51)</f>
        <v>122571.75</v>
      </c>
      <c r="AB51" s="606" t="n"/>
    </row>
    <row r="52">
      <c r="A52" s="590" t="n">
        <v>99999101697</v>
      </c>
      <c r="B52" s="591" t="inlineStr">
        <is>
          <t>Vanessa Castro</t>
        </is>
      </c>
      <c r="C52" s="592" t="inlineStr">
        <is>
          <t>Cyber GRC Analyst</t>
        </is>
      </c>
      <c r="D52" s="591" t="inlineStr">
        <is>
          <t>Diya Thomas</t>
        </is>
      </c>
      <c r="E52" s="591" t="n"/>
      <c r="F52" s="591" t="inlineStr">
        <is>
          <t>Cyber, Risk &amp; Operations</t>
        </is>
      </c>
      <c r="G52" s="593" t="inlineStr">
        <is>
          <t>Cyber GRC</t>
        </is>
      </c>
      <c r="H52" s="591" t="inlineStr">
        <is>
          <t>NA</t>
        </is>
      </c>
      <c r="I52" s="591" t="inlineStr">
        <is>
          <t>NA</t>
        </is>
      </c>
      <c r="J52" s="591" t="inlineStr">
        <is>
          <t>NA</t>
        </is>
      </c>
      <c r="K52" s="591" t="inlineStr">
        <is>
          <t>NA</t>
        </is>
      </c>
      <c r="L52" s="591" t="n"/>
      <c r="M52" s="594" t="inlineStr">
        <is>
          <t>NZ</t>
        </is>
      </c>
      <c r="N52" s="595" t="inlineStr">
        <is>
          <t>CIA</t>
        </is>
      </c>
      <c r="O52" s="596" t="n">
        <v>1</v>
      </c>
      <c r="P52" s="595" t="n"/>
      <c r="Q52" s="596" t="inlineStr">
        <is>
          <t>Permanent - Full Time</t>
        </is>
      </c>
      <c r="R52" s="597" t="n"/>
      <c r="S52" s="597" t="n"/>
      <c r="T52" s="598" t="n">
        <v>113930</v>
      </c>
      <c r="U52" s="729" t="n">
        <v>104815.6</v>
      </c>
      <c r="V52" s="600" t="n">
        <v>0.15</v>
      </c>
      <c r="W52" s="597" t="n"/>
      <c r="X52" s="601" t="n">
        <v>0.05</v>
      </c>
      <c r="Y52" s="730" t="n">
        <v>2910</v>
      </c>
      <c r="Z52" s="601" t="n">
        <v>0.03</v>
      </c>
      <c r="AA52" s="731">
        <f>U52*(1+V52+X52+Z52)+Y52</f>
        <v>131833.18800000002</v>
      </c>
      <c r="AB52" s="589" t="n">
        <v>113621</v>
      </c>
    </row>
    <row r="53">
      <c r="A53" s="590" t="n">
        <v>101830</v>
      </c>
      <c r="B53" s="591" t="inlineStr">
        <is>
          <t>Vivienne Vasak</t>
        </is>
      </c>
      <c r="C53" s="592" t="inlineStr">
        <is>
          <t>Portfolio Manager Cyber Security</t>
        </is>
      </c>
      <c r="D53" s="591" t="inlineStr">
        <is>
          <t>James Byrne</t>
        </is>
      </c>
      <c r="E53" s="591" t="inlineStr">
        <is>
          <t xml:space="preserve">Manager Service Perforance &amp; Assurance </t>
        </is>
      </c>
      <c r="F53" s="591" t="inlineStr">
        <is>
          <t>Cyber, Risk &amp; Operations</t>
        </is>
      </c>
      <c r="G53" s="593" t="inlineStr">
        <is>
          <t>Cyber Strat &amp; Tech</t>
        </is>
      </c>
      <c r="H53" s="591" t="inlineStr">
        <is>
          <t>NA</t>
        </is>
      </c>
      <c r="I53" s="591" t="inlineStr">
        <is>
          <t>NA</t>
        </is>
      </c>
      <c r="J53" s="591" t="inlineStr">
        <is>
          <t>NA</t>
        </is>
      </c>
      <c r="K53" s="591" t="inlineStr">
        <is>
          <t>NA</t>
        </is>
      </c>
      <c r="L53" s="591" t="n"/>
      <c r="M53" s="594" t="inlineStr">
        <is>
          <t>Australia</t>
        </is>
      </c>
      <c r="N53" s="595" t="inlineStr">
        <is>
          <t>CSB</t>
        </is>
      </c>
      <c r="O53" s="595" t="n">
        <v>1</v>
      </c>
      <c r="P53" s="595" t="n"/>
      <c r="Q53" s="595" t="inlineStr">
        <is>
          <t>Permanent - Full Time</t>
        </is>
      </c>
      <c r="R53" s="597" t="n"/>
      <c r="S53" s="597" t="n"/>
      <c r="T53" s="598" t="n">
        <v>232970</v>
      </c>
      <c r="U53" s="729" t="n">
        <v>232970</v>
      </c>
      <c r="V53" s="601" t="n">
        <v>0.14</v>
      </c>
      <c r="W53" s="732" t="n">
        <v>0.055</v>
      </c>
      <c r="X53" s="732" t="n">
        <v>0.12</v>
      </c>
      <c r="Y53" s="733" t="n"/>
      <c r="Z53" s="732" t="n">
        <v>0.04</v>
      </c>
      <c r="AA53" s="731">
        <f>U53*(1+V53+W53+X53+Y53+Z53)</f>
        <v>315674.35</v>
      </c>
      <c r="AB53" s="606" t="n"/>
    </row>
    <row r="54">
      <c r="A54" s="590" t="inlineStr">
        <is>
          <t>C</t>
        </is>
      </c>
      <c r="B54" s="591" t="inlineStr">
        <is>
          <t>Ahmed Yehya</t>
        </is>
      </c>
      <c r="C54" s="592" t="inlineStr">
        <is>
          <t>TDD Strategic Delivery</t>
        </is>
      </c>
      <c r="D54" s="591" t="inlineStr">
        <is>
          <t>Greg Cassis</t>
        </is>
      </c>
      <c r="E54" s="593" t="inlineStr">
        <is>
          <t>GM TDD, EGI</t>
        </is>
      </c>
      <c r="F54" s="591" t="inlineStr">
        <is>
          <t>EGI</t>
        </is>
      </c>
      <c r="G54" s="593" t="inlineStr">
        <is>
          <t>EGI</t>
        </is>
      </c>
      <c r="H54" s="593" t="inlineStr">
        <is>
          <t>EGI</t>
        </is>
      </c>
      <c r="I54" s="593" t="inlineStr">
        <is>
          <t>EGI</t>
        </is>
      </c>
      <c r="J54" s="593" t="inlineStr">
        <is>
          <t>EGI</t>
        </is>
      </c>
      <c r="K54" s="593" t="inlineStr">
        <is>
          <t>EGI</t>
        </is>
      </c>
      <c r="L54" s="593" t="n"/>
      <c r="M54" s="594" t="inlineStr">
        <is>
          <t>Australia</t>
        </is>
      </c>
      <c r="N54" s="595" t="inlineStr">
        <is>
          <t>na</t>
        </is>
      </c>
      <c r="O54" s="595" t="n">
        <v>1</v>
      </c>
      <c r="P54" s="595" t="n"/>
      <c r="Q54" s="597" t="inlineStr">
        <is>
          <t>cxc</t>
        </is>
      </c>
      <c r="R54" s="597" t="inlineStr">
        <is>
          <t>Daily</t>
        </is>
      </c>
      <c r="S54" s="597" t="n">
        <v>1250</v>
      </c>
      <c r="T54" s="598" t="n">
        <v>0</v>
      </c>
      <c r="U54" s="729" t="n"/>
      <c r="V54" s="601" t="n"/>
      <c r="W54" s="732" t="n"/>
      <c r="X54" s="732" t="n"/>
      <c r="Y54" s="733" t="n"/>
      <c r="Z54" s="732" t="n"/>
      <c r="AA54" s="741">
        <f>S54*222</f>
        <v>277500.0</v>
      </c>
      <c r="AB54" s="606" t="n"/>
    </row>
    <row r="55">
      <c r="A55" s="590" t="inlineStr">
        <is>
          <t>C</t>
        </is>
      </c>
      <c r="B55" s="591" t="inlineStr">
        <is>
          <t>Anthony Huynh</t>
        </is>
      </c>
      <c r="C55" s="592" t="inlineStr">
        <is>
          <t>Strategic Delivery Consultant</t>
        </is>
      </c>
      <c r="D55" s="591" t="inlineStr">
        <is>
          <t>Greg Cassis</t>
        </is>
      </c>
      <c r="E55" s="593" t="inlineStr">
        <is>
          <t>GM TDD, EGI</t>
        </is>
      </c>
      <c r="F55" s="591" t="inlineStr">
        <is>
          <t>EGI</t>
        </is>
      </c>
      <c r="G55" s="593" t="inlineStr">
        <is>
          <t>EGI</t>
        </is>
      </c>
      <c r="H55" s="593" t="inlineStr">
        <is>
          <t>EGI</t>
        </is>
      </c>
      <c r="I55" s="593" t="inlineStr">
        <is>
          <t>EGI</t>
        </is>
      </c>
      <c r="J55" s="591" t="inlineStr">
        <is>
          <t>EGI</t>
        </is>
      </c>
      <c r="K55" s="591" t="inlineStr">
        <is>
          <t>EGI</t>
        </is>
      </c>
      <c r="L55" s="593" t="n"/>
      <c r="M55" s="594" t="inlineStr">
        <is>
          <t>australia</t>
        </is>
      </c>
      <c r="N55" s="595" t="inlineStr">
        <is>
          <t>NA</t>
        </is>
      </c>
      <c r="O55" s="595" t="n">
        <v>1</v>
      </c>
      <c r="P55" s="595" t="n"/>
      <c r="Q55" s="597" t="inlineStr">
        <is>
          <t>cxc</t>
        </is>
      </c>
      <c r="R55" s="597" t="inlineStr">
        <is>
          <t>daily</t>
        </is>
      </c>
      <c r="S55" s="597" t="n">
        <v>1357</v>
      </c>
      <c r="T55" s="598" t="n">
        <v>0</v>
      </c>
      <c r="U55" s="729" t="n"/>
      <c r="V55" s="601" t="n"/>
      <c r="W55" s="732" t="n"/>
      <c r="X55" s="732" t="n"/>
      <c r="Y55" s="733" t="n"/>
      <c r="Z55" s="732" t="n"/>
      <c r="AA55" s="741">
        <f>S55*222</f>
        <v>301254.0</v>
      </c>
      <c r="AB55" s="606" t="n"/>
    </row>
    <row r="56">
      <c r="A56" s="590" t="inlineStr">
        <is>
          <t>C</t>
        </is>
      </c>
      <c r="B56" s="591" t="inlineStr">
        <is>
          <t>Areum Kim Lee</t>
        </is>
      </c>
      <c r="C56" s="592" t="inlineStr">
        <is>
          <t>Program Manager (PEP13-EGI-UKG)</t>
        </is>
      </c>
      <c r="D56" s="591" t="inlineStr">
        <is>
          <t>Greg Cassis</t>
        </is>
      </c>
      <c r="E56" s="593" t="inlineStr">
        <is>
          <t>GM TDD, EGI</t>
        </is>
      </c>
      <c r="F56" s="591" t="inlineStr">
        <is>
          <t>EGI</t>
        </is>
      </c>
      <c r="G56" s="593" t="inlineStr">
        <is>
          <t>EGI</t>
        </is>
      </c>
      <c r="H56" s="593" t="inlineStr">
        <is>
          <t>EGI</t>
        </is>
      </c>
      <c r="I56" s="593" t="inlineStr">
        <is>
          <t>EGI</t>
        </is>
      </c>
      <c r="J56" s="593" t="inlineStr">
        <is>
          <t>EGI</t>
        </is>
      </c>
      <c r="K56" s="591" t="inlineStr">
        <is>
          <t>EGI</t>
        </is>
      </c>
      <c r="L56" s="593" t="n"/>
      <c r="M56" s="594" t="inlineStr">
        <is>
          <t>Australia</t>
        </is>
      </c>
      <c r="N56" s="597" t="inlineStr">
        <is>
          <t>NA</t>
        </is>
      </c>
      <c r="O56" s="595" t="n">
        <v>1</v>
      </c>
      <c r="P56" s="597" t="n"/>
      <c r="Q56" s="597" t="inlineStr">
        <is>
          <t>cxc</t>
        </is>
      </c>
      <c r="R56" s="619" t="inlineStr">
        <is>
          <t>Daily</t>
        </is>
      </c>
      <c r="S56" s="597" t="n">
        <v>1545.76</v>
      </c>
      <c r="T56" s="598" t="n">
        <v>0</v>
      </c>
      <c r="U56" s="598" t="n"/>
      <c r="V56" s="593" t="n"/>
      <c r="W56" s="593" t="n"/>
      <c r="X56" s="593" t="n"/>
      <c r="Y56" s="593" t="n"/>
      <c r="Z56" s="593" t="n"/>
      <c r="AA56" s="741">
        <f>S56*222</f>
        <v>343158.72</v>
      </c>
      <c r="AB56" s="606" t="n"/>
    </row>
    <row r="57">
      <c r="A57" s="590" t="inlineStr">
        <is>
          <t>C</t>
        </is>
      </c>
      <c r="B57" s="591" t="inlineStr">
        <is>
          <t>Ernesto Pereira</t>
        </is>
      </c>
      <c r="C57" s="592" t="inlineStr">
        <is>
          <t>Project Manger</t>
        </is>
      </c>
      <c r="D57" s="591" t="inlineStr">
        <is>
          <t>Trena Foote</t>
        </is>
      </c>
      <c r="E57" s="591" t="inlineStr">
        <is>
          <t>Project Manger</t>
        </is>
      </c>
      <c r="F57" s="591" t="inlineStr">
        <is>
          <t>EGI</t>
        </is>
      </c>
      <c r="G57" s="593" t="inlineStr">
        <is>
          <t>EGI</t>
        </is>
      </c>
      <c r="H57" s="593" t="inlineStr">
        <is>
          <t>EGI</t>
        </is>
      </c>
      <c r="I57" s="593" t="inlineStr">
        <is>
          <t>EGI</t>
        </is>
      </c>
      <c r="J57" s="593" t="inlineStr">
        <is>
          <t>EGI</t>
        </is>
      </c>
      <c r="K57" s="593" t="inlineStr">
        <is>
          <t>EGI</t>
        </is>
      </c>
      <c r="L57" s="593" t="n"/>
      <c r="M57" s="594" t="inlineStr">
        <is>
          <t>Australia</t>
        </is>
      </c>
      <c r="N57" s="597" t="inlineStr">
        <is>
          <t>na</t>
        </is>
      </c>
      <c r="O57" s="597" t="n">
        <v>1</v>
      </c>
      <c r="P57" s="597" t="n"/>
      <c r="Q57" s="597" t="inlineStr">
        <is>
          <t>cxc</t>
        </is>
      </c>
      <c r="R57" s="597" t="inlineStr">
        <is>
          <t>daily</t>
        </is>
      </c>
      <c r="S57" s="597" t="n">
        <v>1000</v>
      </c>
      <c r="T57" s="598" t="n">
        <v>0</v>
      </c>
      <c r="U57" s="729" t="n"/>
      <c r="V57" s="601" t="n"/>
      <c r="W57" s="732" t="n"/>
      <c r="X57" s="732" t="n"/>
      <c r="Y57" s="733" t="n"/>
      <c r="Z57" s="732" t="n"/>
      <c r="AA57" s="741">
        <f>S57*222</f>
        <v>222000.0</v>
      </c>
      <c r="AB57" s="606" t="n"/>
    </row>
    <row r="58">
      <c r="A58" s="590" t="inlineStr">
        <is>
          <t>C</t>
        </is>
      </c>
      <c r="B58" s="591" t="inlineStr">
        <is>
          <t>Harish Dasari</t>
        </is>
      </c>
      <c r="C58" s="592" t="inlineStr">
        <is>
          <t>Business Analyst (SAP Payroll)</t>
        </is>
      </c>
      <c r="D58" s="591" t="inlineStr">
        <is>
          <t>Areum Kim-Lee</t>
        </is>
      </c>
      <c r="E58" s="593" t="inlineStr">
        <is>
          <t>GM TDD, EGI</t>
        </is>
      </c>
      <c r="F58" s="591" t="inlineStr">
        <is>
          <t>EGI</t>
        </is>
      </c>
      <c r="G58" s="593" t="inlineStr">
        <is>
          <t>EGI</t>
        </is>
      </c>
      <c r="H58" s="593" t="inlineStr">
        <is>
          <t>EGI</t>
        </is>
      </c>
      <c r="I58" s="593" t="inlineStr">
        <is>
          <t>EGI</t>
        </is>
      </c>
      <c r="J58" s="593" t="inlineStr">
        <is>
          <t>EGI</t>
        </is>
      </c>
      <c r="K58" s="593" t="inlineStr">
        <is>
          <t>EGI</t>
        </is>
      </c>
      <c r="L58" s="593" t="n"/>
      <c r="M58" s="594" t="inlineStr">
        <is>
          <t>Australia</t>
        </is>
      </c>
      <c r="N58" s="595" t="inlineStr">
        <is>
          <t>na</t>
        </is>
      </c>
      <c r="O58" s="595" t="n">
        <v>1</v>
      </c>
      <c r="P58" s="595" t="n"/>
      <c r="Q58" s="597" t="inlineStr">
        <is>
          <t>cxc</t>
        </is>
      </c>
      <c r="R58" s="597" t="inlineStr">
        <is>
          <t>daily</t>
        </is>
      </c>
      <c r="S58" s="597" t="n">
        <v>1100</v>
      </c>
      <c r="T58" s="598" t="n">
        <v>0</v>
      </c>
      <c r="U58" s="729" t="n"/>
      <c r="V58" s="601" t="n"/>
      <c r="W58" s="597" t="n"/>
      <c r="X58" s="601" t="n"/>
      <c r="Y58" s="730" t="n"/>
      <c r="Z58" s="620" t="n"/>
      <c r="AA58" s="741">
        <f>S58*222</f>
        <v>244200.0</v>
      </c>
      <c r="AB58" s="606" t="n"/>
    </row>
    <row r="59">
      <c r="A59" s="590" t="inlineStr">
        <is>
          <t>C</t>
        </is>
      </c>
      <c r="B59" s="591" t="inlineStr">
        <is>
          <t>James Munt</t>
        </is>
      </c>
      <c r="C59" s="592" t="inlineStr">
        <is>
          <t>Program Manager Tech &amp; P&amp;C</t>
        </is>
      </c>
      <c r="D59" s="593" t="inlineStr">
        <is>
          <t>Greg Cassis</t>
        </is>
      </c>
      <c r="E59" s="593" t="inlineStr">
        <is>
          <t>GM TDD, EGI</t>
        </is>
      </c>
      <c r="F59" s="591" t="inlineStr">
        <is>
          <t>EGI</t>
        </is>
      </c>
      <c r="G59" s="593" t="inlineStr">
        <is>
          <t>EGI</t>
        </is>
      </c>
      <c r="H59" s="593" t="inlineStr">
        <is>
          <t>EGI</t>
        </is>
      </c>
      <c r="I59" s="593" t="inlineStr">
        <is>
          <t>EGI</t>
        </is>
      </c>
      <c r="J59" s="593" t="inlineStr">
        <is>
          <t>EGI</t>
        </is>
      </c>
      <c r="K59" s="593" t="inlineStr">
        <is>
          <t>EGI</t>
        </is>
      </c>
      <c r="L59" s="593" t="n"/>
      <c r="M59" s="594" t="inlineStr">
        <is>
          <t>Australia</t>
        </is>
      </c>
      <c r="N59" s="595" t="inlineStr">
        <is>
          <t>na</t>
        </is>
      </c>
      <c r="O59" s="595" t="n">
        <v>1</v>
      </c>
      <c r="P59" s="595" t="n"/>
      <c r="Q59" s="597" t="inlineStr">
        <is>
          <t>cxc</t>
        </is>
      </c>
      <c r="R59" s="597" t="inlineStr">
        <is>
          <t>daily</t>
        </is>
      </c>
      <c r="S59" s="597" t="n">
        <v>1200</v>
      </c>
      <c r="T59" s="598" t="n">
        <v>0</v>
      </c>
      <c r="U59" s="729" t="n"/>
      <c r="V59" s="601" t="n"/>
      <c r="W59" s="732" t="n"/>
      <c r="X59" s="732" t="n"/>
      <c r="Y59" s="733" t="n"/>
      <c r="Z59" s="732" t="n"/>
      <c r="AA59" s="741">
        <f>S59*222</f>
        <v>266400.0</v>
      </c>
      <c r="AB59" s="606" t="n"/>
    </row>
    <row r="60">
      <c r="A60" s="590" t="inlineStr">
        <is>
          <t>c</t>
        </is>
      </c>
      <c r="B60" s="591" t="inlineStr">
        <is>
          <t>Jason McNamara</t>
        </is>
      </c>
      <c r="C60" s="592" t="inlineStr">
        <is>
          <t>Project Manager Retail</t>
        </is>
      </c>
      <c r="D60" s="591" t="inlineStr">
        <is>
          <t>Greg Cassis</t>
        </is>
      </c>
      <c r="E60" s="593" t="inlineStr">
        <is>
          <t>GM TDD, EGI</t>
        </is>
      </c>
      <c r="F60" s="591" t="inlineStr">
        <is>
          <t>EGI</t>
        </is>
      </c>
      <c r="G60" s="593" t="inlineStr">
        <is>
          <t>EGI</t>
        </is>
      </c>
      <c r="H60" s="593" t="inlineStr">
        <is>
          <t>EGI</t>
        </is>
      </c>
      <c r="I60" s="593" t="inlineStr">
        <is>
          <t>EGI</t>
        </is>
      </c>
      <c r="J60" s="593" t="inlineStr">
        <is>
          <t>EGI</t>
        </is>
      </c>
      <c r="K60" s="593" t="inlineStr">
        <is>
          <t>EGI</t>
        </is>
      </c>
      <c r="L60" s="593" t="n"/>
      <c r="M60" s="594" t="inlineStr">
        <is>
          <t>Australia</t>
        </is>
      </c>
      <c r="N60" s="595" t="inlineStr">
        <is>
          <t>na</t>
        </is>
      </c>
      <c r="O60" s="596" t="n">
        <v>1</v>
      </c>
      <c r="P60" s="595" t="n"/>
      <c r="Q60" s="597" t="inlineStr">
        <is>
          <t>cxc</t>
        </is>
      </c>
      <c r="R60" s="597" t="inlineStr">
        <is>
          <t>daily</t>
        </is>
      </c>
      <c r="S60" s="597" t="n">
        <v>2200</v>
      </c>
      <c r="T60" s="598" t="n">
        <v>0</v>
      </c>
      <c r="U60" s="729" t="n"/>
      <c r="V60" s="600" t="n"/>
      <c r="W60" s="596" t="n"/>
      <c r="X60" s="601" t="n"/>
      <c r="Y60" s="730" t="n"/>
      <c r="Z60" s="601" t="n"/>
      <c r="AA60" s="741">
        <f>S60*222</f>
        <v>488400.0</v>
      </c>
    </row>
    <row r="61">
      <c r="A61" s="590" t="inlineStr">
        <is>
          <t>c</t>
        </is>
      </c>
      <c r="B61" s="591" t="inlineStr">
        <is>
          <t>Jason Sipkovic</t>
        </is>
      </c>
      <c r="C61" s="592" t="inlineStr">
        <is>
          <t>strategic program architect</t>
        </is>
      </c>
      <c r="D61" s="591" t="inlineStr">
        <is>
          <t>Trena Foote</t>
        </is>
      </c>
      <c r="E61" s="591" t="inlineStr">
        <is>
          <t>Project Manger</t>
        </is>
      </c>
      <c r="F61" s="591" t="inlineStr">
        <is>
          <t>EGI</t>
        </is>
      </c>
      <c r="G61" s="593" t="inlineStr">
        <is>
          <t>EGI</t>
        </is>
      </c>
      <c r="H61" s="593" t="inlineStr">
        <is>
          <t>EGI</t>
        </is>
      </c>
      <c r="I61" s="593" t="inlineStr">
        <is>
          <t>EGI</t>
        </is>
      </c>
      <c r="J61" s="593" t="inlineStr">
        <is>
          <t>EGI</t>
        </is>
      </c>
      <c r="K61" s="593" t="inlineStr">
        <is>
          <t>EGI</t>
        </is>
      </c>
      <c r="L61" s="593" t="n"/>
      <c r="M61" s="594" t="inlineStr">
        <is>
          <t>Australia</t>
        </is>
      </c>
      <c r="N61" s="595" t="inlineStr">
        <is>
          <t>na</t>
        </is>
      </c>
      <c r="O61" s="596" t="n">
        <v>1</v>
      </c>
      <c r="P61" s="595" t="n"/>
      <c r="Q61" s="597" t="inlineStr">
        <is>
          <t>cxc</t>
        </is>
      </c>
      <c r="R61" s="597" t="inlineStr">
        <is>
          <t>daily</t>
        </is>
      </c>
      <c r="S61" s="597" t="n">
        <v>1500</v>
      </c>
      <c r="T61" s="598" t="n">
        <v>0</v>
      </c>
      <c r="U61" s="729" t="n"/>
      <c r="V61" s="600" t="n"/>
      <c r="W61" s="596" t="n"/>
      <c r="X61" s="601" t="n"/>
      <c r="Y61" s="730" t="n"/>
      <c r="Z61" s="601" t="n"/>
      <c r="AA61" s="741">
        <f>S61*222</f>
        <v>333000.0</v>
      </c>
    </row>
    <row r="62">
      <c r="A62" s="590" t="inlineStr">
        <is>
          <t>c</t>
        </is>
      </c>
      <c r="B62" s="591" t="inlineStr">
        <is>
          <t>Kanika Narula</t>
        </is>
      </c>
      <c r="C62" s="592" t="inlineStr">
        <is>
          <t>Business Analyst Digital</t>
        </is>
      </c>
      <c r="D62" s="591" t="inlineStr">
        <is>
          <t>Mitesh Shah</t>
        </is>
      </c>
      <c r="E62" s="591" t="inlineStr">
        <is>
          <t>Technology Manager, Digitial</t>
        </is>
      </c>
      <c r="F62" s="591" t="inlineStr">
        <is>
          <t>EGI</t>
        </is>
      </c>
      <c r="G62" s="593" t="inlineStr">
        <is>
          <t>EGI</t>
        </is>
      </c>
      <c r="H62" s="593" t="inlineStr">
        <is>
          <t>EGI</t>
        </is>
      </c>
      <c r="I62" s="593" t="inlineStr">
        <is>
          <t>EGI</t>
        </is>
      </c>
      <c r="J62" s="593" t="inlineStr">
        <is>
          <t>EGI</t>
        </is>
      </c>
      <c r="K62" s="593" t="inlineStr">
        <is>
          <t>EGI</t>
        </is>
      </c>
      <c r="L62" s="591" t="n"/>
      <c r="M62" s="594" t="inlineStr">
        <is>
          <t>Australia</t>
        </is>
      </c>
      <c r="N62" s="595" t="inlineStr">
        <is>
          <t>na</t>
        </is>
      </c>
      <c r="O62" s="595" t="n">
        <v>1</v>
      </c>
      <c r="P62" s="595" t="n"/>
      <c r="Q62" s="597" t="inlineStr">
        <is>
          <t>cxc</t>
        </is>
      </c>
      <c r="R62" s="597" t="inlineStr">
        <is>
          <t>daily</t>
        </is>
      </c>
      <c r="S62" s="597" t="n">
        <v>1078.84</v>
      </c>
      <c r="T62" s="598" t="n">
        <v>0</v>
      </c>
      <c r="U62" s="729" t="n"/>
      <c r="V62" s="601" t="n"/>
      <c r="W62" s="732" t="n"/>
      <c r="X62" s="732" t="n"/>
      <c r="Y62" s="733" t="n"/>
      <c r="Z62" s="732" t="n"/>
      <c r="AA62" s="741">
        <f>S62*222</f>
        <v>239502.47999999998</v>
      </c>
      <c r="AB62" s="606" t="n"/>
    </row>
    <row r="63">
      <c r="A63" s="590" t="inlineStr">
        <is>
          <t>c</t>
        </is>
      </c>
      <c r="B63" s="591" t="inlineStr">
        <is>
          <t>Karl Reyneke</t>
        </is>
      </c>
      <c r="C63" s="592" t="inlineStr">
        <is>
          <t>Strategic Delivery Consultant</t>
        </is>
      </c>
      <c r="D63" s="591" t="inlineStr">
        <is>
          <t>Greg Cassis</t>
        </is>
      </c>
      <c r="E63" s="593" t="inlineStr">
        <is>
          <t>GM TDD, EGI</t>
        </is>
      </c>
      <c r="F63" s="591" t="inlineStr">
        <is>
          <t>EGI</t>
        </is>
      </c>
      <c r="G63" s="593" t="inlineStr">
        <is>
          <t>EGI</t>
        </is>
      </c>
      <c r="H63" s="593" t="inlineStr">
        <is>
          <t>EGI</t>
        </is>
      </c>
      <c r="I63" s="593" t="inlineStr">
        <is>
          <t>EGI</t>
        </is>
      </c>
      <c r="J63" s="593" t="inlineStr">
        <is>
          <t>EGI</t>
        </is>
      </c>
      <c r="K63" s="593" t="inlineStr">
        <is>
          <t>EGI</t>
        </is>
      </c>
      <c r="L63" s="593" t="n"/>
      <c r="M63" s="594" t="inlineStr">
        <is>
          <t>australia</t>
        </is>
      </c>
      <c r="N63" s="597" t="inlineStr">
        <is>
          <t>na</t>
        </is>
      </c>
      <c r="O63" s="595" t="n">
        <v>1</v>
      </c>
      <c r="P63" s="597" t="n"/>
      <c r="Q63" s="597" t="inlineStr">
        <is>
          <t>cxc</t>
        </is>
      </c>
      <c r="R63" s="619" t="inlineStr">
        <is>
          <t>daily</t>
        </is>
      </c>
      <c r="S63" s="597" t="n">
        <v>1350</v>
      </c>
      <c r="T63" s="598" t="n">
        <v>0</v>
      </c>
      <c r="U63" s="598" t="n"/>
      <c r="V63" s="593" t="n"/>
      <c r="W63" s="593" t="n"/>
      <c r="X63" s="593" t="n"/>
      <c r="Y63" s="593" t="n"/>
      <c r="Z63" s="593" t="n"/>
      <c r="AA63" s="741">
        <f>S63*222</f>
        <v>299700.0</v>
      </c>
      <c r="AB63" s="606" t="n"/>
    </row>
    <row r="64">
      <c r="A64" s="590" t="inlineStr">
        <is>
          <t>c</t>
        </is>
      </c>
      <c r="B64" s="591" t="inlineStr">
        <is>
          <t>michelle Siegman</t>
        </is>
      </c>
      <c r="C64" s="592" t="inlineStr">
        <is>
          <t>Strategic Delivery Consultant</t>
        </is>
      </c>
      <c r="D64" s="591" t="inlineStr">
        <is>
          <t>Greg Cassis</t>
        </is>
      </c>
      <c r="E64" s="593" t="inlineStr">
        <is>
          <t>GM TDD, EGI</t>
        </is>
      </c>
      <c r="F64" s="591" t="inlineStr">
        <is>
          <t>EGI</t>
        </is>
      </c>
      <c r="G64" s="593" t="inlineStr">
        <is>
          <t>EGI</t>
        </is>
      </c>
      <c r="H64" s="593" t="inlineStr">
        <is>
          <t>EGI</t>
        </is>
      </c>
      <c r="I64" s="593" t="inlineStr">
        <is>
          <t>EGI</t>
        </is>
      </c>
      <c r="J64" s="593" t="inlineStr">
        <is>
          <t>EGI</t>
        </is>
      </c>
      <c r="K64" s="593" t="inlineStr">
        <is>
          <t>EGI</t>
        </is>
      </c>
      <c r="L64" s="593" t="n"/>
      <c r="M64" s="594" t="inlineStr">
        <is>
          <t>Australia</t>
        </is>
      </c>
      <c r="N64" s="595" t="inlineStr">
        <is>
          <t>na</t>
        </is>
      </c>
      <c r="O64" s="596" t="n">
        <v>1</v>
      </c>
      <c r="P64" s="595" t="n"/>
      <c r="Q64" s="597" t="inlineStr">
        <is>
          <t>cxc</t>
        </is>
      </c>
      <c r="R64" s="597" t="inlineStr">
        <is>
          <t>Daily</t>
        </is>
      </c>
      <c r="S64" s="597" t="n">
        <v>1038</v>
      </c>
      <c r="T64" s="598" t="n">
        <v>0</v>
      </c>
      <c r="U64" s="729" t="n"/>
      <c r="V64" s="600" t="n"/>
      <c r="W64" s="597" t="n"/>
      <c r="X64" s="601" t="n"/>
      <c r="Y64" s="730" t="n"/>
      <c r="Z64" s="601" t="n"/>
      <c r="AA64" s="741">
        <f>S64*222</f>
        <v>230436.0</v>
      </c>
    </row>
    <row r="65">
      <c r="A65" s="621" t="n">
        <v>106830</v>
      </c>
      <c r="B65" s="591" t="inlineStr">
        <is>
          <t>Moitri Pal</t>
        </is>
      </c>
      <c r="C65" s="592" t="inlineStr">
        <is>
          <t>Portfolio Mnager</t>
        </is>
      </c>
      <c r="D65" s="591" t="inlineStr">
        <is>
          <t>Greg Cassis</t>
        </is>
      </c>
      <c r="E65" s="591" t="inlineStr">
        <is>
          <t>GM TDD, EGI</t>
        </is>
      </c>
      <c r="F65" s="591" t="inlineStr">
        <is>
          <t>EGI</t>
        </is>
      </c>
      <c r="G65" s="593" t="inlineStr">
        <is>
          <t>EGI</t>
        </is>
      </c>
      <c r="H65" s="593" t="inlineStr">
        <is>
          <t>EGI</t>
        </is>
      </c>
      <c r="I65" s="593" t="inlineStr">
        <is>
          <t>EGI</t>
        </is>
      </c>
      <c r="J65" s="593" t="inlineStr">
        <is>
          <t>EGI</t>
        </is>
      </c>
      <c r="K65" s="593" t="inlineStr">
        <is>
          <t>EGI</t>
        </is>
      </c>
      <c r="L65" s="593" t="n"/>
      <c r="M65" s="594" t="inlineStr">
        <is>
          <t>Australia</t>
        </is>
      </c>
      <c r="N65" s="595" t="inlineStr">
        <is>
          <t>CSC</t>
        </is>
      </c>
      <c r="O65" s="595" t="n">
        <v>1</v>
      </c>
      <c r="P65" s="595" t="n"/>
      <c r="Q65" s="595" t="inlineStr">
        <is>
          <t>Permanent - Full Time</t>
        </is>
      </c>
      <c r="R65" s="597" t="n"/>
      <c r="S65" s="597" t="n"/>
      <c r="T65" s="598" t="n">
        <v>230010</v>
      </c>
      <c r="U65" s="729">
        <f>T65</f>
        <v>230010.0</v>
      </c>
      <c r="V65" s="601" t="n">
        <v>0.2</v>
      </c>
      <c r="W65" s="732" t="n">
        <v>0.055</v>
      </c>
      <c r="X65" s="732" t="n">
        <v>0.12</v>
      </c>
      <c r="Y65" s="733" t="n"/>
      <c r="Z65" s="732" t="n">
        <v>0.04</v>
      </c>
      <c r="AA65" s="731">
        <f>U65*(1+V65+W65+X65+Y65+Z65)</f>
        <v>325464.15</v>
      </c>
      <c r="AB65" s="606" t="n"/>
    </row>
    <row r="66">
      <c r="A66" s="590" t="inlineStr">
        <is>
          <t>C</t>
        </is>
      </c>
      <c r="B66" s="591" t="inlineStr">
        <is>
          <t>Niall Greene</t>
        </is>
      </c>
      <c r="C66" s="592" t="inlineStr">
        <is>
          <t>Project Manager (PEP13-EGI-UKG)</t>
        </is>
      </c>
      <c r="D66" s="591" t="inlineStr">
        <is>
          <t>Areum Kim-Lee</t>
        </is>
      </c>
      <c r="E66" s="593" t="inlineStr">
        <is>
          <t>GM TDD, EGI</t>
        </is>
      </c>
      <c r="F66" s="591" t="inlineStr">
        <is>
          <t>EGI</t>
        </is>
      </c>
      <c r="G66" s="593" t="inlineStr">
        <is>
          <t>EGI</t>
        </is>
      </c>
      <c r="H66" s="593" t="inlineStr">
        <is>
          <t>EGI</t>
        </is>
      </c>
      <c r="I66" s="593" t="inlineStr">
        <is>
          <t>EGI</t>
        </is>
      </c>
      <c r="J66" s="593" t="inlineStr">
        <is>
          <t>EGI</t>
        </is>
      </c>
      <c r="K66" s="591" t="inlineStr">
        <is>
          <t>EGI</t>
        </is>
      </c>
      <c r="L66" s="593" t="n"/>
      <c r="M66" s="594" t="inlineStr">
        <is>
          <t>Australia</t>
        </is>
      </c>
      <c r="N66" s="597" t="inlineStr">
        <is>
          <t>NA</t>
        </is>
      </c>
      <c r="O66" s="595" t="n">
        <v>1</v>
      </c>
      <c r="P66" s="597" t="n"/>
      <c r="Q66" s="597" t="inlineStr">
        <is>
          <t>cxc</t>
        </is>
      </c>
      <c r="R66" s="619" t="inlineStr">
        <is>
          <t>Daily</t>
        </is>
      </c>
      <c r="S66" s="597" t="n">
        <v>1100</v>
      </c>
      <c r="T66" s="598" t="n">
        <v>0</v>
      </c>
      <c r="U66" s="598" t="n"/>
      <c r="V66" s="593" t="n"/>
      <c r="W66" s="593" t="n"/>
      <c r="X66" s="593" t="n"/>
      <c r="Y66" s="593" t="n"/>
      <c r="Z66" s="593" t="n"/>
      <c r="AA66" s="741">
        <f>S66*222</f>
        <v>244200.0</v>
      </c>
      <c r="AB66" s="606" t="n"/>
    </row>
    <row r="67">
      <c r="A67" s="590" t="inlineStr">
        <is>
          <t>c</t>
        </is>
      </c>
      <c r="B67" s="591" t="inlineStr">
        <is>
          <t>Paul Hassey</t>
        </is>
      </c>
      <c r="C67" s="592" t="inlineStr">
        <is>
          <t>Program Architect</t>
        </is>
      </c>
      <c r="D67" s="593" t="inlineStr">
        <is>
          <t>Ed Tacey</t>
        </is>
      </c>
      <c r="E67" s="591" t="n"/>
      <c r="F67" s="591" t="inlineStr">
        <is>
          <t>EGI</t>
        </is>
      </c>
      <c r="G67" s="593" t="inlineStr">
        <is>
          <t>EGI</t>
        </is>
      </c>
      <c r="H67" s="593" t="inlineStr">
        <is>
          <t>EGI</t>
        </is>
      </c>
      <c r="I67" s="593" t="inlineStr">
        <is>
          <t>EGI</t>
        </is>
      </c>
      <c r="J67" s="593" t="inlineStr">
        <is>
          <t>EGI</t>
        </is>
      </c>
      <c r="K67" s="593" t="inlineStr">
        <is>
          <t>EGI</t>
        </is>
      </c>
      <c r="L67" s="591" t="n"/>
      <c r="M67" s="594" t="inlineStr">
        <is>
          <t>Australia</t>
        </is>
      </c>
      <c r="N67" s="595" t="inlineStr">
        <is>
          <t>na</t>
        </is>
      </c>
      <c r="O67" s="595" t="n">
        <v>1</v>
      </c>
      <c r="P67" s="595" t="n"/>
      <c r="Q67" s="597" t="inlineStr">
        <is>
          <t>cxc</t>
        </is>
      </c>
      <c r="R67" s="597" t="inlineStr">
        <is>
          <t>Daily</t>
        </is>
      </c>
      <c r="S67" s="597" t="n">
        <v>1400</v>
      </c>
      <c r="T67" s="598" t="n">
        <v>0</v>
      </c>
      <c r="U67" s="729" t="n"/>
      <c r="V67" s="601" t="n"/>
      <c r="W67" s="732" t="n"/>
      <c r="X67" s="732" t="n"/>
      <c r="Y67" s="733" t="n"/>
      <c r="Z67" s="732" t="n"/>
      <c r="AA67" s="741">
        <f>S67*222</f>
        <v>310800.0</v>
      </c>
      <c r="AB67" s="606" t="n"/>
    </row>
    <row r="68">
      <c r="A68" s="590" t="inlineStr">
        <is>
          <t>c</t>
        </is>
      </c>
      <c r="B68" s="591" t="inlineStr">
        <is>
          <t>vijay Solanki</t>
        </is>
      </c>
      <c r="C68" s="592" t="inlineStr">
        <is>
          <t>Project Manager Deployment</t>
        </is>
      </c>
      <c r="D68" s="591" t="inlineStr">
        <is>
          <t>greg Cassis</t>
        </is>
      </c>
      <c r="E68" s="591" t="n"/>
      <c r="F68" s="591" t="inlineStr">
        <is>
          <t>EGI</t>
        </is>
      </c>
      <c r="G68" s="593" t="n"/>
      <c r="H68" s="591" t="n"/>
      <c r="I68" s="591" t="n"/>
      <c r="J68" s="622" t="inlineStr">
        <is>
          <t>EGI</t>
        </is>
      </c>
      <c r="K68" s="591" t="inlineStr">
        <is>
          <t>EGI</t>
        </is>
      </c>
      <c r="L68" s="593" t="n"/>
      <c r="M68" s="594" t="inlineStr">
        <is>
          <t>Australia</t>
        </is>
      </c>
      <c r="N68" s="595" t="inlineStr">
        <is>
          <t>na</t>
        </is>
      </c>
      <c r="O68" s="595" t="n">
        <v>1</v>
      </c>
      <c r="P68" s="595" t="n"/>
      <c r="Q68" s="597" t="inlineStr">
        <is>
          <t>cxc</t>
        </is>
      </c>
      <c r="R68" s="597" t="inlineStr">
        <is>
          <t>Daily</t>
        </is>
      </c>
      <c r="S68" s="597" t="n">
        <v>1200</v>
      </c>
      <c r="T68" s="598" t="n">
        <v>0</v>
      </c>
      <c r="U68" s="729" t="n"/>
      <c r="V68" s="601" t="n"/>
      <c r="W68" s="732" t="n"/>
      <c r="X68" s="732" t="n"/>
      <c r="Y68" s="733" t="n"/>
      <c r="Z68" s="732" t="n"/>
      <c r="AA68" s="741">
        <f>S68*222</f>
        <v>266400.0</v>
      </c>
      <c r="AB68" s="606" t="n"/>
    </row>
    <row r="69">
      <c r="A69" s="590" t="inlineStr">
        <is>
          <t>C</t>
        </is>
      </c>
      <c r="B69" s="591" t="inlineStr">
        <is>
          <t>Winnie Fernandes</t>
        </is>
      </c>
      <c r="C69" s="592" t="inlineStr">
        <is>
          <t>Delivery Lead - Integration</t>
        </is>
      </c>
      <c r="D69" s="591" t="inlineStr">
        <is>
          <t>Moitri Pal</t>
        </is>
      </c>
      <c r="E69" s="591" t="inlineStr">
        <is>
          <t>Program Manager - EGI</t>
        </is>
      </c>
      <c r="F69" s="591" t="inlineStr">
        <is>
          <t>EGI</t>
        </is>
      </c>
      <c r="G69" s="593" t="inlineStr">
        <is>
          <t>EGI</t>
        </is>
      </c>
      <c r="H69" s="593" t="inlineStr">
        <is>
          <t>EGI</t>
        </is>
      </c>
      <c r="I69" s="593" t="inlineStr">
        <is>
          <t>EGI</t>
        </is>
      </c>
      <c r="J69" s="593" t="inlineStr">
        <is>
          <t>EGI</t>
        </is>
      </c>
      <c r="K69" s="591" t="inlineStr">
        <is>
          <t>EGI</t>
        </is>
      </c>
      <c r="L69" s="593" t="n"/>
      <c r="M69" s="594" t="inlineStr">
        <is>
          <t>Australia</t>
        </is>
      </c>
      <c r="N69" s="597" t="inlineStr">
        <is>
          <t>NA</t>
        </is>
      </c>
      <c r="O69" s="595" t="n">
        <v>1</v>
      </c>
      <c r="P69" s="597" t="n"/>
      <c r="Q69" s="597" t="inlineStr">
        <is>
          <t>cxc</t>
        </is>
      </c>
      <c r="R69" s="619" t="inlineStr">
        <is>
          <t>Daily</t>
        </is>
      </c>
      <c r="S69" s="597" t="n">
        <v>1232</v>
      </c>
      <c r="T69" s="598" t="n">
        <v>0</v>
      </c>
      <c r="U69" s="598" t="n"/>
      <c r="V69" s="593" t="n"/>
      <c r="W69" s="593" t="n"/>
      <c r="X69" s="593" t="n"/>
      <c r="Y69" s="593" t="n"/>
      <c r="Z69" s="593" t="n"/>
      <c r="AA69" s="741">
        <f>S69*222</f>
        <v>273504.0</v>
      </c>
      <c r="AB69" s="606" t="n"/>
    </row>
    <row r="70">
      <c r="A70" s="590" t="n">
        <v>95835</v>
      </c>
      <c r="B70" s="591" t="inlineStr">
        <is>
          <t>Briony Scott</t>
        </is>
      </c>
      <c r="C70" s="592" t="inlineStr">
        <is>
          <t>Service &amp; Contract Specialist AU</t>
        </is>
      </c>
      <c r="D70" s="593" t="inlineStr">
        <is>
          <t>Vacant</t>
        </is>
      </c>
      <c r="E70" s="591" t="inlineStr">
        <is>
          <t>Commercial Director</t>
        </is>
      </c>
      <c r="F70" s="591" t="inlineStr">
        <is>
          <t>Partnering &amp; Transformation</t>
        </is>
      </c>
      <c r="G70" s="591" t="inlineStr">
        <is>
          <t>Commercial</t>
        </is>
      </c>
      <c r="H70" s="591" t="inlineStr">
        <is>
          <t>NA</t>
        </is>
      </c>
      <c r="I70" s="591" t="inlineStr">
        <is>
          <t>NA</t>
        </is>
      </c>
      <c r="J70" s="591" t="inlineStr">
        <is>
          <t>NA</t>
        </is>
      </c>
      <c r="K70" s="591" t="inlineStr">
        <is>
          <t>NA</t>
        </is>
      </c>
      <c r="L70" s="593" t="n"/>
      <c r="M70" s="594" t="inlineStr">
        <is>
          <t>Australia</t>
        </is>
      </c>
      <c r="N70" s="595" t="inlineStr">
        <is>
          <t>CIB</t>
        </is>
      </c>
      <c r="O70" s="595" t="n">
        <v>1</v>
      </c>
      <c r="P70" s="595" t="n"/>
      <c r="Q70" s="595" t="inlineStr">
        <is>
          <t>Permanent - Full Time</t>
        </is>
      </c>
      <c r="R70" s="597" t="n"/>
      <c r="S70" s="597" t="n"/>
      <c r="T70" s="598" t="n">
        <v>153600</v>
      </c>
      <c r="U70" s="729" t="n">
        <v>153600</v>
      </c>
      <c r="V70" s="601" t="n">
        <v>0.12</v>
      </c>
      <c r="W70" s="732" t="n">
        <v>0.055</v>
      </c>
      <c r="X70" s="732" t="n">
        <v>0.12</v>
      </c>
      <c r="Y70" s="733" t="n"/>
      <c r="Z70" s="732" t="n">
        <v>0.04</v>
      </c>
      <c r="AA70" s="731">
        <f>U70*(1+V70+W70+X70+Y70+Z70)</f>
        <v>205056.0</v>
      </c>
      <c r="AB70" s="606" t="n"/>
    </row>
    <row r="71">
      <c r="A71" s="590" t="n">
        <v>102411</v>
      </c>
      <c r="B71" s="591" t="inlineStr">
        <is>
          <t>Conli Mills</t>
        </is>
      </c>
      <c r="C71" s="592" t="inlineStr">
        <is>
          <t>TDD BP - Infrastructure</t>
        </is>
      </c>
      <c r="D71" s="589" t="inlineStr">
        <is>
          <t>Michael Schofield</t>
        </is>
      </c>
      <c r="E71" s="591" t="inlineStr">
        <is>
          <t>GM TDD, Partnering &amp; Transformation</t>
        </is>
      </c>
      <c r="F71" s="591" t="inlineStr">
        <is>
          <t>Partnering &amp; Transformation</t>
        </is>
      </c>
      <c r="G71" s="591" t="inlineStr">
        <is>
          <t>TDD Business Partner</t>
        </is>
      </c>
      <c r="H71" s="591" t="inlineStr">
        <is>
          <t>NA</t>
        </is>
      </c>
      <c r="I71" s="591" t="inlineStr">
        <is>
          <t>NA</t>
        </is>
      </c>
      <c r="J71" s="591" t="inlineStr">
        <is>
          <t>NA</t>
        </is>
      </c>
      <c r="K71" s="591" t="inlineStr">
        <is>
          <t>NA</t>
        </is>
      </c>
      <c r="L71" s="593" t="n"/>
      <c r="M71" s="594" t="inlineStr">
        <is>
          <t>Australia</t>
        </is>
      </c>
      <c r="N71" s="595" t="inlineStr">
        <is>
          <t>CSC</t>
        </is>
      </c>
      <c r="O71" s="595" t="n">
        <v>1</v>
      </c>
      <c r="P71" s="595" t="n"/>
      <c r="Q71" s="595" t="inlineStr">
        <is>
          <t>Permanent - Full Time</t>
        </is>
      </c>
      <c r="R71" s="597" t="n"/>
      <c r="S71" s="597" t="n"/>
      <c r="T71" s="598" t="n">
        <v>210000</v>
      </c>
      <c r="U71" s="729" t="n">
        <v>210000</v>
      </c>
      <c r="V71" s="601" t="n">
        <v>0.2</v>
      </c>
      <c r="W71" s="732" t="n">
        <v>0.055</v>
      </c>
      <c r="X71" s="732" t="n">
        <v>0.12</v>
      </c>
      <c r="Y71" s="733" t="n"/>
      <c r="Z71" s="732" t="n">
        <v>0.04</v>
      </c>
      <c r="AA71" s="731">
        <f>U71*(1+V71+W71+X71+Y71+Z71)</f>
        <v>297150.0</v>
      </c>
      <c r="AB71" s="606" t="n"/>
    </row>
    <row r="72">
      <c r="A72" s="590" t="n">
        <v>99999170371</v>
      </c>
      <c r="B72" s="591" t="inlineStr">
        <is>
          <t>Helen Ngu</t>
        </is>
      </c>
      <c r="C72" s="592" t="inlineStr">
        <is>
          <t>Service &amp; Contract Specialist NZ</t>
        </is>
      </c>
      <c r="D72" s="593" t="inlineStr">
        <is>
          <t>Vacant</t>
        </is>
      </c>
      <c r="E72" s="591" t="inlineStr">
        <is>
          <t>Commercial Director</t>
        </is>
      </c>
      <c r="F72" s="591" t="inlineStr">
        <is>
          <t>Partnering &amp; Transformation</t>
        </is>
      </c>
      <c r="G72" s="591" t="inlineStr">
        <is>
          <t>Commercial</t>
        </is>
      </c>
      <c r="H72" s="591" t="inlineStr">
        <is>
          <t>NA</t>
        </is>
      </c>
      <c r="I72" s="591" t="inlineStr">
        <is>
          <t>NA</t>
        </is>
      </c>
      <c r="J72" s="591" t="inlineStr">
        <is>
          <t>NA</t>
        </is>
      </c>
      <c r="K72" s="591" t="inlineStr">
        <is>
          <t>NA</t>
        </is>
      </c>
      <c r="L72" s="593" t="n"/>
      <c r="M72" s="594" t="inlineStr">
        <is>
          <t>NZ</t>
        </is>
      </c>
      <c r="N72" s="595" t="inlineStr">
        <is>
          <t>CIA</t>
        </is>
      </c>
      <c r="O72" s="596" t="n">
        <v>1</v>
      </c>
      <c r="P72" s="595" t="n"/>
      <c r="Q72" s="596" t="inlineStr">
        <is>
          <t>Permanent - Full Time</t>
        </is>
      </c>
      <c r="R72" s="597" t="n"/>
      <c r="S72" s="597" t="n"/>
      <c r="T72" s="598" t="n">
        <v>130870</v>
      </c>
      <c r="U72" s="729" t="n">
        <v>120400.4</v>
      </c>
      <c r="V72" s="600" t="n">
        <v>0.15</v>
      </c>
      <c r="W72" s="596" t="n"/>
      <c r="X72" s="601" t="n">
        <v>0.05</v>
      </c>
      <c r="Y72" s="730" t="n">
        <v>2910</v>
      </c>
      <c r="Z72" s="601" t="n">
        <v>0.03</v>
      </c>
      <c r="AA72" s="731">
        <f>U72*(1+V72+X72+Z72)+Y72</f>
        <v>151002.492</v>
      </c>
      <c r="AB72" s="589" t="n">
        <v>113546</v>
      </c>
    </row>
    <row r="73">
      <c r="A73" s="590" t="n">
        <v>113362</v>
      </c>
      <c r="B73" s="591" t="inlineStr">
        <is>
          <t>Jane Esclandra</t>
        </is>
      </c>
      <c r="C73" s="592" t="inlineStr">
        <is>
          <t>Software Asset Specialist</t>
        </is>
      </c>
      <c r="D73" s="593" t="inlineStr">
        <is>
          <t>Vacant</t>
        </is>
      </c>
      <c r="E73" s="591" t="inlineStr">
        <is>
          <t>Commercial Director</t>
        </is>
      </c>
      <c r="F73" s="591" t="inlineStr">
        <is>
          <t>Partnering &amp; Transformation</t>
        </is>
      </c>
      <c r="G73" s="591" t="inlineStr">
        <is>
          <t>Commercial</t>
        </is>
      </c>
      <c r="H73" s="591" t="inlineStr">
        <is>
          <t>NA</t>
        </is>
      </c>
      <c r="I73" s="591" t="inlineStr">
        <is>
          <t>NA</t>
        </is>
      </c>
      <c r="J73" s="591" t="inlineStr">
        <is>
          <t>NA</t>
        </is>
      </c>
      <c r="K73" s="591" t="inlineStr">
        <is>
          <t>NA</t>
        </is>
      </c>
      <c r="L73" s="593" t="n"/>
      <c r="M73" s="594" t="inlineStr">
        <is>
          <t>Australia</t>
        </is>
      </c>
      <c r="N73" s="595" t="inlineStr">
        <is>
          <t>CIB</t>
        </is>
      </c>
      <c r="O73" s="595" t="n">
        <v>1</v>
      </c>
      <c r="P73" s="595" t="n"/>
      <c r="Q73" s="595" t="inlineStr">
        <is>
          <t>Permanent - Full Time</t>
        </is>
      </c>
      <c r="R73" s="597" t="n"/>
      <c r="S73" s="597" t="n"/>
      <c r="T73" s="598" t="n">
        <v>137420</v>
      </c>
      <c r="U73" s="729" t="n">
        <v>137420</v>
      </c>
      <c r="V73" s="601" t="n">
        <v>0.12</v>
      </c>
      <c r="W73" s="732" t="n">
        <v>0.055</v>
      </c>
      <c r="X73" s="732" t="n">
        <v>0.12</v>
      </c>
      <c r="Y73" s="733" t="n"/>
      <c r="Z73" s="732" t="n">
        <v>0.04</v>
      </c>
      <c r="AA73" s="731">
        <f>U73*(1+V73+W73+X73+Y73+Z73)</f>
        <v>183455.69999999998</v>
      </c>
      <c r="AB73" s="606" t="n"/>
    </row>
    <row r="74">
      <c r="A74" s="590" t="n">
        <v>12992</v>
      </c>
      <c r="B74" s="591" t="inlineStr">
        <is>
          <t>Jeannie Chu</t>
        </is>
      </c>
      <c r="C74" s="592" t="inlineStr">
        <is>
          <t>Snr Finance Support Administrator</t>
        </is>
      </c>
      <c r="D74" s="589" t="inlineStr">
        <is>
          <t>Sam Chan</t>
        </is>
      </c>
      <c r="E74" s="591" t="inlineStr">
        <is>
          <t>Fin Ops Manager</t>
        </is>
      </c>
      <c r="F74" s="591" t="inlineStr">
        <is>
          <t>Partnering &amp; Transformation</t>
        </is>
      </c>
      <c r="G74" s="591" t="inlineStr">
        <is>
          <t>Transformation</t>
        </is>
      </c>
      <c r="H74" s="591" t="inlineStr">
        <is>
          <t>NA</t>
        </is>
      </c>
      <c r="I74" s="591" t="inlineStr">
        <is>
          <t>NA</t>
        </is>
      </c>
      <c r="J74" s="591" t="inlineStr">
        <is>
          <t>NA</t>
        </is>
      </c>
      <c r="K74" s="591" t="inlineStr">
        <is>
          <t>NA</t>
        </is>
      </c>
      <c r="L74" s="593" t="n"/>
      <c r="M74" s="594" t="inlineStr">
        <is>
          <t>Australia</t>
        </is>
      </c>
      <c r="N74" s="597" t="inlineStr">
        <is>
          <t>CDC</t>
        </is>
      </c>
      <c r="O74" s="597" t="n">
        <v>1</v>
      </c>
      <c r="P74" s="597" t="n"/>
      <c r="Q74" s="597" t="inlineStr">
        <is>
          <t>Permanent - Full Time</t>
        </is>
      </c>
      <c r="R74" s="597" t="n"/>
      <c r="S74" s="597" t="n"/>
      <c r="T74" s="598" t="n">
        <v>112310</v>
      </c>
      <c r="U74" s="729" t="n">
        <v>112310</v>
      </c>
      <c r="V74" s="601" t="n">
        <v>0.1</v>
      </c>
      <c r="W74" s="732" t="n">
        <v>0.055</v>
      </c>
      <c r="X74" s="732" t="n">
        <v>0.12</v>
      </c>
      <c r="Y74" s="733" t="n"/>
      <c r="Z74" s="732" t="n">
        <v>0.04</v>
      </c>
      <c r="AA74" s="731">
        <f>U74*(1+V74+W74+X74+Y74+Z74)</f>
        <v>147687.65</v>
      </c>
      <c r="AB74" s="606" t="n"/>
    </row>
    <row r="75">
      <c r="A75" s="590" t="n">
        <v>82561</v>
      </c>
      <c r="B75" s="591" t="inlineStr">
        <is>
          <t>Jenny Chan</t>
        </is>
      </c>
      <c r="C75" s="592" t="inlineStr">
        <is>
          <t>Project Finance Lead</t>
        </is>
      </c>
      <c r="D75" s="591" t="inlineStr">
        <is>
          <t>Sam Chan</t>
        </is>
      </c>
      <c r="E75" s="591" t="inlineStr">
        <is>
          <t xml:space="preserve">Manager Risk &amp; Resilience </t>
        </is>
      </c>
      <c r="F75" s="591" t="inlineStr">
        <is>
          <t>Partnering &amp; Transformation</t>
        </is>
      </c>
      <c r="G75" s="591" t="inlineStr">
        <is>
          <t>Transformation</t>
        </is>
      </c>
      <c r="H75" s="591" t="inlineStr">
        <is>
          <t>NA</t>
        </is>
      </c>
      <c r="I75" s="591" t="inlineStr">
        <is>
          <t>NA</t>
        </is>
      </c>
      <c r="J75" s="591" t="inlineStr">
        <is>
          <t>NA</t>
        </is>
      </c>
      <c r="K75" s="591" t="inlineStr">
        <is>
          <t>NA</t>
        </is>
      </c>
      <c r="L75" s="593" t="n"/>
      <c r="M75" s="594" t="inlineStr">
        <is>
          <t>Australia</t>
        </is>
      </c>
      <c r="N75" s="597" t="inlineStr">
        <is>
          <t>CIB</t>
        </is>
      </c>
      <c r="O75" s="597" t="n">
        <v>1</v>
      </c>
      <c r="P75" s="597" t="n"/>
      <c r="Q75" s="597" t="inlineStr">
        <is>
          <t>Permanent - Full Time</t>
        </is>
      </c>
      <c r="R75" s="597" t="n"/>
      <c r="S75" s="597" t="n"/>
      <c r="T75" s="598" t="n">
        <v>154400</v>
      </c>
      <c r="U75" s="729" t="n">
        <v>154400</v>
      </c>
      <c r="V75" s="601" t="n">
        <v>0.12</v>
      </c>
      <c r="W75" s="732" t="n">
        <v>0.055</v>
      </c>
      <c r="X75" s="732" t="n">
        <v>0.12</v>
      </c>
      <c r="Y75" s="733" t="n"/>
      <c r="Z75" s="732" t="n">
        <v>0.04</v>
      </c>
      <c r="AA75" s="731">
        <f>U75*(1+V75+W75+X75+Y75+Z75)</f>
        <v>206124.0</v>
      </c>
      <c r="AB75" s="606" t="n"/>
    </row>
    <row r="76">
      <c r="A76" s="590" t="inlineStr">
        <is>
          <t>tbc</t>
        </is>
      </c>
      <c r="B76" s="591" t="inlineStr">
        <is>
          <t>Malcolm Deare</t>
        </is>
      </c>
      <c r="C76" s="592" t="inlineStr">
        <is>
          <t>TDD BP, Group Functions</t>
        </is>
      </c>
      <c r="D76" s="591" t="inlineStr">
        <is>
          <t>Michael Schofield</t>
        </is>
      </c>
      <c r="E76" s="591" t="inlineStr">
        <is>
          <t>GM TDD, Partnering &amp; Transformation</t>
        </is>
      </c>
      <c r="F76" s="591" t="inlineStr">
        <is>
          <t>Partnering &amp; Transformation</t>
        </is>
      </c>
      <c r="G76" s="591" t="inlineStr">
        <is>
          <t>TDD Business Partner</t>
        </is>
      </c>
      <c r="H76" s="591" t="inlineStr">
        <is>
          <t>NA</t>
        </is>
      </c>
      <c r="I76" s="591" t="inlineStr">
        <is>
          <t>NA</t>
        </is>
      </c>
      <c r="J76" s="591" t="inlineStr">
        <is>
          <t>NA</t>
        </is>
      </c>
      <c r="K76" s="591" t="inlineStr">
        <is>
          <t>NA</t>
        </is>
      </c>
      <c r="L76" s="593" t="n"/>
      <c r="M76" s="594" t="inlineStr">
        <is>
          <t>Australia</t>
        </is>
      </c>
      <c r="N76" s="595" t="inlineStr">
        <is>
          <t>CSB</t>
        </is>
      </c>
      <c r="O76" s="595" t="n">
        <v>1</v>
      </c>
      <c r="P76" s="595" t="n"/>
      <c r="Q76" s="595" t="inlineStr">
        <is>
          <t>Permanent - Full Time</t>
        </is>
      </c>
      <c r="R76" s="597" t="n"/>
      <c r="S76" s="597" t="n"/>
      <c r="T76" s="598" t="n">
        <v>220000</v>
      </c>
      <c r="U76" s="729" t="n">
        <v>220000</v>
      </c>
      <c r="V76" s="601" t="n">
        <v>0.14</v>
      </c>
      <c r="W76" s="732" t="n">
        <v>0.055</v>
      </c>
      <c r="X76" s="732" t="n">
        <v>0.12</v>
      </c>
      <c r="Y76" s="733" t="n"/>
      <c r="Z76" s="732" t="n">
        <v>0.04</v>
      </c>
      <c r="AA76" s="731">
        <f>U76*(1+V76+W76+X76+Y76+Z76)</f>
        <v>298100.0</v>
      </c>
      <c r="AB76" s="606" t="n"/>
    </row>
    <row r="77">
      <c r="A77" s="590" t="n">
        <v>5607</v>
      </c>
      <c r="B77" s="591" t="inlineStr">
        <is>
          <t>Maria Somera</t>
        </is>
      </c>
      <c r="C77" s="592" t="inlineStr">
        <is>
          <t>Technology Finance Analyst</t>
        </is>
      </c>
      <c r="D77" s="591" t="inlineStr">
        <is>
          <t>Sam Chan</t>
        </is>
      </c>
      <c r="E77" s="591" t="inlineStr">
        <is>
          <t>Fin Ops Manager</t>
        </is>
      </c>
      <c r="F77" s="591" t="inlineStr">
        <is>
          <t>Partnering &amp; Transformation</t>
        </is>
      </c>
      <c r="G77" s="591" t="inlineStr">
        <is>
          <t>Transformation</t>
        </is>
      </c>
      <c r="H77" s="591" t="inlineStr">
        <is>
          <t>NA</t>
        </is>
      </c>
      <c r="I77" s="591" t="inlineStr">
        <is>
          <t>NA</t>
        </is>
      </c>
      <c r="J77" s="591" t="inlineStr">
        <is>
          <t>NA</t>
        </is>
      </c>
      <c r="K77" s="591" t="inlineStr">
        <is>
          <t>NA</t>
        </is>
      </c>
      <c r="L77" s="593" t="n"/>
      <c r="M77" s="594" t="inlineStr">
        <is>
          <t>Australia</t>
        </is>
      </c>
      <c r="N77" s="597" t="inlineStr">
        <is>
          <t>CIA</t>
        </is>
      </c>
      <c r="O77" s="597" t="n">
        <v>1</v>
      </c>
      <c r="P77" s="597" t="n"/>
      <c r="Q77" s="597" t="inlineStr">
        <is>
          <t>Permanent - Full Time</t>
        </is>
      </c>
      <c r="R77" s="597" t="n"/>
      <c r="S77" s="597" t="n"/>
      <c r="T77" s="598" t="n">
        <v>136360</v>
      </c>
      <c r="U77" s="729" t="n">
        <v>136360</v>
      </c>
      <c r="V77" s="601" t="n">
        <v>0.1</v>
      </c>
      <c r="W77" s="732" t="n">
        <v>0.055</v>
      </c>
      <c r="X77" s="732" t="n">
        <v>0.12</v>
      </c>
      <c r="Y77" s="733" t="n"/>
      <c r="Z77" s="732" t="n">
        <v>0.04</v>
      </c>
      <c r="AA77" s="731">
        <f>U77*(1+V77+W77+X77+Y77+Z77)</f>
        <v>179313.4</v>
      </c>
      <c r="AB77" s="606" t="n"/>
    </row>
    <row r="78">
      <c r="A78" s="590" t="n">
        <v>99999102029</v>
      </c>
      <c r="B78" s="591" t="inlineStr">
        <is>
          <t>Matt Saunders</t>
        </is>
      </c>
      <c r="C78" s="592" t="inlineStr">
        <is>
          <t>Scrum Master</t>
        </is>
      </c>
      <c r="D78" s="593" t="inlineStr">
        <is>
          <t>Vacant</t>
        </is>
      </c>
      <c r="E78" s="591" t="inlineStr">
        <is>
          <t xml:space="preserve">Lead Technology Support </t>
        </is>
      </c>
      <c r="F78" s="591" t="inlineStr">
        <is>
          <t>Partnering &amp; Transformation</t>
        </is>
      </c>
      <c r="G78" s="591" t="inlineStr">
        <is>
          <t>Transformation</t>
        </is>
      </c>
      <c r="H78" s="591" t="inlineStr">
        <is>
          <t>NA</t>
        </is>
      </c>
      <c r="I78" s="591" t="inlineStr">
        <is>
          <t>NA</t>
        </is>
      </c>
      <c r="J78" s="591" t="inlineStr">
        <is>
          <t>NA</t>
        </is>
      </c>
      <c r="K78" s="591" t="inlineStr">
        <is>
          <t>NA</t>
        </is>
      </c>
      <c r="L78" s="593" t="n"/>
      <c r="M78" s="594" t="inlineStr">
        <is>
          <t>NZ</t>
        </is>
      </c>
      <c r="N78" s="595" t="inlineStr">
        <is>
          <t>CIA</t>
        </is>
      </c>
      <c r="O78" s="596" t="n">
        <v>1</v>
      </c>
      <c r="P78" s="595" t="n"/>
      <c r="Q78" s="596" t="inlineStr">
        <is>
          <t>Permanent - Full Time</t>
        </is>
      </c>
      <c r="R78" s="597" t="n"/>
      <c r="S78" s="597" t="n"/>
      <c r="T78" s="598" t="n">
        <v>128000</v>
      </c>
      <c r="U78" s="729" t="n">
        <v>117760</v>
      </c>
      <c r="V78" s="600" t="n">
        <v>0.15</v>
      </c>
      <c r="W78" s="597" t="n"/>
      <c r="X78" s="601" t="n">
        <v>0.05</v>
      </c>
      <c r="Y78" s="730" t="n">
        <v>2910</v>
      </c>
      <c r="Z78" s="601" t="n">
        <v>0.03</v>
      </c>
      <c r="AA78" s="731">
        <f>U78*(1+V78+X78+Z78)+Y78</f>
        <v>147754.8</v>
      </c>
      <c r="AB78" s="589" t="n">
        <v>115827</v>
      </c>
    </row>
    <row r="79">
      <c r="A79" s="590" t="n">
        <v>116540</v>
      </c>
      <c r="B79" s="591" t="inlineStr">
        <is>
          <t>Neil Reilly</t>
        </is>
      </c>
      <c r="C79" s="592" t="inlineStr">
        <is>
          <t>TDD BP - T&amp;S</t>
        </is>
      </c>
      <c r="D79" s="591" t="inlineStr">
        <is>
          <t>Michael Schofield</t>
        </is>
      </c>
      <c r="E79" s="591" t="inlineStr">
        <is>
          <t>GM TDD, Partnering &amp; Transformation</t>
        </is>
      </c>
      <c r="F79" s="591" t="inlineStr">
        <is>
          <t>Partnering &amp; Transformation</t>
        </is>
      </c>
      <c r="G79" s="591" t="inlineStr">
        <is>
          <t>TDD Business Partner</t>
        </is>
      </c>
      <c r="H79" s="591" t="inlineStr">
        <is>
          <t>NA</t>
        </is>
      </c>
      <c r="I79" s="591" t="inlineStr">
        <is>
          <t>NA</t>
        </is>
      </c>
      <c r="J79" s="591" t="inlineStr">
        <is>
          <t>NA</t>
        </is>
      </c>
      <c r="K79" s="591" t="inlineStr">
        <is>
          <t>NA</t>
        </is>
      </c>
      <c r="L79" s="593" t="n"/>
      <c r="M79" s="594" t="inlineStr">
        <is>
          <t>Singapore</t>
        </is>
      </c>
      <c r="N79" s="595" t="inlineStr">
        <is>
          <t>CSC</t>
        </is>
      </c>
      <c r="O79" s="595" t="n">
        <v>1</v>
      </c>
      <c r="P79" s="595" t="n"/>
      <c r="Q79" s="595" t="inlineStr">
        <is>
          <t>Permanent - Full Time</t>
        </is>
      </c>
      <c r="R79" s="597" t="n"/>
      <c r="S79" s="597" t="n"/>
      <c r="T79" s="598" t="n">
        <v>350000</v>
      </c>
      <c r="U79" s="729" t="n">
        <v>423500</v>
      </c>
      <c r="V79" s="601" t="n">
        <v>0.35</v>
      </c>
      <c r="W79" s="597" t="n"/>
      <c r="X79" s="601" t="n">
        <v>0.17</v>
      </c>
      <c r="Y79" s="730" t="n">
        <v>3310</v>
      </c>
      <c r="Z79" s="620" t="n">
        <v>0.045</v>
      </c>
      <c r="AA79" s="731">
        <f>U79*(1+V79+X79+Z79)+Y79</f>
        <v>666087.5</v>
      </c>
      <c r="AB79" s="606" t="n"/>
    </row>
    <row r="80">
      <c r="A80" s="590" t="n">
        <v>113835</v>
      </c>
      <c r="B80" s="591" t="inlineStr">
        <is>
          <t>Ruth Chou</t>
        </is>
      </c>
      <c r="C80" s="592" t="inlineStr">
        <is>
          <t>Portfolio Reporting Manager</t>
        </is>
      </c>
      <c r="D80" s="593" t="inlineStr">
        <is>
          <t>Vacant</t>
        </is>
      </c>
      <c r="E80" s="591" t="inlineStr">
        <is>
          <t xml:space="preserve">Manager Service Perforance &amp; Assurance </t>
        </is>
      </c>
      <c r="F80" s="591" t="inlineStr">
        <is>
          <t>Partnering &amp; Transformation</t>
        </is>
      </c>
      <c r="G80" s="591" t="inlineStr">
        <is>
          <t>Transformation</t>
        </is>
      </c>
      <c r="H80" s="591" t="inlineStr">
        <is>
          <t>NA</t>
        </is>
      </c>
      <c r="I80" s="591" t="inlineStr">
        <is>
          <t>NA</t>
        </is>
      </c>
      <c r="J80" s="591" t="inlineStr">
        <is>
          <t>NA</t>
        </is>
      </c>
      <c r="K80" s="591" t="inlineStr">
        <is>
          <t>NA</t>
        </is>
      </c>
      <c r="L80" s="593" t="n"/>
      <c r="M80" s="594" t="inlineStr">
        <is>
          <t>Australia</t>
        </is>
      </c>
      <c r="N80" s="595" t="inlineStr">
        <is>
          <t>CSB</t>
        </is>
      </c>
      <c r="O80" s="595" t="n">
        <v>1</v>
      </c>
      <c r="P80" s="595" t="n"/>
      <c r="Q80" s="595" t="inlineStr">
        <is>
          <t>Permanent - Full Time</t>
        </is>
      </c>
      <c r="R80" s="597" t="n"/>
      <c r="S80" s="597" t="n"/>
      <c r="T80" s="598" t="n">
        <v>216470</v>
      </c>
      <c r="U80" s="729" t="n">
        <v>216470</v>
      </c>
      <c r="V80" s="601" t="n">
        <v>0.14</v>
      </c>
      <c r="W80" s="732" t="n">
        <v>0.055</v>
      </c>
      <c r="X80" s="732" t="n">
        <v>0.12</v>
      </c>
      <c r="Y80" s="733" t="n"/>
      <c r="Z80" s="732" t="n">
        <v>0.04</v>
      </c>
      <c r="AA80" s="731">
        <f>U80*(1+V80+W80+X80+Y80+Z80)</f>
        <v>293316.85</v>
      </c>
      <c r="AB80" s="606" t="n"/>
    </row>
    <row r="81">
      <c r="A81" s="590" t="n">
        <v>83658</v>
      </c>
      <c r="B81" s="591" t="inlineStr">
        <is>
          <t>Sam Chan</t>
        </is>
      </c>
      <c r="C81" s="592" t="inlineStr">
        <is>
          <t>FinOps Manager</t>
        </is>
      </c>
      <c r="D81" s="593" t="inlineStr">
        <is>
          <t>Vacant</t>
        </is>
      </c>
      <c r="E81" s="591" t="inlineStr">
        <is>
          <t xml:space="preserve">Manager Cyber Security Operations </t>
        </is>
      </c>
      <c r="F81" s="591" t="inlineStr">
        <is>
          <t>Partnering &amp; Transformation</t>
        </is>
      </c>
      <c r="G81" s="591" t="inlineStr">
        <is>
          <t>Transformation</t>
        </is>
      </c>
      <c r="H81" s="589" t="inlineStr">
        <is>
          <t>NA</t>
        </is>
      </c>
      <c r="I81" s="591" t="inlineStr">
        <is>
          <t>NA</t>
        </is>
      </c>
      <c r="J81" s="591" t="inlineStr">
        <is>
          <t>NA</t>
        </is>
      </c>
      <c r="K81" s="591" t="inlineStr">
        <is>
          <t>NA</t>
        </is>
      </c>
      <c r="L81" s="593" t="n"/>
      <c r="M81" s="594" t="inlineStr">
        <is>
          <t>Australia</t>
        </is>
      </c>
      <c r="N81" s="597" t="inlineStr">
        <is>
          <t>CIC</t>
        </is>
      </c>
      <c r="O81" s="597" t="n">
        <v>1</v>
      </c>
      <c r="P81" s="597" t="n"/>
      <c r="Q81" s="597" t="inlineStr">
        <is>
          <t>Permanent - Full Time</t>
        </is>
      </c>
      <c r="R81" s="597" t="n"/>
      <c r="S81" s="597" t="n"/>
      <c r="T81" s="598" t="n">
        <v>169130</v>
      </c>
      <c r="U81" s="729" t="n">
        <v>169130</v>
      </c>
      <c r="V81" s="601" t="n">
        <v>0.12</v>
      </c>
      <c r="W81" s="732" t="n">
        <v>0.055</v>
      </c>
      <c r="X81" s="732" t="n">
        <v>0.12</v>
      </c>
      <c r="Y81" s="733" t="n"/>
      <c r="Z81" s="732" t="n">
        <v>0.04</v>
      </c>
      <c r="AA81" s="731">
        <f>U81*(1+V81+W81+X81+Y81+Z81)</f>
        <v>225788.55</v>
      </c>
      <c r="AB81" s="606" t="n"/>
    </row>
    <row r="82">
      <c r="A82" s="590" t="n">
        <v>99999102144</v>
      </c>
      <c r="B82" s="591" t="inlineStr">
        <is>
          <t>Shelley Crawford</t>
        </is>
      </c>
      <c r="C82" s="592" t="inlineStr">
        <is>
          <t>TDD BP - Z</t>
        </is>
      </c>
      <c r="D82" s="591" t="inlineStr">
        <is>
          <t>Michael Schofield</t>
        </is>
      </c>
      <c r="E82" s="591" t="inlineStr">
        <is>
          <t>GM TDD, Partnering &amp; Transformation</t>
        </is>
      </c>
      <c r="F82" s="591" t="inlineStr">
        <is>
          <t>Partnering &amp; Transformation</t>
        </is>
      </c>
      <c r="G82" s="591" t="inlineStr">
        <is>
          <t>TDD Business Partner</t>
        </is>
      </c>
      <c r="H82" s="591" t="inlineStr">
        <is>
          <t>NA</t>
        </is>
      </c>
      <c r="I82" s="591" t="inlineStr">
        <is>
          <t>NA</t>
        </is>
      </c>
      <c r="J82" s="591" t="inlineStr">
        <is>
          <t>NA</t>
        </is>
      </c>
      <c r="K82" s="591" t="inlineStr">
        <is>
          <t>NA</t>
        </is>
      </c>
      <c r="L82" s="593" t="n"/>
      <c r="M82" s="594" t="inlineStr">
        <is>
          <t>NZ</t>
        </is>
      </c>
      <c r="N82" s="595" t="inlineStr">
        <is>
          <t>CSC</t>
        </is>
      </c>
      <c r="O82" s="596" t="n">
        <v>1</v>
      </c>
      <c r="P82" s="595" t="n"/>
      <c r="Q82" s="596" t="inlineStr">
        <is>
          <t>Permanent - Full Time</t>
        </is>
      </c>
      <c r="R82" s="597" t="n"/>
      <c r="S82" s="597" t="n"/>
      <c r="T82" s="598" t="n">
        <v>245000</v>
      </c>
      <c r="U82" s="729" t="n">
        <v>225400</v>
      </c>
      <c r="V82" s="600" t="n">
        <v>0.2</v>
      </c>
      <c r="W82" s="597" t="n"/>
      <c r="X82" s="601" t="n">
        <v>0.05</v>
      </c>
      <c r="Y82" s="730" t="n">
        <v>2910</v>
      </c>
      <c r="Z82" s="601" t="n">
        <v>0.03</v>
      </c>
      <c r="AA82" s="731">
        <f>U82*(1+V82+X82+Z82)+Y82</f>
        <v>291422.0</v>
      </c>
      <c r="AB82" s="589" t="n">
        <v>116452</v>
      </c>
    </row>
    <row r="83">
      <c r="A83" s="590" t="n">
        <v>113935</v>
      </c>
      <c r="B83" s="591" t="inlineStr">
        <is>
          <t>Thomas Reid</t>
        </is>
      </c>
      <c r="C83" s="592" t="inlineStr">
        <is>
          <t>TDD BP - Retail &amp; Customer - Store Digital</t>
        </is>
      </c>
      <c r="D83" s="591" t="inlineStr">
        <is>
          <t>Michael Schofield</t>
        </is>
      </c>
      <c r="E83" s="591" t="inlineStr">
        <is>
          <t>GM TDD, Partnering &amp; Transformation</t>
        </is>
      </c>
      <c r="F83" s="591" t="inlineStr">
        <is>
          <t>Partnering &amp; Transformation</t>
        </is>
      </c>
      <c r="G83" s="591" t="inlineStr">
        <is>
          <t>TDD Business Partner</t>
        </is>
      </c>
      <c r="H83" s="591" t="inlineStr">
        <is>
          <t>NA</t>
        </is>
      </c>
      <c r="I83" s="591" t="inlineStr">
        <is>
          <t>NA</t>
        </is>
      </c>
      <c r="J83" s="591" t="inlineStr">
        <is>
          <t>NA</t>
        </is>
      </c>
      <c r="K83" s="591" t="inlineStr">
        <is>
          <t>NA</t>
        </is>
      </c>
      <c r="L83" s="593" t="n"/>
      <c r="M83" s="594" t="inlineStr">
        <is>
          <t>Australia</t>
        </is>
      </c>
      <c r="N83" s="595" t="inlineStr">
        <is>
          <t>CSC</t>
        </is>
      </c>
      <c r="O83" s="595" t="n">
        <v>1</v>
      </c>
      <c r="P83" s="595" t="n"/>
      <c r="Q83" s="595" t="inlineStr">
        <is>
          <t>Permanent - Full Time</t>
        </is>
      </c>
      <c r="R83" s="597" t="n"/>
      <c r="S83" s="597" t="n"/>
      <c r="T83" s="598" t="n">
        <v>295000</v>
      </c>
      <c r="U83" s="729" t="n">
        <v>295000</v>
      </c>
      <c r="V83" s="601" t="n">
        <v>0.2</v>
      </c>
      <c r="W83" s="732" t="n">
        <v>0.055</v>
      </c>
      <c r="X83" s="732" t="n">
        <v>0.12</v>
      </c>
      <c r="Y83" s="733" t="n"/>
      <c r="Z83" s="732" t="n">
        <v>0.04</v>
      </c>
      <c r="AA83" s="731">
        <f>U83*(1+V83+W83+X83+Y83+Z83)</f>
        <v>417425.0</v>
      </c>
      <c r="AB83" s="606" t="n"/>
    </row>
    <row r="84">
      <c r="A84" s="590" t="inlineStr">
        <is>
          <t>V</t>
        </is>
      </c>
      <c r="B84" s="591" t="inlineStr">
        <is>
          <t>Vacant</t>
        </is>
      </c>
      <c r="C84" s="592" t="inlineStr">
        <is>
          <t>Commercial Director</t>
        </is>
      </c>
      <c r="D84" s="591" t="inlineStr">
        <is>
          <t>Michael Schofield</t>
        </is>
      </c>
      <c r="E84" s="591" t="inlineStr">
        <is>
          <t>GM TDD, Partnering &amp; Transformation</t>
        </is>
      </c>
      <c r="F84" s="591" t="inlineStr">
        <is>
          <t>Partnering &amp; Transformation</t>
        </is>
      </c>
      <c r="G84" s="591" t="inlineStr">
        <is>
          <t>Commercial</t>
        </is>
      </c>
      <c r="H84" s="591" t="inlineStr">
        <is>
          <t>NA</t>
        </is>
      </c>
      <c r="I84" s="591" t="inlineStr">
        <is>
          <t>NA</t>
        </is>
      </c>
      <c r="J84" s="591" t="inlineStr">
        <is>
          <t>NA</t>
        </is>
      </c>
      <c r="K84" s="591" t="inlineStr">
        <is>
          <t>NA</t>
        </is>
      </c>
      <c r="L84" s="593" t="n"/>
      <c r="M84" s="594" t="inlineStr">
        <is>
          <t>Australia</t>
        </is>
      </c>
      <c r="N84" s="595" t="inlineStr">
        <is>
          <t>LSB</t>
        </is>
      </c>
      <c r="O84" s="595" t="n">
        <v>1</v>
      </c>
      <c r="P84" s="595" t="n"/>
      <c r="Q84" s="595" t="inlineStr">
        <is>
          <t>v</t>
        </is>
      </c>
      <c r="R84" s="597" t="n"/>
      <c r="S84" s="597" t="n"/>
      <c r="T84" s="598" t="n">
        <v>300000</v>
      </c>
      <c r="U84" s="729" t="n">
        <v>300000</v>
      </c>
      <c r="V84" s="601" t="n">
        <v>0.25</v>
      </c>
      <c r="W84" s="732" t="n">
        <v>0.055</v>
      </c>
      <c r="X84" s="732" t="n">
        <v>0.12</v>
      </c>
      <c r="Y84" s="733" t="n"/>
      <c r="Z84" s="732" t="n">
        <v>0.04</v>
      </c>
      <c r="AA84" s="731">
        <f>U84*(1+V84+W84+X84+Y84+Z84)</f>
        <v>439499.99999999994</v>
      </c>
      <c r="AB84" s="606" t="n"/>
    </row>
    <row r="85">
      <c r="A85" s="590" t="inlineStr">
        <is>
          <t>V</t>
        </is>
      </c>
      <c r="B85" s="591" t="inlineStr">
        <is>
          <t>Vacant</t>
        </is>
      </c>
      <c r="C85" s="592" t="inlineStr">
        <is>
          <t>Head of Transformation</t>
        </is>
      </c>
      <c r="D85" s="591" t="inlineStr">
        <is>
          <t>Michael Schofield</t>
        </is>
      </c>
      <c r="E85" s="591" t="inlineStr">
        <is>
          <t>Head of Service Operatoins &amp; Assurance</t>
        </is>
      </c>
      <c r="F85" s="591" t="inlineStr">
        <is>
          <t>Partnering &amp; Transformation</t>
        </is>
      </c>
      <c r="G85" s="591" t="inlineStr">
        <is>
          <t>Transformation</t>
        </is>
      </c>
      <c r="H85" s="591" t="inlineStr">
        <is>
          <t>NA</t>
        </is>
      </c>
      <c r="I85" s="591" t="inlineStr">
        <is>
          <t>NA</t>
        </is>
      </c>
      <c r="J85" s="591" t="inlineStr">
        <is>
          <t>NA</t>
        </is>
      </c>
      <c r="K85" s="591" t="inlineStr">
        <is>
          <t>NA</t>
        </is>
      </c>
      <c r="L85" s="593" t="n"/>
      <c r="M85" s="594" t="inlineStr">
        <is>
          <t>Australia</t>
        </is>
      </c>
      <c r="N85" s="595" t="inlineStr">
        <is>
          <t>CSC</t>
        </is>
      </c>
      <c r="O85" s="595" t="n">
        <v>1</v>
      </c>
      <c r="P85" s="595" t="n"/>
      <c r="Q85" s="595" t="inlineStr">
        <is>
          <t>v</t>
        </is>
      </c>
      <c r="R85" s="597" t="n"/>
      <c r="S85" s="597" t="n"/>
      <c r="T85" s="598" t="n">
        <v>260000</v>
      </c>
      <c r="U85" s="729" t="n">
        <v>260000</v>
      </c>
      <c r="V85" s="601" t="n">
        <v>0.2</v>
      </c>
      <c r="W85" s="732" t="n">
        <v>0.055</v>
      </c>
      <c r="X85" s="732" t="n">
        <v>0.12</v>
      </c>
      <c r="Y85" s="733" t="n"/>
      <c r="Z85" s="732" t="n">
        <v>0.04</v>
      </c>
      <c r="AA85" s="731">
        <f>U85*(1+V85+W85+X85+Y85+Z85)</f>
        <v>367900.0</v>
      </c>
      <c r="AB85" s="606" t="n"/>
    </row>
    <row r="86">
      <c r="A86" s="590" t="inlineStr">
        <is>
          <t>V</t>
        </is>
      </c>
      <c r="B86" s="591" t="inlineStr">
        <is>
          <t>Vacant</t>
        </is>
      </c>
      <c r="C86" s="592" t="inlineStr">
        <is>
          <t>Delivery Systems Analyst</t>
        </is>
      </c>
      <c r="D86" s="591" t="inlineStr">
        <is>
          <t>Ruth Chou</t>
        </is>
      </c>
      <c r="E86" s="591" t="inlineStr">
        <is>
          <t>Portfolio Reporting Manger</t>
        </is>
      </c>
      <c r="F86" s="591" t="inlineStr">
        <is>
          <t>Partnering &amp; Transformation</t>
        </is>
      </c>
      <c r="G86" s="591" t="inlineStr">
        <is>
          <t>Transformation</t>
        </is>
      </c>
      <c r="H86" s="591" t="inlineStr">
        <is>
          <t>NA</t>
        </is>
      </c>
      <c r="I86" s="591" t="inlineStr">
        <is>
          <t>NA</t>
        </is>
      </c>
      <c r="J86" s="591" t="inlineStr">
        <is>
          <t>NA</t>
        </is>
      </c>
      <c r="K86" s="591" t="inlineStr">
        <is>
          <t>NA</t>
        </is>
      </c>
      <c r="L86" s="593" t="n"/>
      <c r="M86" s="594" t="inlineStr">
        <is>
          <t>Australia</t>
        </is>
      </c>
      <c r="N86" s="595" t="inlineStr">
        <is>
          <t>cib</t>
        </is>
      </c>
      <c r="O86" s="595" t="n">
        <v>1</v>
      </c>
      <c r="P86" s="595" t="n"/>
      <c r="Q86" s="595" t="inlineStr">
        <is>
          <t>V</t>
        </is>
      </c>
      <c r="R86" s="597" t="n"/>
      <c r="S86" s="597" t="n"/>
      <c r="T86" s="598" t="n">
        <v>151950</v>
      </c>
      <c r="U86" s="729" t="n">
        <v>151950</v>
      </c>
      <c r="V86" s="601" t="n">
        <v>0.12</v>
      </c>
      <c r="W86" s="732" t="n">
        <v>0.055</v>
      </c>
      <c r="X86" s="732" t="n">
        <v>0.12</v>
      </c>
      <c r="Y86" s="733" t="n"/>
      <c r="Z86" s="732" t="n">
        <v>0.04</v>
      </c>
      <c r="AA86" s="731">
        <f>U86*(1+V86+W86+X86+Y86+Z86)</f>
        <v>202853.25</v>
      </c>
      <c r="AB86" s="606" t="n"/>
    </row>
    <row r="87">
      <c r="A87" s="590" t="inlineStr">
        <is>
          <t>V</t>
        </is>
      </c>
      <c r="B87" s="591" t="inlineStr">
        <is>
          <t>Vacant</t>
        </is>
      </c>
      <c r="C87" s="592" t="inlineStr">
        <is>
          <t>Business Analysis Practice Lead</t>
        </is>
      </c>
      <c r="D87" s="593" t="inlineStr">
        <is>
          <t>Vacant</t>
        </is>
      </c>
      <c r="E87" s="591" t="inlineStr">
        <is>
          <t>Delivery Excellence Manager</t>
        </is>
      </c>
      <c r="F87" s="591" t="inlineStr">
        <is>
          <t>Partnering &amp; Transformation</t>
        </is>
      </c>
      <c r="G87" s="591" t="inlineStr">
        <is>
          <t>Transformation</t>
        </is>
      </c>
      <c r="H87" s="589" t="inlineStr">
        <is>
          <t>NA</t>
        </is>
      </c>
      <c r="I87" s="591" t="inlineStr">
        <is>
          <t>NA</t>
        </is>
      </c>
      <c r="J87" s="591" t="inlineStr">
        <is>
          <t>NA</t>
        </is>
      </c>
      <c r="K87" s="591" t="inlineStr">
        <is>
          <t>NA</t>
        </is>
      </c>
      <c r="L87" s="593" t="n"/>
      <c r="M87" s="594" t="inlineStr">
        <is>
          <t>Australia</t>
        </is>
      </c>
      <c r="N87" s="595" t="inlineStr">
        <is>
          <t>CIC</t>
        </is>
      </c>
      <c r="O87" s="595" t="n">
        <v>1</v>
      </c>
      <c r="P87" s="595" t="n"/>
      <c r="Q87" s="595" t="inlineStr">
        <is>
          <t>V</t>
        </is>
      </c>
      <c r="R87" s="597" t="n"/>
      <c r="S87" s="597" t="n"/>
      <c r="T87" s="598" t="n">
        <v>173550</v>
      </c>
      <c r="U87" s="729" t="n">
        <v>173550</v>
      </c>
      <c r="V87" s="601" t="n">
        <v>0.12</v>
      </c>
      <c r="W87" s="732" t="n">
        <v>0.055</v>
      </c>
      <c r="X87" s="732" t="n">
        <v>0.12</v>
      </c>
      <c r="Y87" s="733" t="n"/>
      <c r="Z87" s="732" t="n">
        <v>0.04</v>
      </c>
      <c r="AA87" s="731">
        <f>U87*(1+V87+W87+X87+Y87+Z87)</f>
        <v>231689.25</v>
      </c>
      <c r="AB87" s="606" t="n"/>
    </row>
    <row r="88">
      <c r="A88" s="590" t="inlineStr">
        <is>
          <t>V</t>
        </is>
      </c>
      <c r="B88" s="593" t="inlineStr">
        <is>
          <t>Vacant</t>
        </is>
      </c>
      <c r="C88" s="623" t="inlineStr">
        <is>
          <t>Delivery Assurance Manager</t>
        </is>
      </c>
      <c r="D88" s="593" t="inlineStr">
        <is>
          <t>Vacant</t>
        </is>
      </c>
      <c r="E88" s="593" t="inlineStr">
        <is>
          <t xml:space="preserve">Manager Identity &amp; Access Management </t>
        </is>
      </c>
      <c r="F88" s="591" t="inlineStr">
        <is>
          <t>Partnering &amp; Transformation</t>
        </is>
      </c>
      <c r="G88" s="593" t="inlineStr">
        <is>
          <t>Transformation</t>
        </is>
      </c>
      <c r="H88" s="591" t="inlineStr">
        <is>
          <t>NA</t>
        </is>
      </c>
      <c r="I88" s="591" t="inlineStr">
        <is>
          <t>NA</t>
        </is>
      </c>
      <c r="J88" s="591" t="inlineStr">
        <is>
          <t>NA</t>
        </is>
      </c>
      <c r="K88" s="591" t="inlineStr">
        <is>
          <t>NA</t>
        </is>
      </c>
      <c r="L88" s="593" t="n"/>
      <c r="M88" s="594" t="inlineStr">
        <is>
          <t>Australia</t>
        </is>
      </c>
      <c r="N88" s="595" t="inlineStr">
        <is>
          <t>CSB</t>
        </is>
      </c>
      <c r="O88" s="595" t="n">
        <v>1</v>
      </c>
      <c r="P88" s="595" t="n"/>
      <c r="Q88" s="595" t="inlineStr">
        <is>
          <t>V</t>
        </is>
      </c>
      <c r="R88" s="597" t="n"/>
      <c r="S88" s="597" t="n"/>
      <c r="T88" s="598" t="n">
        <v>203550</v>
      </c>
      <c r="U88" s="729" t="n">
        <v>203550</v>
      </c>
      <c r="V88" s="601" t="n">
        <v>0.14</v>
      </c>
      <c r="W88" s="732" t="n">
        <v>0.055</v>
      </c>
      <c r="X88" s="732" t="n">
        <v>0.12</v>
      </c>
      <c r="Y88" s="733" t="n"/>
      <c r="Z88" s="732" t="n">
        <v>0.04</v>
      </c>
      <c r="AA88" s="731">
        <f>U88*(1+V88+W88+X88+Y88+Z88)</f>
        <v>275810.25</v>
      </c>
      <c r="AB88" s="606" t="n"/>
    </row>
    <row r="89">
      <c r="A89" s="590" t="inlineStr">
        <is>
          <t>V</t>
        </is>
      </c>
      <c r="B89" s="591" t="inlineStr">
        <is>
          <t>Vacant</t>
        </is>
      </c>
      <c r="C89" s="592" t="inlineStr">
        <is>
          <t>Delivery Capacity &amp; Assurance Lead</t>
        </is>
      </c>
      <c r="D89" s="617" t="inlineStr">
        <is>
          <t>Vacant</t>
        </is>
      </c>
      <c r="E89" s="593" t="inlineStr">
        <is>
          <t>vacant</t>
        </is>
      </c>
      <c r="F89" s="591" t="inlineStr">
        <is>
          <t>Partnering &amp; Transformation</t>
        </is>
      </c>
      <c r="G89" s="591" t="inlineStr">
        <is>
          <t>Transformation</t>
        </is>
      </c>
      <c r="H89" s="591" t="inlineStr">
        <is>
          <t>NA</t>
        </is>
      </c>
      <c r="I89" s="591" t="inlineStr">
        <is>
          <t>NA</t>
        </is>
      </c>
      <c r="J89" s="591" t="inlineStr">
        <is>
          <t>NA</t>
        </is>
      </c>
      <c r="K89" s="591" t="inlineStr">
        <is>
          <t>NA</t>
        </is>
      </c>
      <c r="L89" s="593" t="n"/>
      <c r="M89" s="594" t="inlineStr">
        <is>
          <t>Australia</t>
        </is>
      </c>
      <c r="N89" s="595" t="inlineStr">
        <is>
          <t>CIC</t>
        </is>
      </c>
      <c r="O89" s="595" t="n">
        <v>1</v>
      </c>
      <c r="P89" s="595" t="n"/>
      <c r="Q89" s="595" t="inlineStr">
        <is>
          <t>V</t>
        </is>
      </c>
      <c r="R89" s="597" t="n"/>
      <c r="S89" s="597" t="n"/>
      <c r="T89" s="598" t="n">
        <v>173550</v>
      </c>
      <c r="U89" s="729" t="n">
        <v>173550</v>
      </c>
      <c r="V89" s="601" t="n">
        <v>0.12</v>
      </c>
      <c r="W89" s="732" t="n">
        <v>0.055</v>
      </c>
      <c r="X89" s="732" t="n">
        <v>0.12</v>
      </c>
      <c r="Y89" s="733" t="n"/>
      <c r="Z89" s="732" t="n">
        <v>0.04</v>
      </c>
      <c r="AA89" s="731">
        <f>U89*(1+V89+W89+X89+Y89+Z89)</f>
        <v>231689.25</v>
      </c>
      <c r="AB89" s="606" t="n"/>
    </row>
    <row r="90">
      <c r="A90" s="590" t="inlineStr">
        <is>
          <t>V</t>
        </is>
      </c>
      <c r="B90" s="591" t="inlineStr">
        <is>
          <t>Vacant</t>
        </is>
      </c>
      <c r="C90" s="592" t="inlineStr">
        <is>
          <t>Delivery Excellence Manager</t>
        </is>
      </c>
      <c r="D90" s="593" t="inlineStr">
        <is>
          <t>Vacant</t>
        </is>
      </c>
      <c r="E90" s="591" t="inlineStr">
        <is>
          <t xml:space="preserve">CISO </t>
        </is>
      </c>
      <c r="F90" s="591" t="inlineStr">
        <is>
          <t>Partnering &amp; Transformation</t>
        </is>
      </c>
      <c r="G90" s="591" t="inlineStr">
        <is>
          <t>Transformation</t>
        </is>
      </c>
      <c r="H90" s="591" t="inlineStr">
        <is>
          <t>NA</t>
        </is>
      </c>
      <c r="I90" s="591" t="inlineStr">
        <is>
          <t>NA</t>
        </is>
      </c>
      <c r="J90" s="591" t="inlineStr">
        <is>
          <t>NA</t>
        </is>
      </c>
      <c r="K90" s="591" t="inlineStr">
        <is>
          <t>NA</t>
        </is>
      </c>
      <c r="L90" s="593" t="n"/>
      <c r="M90" s="594" t="inlineStr">
        <is>
          <t>Australia</t>
        </is>
      </c>
      <c r="N90" s="595" t="inlineStr">
        <is>
          <t>CSB</t>
        </is>
      </c>
      <c r="O90" s="595" t="n">
        <v>1</v>
      </c>
      <c r="P90" s="595" t="n"/>
      <c r="Q90" s="595" t="inlineStr">
        <is>
          <t>V</t>
        </is>
      </c>
      <c r="R90" s="597" t="n"/>
      <c r="S90" s="597" t="n"/>
      <c r="T90" s="598" t="n">
        <v>203550</v>
      </c>
      <c r="U90" s="729" t="n">
        <v>203550</v>
      </c>
      <c r="V90" s="601" t="n">
        <v>0.14</v>
      </c>
      <c r="W90" s="732" t="n">
        <v>0.055</v>
      </c>
      <c r="X90" s="732" t="n">
        <v>0.12</v>
      </c>
      <c r="Y90" s="733" t="n"/>
      <c r="Z90" s="732" t="n">
        <v>0.04</v>
      </c>
      <c r="AA90" s="731">
        <f>U90*(1+V90+W90+X90+Y90+Z90)</f>
        <v>275810.25</v>
      </c>
      <c r="AB90" s="606" t="n"/>
    </row>
    <row r="91">
      <c r="A91" s="590" t="inlineStr">
        <is>
          <t>V</t>
        </is>
      </c>
      <c r="B91" s="591" t="inlineStr">
        <is>
          <t>Vacant</t>
        </is>
      </c>
      <c r="C91" s="592" t="inlineStr">
        <is>
          <t>Scrum Master</t>
        </is>
      </c>
      <c r="D91" s="593" t="inlineStr">
        <is>
          <t>Vacant</t>
        </is>
      </c>
      <c r="E91" s="591" t="inlineStr">
        <is>
          <t xml:space="preserve">Lead Technology Support </t>
        </is>
      </c>
      <c r="F91" s="591" t="inlineStr">
        <is>
          <t>Partnering &amp; Transformation</t>
        </is>
      </c>
      <c r="G91" s="591" t="inlineStr">
        <is>
          <t>Transformation</t>
        </is>
      </c>
      <c r="H91" s="591" t="inlineStr">
        <is>
          <t>NA</t>
        </is>
      </c>
      <c r="I91" s="591" t="inlineStr">
        <is>
          <t>NA</t>
        </is>
      </c>
      <c r="J91" s="591" t="inlineStr">
        <is>
          <t>NA</t>
        </is>
      </c>
      <c r="K91" s="591" t="inlineStr">
        <is>
          <t>NA</t>
        </is>
      </c>
      <c r="L91" s="593" t="n"/>
      <c r="M91" s="594" t="inlineStr">
        <is>
          <t>NZ</t>
        </is>
      </c>
      <c r="N91" s="595" t="inlineStr">
        <is>
          <t>CIA</t>
        </is>
      </c>
      <c r="O91" s="595" t="n">
        <v>1</v>
      </c>
      <c r="P91" s="595" t="n"/>
      <c r="Q91" s="595" t="inlineStr">
        <is>
          <t>v</t>
        </is>
      </c>
      <c r="R91" s="597" t="n"/>
      <c r="S91" s="597" t="n"/>
      <c r="T91" s="598" t="n">
        <v>131550</v>
      </c>
      <c r="U91" s="729" t="n">
        <v>121026</v>
      </c>
      <c r="V91" s="600" t="n">
        <v>0.15</v>
      </c>
      <c r="W91" s="597" t="n"/>
      <c r="X91" s="601" t="n">
        <v>0.05</v>
      </c>
      <c r="Y91" s="730" t="n">
        <v>2910</v>
      </c>
      <c r="Z91" s="601" t="n">
        <v>0.03</v>
      </c>
      <c r="AA91" s="731">
        <f>U91*(1+V91+X91+Z91)+Y91</f>
        <v>151771.98</v>
      </c>
      <c r="AB91" s="606" t="n"/>
    </row>
    <row r="92">
      <c r="A92" s="590" t="inlineStr">
        <is>
          <t>V</t>
        </is>
      </c>
      <c r="B92" s="591" t="inlineStr">
        <is>
          <t xml:space="preserve">Vacant </t>
        </is>
      </c>
      <c r="C92" s="592" t="inlineStr">
        <is>
          <t>Portfolio Analyst</t>
        </is>
      </c>
      <c r="D92" s="591" t="inlineStr">
        <is>
          <t>Ruth Chou</t>
        </is>
      </c>
      <c r="E92" s="591" t="inlineStr">
        <is>
          <t xml:space="preserve">Manager Service Perforance &amp; Assurance </t>
        </is>
      </c>
      <c r="F92" s="591" t="inlineStr">
        <is>
          <t>Partnering &amp; Transformation</t>
        </is>
      </c>
      <c r="G92" s="591" t="inlineStr">
        <is>
          <t>Transformation</t>
        </is>
      </c>
      <c r="H92" s="591" t="inlineStr">
        <is>
          <t>NA</t>
        </is>
      </c>
      <c r="I92" s="591" t="inlineStr">
        <is>
          <t>NA</t>
        </is>
      </c>
      <c r="J92" s="591" t="inlineStr">
        <is>
          <t>NA</t>
        </is>
      </c>
      <c r="K92" s="591" t="inlineStr">
        <is>
          <t>NA</t>
        </is>
      </c>
      <c r="L92" s="593" t="n"/>
      <c r="M92" s="594" t="inlineStr">
        <is>
          <t>Australia</t>
        </is>
      </c>
      <c r="N92" s="595" t="inlineStr">
        <is>
          <t>CIA</t>
        </is>
      </c>
      <c r="O92" s="595" t="n">
        <v>1</v>
      </c>
      <c r="P92" s="595" t="n"/>
      <c r="Q92" s="595" t="inlineStr">
        <is>
          <t>v</t>
        </is>
      </c>
      <c r="R92" s="597" t="n"/>
      <c r="S92" s="597" t="n"/>
      <c r="T92" s="598" t="n">
        <v>129650</v>
      </c>
      <c r="U92" s="729" t="n">
        <v>129650</v>
      </c>
      <c r="V92" s="601" t="n">
        <v>0.1</v>
      </c>
      <c r="W92" s="732" t="n">
        <v>0.055</v>
      </c>
      <c r="X92" s="732" t="n">
        <v>0.12</v>
      </c>
      <c r="Y92" s="733" t="n"/>
      <c r="Z92" s="732" t="n">
        <v>0.04</v>
      </c>
      <c r="AA92" s="731">
        <f>U92*(1+V92+W92+X92+Y92+Z92)</f>
        <v>170489.75</v>
      </c>
      <c r="AB92" s="606" t="n"/>
    </row>
    <row r="93">
      <c r="A93" s="590" t="n">
        <v>101862</v>
      </c>
      <c r="B93" s="591" t="inlineStr">
        <is>
          <t>Vaughn Scott</t>
        </is>
      </c>
      <c r="C93" s="592" t="inlineStr">
        <is>
          <t>TDD BP - ES</t>
        </is>
      </c>
      <c r="D93" s="591" t="inlineStr">
        <is>
          <t>Michael Schofield</t>
        </is>
      </c>
      <c r="E93" s="591" t="inlineStr">
        <is>
          <t>GM TDD, Partnering &amp; Transformation</t>
        </is>
      </c>
      <c r="F93" s="591" t="inlineStr">
        <is>
          <t>Partnering &amp; Transformation</t>
        </is>
      </c>
      <c r="G93" s="591" t="inlineStr">
        <is>
          <t>TDD Business Partner</t>
        </is>
      </c>
      <c r="H93" s="591" t="inlineStr">
        <is>
          <t>NA</t>
        </is>
      </c>
      <c r="I93" s="591" t="inlineStr">
        <is>
          <t>NA</t>
        </is>
      </c>
      <c r="J93" s="591" t="inlineStr">
        <is>
          <t>NA</t>
        </is>
      </c>
      <c r="K93" s="591" t="inlineStr">
        <is>
          <t>NA</t>
        </is>
      </c>
      <c r="L93" s="593" t="n"/>
      <c r="M93" s="594" t="inlineStr">
        <is>
          <t>Australia</t>
        </is>
      </c>
      <c r="N93" s="595" t="inlineStr">
        <is>
          <t>CSC</t>
        </is>
      </c>
      <c r="O93" s="595" t="n">
        <v>1</v>
      </c>
      <c r="P93" s="595" t="n"/>
      <c r="Q93" s="595" t="inlineStr">
        <is>
          <t>Permanent - Full Time</t>
        </is>
      </c>
      <c r="R93" s="597" t="n"/>
      <c r="S93" s="597" t="n"/>
      <c r="T93" s="598" t="n">
        <v>242660</v>
      </c>
      <c r="U93" s="729" t="n">
        <v>242660</v>
      </c>
      <c r="V93" s="601" t="n">
        <v>0.2</v>
      </c>
      <c r="W93" s="732" t="n">
        <v>0.055</v>
      </c>
      <c r="X93" s="732" t="n">
        <v>0.12</v>
      </c>
      <c r="Y93" s="733" t="n"/>
      <c r="Z93" s="732" t="n">
        <v>0.04</v>
      </c>
      <c r="AA93" s="731">
        <f>U93*(1+V93+W93+X93+Y93+Z93)</f>
        <v>343363.9</v>
      </c>
      <c r="AB93" s="606" t="n"/>
    </row>
    <row r="94">
      <c r="A94" s="590" t="n">
        <v>116032</v>
      </c>
      <c r="B94" s="593" t="inlineStr">
        <is>
          <t>Abdul Ghaffar</t>
        </is>
      </c>
      <c r="C94" s="623" t="inlineStr">
        <is>
          <t>Applications Specialist - Demand Planning</t>
        </is>
      </c>
      <c r="D94" s="591" t="inlineStr">
        <is>
          <t>Sai Konka</t>
        </is>
      </c>
      <c r="E94" s="591" t="inlineStr">
        <is>
          <t>Applications &amp; Analytics Manager</t>
        </is>
      </c>
      <c r="F94" s="624" t="inlineStr">
        <is>
          <t>Strategy, Architecture &amp; Data</t>
        </is>
      </c>
      <c r="G94" s="593" t="inlineStr">
        <is>
          <t>Group Data</t>
        </is>
      </c>
      <c r="H94" s="624" t="inlineStr">
        <is>
          <t>Data Engineering &amp; Platforms</t>
        </is>
      </c>
      <c r="I94" s="624" t="inlineStr">
        <is>
          <t>Enterprise Data</t>
        </is>
      </c>
      <c r="J94" s="624" t="inlineStr">
        <is>
          <t>EGI</t>
        </is>
      </c>
      <c r="K94" s="624" t="inlineStr">
        <is>
          <t>Reporting &amp; Analytics</t>
        </is>
      </c>
      <c r="L94" s="593" t="n"/>
      <c r="M94" s="594" t="inlineStr">
        <is>
          <t>Australia</t>
        </is>
      </c>
      <c r="N94" s="595" t="inlineStr">
        <is>
          <t>CIB</t>
        </is>
      </c>
      <c r="O94" s="595" t="n">
        <v>1</v>
      </c>
      <c r="P94" s="595" t="n"/>
      <c r="Q94" s="595" t="inlineStr">
        <is>
          <t>Permanent - Full Time</t>
        </is>
      </c>
      <c r="R94" s="597" t="n"/>
      <c r="S94" s="597" t="n"/>
      <c r="T94" s="598" t="n">
        <v>180000</v>
      </c>
      <c r="U94" s="729" t="n">
        <v>180000</v>
      </c>
      <c r="V94" s="601" t="n">
        <v>0.12</v>
      </c>
      <c r="W94" s="732" t="n">
        <v>0.055</v>
      </c>
      <c r="X94" s="732" t="n">
        <v>0.12</v>
      </c>
      <c r="Y94" s="733" t="n"/>
      <c r="Z94" s="732" t="n">
        <v>0.04</v>
      </c>
      <c r="AA94" s="731">
        <f>U94*(1+V94+W94+X94+Y94+Z94)</f>
        <v>240300.0</v>
      </c>
      <c r="AB94" s="606" t="n"/>
    </row>
    <row r="95">
      <c r="A95" s="590" t="n">
        <v>102098</v>
      </c>
      <c r="B95" s="591" t="inlineStr">
        <is>
          <t>Bobby Mason</t>
        </is>
      </c>
      <c r="C95" s="592" t="inlineStr">
        <is>
          <t>Reporting Analyst</t>
        </is>
      </c>
      <c r="D95" s="591" t="inlineStr">
        <is>
          <t>Prashanth Krishnankutty</t>
        </is>
      </c>
      <c r="E95" s="591" t="inlineStr">
        <is>
          <t>Lead, Reporting &amp; Insights</t>
        </is>
      </c>
      <c r="F95" s="624" t="inlineStr">
        <is>
          <t>Strategy, Architecture &amp; Data</t>
        </is>
      </c>
      <c r="G95" s="593" t="inlineStr">
        <is>
          <t>Group Data</t>
        </is>
      </c>
      <c r="H95" s="624" t="inlineStr">
        <is>
          <t>Data Engineering &amp; Platforms</t>
        </is>
      </c>
      <c r="I95" s="624" t="inlineStr">
        <is>
          <t>Enterprise Data</t>
        </is>
      </c>
      <c r="J95" s="624" t="inlineStr">
        <is>
          <t>Group Data</t>
        </is>
      </c>
      <c r="K95" s="624" t="inlineStr">
        <is>
          <t>Reporting &amp; Analytics</t>
        </is>
      </c>
      <c r="L95" s="593" t="n"/>
      <c r="M95" s="594" t="inlineStr">
        <is>
          <t>Australia</t>
        </is>
      </c>
      <c r="N95" s="595" t="inlineStr">
        <is>
          <t>CIB</t>
        </is>
      </c>
      <c r="O95" s="595" t="n">
        <v>1</v>
      </c>
      <c r="P95" s="595" t="n"/>
      <c r="Q95" s="595" t="inlineStr">
        <is>
          <t>Permanent - Full Time</t>
        </is>
      </c>
      <c r="R95" s="597" t="n"/>
      <c r="S95" s="597" t="n"/>
      <c r="T95" s="598" t="n">
        <v>166560</v>
      </c>
      <c r="U95" s="729" t="n">
        <v>166560</v>
      </c>
      <c r="V95" s="601" t="n">
        <v>0.12</v>
      </c>
      <c r="W95" s="732" t="n">
        <v>0.055</v>
      </c>
      <c r="X95" s="732" t="n">
        <v>0.12</v>
      </c>
      <c r="Y95" s="733" t="n"/>
      <c r="Z95" s="732" t="n">
        <v>0.04</v>
      </c>
      <c r="AA95" s="731">
        <f>U95*(1+V95+W95+X95+Y95+Z95)</f>
        <v>222357.6</v>
      </c>
      <c r="AB95" s="606" t="n"/>
    </row>
    <row r="96">
      <c r="A96" s="590" t="n">
        <v>99999101507</v>
      </c>
      <c r="B96" s="591" t="inlineStr">
        <is>
          <t>Carol Kuang</t>
        </is>
      </c>
      <c r="C96" s="592" t="inlineStr">
        <is>
          <t>Senior Data Scientist</t>
        </is>
      </c>
      <c r="D96" s="591" t="inlineStr">
        <is>
          <t>Jonathan Robinson</t>
        </is>
      </c>
      <c r="E96" s="591" t="inlineStr">
        <is>
          <t>Technology Manager, Data Science</t>
        </is>
      </c>
      <c r="F96" s="624" t="inlineStr">
        <is>
          <t>Strategy, Architecture &amp; Data</t>
        </is>
      </c>
      <c r="G96" s="593" t="inlineStr">
        <is>
          <t>Group Data</t>
        </is>
      </c>
      <c r="H96" s="624" t="inlineStr">
        <is>
          <t>Data Science</t>
        </is>
      </c>
      <c r="I96" s="624" t="inlineStr">
        <is>
          <t>Enterprise Data</t>
        </is>
      </c>
      <c r="J96" s="624" t="inlineStr">
        <is>
          <t>Group Data</t>
        </is>
      </c>
      <c r="K96" s="593" t="inlineStr">
        <is>
          <t>Data Science</t>
        </is>
      </c>
      <c r="L96" s="593" t="n"/>
      <c r="M96" s="594" t="inlineStr">
        <is>
          <t>NZ</t>
        </is>
      </c>
      <c r="N96" s="595" t="inlineStr">
        <is>
          <t>CIC</t>
        </is>
      </c>
      <c r="O96" s="596" t="n">
        <v>1</v>
      </c>
      <c r="P96" s="595" t="n"/>
      <c r="Q96" s="596" t="inlineStr">
        <is>
          <t>Permanent - Full Time</t>
        </is>
      </c>
      <c r="R96" s="597" t="n"/>
      <c r="S96" s="597" t="n"/>
      <c r="T96" s="598" t="n">
        <v>160800</v>
      </c>
      <c r="U96" s="729" t="n">
        <v>147936</v>
      </c>
      <c r="V96" s="600" t="n">
        <v>0.15</v>
      </c>
      <c r="W96" s="596" t="n"/>
      <c r="X96" s="601" t="n">
        <v>0.05</v>
      </c>
      <c r="Y96" s="730" t="n">
        <v>2910</v>
      </c>
      <c r="Z96" s="601" t="n">
        <v>0.03</v>
      </c>
      <c r="AA96" s="731">
        <f>U96*(1+V96+X96+Z96)+Y96</f>
        <v>184871.28</v>
      </c>
      <c r="AB96" s="589" t="n">
        <v>113527</v>
      </c>
    </row>
    <row r="97">
      <c r="A97" s="597" t="n">
        <v>115483</v>
      </c>
      <c r="B97" s="590" t="inlineStr">
        <is>
          <t>Craig Ambrose</t>
        </is>
      </c>
      <c r="C97" s="592" t="inlineStr">
        <is>
          <t>Domain Architect - Group Functions</t>
        </is>
      </c>
      <c r="D97" s="591" t="inlineStr">
        <is>
          <t>Vacant</t>
        </is>
      </c>
      <c r="E97" s="591" t="inlineStr">
        <is>
          <t>Head of Architecture</t>
        </is>
      </c>
      <c r="F97" s="624" t="inlineStr">
        <is>
          <t>Strategy, Architecture &amp; Data</t>
        </is>
      </c>
      <c r="G97" s="593" t="inlineStr">
        <is>
          <t>Architecture</t>
        </is>
      </c>
      <c r="H97" s="624" t="inlineStr">
        <is>
          <t>Architecture</t>
        </is>
      </c>
      <c r="I97" s="624" t="n"/>
      <c r="J97" s="624" t="n"/>
      <c r="K97" s="593" t="n"/>
      <c r="L97" s="593" t="n"/>
      <c r="M97" s="594" t="inlineStr">
        <is>
          <t>NZ</t>
        </is>
      </c>
      <c r="N97" s="595" t="inlineStr">
        <is>
          <t>CSB</t>
        </is>
      </c>
      <c r="O97" s="595" t="n">
        <v>1</v>
      </c>
      <c r="P97" s="595" t="n"/>
      <c r="Q97" s="595" t="inlineStr">
        <is>
          <t>Permanent - Full Time</t>
        </is>
      </c>
      <c r="R97" s="597" t="n"/>
      <c r="S97" s="597" t="n"/>
      <c r="T97" s="598" t="n">
        <v>211940</v>
      </c>
      <c r="U97" s="729" t="n">
        <v>194984.8</v>
      </c>
      <c r="V97" s="600" t="n">
        <v>0.15</v>
      </c>
      <c r="W97" s="597" t="n"/>
      <c r="X97" s="601" t="n">
        <v>0.05</v>
      </c>
      <c r="Y97" s="730" t="n">
        <v>2910</v>
      </c>
      <c r="Z97" s="601" t="n">
        <v>0.03</v>
      </c>
      <c r="AA97" s="731">
        <f>U97*(1+V97+X97+Z97)+Y97</f>
        <v>242741.30399999997</v>
      </c>
      <c r="AB97" s="606" t="n"/>
    </row>
    <row r="98">
      <c r="A98" s="590" t="n">
        <v>113956</v>
      </c>
      <c r="B98" s="591" t="inlineStr">
        <is>
          <t>Deepali Mahajan</t>
        </is>
      </c>
      <c r="C98" s="592" t="inlineStr">
        <is>
          <t>Data Operations Manager</t>
        </is>
      </c>
      <c r="D98" s="591" t="inlineStr">
        <is>
          <t>James Holgate</t>
        </is>
      </c>
      <c r="E98" s="591" t="inlineStr">
        <is>
          <t>Head of Technology,  Group Data</t>
        </is>
      </c>
      <c r="F98" s="624" t="inlineStr">
        <is>
          <t>Strategy, Architecture &amp; Data</t>
        </is>
      </c>
      <c r="G98" s="593" t="inlineStr">
        <is>
          <t>Group Data</t>
        </is>
      </c>
      <c r="H98" s="593" t="inlineStr">
        <is>
          <t>Data Operations</t>
        </is>
      </c>
      <c r="I98" s="624" t="inlineStr">
        <is>
          <t>Enterprise Data</t>
        </is>
      </c>
      <c r="J98" s="624" t="inlineStr">
        <is>
          <t>Leadership</t>
        </is>
      </c>
      <c r="K98" s="593" t="n"/>
      <c r="L98" s="593" t="n"/>
      <c r="M98" s="594" t="inlineStr">
        <is>
          <t>Australia</t>
        </is>
      </c>
      <c r="N98" s="595" t="inlineStr">
        <is>
          <t>CSB</t>
        </is>
      </c>
      <c r="O98" s="595" t="n">
        <v>1</v>
      </c>
      <c r="P98" s="595" t="n"/>
      <c r="Q98" s="595" t="inlineStr">
        <is>
          <t>Permanent - Full Time</t>
        </is>
      </c>
      <c r="R98" s="597" t="n"/>
      <c r="S98" s="597" t="n"/>
      <c r="T98" s="598" t="n">
        <v>218390</v>
      </c>
      <c r="U98" s="729" t="n">
        <v>218390</v>
      </c>
      <c r="V98" s="601" t="n">
        <v>0.14</v>
      </c>
      <c r="W98" s="732" t="n">
        <v>0.055</v>
      </c>
      <c r="X98" s="732" t="n">
        <v>0.12</v>
      </c>
      <c r="Y98" s="733" t="n"/>
      <c r="Z98" s="732" t="n">
        <v>0.04</v>
      </c>
      <c r="AA98" s="731">
        <f>U98*(1+V98+W98+X98+Y98+Z98)</f>
        <v>295918.45</v>
      </c>
      <c r="AB98" s="606" t="n"/>
    </row>
    <row r="99">
      <c r="A99" s="625" t="n">
        <v>105010</v>
      </c>
      <c r="B99" s="591" t="inlineStr">
        <is>
          <t>Dinesh Chandrasekaran</t>
        </is>
      </c>
      <c r="C99" s="592" t="inlineStr">
        <is>
          <t>Lead Engineer (Snowflake)</t>
        </is>
      </c>
      <c r="D99" s="591" t="inlineStr">
        <is>
          <t>Jason Gleason</t>
        </is>
      </c>
      <c r="E99" s="591" t="inlineStr">
        <is>
          <t>Technology Manager, Data Engineering &amp; Platforms</t>
        </is>
      </c>
      <c r="F99" s="591" t="inlineStr">
        <is>
          <t>Strategy, Architecture &amp; Data</t>
        </is>
      </c>
      <c r="G99" s="591" t="inlineStr">
        <is>
          <t>Group Data</t>
        </is>
      </c>
      <c r="H99" s="624" t="inlineStr">
        <is>
          <t>Data Engineering &amp; Platforms</t>
        </is>
      </c>
      <c r="I99" s="593" t="inlineStr">
        <is>
          <t>Enterprise Data</t>
        </is>
      </c>
      <c r="J99" s="624" t="inlineStr">
        <is>
          <t>Group Data</t>
        </is>
      </c>
      <c r="K99" s="593" t="inlineStr">
        <is>
          <t>Data Platform</t>
        </is>
      </c>
      <c r="L99" s="593" t="n"/>
      <c r="M99" s="594" t="inlineStr">
        <is>
          <t>Australia</t>
        </is>
      </c>
      <c r="N99" s="626" t="inlineStr">
        <is>
          <t xml:space="preserve">CIB </t>
        </is>
      </c>
      <c r="O99" s="626" t="n">
        <v>1</v>
      </c>
      <c r="P99" s="626" t="n"/>
      <c r="Q99" s="626" t="inlineStr">
        <is>
          <t>Permanent - Full Time</t>
        </is>
      </c>
      <c r="R99" s="591" t="n"/>
      <c r="S99" s="591" t="n"/>
      <c r="T99" s="627" t="n">
        <v>182760</v>
      </c>
      <c r="U99" s="729" t="n">
        <v>182760</v>
      </c>
      <c r="V99" s="601" t="n">
        <v>0.12</v>
      </c>
      <c r="W99" s="732" t="n">
        <v>0.055</v>
      </c>
      <c r="X99" s="732" t="n">
        <v>0.12</v>
      </c>
      <c r="Y99" s="733" t="n"/>
      <c r="Z99" s="732" t="n">
        <v>0.04</v>
      </c>
      <c r="AA99" s="731">
        <f>U99*(1+V99+W99+X99+Y99+Z99)</f>
        <v>243984.6</v>
      </c>
      <c r="AB99" s="606" t="n"/>
    </row>
    <row r="100">
      <c r="A100" s="590" t="n">
        <v>80469</v>
      </c>
      <c r="B100" s="591" t="inlineStr">
        <is>
          <t>James Holgate</t>
        </is>
      </c>
      <c r="C100" s="592" t="inlineStr">
        <is>
          <t>Head of Technology,  Group Data</t>
        </is>
      </c>
      <c r="D100" s="591" t="inlineStr">
        <is>
          <t>Matt Ashley</t>
        </is>
      </c>
      <c r="E100" s="591" t="inlineStr">
        <is>
          <t>GM TDD, Strategy, Architecture, Data</t>
        </is>
      </c>
      <c r="F100" s="624" t="inlineStr">
        <is>
          <t>Strategy, Architecture &amp; Data</t>
        </is>
      </c>
      <c r="G100" s="593" t="inlineStr">
        <is>
          <t>Group Data</t>
        </is>
      </c>
      <c r="H100" s="624" t="n"/>
      <c r="I100" s="593" t="n"/>
      <c r="J100" s="624" t="inlineStr">
        <is>
          <t>Leadership</t>
        </is>
      </c>
      <c r="K100" s="624" t="n"/>
      <c r="L100" s="593" t="n"/>
      <c r="M100" s="594" t="inlineStr">
        <is>
          <t>Australia</t>
        </is>
      </c>
      <c r="N100" s="597" t="inlineStr">
        <is>
          <t>CSC</t>
        </is>
      </c>
      <c r="O100" s="597" t="n">
        <v>1</v>
      </c>
      <c r="P100" s="597" t="n"/>
      <c r="Q100" s="597" t="inlineStr">
        <is>
          <t>Permanent - Full Time</t>
        </is>
      </c>
      <c r="R100" s="597" t="n"/>
      <c r="S100" s="597" t="n"/>
      <c r="T100" s="598" t="n">
        <v>289580</v>
      </c>
      <c r="U100" s="729" t="n">
        <v>289580</v>
      </c>
      <c r="V100" s="601" t="n">
        <v>0.2</v>
      </c>
      <c r="W100" s="732" t="n">
        <v>0.055</v>
      </c>
      <c r="X100" s="732" t="n">
        <v>0.12</v>
      </c>
      <c r="Y100" s="733" t="n"/>
      <c r="Z100" s="732" t="n">
        <v>0.04</v>
      </c>
      <c r="AA100" s="731">
        <f>U100*(1+V100+W100+X100+Y100+Z100)</f>
        <v>409755.7</v>
      </c>
      <c r="AB100" s="606" t="n"/>
    </row>
    <row r="101">
      <c r="A101" s="590" t="n">
        <v>99999102152</v>
      </c>
      <c r="B101" s="591" t="inlineStr">
        <is>
          <t>Jason Gleason</t>
        </is>
      </c>
      <c r="C101" s="592" t="inlineStr">
        <is>
          <t>Technology Manager, Data Engineering &amp; Platforms</t>
        </is>
      </c>
      <c r="D101" s="591" t="inlineStr">
        <is>
          <t>James Holgate</t>
        </is>
      </c>
      <c r="E101" s="591" t="inlineStr">
        <is>
          <t>Head of Technology,  Group Data</t>
        </is>
      </c>
      <c r="F101" s="624" t="inlineStr">
        <is>
          <t>Strategy, Architecture &amp; Data</t>
        </is>
      </c>
      <c r="G101" s="593" t="inlineStr">
        <is>
          <t>Group Data</t>
        </is>
      </c>
      <c r="H101" s="624" t="inlineStr">
        <is>
          <t>Data Engineering &amp; Platforms</t>
        </is>
      </c>
      <c r="I101" s="624" t="inlineStr">
        <is>
          <t>Enterprise Data</t>
        </is>
      </c>
      <c r="J101" s="628" t="inlineStr">
        <is>
          <t>Leadership</t>
        </is>
      </c>
      <c r="K101" s="593" t="n"/>
      <c r="L101" s="593" t="n"/>
      <c r="M101" s="594" t="inlineStr">
        <is>
          <t>NZ</t>
        </is>
      </c>
      <c r="N101" s="595" t="inlineStr">
        <is>
          <t>CSC</t>
        </is>
      </c>
      <c r="O101" s="596" t="n">
        <v>1</v>
      </c>
      <c r="P101" s="595" t="n"/>
      <c r="Q101" s="596" t="inlineStr">
        <is>
          <t>Permanent - Full Time</t>
        </is>
      </c>
      <c r="R101" s="597" t="n"/>
      <c r="S101" s="597" t="n"/>
      <c r="T101" s="598" t="n">
        <v>270000</v>
      </c>
      <c r="U101" s="729" t="n">
        <v>248400</v>
      </c>
      <c r="V101" s="600" t="n">
        <v>0.2</v>
      </c>
      <c r="W101" s="596" t="n"/>
      <c r="X101" s="601" t="n">
        <v>0.05</v>
      </c>
      <c r="Y101" s="730" t="n">
        <v>2910</v>
      </c>
      <c r="Z101" s="601" t="n">
        <v>0.03</v>
      </c>
      <c r="AA101" s="731">
        <f>U101*(1+V101+X101+Z101)+Y101</f>
        <v>320862.0</v>
      </c>
      <c r="AB101" s="589" t="n">
        <v>116999</v>
      </c>
    </row>
    <row r="102">
      <c r="A102" s="590" t="n">
        <v>113381</v>
      </c>
      <c r="B102" s="591" t="inlineStr">
        <is>
          <t>Joel Vijayakumar</t>
        </is>
      </c>
      <c r="C102" s="592" t="inlineStr">
        <is>
          <t>Delivery Manager, Strategy, Architecture &amp; Data</t>
        </is>
      </c>
      <c r="D102" s="591" t="inlineStr">
        <is>
          <t>Matt Ashley</t>
        </is>
      </c>
      <c r="E102" s="591" t="inlineStr">
        <is>
          <t>GM TDD, Strategy, Architecture, Data</t>
        </is>
      </c>
      <c r="F102" s="624" t="inlineStr">
        <is>
          <t>Strategy, Architecture &amp; Data</t>
        </is>
      </c>
      <c r="G102" s="593" t="inlineStr">
        <is>
          <t>Delivery, SADA</t>
        </is>
      </c>
      <c r="H102" s="593" t="n"/>
      <c r="I102" s="593" t="n"/>
      <c r="J102" s="624" t="inlineStr">
        <is>
          <t>Leadership</t>
        </is>
      </c>
      <c r="K102" s="624" t="n"/>
      <c r="L102" s="593" t="n"/>
      <c r="M102" s="594" t="inlineStr">
        <is>
          <t>Australia</t>
        </is>
      </c>
      <c r="N102" s="595" t="inlineStr">
        <is>
          <t>CSC</t>
        </is>
      </c>
      <c r="O102" s="595" t="n">
        <v>1</v>
      </c>
      <c r="P102" s="595" t="n"/>
      <c r="Q102" s="595" t="inlineStr">
        <is>
          <t>Permanent - Full Time</t>
        </is>
      </c>
      <c r="R102" s="597" t="n"/>
      <c r="S102" s="597" t="n"/>
      <c r="T102" s="598" t="n">
        <v>260840</v>
      </c>
      <c r="U102" s="729" t="n">
        <v>260840</v>
      </c>
      <c r="V102" s="601" t="n">
        <v>0.2</v>
      </c>
      <c r="W102" s="732" t="n">
        <v>0.055</v>
      </c>
      <c r="X102" s="732" t="n">
        <v>0.12</v>
      </c>
      <c r="Y102" s="733" t="n"/>
      <c r="Z102" s="732" t="n">
        <v>0.04</v>
      </c>
      <c r="AA102" s="731">
        <f>U102*(1+V102+W102+X102+Y102+Z102)</f>
        <v>369088.60000000003</v>
      </c>
      <c r="AB102" s="606" t="n"/>
    </row>
    <row r="103">
      <c r="A103" s="590" t="n"/>
      <c r="B103" s="591" t="inlineStr">
        <is>
          <t>John Forde</t>
        </is>
      </c>
      <c r="C103" s="592" t="inlineStr">
        <is>
          <t>Enterprise Architect</t>
        </is>
      </c>
      <c r="D103" s="591" t="inlineStr">
        <is>
          <t>Vacant</t>
        </is>
      </c>
      <c r="E103" s="591" t="inlineStr">
        <is>
          <t>Head of Architecture</t>
        </is>
      </c>
      <c r="F103" s="624" t="inlineStr">
        <is>
          <t>Strategy, Architecture &amp; Data</t>
        </is>
      </c>
      <c r="G103" s="593" t="inlineStr">
        <is>
          <t>Architecture</t>
        </is>
      </c>
      <c r="H103" s="624" t="inlineStr">
        <is>
          <t>Architecture</t>
        </is>
      </c>
      <c r="I103" s="624" t="n"/>
      <c r="J103" s="624" t="n"/>
      <c r="K103" s="593" t="n"/>
      <c r="L103" s="593" t="n"/>
      <c r="M103" s="594" t="inlineStr">
        <is>
          <t>NZ</t>
        </is>
      </c>
      <c r="N103" s="595" t="inlineStr">
        <is>
          <t>CSB</t>
        </is>
      </c>
      <c r="O103" s="595" t="n">
        <v>1</v>
      </c>
      <c r="P103" s="595" t="n"/>
      <c r="Q103" s="595" t="inlineStr">
        <is>
          <t>Permanent - Full Time</t>
        </is>
      </c>
      <c r="R103" s="619" t="n"/>
      <c r="S103" s="597" t="n"/>
      <c r="T103" s="598" t="n">
        <v>186780</v>
      </c>
      <c r="U103" s="729" t="n">
        <v>171837.6</v>
      </c>
      <c r="V103" s="600" t="n">
        <v>0.15</v>
      </c>
      <c r="W103" s="597" t="n"/>
      <c r="X103" s="601" t="n">
        <v>0.05</v>
      </c>
      <c r="Y103" s="730" t="n">
        <v>2910</v>
      </c>
      <c r="Z103" s="601" t="n">
        <v>0.03</v>
      </c>
      <c r="AA103" s="731">
        <f>U103*(1+V103+X103+Z103)+Y103</f>
        <v>214270.248</v>
      </c>
      <c r="AB103" s="606" t="n"/>
    </row>
    <row r="104">
      <c r="A104" s="590" t="n">
        <v>114067</v>
      </c>
      <c r="B104" s="591" t="inlineStr">
        <is>
          <t>Jonathan Robinson</t>
        </is>
      </c>
      <c r="C104" s="592" t="inlineStr">
        <is>
          <t>Technology Manager  Data Science</t>
        </is>
      </c>
      <c r="D104" s="591" t="inlineStr">
        <is>
          <t>James Holgate</t>
        </is>
      </c>
      <c r="E104" s="591" t="inlineStr">
        <is>
          <t>Head of Technology,  Group Data</t>
        </is>
      </c>
      <c r="F104" s="624" t="inlineStr">
        <is>
          <t>Strategy, Architecture &amp; Data</t>
        </is>
      </c>
      <c r="G104" s="593" t="inlineStr">
        <is>
          <t>Group Data</t>
        </is>
      </c>
      <c r="H104" s="593" t="inlineStr">
        <is>
          <t>Data Science</t>
        </is>
      </c>
      <c r="I104" s="624" t="inlineStr">
        <is>
          <t>Enterprise Data</t>
        </is>
      </c>
      <c r="J104" s="624" t="inlineStr">
        <is>
          <t>Leadership</t>
        </is>
      </c>
      <c r="K104" s="593" t="n"/>
      <c r="L104" s="593" t="n"/>
      <c r="M104" s="594" t="inlineStr">
        <is>
          <t>Australia</t>
        </is>
      </c>
      <c r="N104" s="595" t="inlineStr">
        <is>
          <t>CSB</t>
        </is>
      </c>
      <c r="O104" s="595" t="n">
        <v>1</v>
      </c>
      <c r="P104" s="595" t="n"/>
      <c r="Q104" s="595" t="inlineStr">
        <is>
          <t>Permanent - Full Time</t>
        </is>
      </c>
      <c r="R104" s="597" t="n"/>
      <c r="S104" s="597" t="n"/>
      <c r="T104" s="598" t="n">
        <v>243850</v>
      </c>
      <c r="U104" s="729" t="n">
        <v>243850</v>
      </c>
      <c r="V104" s="601" t="n">
        <v>0.14</v>
      </c>
      <c r="W104" s="732" t="n">
        <v>0.055</v>
      </c>
      <c r="X104" s="732" t="n">
        <v>0.12</v>
      </c>
      <c r="Y104" s="733" t="n"/>
      <c r="Z104" s="732" t="n">
        <v>0.04</v>
      </c>
      <c r="AA104" s="731">
        <f>U104*(1+V104+W104+X104+Y104+Z104)</f>
        <v>330416.75</v>
      </c>
      <c r="AB104" s="606" t="n"/>
    </row>
    <row r="105">
      <c r="A105" s="590" t="n">
        <v>80477</v>
      </c>
      <c r="B105" s="591" t="inlineStr">
        <is>
          <t>Kina Birkby</t>
        </is>
      </c>
      <c r="C105" s="592" t="inlineStr">
        <is>
          <t>Delivery Lead</t>
        </is>
      </c>
      <c r="D105" s="591" t="inlineStr">
        <is>
          <t>Joel Vijayakumar</t>
        </is>
      </c>
      <c r="E105" s="591" t="inlineStr">
        <is>
          <t>Delivery Manager, Strategy, Architecture &amp; Data</t>
        </is>
      </c>
      <c r="F105" s="624" t="inlineStr">
        <is>
          <t>Strategy, Architecture &amp; Data</t>
        </is>
      </c>
      <c r="G105" s="593" t="inlineStr">
        <is>
          <t>Delivery, SADA</t>
        </is>
      </c>
      <c r="H105" s="593" t="n"/>
      <c r="I105" s="624" t="inlineStr">
        <is>
          <t>Enterprise Data</t>
        </is>
      </c>
      <c r="J105" s="624" t="inlineStr">
        <is>
          <t>Group Data</t>
        </is>
      </c>
      <c r="K105" s="624" t="inlineStr">
        <is>
          <t>Reporting &amp; Analytics</t>
        </is>
      </c>
      <c r="L105" s="593" t="n"/>
      <c r="M105" s="594" t="inlineStr">
        <is>
          <t>Australia</t>
        </is>
      </c>
      <c r="N105" s="597" t="inlineStr">
        <is>
          <t>CIC</t>
        </is>
      </c>
      <c r="O105" s="597" t="n">
        <v>0.6</v>
      </c>
      <c r="P105" s="597" t="n"/>
      <c r="Q105" s="597" t="inlineStr">
        <is>
          <t>Permanent - Part Time</t>
        </is>
      </c>
      <c r="R105" s="597" t="n"/>
      <c r="S105" s="597" t="n"/>
      <c r="T105" s="598" t="n">
        <v>197180</v>
      </c>
      <c r="U105" s="729" t="n">
        <v>197180</v>
      </c>
      <c r="V105" s="601" t="n">
        <v>0.12</v>
      </c>
      <c r="W105" s="732" t="n">
        <v>0.055</v>
      </c>
      <c r="X105" s="732" t="n">
        <v>0.12</v>
      </c>
      <c r="Y105" s="733" t="n"/>
      <c r="Z105" s="732" t="n">
        <v>0.04</v>
      </c>
      <c r="AA105" s="731">
        <f>U105*(1+V105+W105+X105+Y105+Z105)</f>
        <v>263235.3</v>
      </c>
      <c r="AB105" s="606" t="n"/>
    </row>
    <row r="106">
      <c r="A106" s="590" t="n">
        <v>99999101535</v>
      </c>
      <c r="B106" s="591" t="inlineStr">
        <is>
          <t>Lynn Yiew</t>
        </is>
      </c>
      <c r="C106" s="592" t="inlineStr">
        <is>
          <t>Data Governance Specialist</t>
        </is>
      </c>
      <c r="D106" s="593" t="inlineStr">
        <is>
          <t>Sanjay Tikoo</t>
        </is>
      </c>
      <c r="E106" s="591" t="inlineStr">
        <is>
          <t>Data Capability Manager</t>
        </is>
      </c>
      <c r="F106" s="624" t="inlineStr">
        <is>
          <t>Strategy, Architecture &amp; Data</t>
        </is>
      </c>
      <c r="G106" s="593" t="inlineStr">
        <is>
          <t>Group Data</t>
        </is>
      </c>
      <c r="H106" s="593" t="inlineStr">
        <is>
          <t>Data Capability</t>
        </is>
      </c>
      <c r="I106" s="624" t="inlineStr">
        <is>
          <t>Enterprise Data</t>
        </is>
      </c>
      <c r="J106" s="624" t="inlineStr">
        <is>
          <t>Group Data</t>
        </is>
      </c>
      <c r="K106" s="593" t="n"/>
      <c r="L106" s="593" t="n"/>
      <c r="M106" s="594" t="inlineStr">
        <is>
          <t>NZ</t>
        </is>
      </c>
      <c r="N106" s="595" t="inlineStr">
        <is>
          <t>CIB</t>
        </is>
      </c>
      <c r="O106" s="596" t="n">
        <v>1</v>
      </c>
      <c r="P106" s="595" t="n"/>
      <c r="Q106" s="596" t="inlineStr">
        <is>
          <t>Permanent - Full Time</t>
        </is>
      </c>
      <c r="R106" s="597" t="n"/>
      <c r="S106" s="597" t="n"/>
      <c r="T106" s="598" t="n">
        <v>129760</v>
      </c>
      <c r="U106" s="729" t="n">
        <v>119379.2</v>
      </c>
      <c r="V106" s="600" t="n">
        <v>0.15</v>
      </c>
      <c r="W106" s="597" t="n"/>
      <c r="X106" s="601" t="n">
        <v>0.05</v>
      </c>
      <c r="Y106" s="730" t="n">
        <v>2910</v>
      </c>
      <c r="Z106" s="601" t="n">
        <v>0.03</v>
      </c>
      <c r="AA106" s="731">
        <f>U106*(1+V106+X106+Z106)+Y106</f>
        <v>149746.416</v>
      </c>
      <c r="AB106" s="589" t="n">
        <v>113582</v>
      </c>
    </row>
    <row r="107">
      <c r="A107" s="597" t="n">
        <v>113595</v>
      </c>
      <c r="B107" s="590" t="inlineStr">
        <is>
          <t>Mike Gilbert</t>
        </is>
      </c>
      <c r="C107" s="592" t="inlineStr">
        <is>
          <t xml:space="preserve">Domain Architect - CFE &amp; Infrastructure </t>
        </is>
      </c>
      <c r="D107" s="591" t="inlineStr">
        <is>
          <t>Vacant</t>
        </is>
      </c>
      <c r="E107" s="591" t="inlineStr">
        <is>
          <t>Head of Architecture</t>
        </is>
      </c>
      <c r="F107" s="624" t="inlineStr">
        <is>
          <t>Strategy, Architecture &amp; Data</t>
        </is>
      </c>
      <c r="G107" s="593" t="inlineStr">
        <is>
          <t>Architecture</t>
        </is>
      </c>
      <c r="H107" s="629" t="inlineStr">
        <is>
          <t>Architecture</t>
        </is>
      </c>
      <c r="I107" s="624" t="n"/>
      <c r="J107" s="624" t="n"/>
      <c r="K107" s="593" t="n"/>
      <c r="L107" s="593" t="n"/>
      <c r="M107" s="594" t="inlineStr">
        <is>
          <t>NZ</t>
        </is>
      </c>
      <c r="N107" s="595" t="inlineStr">
        <is>
          <t>CSB</t>
        </is>
      </c>
      <c r="O107" s="595" t="n">
        <v>1</v>
      </c>
      <c r="P107" s="595" t="n"/>
      <c r="Q107" s="595" t="inlineStr">
        <is>
          <t>Permanent - Full Time</t>
        </is>
      </c>
      <c r="R107" s="597" t="n"/>
      <c r="S107" s="597" t="n"/>
      <c r="T107" s="598" t="n">
        <v>206740</v>
      </c>
      <c r="U107" s="729" t="n">
        <v>190200.8</v>
      </c>
      <c r="V107" s="600" t="n">
        <v>0.15</v>
      </c>
      <c r="W107" s="597" t="n"/>
      <c r="X107" s="601" t="n">
        <v>0.05</v>
      </c>
      <c r="Y107" s="730" t="n">
        <v>2910</v>
      </c>
      <c r="Z107" s="601" t="n">
        <v>0.03</v>
      </c>
      <c r="AA107" s="731">
        <f>U107*(1+V107+X107+Z107)+Y107</f>
        <v>236856.984</v>
      </c>
      <c r="AB107" s="606" t="n"/>
    </row>
    <row r="108">
      <c r="A108" s="590" t="n">
        <v>100330</v>
      </c>
      <c r="B108" s="591" t="inlineStr">
        <is>
          <t>Milan Patel</t>
        </is>
      </c>
      <c r="C108" s="592" t="inlineStr">
        <is>
          <t>Platform Architect</t>
        </is>
      </c>
      <c r="D108" s="593" t="inlineStr">
        <is>
          <t>Sanjay Tikoo</t>
        </is>
      </c>
      <c r="E108" s="591" t="inlineStr">
        <is>
          <t>Data Capability Manager</t>
        </is>
      </c>
      <c r="F108" s="624" t="inlineStr">
        <is>
          <t>Strategy, Architecture &amp; Data</t>
        </is>
      </c>
      <c r="G108" s="593" t="inlineStr">
        <is>
          <t>Group Data</t>
        </is>
      </c>
      <c r="H108" s="593" t="inlineStr">
        <is>
          <t>Data Capability</t>
        </is>
      </c>
      <c r="I108" s="624" t="inlineStr">
        <is>
          <t>Enterprise Data</t>
        </is>
      </c>
      <c r="J108" s="624" t="inlineStr">
        <is>
          <t>Group Data</t>
        </is>
      </c>
      <c r="K108" s="593" t="inlineStr">
        <is>
          <t>Data Platform</t>
        </is>
      </c>
      <c r="L108" s="593" t="n"/>
      <c r="M108" s="594" t="inlineStr">
        <is>
          <t>Australia</t>
        </is>
      </c>
      <c r="N108" s="595" t="inlineStr">
        <is>
          <t>CIC</t>
        </is>
      </c>
      <c r="O108" s="595" t="n">
        <v>1</v>
      </c>
      <c r="P108" s="595" t="n"/>
      <c r="Q108" s="595" t="inlineStr">
        <is>
          <t>Permanent - Full Time</t>
        </is>
      </c>
      <c r="R108" s="597" t="n"/>
      <c r="S108" s="597" t="n"/>
      <c r="T108" s="598" t="n">
        <v>198940</v>
      </c>
      <c r="U108" s="729" t="n">
        <v>198940</v>
      </c>
      <c r="V108" s="601" t="n">
        <v>0.12</v>
      </c>
      <c r="W108" s="732" t="n">
        <v>0.055</v>
      </c>
      <c r="X108" s="732" t="n">
        <v>0.12</v>
      </c>
      <c r="Y108" s="733" t="n"/>
      <c r="Z108" s="732" t="n">
        <v>0.04</v>
      </c>
      <c r="AA108" s="731">
        <f>U108*(1+V108+W108+X108+Y108+Z108)</f>
        <v>265584.89999999997</v>
      </c>
      <c r="AB108" s="606" t="n"/>
    </row>
    <row r="109">
      <c r="A109" s="590" t="n">
        <v>99522</v>
      </c>
      <c r="B109" s="591" t="inlineStr">
        <is>
          <t>Mitchell Clarke</t>
        </is>
      </c>
      <c r="C109" s="592" t="inlineStr">
        <is>
          <t>Snr Data Governance Specialist</t>
        </is>
      </c>
      <c r="D109" s="593" t="inlineStr">
        <is>
          <t>Sanjay Tikoo</t>
        </is>
      </c>
      <c r="E109" s="591" t="inlineStr">
        <is>
          <t>Data Capability Manager</t>
        </is>
      </c>
      <c r="F109" s="624" t="inlineStr">
        <is>
          <t>Strategy, Architecture &amp; Data</t>
        </is>
      </c>
      <c r="G109" s="593" t="inlineStr">
        <is>
          <t>Group Data</t>
        </is>
      </c>
      <c r="H109" s="593" t="inlineStr">
        <is>
          <t>Data Capability</t>
        </is>
      </c>
      <c r="I109" s="624" t="inlineStr">
        <is>
          <t>Enterprise Data</t>
        </is>
      </c>
      <c r="J109" s="624" t="inlineStr">
        <is>
          <t>Group Data</t>
        </is>
      </c>
      <c r="K109" s="593" t="n"/>
      <c r="L109" s="593" t="n"/>
      <c r="M109" s="594" t="inlineStr">
        <is>
          <t>Australia</t>
        </is>
      </c>
      <c r="N109" s="595" t="inlineStr">
        <is>
          <t>CIC</t>
        </is>
      </c>
      <c r="O109" s="595" t="n">
        <v>1</v>
      </c>
      <c r="P109" s="595" t="n"/>
      <c r="Q109" s="595" t="inlineStr">
        <is>
          <t>Permanent - Full Time</t>
        </is>
      </c>
      <c r="R109" s="597" t="n"/>
      <c r="S109" s="597" t="n"/>
      <c r="T109" s="598" t="n">
        <v>169280</v>
      </c>
      <c r="U109" s="729" t="n">
        <v>169280</v>
      </c>
      <c r="V109" s="601" t="n">
        <v>0.12</v>
      </c>
      <c r="W109" s="732" t="n">
        <v>0.055</v>
      </c>
      <c r="X109" s="732" t="n">
        <v>0.12</v>
      </c>
      <c r="Y109" s="733" t="n"/>
      <c r="Z109" s="732" t="n">
        <v>0.04</v>
      </c>
      <c r="AA109" s="731">
        <f>U109*(1+V109+W109+X109+Y109+Z109)</f>
        <v>225988.8</v>
      </c>
      <c r="AB109" s="606" t="n"/>
    </row>
    <row r="110">
      <c r="A110" s="590" t="n">
        <v>107048</v>
      </c>
      <c r="B110" s="591" t="inlineStr">
        <is>
          <t>Om Singh</t>
        </is>
      </c>
      <c r="C110" s="592" t="inlineStr">
        <is>
          <t>Data Scientist</t>
        </is>
      </c>
      <c r="D110" s="591" t="inlineStr">
        <is>
          <t>Jonathan Robinson</t>
        </is>
      </c>
      <c r="E110" s="591" t="inlineStr">
        <is>
          <t>Technology Manager, Data Science</t>
        </is>
      </c>
      <c r="F110" s="624" t="inlineStr">
        <is>
          <t>Strategy, Architecture &amp; Data</t>
        </is>
      </c>
      <c r="G110" s="593" t="inlineStr">
        <is>
          <t>Group Data</t>
        </is>
      </c>
      <c r="H110" s="624" t="inlineStr">
        <is>
          <t>Data Science</t>
        </is>
      </c>
      <c r="I110" s="624" t="inlineStr">
        <is>
          <t>Enterprise Data</t>
        </is>
      </c>
      <c r="J110" s="624" t="inlineStr">
        <is>
          <t>Group Data</t>
        </is>
      </c>
      <c r="K110" s="593" t="inlineStr">
        <is>
          <t>Data Science</t>
        </is>
      </c>
      <c r="L110" s="593" t="n"/>
      <c r="M110" s="594" t="inlineStr">
        <is>
          <t>Australia</t>
        </is>
      </c>
      <c r="N110" s="595" t="inlineStr">
        <is>
          <t>CIA</t>
        </is>
      </c>
      <c r="O110" s="595" t="n">
        <v>1</v>
      </c>
      <c r="P110" s="595" t="n"/>
      <c r="Q110" s="595" t="inlineStr">
        <is>
          <t>Temporary - Full Time</t>
        </is>
      </c>
      <c r="R110" s="597" t="n"/>
      <c r="S110" s="597" t="n"/>
      <c r="T110" s="598" t="n">
        <v>138000</v>
      </c>
      <c r="U110" s="729" t="n">
        <v>138000</v>
      </c>
      <c r="V110" s="601" t="n">
        <v>0.1</v>
      </c>
      <c r="W110" s="732" t="n">
        <v>0.055</v>
      </c>
      <c r="X110" s="732" t="n">
        <v>0.12</v>
      </c>
      <c r="Y110" s="733" t="n"/>
      <c r="Z110" s="732" t="n">
        <v>0.04</v>
      </c>
      <c r="AA110" s="731">
        <f>U110*(1+V110+W110+X110+Y110+Z110)</f>
        <v>181470.0</v>
      </c>
      <c r="AB110" s="606" t="n"/>
    </row>
    <row r="111">
      <c r="A111" s="590" t="n">
        <v>107154</v>
      </c>
      <c r="B111" s="591" t="inlineStr">
        <is>
          <t>Prashant Tataskar</t>
        </is>
      </c>
      <c r="C111" s="592" t="inlineStr">
        <is>
          <t>Data Scientist</t>
        </is>
      </c>
      <c r="D111" s="591" t="inlineStr">
        <is>
          <t>Jonathan Robinson</t>
        </is>
      </c>
      <c r="E111" s="591" t="inlineStr">
        <is>
          <t>Technology Manager, Data Science</t>
        </is>
      </c>
      <c r="F111" s="624" t="inlineStr">
        <is>
          <t>Strategy, Architecture &amp; Data</t>
        </is>
      </c>
      <c r="G111" s="593" t="inlineStr">
        <is>
          <t>Group Data</t>
        </is>
      </c>
      <c r="H111" s="624" t="inlineStr">
        <is>
          <t>Data Science</t>
        </is>
      </c>
      <c r="I111" s="624" t="inlineStr">
        <is>
          <t>Enterprise Data</t>
        </is>
      </c>
      <c r="J111" s="624" t="inlineStr">
        <is>
          <t>Group Data</t>
        </is>
      </c>
      <c r="K111" s="593" t="inlineStr">
        <is>
          <t>Data Science</t>
        </is>
      </c>
      <c r="L111" s="593" t="n"/>
      <c r="M111" s="594" t="inlineStr">
        <is>
          <t>Australia</t>
        </is>
      </c>
      <c r="N111" s="595" t="inlineStr">
        <is>
          <t>CIB</t>
        </is>
      </c>
      <c r="O111" s="595" t="n">
        <v>1</v>
      </c>
      <c r="P111" s="595" t="n"/>
      <c r="Q111" s="595" t="inlineStr">
        <is>
          <t>Permanent - Full Time</t>
        </is>
      </c>
      <c r="R111" s="597" t="n"/>
      <c r="S111" s="597" t="n"/>
      <c r="T111" s="598" t="n">
        <v>156160</v>
      </c>
      <c r="U111" s="729" t="n">
        <v>156160</v>
      </c>
      <c r="V111" s="601" t="n">
        <v>0.12</v>
      </c>
      <c r="W111" s="732" t="n">
        <v>0.055</v>
      </c>
      <c r="X111" s="732" t="n">
        <v>0.12</v>
      </c>
      <c r="Y111" s="733" t="n"/>
      <c r="Z111" s="732" t="n">
        <v>0.04</v>
      </c>
      <c r="AA111" s="731">
        <f>U111*(1+V111+W111+X111+Y111+Z111)</f>
        <v>208473.6</v>
      </c>
      <c r="AB111" s="606" t="n"/>
    </row>
    <row r="112">
      <c r="A112" s="590" t="n">
        <v>113451</v>
      </c>
      <c r="B112" s="591" t="inlineStr">
        <is>
          <t>Prashanth Krishnankutty</t>
        </is>
      </c>
      <c r="C112" s="592" t="inlineStr">
        <is>
          <t>Lead Reporting &amp; Insights</t>
        </is>
      </c>
      <c r="D112" s="591" t="inlineStr">
        <is>
          <t>Jason Gleason</t>
        </is>
      </c>
      <c r="E112" s="591" t="inlineStr">
        <is>
          <t>Technology Manager, Data Engineering &amp; Platforms</t>
        </is>
      </c>
      <c r="F112" s="624" t="inlineStr">
        <is>
          <t>Strategy, Architecture &amp; Data</t>
        </is>
      </c>
      <c r="G112" s="593" t="inlineStr">
        <is>
          <t>Group Data</t>
        </is>
      </c>
      <c r="H112" s="624" t="inlineStr">
        <is>
          <t>Data Engineering &amp; Platforms</t>
        </is>
      </c>
      <c r="I112" s="624" t="inlineStr">
        <is>
          <t>Enterprise Data</t>
        </is>
      </c>
      <c r="J112" s="624" t="inlineStr">
        <is>
          <t>Group Data</t>
        </is>
      </c>
      <c r="K112" s="624" t="inlineStr">
        <is>
          <t>Reporting &amp; Analytics</t>
        </is>
      </c>
      <c r="L112" s="593" t="n"/>
      <c r="M112" s="594" t="inlineStr">
        <is>
          <t>Australia</t>
        </is>
      </c>
      <c r="N112" s="595" t="inlineStr">
        <is>
          <t>CIC</t>
        </is>
      </c>
      <c r="O112" s="595" t="n">
        <v>1</v>
      </c>
      <c r="P112" s="595" t="n"/>
      <c r="Q112" s="595" t="inlineStr">
        <is>
          <t>Permanent - Full Time</t>
        </is>
      </c>
      <c r="R112" s="597" t="n"/>
      <c r="S112" s="597" t="n"/>
      <c r="T112" s="598" t="n">
        <v>191290</v>
      </c>
      <c r="U112" s="729" t="n">
        <v>191290</v>
      </c>
      <c r="V112" s="601" t="n">
        <v>0.12</v>
      </c>
      <c r="W112" s="732" t="n">
        <v>0.055</v>
      </c>
      <c r="X112" s="732" t="n">
        <v>0.12</v>
      </c>
      <c r="Y112" s="733" t="n"/>
      <c r="Z112" s="732" t="n">
        <v>0.04</v>
      </c>
      <c r="AA112" s="731">
        <f>U112*(1+V112+W112+X112+Y112+Z112)</f>
        <v>255372.15</v>
      </c>
      <c r="AB112" s="606" t="n"/>
    </row>
    <row r="113">
      <c r="A113" s="590" t="n">
        <v>83092</v>
      </c>
      <c r="B113" s="591" t="inlineStr">
        <is>
          <t>Rakshit Kaul</t>
        </is>
      </c>
      <c r="C113" s="592" t="inlineStr">
        <is>
          <t>Applications Specialist</t>
        </is>
      </c>
      <c r="D113" s="591" t="inlineStr">
        <is>
          <t>Sai Konka</t>
        </is>
      </c>
      <c r="E113" s="591" t="inlineStr">
        <is>
          <t>Applications &amp; Analytics Manager</t>
        </is>
      </c>
      <c r="F113" s="624" t="inlineStr">
        <is>
          <t>Strategy, Architecture &amp; Data</t>
        </is>
      </c>
      <c r="G113" s="593" t="inlineStr">
        <is>
          <t>Group Data</t>
        </is>
      </c>
      <c r="H113" s="624" t="inlineStr">
        <is>
          <t>Data Engineering &amp; Platforms</t>
        </is>
      </c>
      <c r="I113" s="624" t="inlineStr">
        <is>
          <t>Enterprise Data</t>
        </is>
      </c>
      <c r="J113" s="624" t="inlineStr">
        <is>
          <t>EGI</t>
        </is>
      </c>
      <c r="K113" s="624" t="inlineStr">
        <is>
          <t>Reporting &amp; Analytics</t>
        </is>
      </c>
      <c r="L113" s="593" t="n"/>
      <c r="M113" s="594" t="inlineStr">
        <is>
          <t>Australia</t>
        </is>
      </c>
      <c r="N113" s="597" t="inlineStr">
        <is>
          <t>CIB</t>
        </is>
      </c>
      <c r="O113" s="597" t="n">
        <v>1</v>
      </c>
      <c r="P113" s="597" t="n"/>
      <c r="Q113" s="597" t="inlineStr">
        <is>
          <t>Permanent - Full Time</t>
        </is>
      </c>
      <c r="R113" s="597" t="n"/>
      <c r="S113" s="597" t="n"/>
      <c r="T113" s="598" t="n">
        <v>178100</v>
      </c>
      <c r="U113" s="729" t="n">
        <v>178100</v>
      </c>
      <c r="V113" s="601" t="n">
        <v>0.12</v>
      </c>
      <c r="W113" s="732" t="n">
        <v>0.055</v>
      </c>
      <c r="X113" s="732" t="n">
        <v>0.12</v>
      </c>
      <c r="Y113" s="733" t="n"/>
      <c r="Z113" s="732" t="n">
        <v>0.04</v>
      </c>
      <c r="AA113" s="731">
        <f>U113*(1+V113+W113+X113+Y113+Z113)</f>
        <v>237763.5</v>
      </c>
      <c r="AB113" s="606" t="n"/>
    </row>
    <row r="114">
      <c r="A114" s="590" t="n">
        <v>98599</v>
      </c>
      <c r="B114" s="591" t="inlineStr">
        <is>
          <t>Raymond Bai</t>
        </is>
      </c>
      <c r="C114" s="592" t="inlineStr">
        <is>
          <t>Data Adoption Specialist</t>
        </is>
      </c>
      <c r="D114" s="593" t="inlineStr">
        <is>
          <t>Sanjay Tikoo</t>
        </is>
      </c>
      <c r="E114" s="591" t="inlineStr">
        <is>
          <t>Lead Engineer (Databricks)</t>
        </is>
      </c>
      <c r="F114" s="624" t="inlineStr">
        <is>
          <t>Strategy, Architecture &amp; Data</t>
        </is>
      </c>
      <c r="G114" s="593" t="inlineStr">
        <is>
          <t>Group Data</t>
        </is>
      </c>
      <c r="H114" s="624" t="inlineStr">
        <is>
          <t>Data Capability</t>
        </is>
      </c>
      <c r="I114" s="593" t="inlineStr">
        <is>
          <t>Enterprise Data</t>
        </is>
      </c>
      <c r="J114" s="624" t="inlineStr">
        <is>
          <t>Group Data</t>
        </is>
      </c>
      <c r="K114" s="593" t="n"/>
      <c r="L114" s="593" t="n"/>
      <c r="M114" s="594" t="inlineStr">
        <is>
          <t>Australia</t>
        </is>
      </c>
      <c r="N114" s="595" t="inlineStr">
        <is>
          <t>CIB</t>
        </is>
      </c>
      <c r="O114" s="595" t="n">
        <v>1</v>
      </c>
      <c r="P114" s="595" t="n"/>
      <c r="Q114" s="595" t="inlineStr">
        <is>
          <t>Permanent - Full Time</t>
        </is>
      </c>
      <c r="R114" s="597" t="n"/>
      <c r="S114" s="597" t="n"/>
      <c r="T114" s="598" t="n">
        <v>131740</v>
      </c>
      <c r="U114" s="729" t="n">
        <v>131740</v>
      </c>
      <c r="V114" s="601" t="n">
        <v>0.12</v>
      </c>
      <c r="W114" s="732" t="n">
        <v>0.055</v>
      </c>
      <c r="X114" s="732" t="n">
        <v>0.12</v>
      </c>
      <c r="Y114" s="733" t="n"/>
      <c r="Z114" s="732" t="n">
        <v>0.04</v>
      </c>
      <c r="AA114" s="731">
        <f>U114*(1+V114+W114+X114+Y114+Z114)</f>
        <v>175872.9</v>
      </c>
      <c r="AB114" s="606" t="n"/>
    </row>
    <row r="115">
      <c r="A115" s="590" t="n">
        <v>110146</v>
      </c>
      <c r="B115" s="591" t="inlineStr">
        <is>
          <t>Renosh Matthew Thomas</t>
        </is>
      </c>
      <c r="C115" s="592" t="inlineStr">
        <is>
          <t>Data Enablement Lead</t>
        </is>
      </c>
      <c r="D115" s="593" t="inlineStr">
        <is>
          <t>Sanjay Tikoo</t>
        </is>
      </c>
      <c r="E115" s="591" t="inlineStr">
        <is>
          <t>Data Capability Manager</t>
        </is>
      </c>
      <c r="F115" s="624" t="inlineStr">
        <is>
          <t>Strategy, Architecture &amp; Data</t>
        </is>
      </c>
      <c r="G115" s="593" t="inlineStr">
        <is>
          <t>Group Data</t>
        </is>
      </c>
      <c r="H115" s="593" t="inlineStr">
        <is>
          <t>Data Capability</t>
        </is>
      </c>
      <c r="I115" s="624" t="inlineStr">
        <is>
          <t>Enterprise Data</t>
        </is>
      </c>
      <c r="J115" s="624" t="inlineStr">
        <is>
          <t>Group Data</t>
        </is>
      </c>
      <c r="K115" s="593" t="n"/>
      <c r="L115" s="593" t="n"/>
      <c r="M115" s="594" t="inlineStr">
        <is>
          <t>Australia</t>
        </is>
      </c>
      <c r="N115" s="595" t="inlineStr">
        <is>
          <t>CIB</t>
        </is>
      </c>
      <c r="O115" s="595" t="n">
        <v>1</v>
      </c>
      <c r="P115" s="595" t="n"/>
      <c r="Q115" s="595" t="inlineStr">
        <is>
          <t>Permanent - Full Time</t>
        </is>
      </c>
      <c r="R115" s="597" t="n"/>
      <c r="S115" s="597" t="n"/>
      <c r="T115" s="598" t="n">
        <v>170080</v>
      </c>
      <c r="U115" s="729" t="n">
        <v>170080</v>
      </c>
      <c r="V115" s="601" t="n">
        <v>0.12</v>
      </c>
      <c r="W115" s="732" t="n">
        <v>0.055</v>
      </c>
      <c r="X115" s="732" t="n">
        <v>0.12</v>
      </c>
      <c r="Y115" s="733" t="n"/>
      <c r="Z115" s="732" t="n">
        <v>0.04</v>
      </c>
      <c r="AA115" s="731">
        <f>U115*(1+V115+W115+X115+Y115+Z115)</f>
        <v>227056.8</v>
      </c>
      <c r="AB115" s="606" t="n"/>
    </row>
    <row r="116">
      <c r="A116" s="590" t="n">
        <v>94631</v>
      </c>
      <c r="B116" s="591" t="inlineStr">
        <is>
          <t>Rihan Schalkwyk</t>
        </is>
      </c>
      <c r="C116" s="592" t="inlineStr">
        <is>
          <t>Senior Business Analyst</t>
        </is>
      </c>
      <c r="D116" s="591" t="inlineStr">
        <is>
          <t>Joel Vijayakumar</t>
        </is>
      </c>
      <c r="E116" s="591" t="inlineStr">
        <is>
          <t>Delivery Manager, Strategy, Architecture &amp; Data</t>
        </is>
      </c>
      <c r="F116" s="624" t="inlineStr">
        <is>
          <t>Strategy, Architecture &amp; Data</t>
        </is>
      </c>
      <c r="G116" s="593" t="inlineStr">
        <is>
          <t>Delivery, SADA</t>
        </is>
      </c>
      <c r="H116" s="593" t="inlineStr">
        <is>
          <t> </t>
        </is>
      </c>
      <c r="I116" s="593" t="n"/>
      <c r="J116" s="624" t="n"/>
      <c r="K116" s="593" t="n"/>
      <c r="L116" s="593" t="n"/>
      <c r="M116" s="594" t="inlineStr">
        <is>
          <t>Australia</t>
        </is>
      </c>
      <c r="N116" s="595" t="inlineStr">
        <is>
          <t>CIC</t>
        </is>
      </c>
      <c r="O116" s="595" t="n">
        <v>1</v>
      </c>
      <c r="P116" s="595" t="n"/>
      <c r="Q116" s="595" t="inlineStr">
        <is>
          <t>Permanent - Full Time</t>
        </is>
      </c>
      <c r="R116" s="597" t="n"/>
      <c r="S116" s="597" t="n"/>
      <c r="T116" s="598" t="n">
        <v>186610</v>
      </c>
      <c r="U116" s="729" t="n">
        <v>186610</v>
      </c>
      <c r="V116" s="601" t="n">
        <v>0.12</v>
      </c>
      <c r="W116" s="732" t="n">
        <v>0.055</v>
      </c>
      <c r="X116" s="732" t="n">
        <v>0.12</v>
      </c>
      <c r="Y116" s="733" t="n"/>
      <c r="Z116" s="732" t="n">
        <v>0.04</v>
      </c>
      <c r="AA116" s="731">
        <f>U116*(1+V116+W116+X116+Y116+Z116)</f>
        <v>249124.35</v>
      </c>
      <c r="AB116" s="606" t="n"/>
    </row>
    <row r="117">
      <c r="A117" s="590" t="inlineStr">
        <is>
          <t>V</t>
        </is>
      </c>
      <c r="B117" s="591" t="inlineStr">
        <is>
          <t>ring fenced</t>
        </is>
      </c>
      <c r="C117" s="592" t="inlineStr">
        <is>
          <t>Enterprise Architect</t>
        </is>
      </c>
      <c r="D117" s="591" t="inlineStr">
        <is>
          <t>Vacant</t>
        </is>
      </c>
      <c r="E117" s="591" t="inlineStr">
        <is>
          <t>Head of Architecture</t>
        </is>
      </c>
      <c r="F117" s="624" t="inlineStr">
        <is>
          <t>Strategy, Architecture &amp; Data</t>
        </is>
      </c>
      <c r="G117" s="593" t="inlineStr">
        <is>
          <t>Architecture</t>
        </is>
      </c>
      <c r="H117" s="624" t="inlineStr">
        <is>
          <t>Architecture</t>
        </is>
      </c>
      <c r="I117" s="624" t="n"/>
      <c r="J117" s="624" t="n"/>
      <c r="K117" s="593" t="n"/>
      <c r="L117" s="593" t="n"/>
      <c r="M117" s="594" t="inlineStr">
        <is>
          <t>Australia</t>
        </is>
      </c>
      <c r="N117" s="595" t="inlineStr">
        <is>
          <t>CSB</t>
        </is>
      </c>
      <c r="O117" s="595" t="n">
        <v>1</v>
      </c>
      <c r="P117" s="595" t="n"/>
      <c r="Q117" s="595" t="inlineStr">
        <is>
          <t>Pause</t>
        </is>
      </c>
      <c r="R117" s="619" t="n"/>
      <c r="S117" s="597" t="n"/>
      <c r="T117" s="598" t="n">
        <v>203550</v>
      </c>
      <c r="U117" s="729" t="n">
        <v>203550</v>
      </c>
      <c r="V117" s="601" t="n">
        <v>0.14</v>
      </c>
      <c r="W117" s="732" t="n">
        <v>0.055</v>
      </c>
      <c r="X117" s="732" t="n">
        <v>0.12</v>
      </c>
      <c r="Y117" s="733" t="n"/>
      <c r="Z117" s="732" t="n">
        <v>0.04</v>
      </c>
      <c r="AA117" s="731">
        <f>U117*(1+V117+W117+X117+Y117+Z117)</f>
        <v>275810.25</v>
      </c>
      <c r="AB117" s="606" t="n"/>
    </row>
    <row r="118">
      <c r="A118" s="590" t="n"/>
      <c r="B118" s="591" t="inlineStr">
        <is>
          <t>ring fenced</t>
        </is>
      </c>
      <c r="C118" s="592" t="inlineStr">
        <is>
          <t>Domain Architect - Customer &amp; Digital Tech</t>
        </is>
      </c>
      <c r="D118" s="591" t="inlineStr">
        <is>
          <t>Vacant</t>
        </is>
      </c>
      <c r="E118" s="591" t="inlineStr">
        <is>
          <t>Head of Architecture</t>
        </is>
      </c>
      <c r="F118" s="624" t="inlineStr">
        <is>
          <t>Strategy, Architecture &amp; Data</t>
        </is>
      </c>
      <c r="G118" s="593" t="inlineStr">
        <is>
          <t>Architecture</t>
        </is>
      </c>
      <c r="H118" s="624" t="inlineStr">
        <is>
          <t>Architecture</t>
        </is>
      </c>
      <c r="I118" s="624" t="n"/>
      <c r="J118" s="624" t="n"/>
      <c r="K118" s="593" t="n"/>
      <c r="L118" s="593" t="n"/>
      <c r="M118" s="594" t="inlineStr">
        <is>
          <t>Australia</t>
        </is>
      </c>
      <c r="N118" s="595" t="inlineStr">
        <is>
          <t>CIC</t>
        </is>
      </c>
      <c r="O118" s="595" t="n">
        <v>1</v>
      </c>
      <c r="P118" s="595" t="n"/>
      <c r="Q118" s="595" t="inlineStr">
        <is>
          <t>v</t>
        </is>
      </c>
      <c r="R118" s="619" t="n"/>
      <c r="S118" s="597" t="n"/>
      <c r="T118" s="598" t="n">
        <v>173550</v>
      </c>
      <c r="U118" s="729" t="n">
        <v>173550</v>
      </c>
      <c r="V118" s="601" t="n">
        <v>0.12</v>
      </c>
      <c r="W118" s="732" t="n">
        <v>0.055</v>
      </c>
      <c r="X118" s="732" t="n">
        <v>0.12</v>
      </c>
      <c r="Y118" s="733" t="n"/>
      <c r="Z118" s="732" t="n">
        <v>0.04</v>
      </c>
      <c r="AA118" s="731">
        <f>U118*(1+V118+W118+X118+Y118+Z118)</f>
        <v>231689.25</v>
      </c>
      <c r="AB118" s="606" t="n"/>
    </row>
    <row r="119">
      <c r="A119" s="590" t="n"/>
      <c r="B119" s="591" t="inlineStr">
        <is>
          <t>ring fenced</t>
        </is>
      </c>
      <c r="C119" s="592" t="inlineStr">
        <is>
          <t>Domain Architect - Retail &amp; Z</t>
        </is>
      </c>
      <c r="D119" s="591" t="inlineStr">
        <is>
          <t>Vacant</t>
        </is>
      </c>
      <c r="E119" s="591" t="inlineStr">
        <is>
          <t>Head of Architecture</t>
        </is>
      </c>
      <c r="F119" s="624" t="inlineStr">
        <is>
          <t>Strategy, Architecture &amp; Data</t>
        </is>
      </c>
      <c r="G119" s="593" t="inlineStr">
        <is>
          <t>Architecture</t>
        </is>
      </c>
      <c r="H119" s="624" t="inlineStr">
        <is>
          <t>Architecture</t>
        </is>
      </c>
      <c r="I119" s="624" t="n"/>
      <c r="J119" s="624" t="n"/>
      <c r="K119" s="593" t="n"/>
      <c r="L119" s="593" t="n"/>
      <c r="M119" s="594" t="inlineStr">
        <is>
          <t>Australia</t>
        </is>
      </c>
      <c r="N119" s="595" t="inlineStr">
        <is>
          <t>CIC</t>
        </is>
      </c>
      <c r="O119" s="595" t="n">
        <v>1</v>
      </c>
      <c r="P119" s="595" t="n"/>
      <c r="Q119" s="595" t="inlineStr">
        <is>
          <t>v</t>
        </is>
      </c>
      <c r="R119" s="619" t="n"/>
      <c r="S119" s="597" t="n"/>
      <c r="T119" s="598" t="n">
        <v>173550</v>
      </c>
      <c r="U119" s="729" t="n">
        <v>173550</v>
      </c>
      <c r="V119" s="601" t="n">
        <v>0.12</v>
      </c>
      <c r="W119" s="732" t="n">
        <v>0.055</v>
      </c>
      <c r="X119" s="732" t="n">
        <v>0.12</v>
      </c>
      <c r="Y119" s="733" t="n"/>
      <c r="Z119" s="732" t="n">
        <v>0.04</v>
      </c>
      <c r="AA119" s="731">
        <f>U119*(1+V119+W119+X119+Y119+Z119)</f>
        <v>231689.25</v>
      </c>
      <c r="AB119" s="606" t="n"/>
    </row>
    <row r="120">
      <c r="A120" s="590" t="n"/>
      <c r="B120" s="591" t="inlineStr">
        <is>
          <t>ring fenced</t>
        </is>
      </c>
      <c r="C120" s="592" t="inlineStr">
        <is>
          <t>Domain Architect - TDD</t>
        </is>
      </c>
      <c r="D120" s="591" t="inlineStr">
        <is>
          <t>Vacant</t>
        </is>
      </c>
      <c r="E120" s="591" t="inlineStr">
        <is>
          <t>Head of Architecture</t>
        </is>
      </c>
      <c r="F120" s="624" t="inlineStr">
        <is>
          <t>Strategy, Architecture &amp; Data</t>
        </is>
      </c>
      <c r="G120" s="593" t="inlineStr">
        <is>
          <t>Architecture</t>
        </is>
      </c>
      <c r="H120" s="624" t="inlineStr">
        <is>
          <t>Architecture</t>
        </is>
      </c>
      <c r="I120" s="624" t="n"/>
      <c r="J120" s="624" t="n"/>
      <c r="K120" s="593" t="n"/>
      <c r="L120" s="593" t="n"/>
      <c r="M120" s="594" t="inlineStr">
        <is>
          <t>Australia</t>
        </is>
      </c>
      <c r="N120" s="595" t="inlineStr">
        <is>
          <t>CIC</t>
        </is>
      </c>
      <c r="O120" s="595" t="n">
        <v>1</v>
      </c>
      <c r="P120" s="595" t="n"/>
      <c r="Q120" s="595" t="inlineStr">
        <is>
          <t>v</t>
        </is>
      </c>
      <c r="R120" s="619" t="n"/>
      <c r="S120" s="597" t="n"/>
      <c r="T120" s="598" t="n">
        <v>173550</v>
      </c>
      <c r="U120" s="729" t="n">
        <v>173550</v>
      </c>
      <c r="V120" s="601" t="n">
        <v>0.12</v>
      </c>
      <c r="W120" s="732" t="n">
        <v>0.055</v>
      </c>
      <c r="X120" s="732" t="n">
        <v>0.12</v>
      </c>
      <c r="Y120" s="733" t="n"/>
      <c r="Z120" s="732" t="n">
        <v>0.04</v>
      </c>
      <c r="AA120" s="731">
        <f>U120*(1+V120+W120+X120+Y120+Z120)</f>
        <v>231689.25</v>
      </c>
      <c r="AB120" s="606" t="n"/>
    </row>
    <row r="121">
      <c r="A121" s="590" t="n">
        <v>109802</v>
      </c>
      <c r="B121" s="591" t="inlineStr">
        <is>
          <t>Roger Blazey</t>
        </is>
      </c>
      <c r="C121" s="592" t="inlineStr">
        <is>
          <t>Architect (AI Innovation)</t>
        </is>
      </c>
      <c r="D121" s="591" t="inlineStr">
        <is>
          <t>Vacant</t>
        </is>
      </c>
      <c r="E121" s="591" t="inlineStr">
        <is>
          <t>Head of Technology  Strategy &amp; AI Capability</t>
        </is>
      </c>
      <c r="F121" s="624" t="inlineStr">
        <is>
          <t>Strategy, Architecture &amp; Data</t>
        </is>
      </c>
      <c r="G121" s="593" t="inlineStr">
        <is>
          <t>Technology Strategy &amp; AI Capability</t>
        </is>
      </c>
      <c r="H121" s="593" t="inlineStr">
        <is>
          <t>Technology Strategy &amp; AI Capability</t>
        </is>
      </c>
      <c r="I121" s="624" t="n"/>
      <c r="J121" s="624" t="n"/>
      <c r="K121" s="593" t="n"/>
      <c r="L121" s="593" t="n"/>
      <c r="M121" s="594" t="inlineStr">
        <is>
          <t>Australia</t>
        </is>
      </c>
      <c r="N121" s="595" t="inlineStr">
        <is>
          <t>CIC</t>
        </is>
      </c>
      <c r="O121" s="595" t="n">
        <v>1</v>
      </c>
      <c r="P121" s="595" t="n"/>
      <c r="Q121" s="595" t="inlineStr">
        <is>
          <t>Permanent - Full Time</t>
        </is>
      </c>
      <c r="R121" s="597" t="n"/>
      <c r="S121" s="597" t="n"/>
      <c r="T121" s="598" t="n">
        <v>187450</v>
      </c>
      <c r="U121" s="729" t="n">
        <v>187450</v>
      </c>
      <c r="V121" s="601" t="n">
        <v>0.12</v>
      </c>
      <c r="W121" s="732" t="n">
        <v>0.055</v>
      </c>
      <c r="X121" s="732" t="n">
        <v>0.12</v>
      </c>
      <c r="Y121" s="733" t="n"/>
      <c r="Z121" s="732" t="n">
        <v>0.04</v>
      </c>
      <c r="AA121" s="731">
        <f>U121*(1+V121+W121+X121+Y121+Z121)</f>
        <v>250245.75</v>
      </c>
      <c r="AB121" s="606" t="n"/>
    </row>
    <row r="122">
      <c r="A122" s="590" t="n">
        <v>99999101674</v>
      </c>
      <c r="B122" s="591" t="inlineStr">
        <is>
          <t>Roozbeh Shahbazirad</t>
        </is>
      </c>
      <c r="C122" s="592" t="inlineStr">
        <is>
          <t>Lead Engineer</t>
        </is>
      </c>
      <c r="D122" s="591" t="inlineStr">
        <is>
          <t>Jason Gleason</t>
        </is>
      </c>
      <c r="E122" s="591" t="inlineStr">
        <is>
          <t>Technology Manager, Data Engineering &amp; Platforms</t>
        </is>
      </c>
      <c r="F122" s="624" t="inlineStr">
        <is>
          <t>Strategy, Architecture &amp; Data</t>
        </is>
      </c>
      <c r="G122" s="593" t="inlineStr">
        <is>
          <t>Group Data</t>
        </is>
      </c>
      <c r="H122" s="624" t="inlineStr">
        <is>
          <t>Data Engineering &amp; Platforms</t>
        </is>
      </c>
      <c r="I122" s="593" t="inlineStr">
        <is>
          <t>Enterprise Data</t>
        </is>
      </c>
      <c r="J122" s="624" t="inlineStr">
        <is>
          <t>Group Data</t>
        </is>
      </c>
      <c r="K122" s="593" t="inlineStr">
        <is>
          <t>Data Platform</t>
        </is>
      </c>
      <c r="L122" s="593" t="n"/>
      <c r="M122" s="594" t="inlineStr">
        <is>
          <t>NZ</t>
        </is>
      </c>
      <c r="N122" s="595" t="inlineStr">
        <is>
          <t>CIC</t>
        </is>
      </c>
      <c r="O122" s="596" t="n">
        <v>1</v>
      </c>
      <c r="P122" s="595" t="n"/>
      <c r="Q122" s="596" t="inlineStr">
        <is>
          <t>Permanent - Full Time</t>
        </is>
      </c>
      <c r="R122" s="597" t="n"/>
      <c r="S122" s="597" t="n"/>
      <c r="T122" s="598" t="n">
        <v>177710</v>
      </c>
      <c r="U122" s="729" t="n">
        <v>163493.2</v>
      </c>
      <c r="V122" s="600" t="n">
        <v>0.15</v>
      </c>
      <c r="W122" s="597" t="n"/>
      <c r="X122" s="601" t="n">
        <v>0.05</v>
      </c>
      <c r="Y122" s="730" t="n">
        <v>2910</v>
      </c>
      <c r="Z122" s="601" t="n">
        <v>0.03</v>
      </c>
      <c r="AA122" s="731">
        <f>U122*(1+V122+X122+Z122)+Y122</f>
        <v>204006.636</v>
      </c>
      <c r="AB122" s="589" t="n">
        <v>113607</v>
      </c>
    </row>
    <row r="123">
      <c r="A123" s="590" t="n">
        <v>12010</v>
      </c>
      <c r="B123" s="591" t="inlineStr">
        <is>
          <t>Sai Konka</t>
        </is>
      </c>
      <c r="C123" s="592" t="inlineStr">
        <is>
          <t>Application &amp; Analytics Manager</t>
        </is>
      </c>
      <c r="D123" s="591" t="inlineStr">
        <is>
          <t>Jason Gleason</t>
        </is>
      </c>
      <c r="E123" s="591" t="inlineStr">
        <is>
          <t>Technology Manager, Data Engineering &amp; Platforms</t>
        </is>
      </c>
      <c r="F123" s="624" t="inlineStr">
        <is>
          <t>Strategy, Architecture &amp; Data</t>
        </is>
      </c>
      <c r="G123" s="593" t="inlineStr">
        <is>
          <t>Group Data</t>
        </is>
      </c>
      <c r="H123" s="624" t="inlineStr">
        <is>
          <t>Data Engineering &amp; Platforms</t>
        </is>
      </c>
      <c r="I123" s="624" t="inlineStr">
        <is>
          <t>Enterprise Data</t>
        </is>
      </c>
      <c r="J123" s="624" t="inlineStr">
        <is>
          <t>EGI</t>
        </is>
      </c>
      <c r="K123" s="624" t="inlineStr">
        <is>
          <t>Reporting &amp; Analytics</t>
        </is>
      </c>
      <c r="L123" s="593" t="n"/>
      <c r="M123" s="594" t="inlineStr">
        <is>
          <t>Australia</t>
        </is>
      </c>
      <c r="N123" s="597" t="inlineStr">
        <is>
          <t>CIC</t>
        </is>
      </c>
      <c r="O123" s="597" t="n">
        <v>1</v>
      </c>
      <c r="P123" s="597" t="n"/>
      <c r="Q123" s="597" t="inlineStr">
        <is>
          <t>Permanent - Full Time</t>
        </is>
      </c>
      <c r="R123" s="597" t="n"/>
      <c r="S123" s="597" t="n"/>
      <c r="T123" s="598" t="n">
        <v>197480</v>
      </c>
      <c r="U123" s="729" t="n">
        <v>197480</v>
      </c>
      <c r="V123" s="601" t="n">
        <v>0.12</v>
      </c>
      <c r="W123" s="732" t="n">
        <v>0.055</v>
      </c>
      <c r="X123" s="732" t="n">
        <v>0.12</v>
      </c>
      <c r="Y123" s="733" t="n"/>
      <c r="Z123" s="732" t="n">
        <v>0.04</v>
      </c>
      <c r="AA123" s="731">
        <f>U123*(1+V123+W123+X123+Y123+Z123)</f>
        <v>263635.8</v>
      </c>
      <c r="AB123" s="606" t="n"/>
    </row>
    <row r="124">
      <c r="A124" s="590" t="n"/>
      <c r="B124" s="591" t="inlineStr">
        <is>
          <t>Sanjay Tikoo</t>
        </is>
      </c>
      <c r="C124" s="592" t="inlineStr">
        <is>
          <t>Principal, Data Architecture &amp; Governance</t>
        </is>
      </c>
      <c r="D124" s="591" t="inlineStr">
        <is>
          <t>James Holgate</t>
        </is>
      </c>
      <c r="E124" s="591" t="inlineStr">
        <is>
          <t>Head of Technology,  Group Data</t>
        </is>
      </c>
      <c r="F124" s="624" t="inlineStr">
        <is>
          <t>Strategy, Architecture &amp; Data</t>
        </is>
      </c>
      <c r="G124" s="593" t="inlineStr">
        <is>
          <t>Group Data</t>
        </is>
      </c>
      <c r="H124" s="593" t="inlineStr">
        <is>
          <t>Data Capability</t>
        </is>
      </c>
      <c r="I124" s="624" t="inlineStr">
        <is>
          <t>Enterprise Data</t>
        </is>
      </c>
      <c r="J124" s="624" t="inlineStr">
        <is>
          <t>Leadership</t>
        </is>
      </c>
      <c r="K124" s="593" t="n"/>
      <c r="L124" s="593" t="n"/>
      <c r="M124" s="594" t="inlineStr">
        <is>
          <t>Australia</t>
        </is>
      </c>
      <c r="N124" s="595" t="inlineStr">
        <is>
          <t>CSC</t>
        </is>
      </c>
      <c r="O124" s="595" t="n">
        <v>1</v>
      </c>
      <c r="P124" s="595" t="n"/>
      <c r="Q124" s="595" t="inlineStr">
        <is>
          <t>Permanent - Full Time</t>
        </is>
      </c>
      <c r="R124" s="597" t="n"/>
      <c r="S124" s="597" t="n"/>
      <c r="T124" s="598" t="n">
        <v>275000</v>
      </c>
      <c r="U124" s="729" t="n">
        <v>275000</v>
      </c>
      <c r="V124" s="601" t="n">
        <v>0.2</v>
      </c>
      <c r="W124" s="732" t="n">
        <v>0.055</v>
      </c>
      <c r="X124" s="732" t="n">
        <v>0.12</v>
      </c>
      <c r="Y124" s="733" t="n"/>
      <c r="Z124" s="732" t="n">
        <v>0.04</v>
      </c>
      <c r="AA124" s="731">
        <f>U124*(1+V124+W124+X124+Y124+Z124)</f>
        <v>389125.0</v>
      </c>
      <c r="AB124" s="606" t="n"/>
    </row>
    <row r="125">
      <c r="A125" s="590" t="n">
        <v>80549</v>
      </c>
      <c r="B125" s="591" t="inlineStr">
        <is>
          <t>Steve Murray</t>
        </is>
      </c>
      <c r="C125" s="592" t="inlineStr">
        <is>
          <t>Applications Specialist</t>
        </is>
      </c>
      <c r="D125" s="591" t="inlineStr">
        <is>
          <t>Sai Konka</t>
        </is>
      </c>
      <c r="E125" s="591" t="inlineStr">
        <is>
          <t>Applications &amp; Analytics Manager</t>
        </is>
      </c>
      <c r="F125" s="624" t="inlineStr">
        <is>
          <t>Strategy, Architecture &amp; Data</t>
        </is>
      </c>
      <c r="G125" s="593" t="inlineStr">
        <is>
          <t>Group Data</t>
        </is>
      </c>
      <c r="H125" s="624" t="inlineStr">
        <is>
          <t>Data Engineering &amp; Platforms</t>
        </is>
      </c>
      <c r="I125" s="624" t="inlineStr">
        <is>
          <t>Enterprise Data</t>
        </is>
      </c>
      <c r="J125" s="624" t="inlineStr">
        <is>
          <t>EGI</t>
        </is>
      </c>
      <c r="K125" s="624" t="inlineStr">
        <is>
          <t>Reporting &amp; Analytics</t>
        </is>
      </c>
      <c r="L125" s="593" t="n"/>
      <c r="M125" s="594" t="inlineStr">
        <is>
          <t>Australia</t>
        </is>
      </c>
      <c r="N125" s="597" t="inlineStr">
        <is>
          <t>CIB</t>
        </is>
      </c>
      <c r="O125" s="597" t="n">
        <v>1</v>
      </c>
      <c r="P125" s="597" t="n"/>
      <c r="Q125" s="597" t="inlineStr">
        <is>
          <t>Permanent - Full Time</t>
        </is>
      </c>
      <c r="R125" s="597" t="n"/>
      <c r="S125" s="597" t="n"/>
      <c r="T125" s="598" t="n">
        <v>182000</v>
      </c>
      <c r="U125" s="729" t="n">
        <v>182000</v>
      </c>
      <c r="V125" s="601" t="n">
        <v>0.12</v>
      </c>
      <c r="W125" s="732" t="n">
        <v>0.055</v>
      </c>
      <c r="X125" s="732" t="n">
        <v>0.12</v>
      </c>
      <c r="Y125" s="733" t="n"/>
      <c r="Z125" s="732" t="n">
        <v>0.04</v>
      </c>
      <c r="AA125" s="731">
        <f>U125*(1+V125+W125+X125+Y125+Z125)</f>
        <v>242970.0</v>
      </c>
      <c r="AB125" s="606" t="n"/>
    </row>
    <row r="126">
      <c r="A126" s="590" t="n">
        <v>114147</v>
      </c>
      <c r="B126" s="591" t="inlineStr">
        <is>
          <t>Sumathi Manikkampichai</t>
        </is>
      </c>
      <c r="C126" s="592" t="inlineStr">
        <is>
          <t>Data Architect</t>
        </is>
      </c>
      <c r="D126" s="591" t="inlineStr">
        <is>
          <t>Jason Gleason</t>
        </is>
      </c>
      <c r="E126" s="591" t="inlineStr">
        <is>
          <t>Technology Manager, Data Engineering &amp; Platforms</t>
        </is>
      </c>
      <c r="F126" s="624" t="inlineStr">
        <is>
          <t>Strategy, Architecture &amp; Data</t>
        </is>
      </c>
      <c r="G126" s="593" t="inlineStr">
        <is>
          <t>Group Data</t>
        </is>
      </c>
      <c r="H126" s="624" t="inlineStr">
        <is>
          <t>Data Engineering &amp; Platforms</t>
        </is>
      </c>
      <c r="I126" s="624" t="inlineStr">
        <is>
          <t>Enterprise Data</t>
        </is>
      </c>
      <c r="J126" s="624" t="inlineStr">
        <is>
          <t>EGI</t>
        </is>
      </c>
      <c r="K126" s="624" t="inlineStr">
        <is>
          <t>Reporting &amp; Analytics</t>
        </is>
      </c>
      <c r="L126" s="593" t="n"/>
      <c r="M126" s="594" t="inlineStr">
        <is>
          <t>Australia</t>
        </is>
      </c>
      <c r="N126" s="595" t="inlineStr">
        <is>
          <t>CIC</t>
        </is>
      </c>
      <c r="O126" s="595" t="n">
        <v>1</v>
      </c>
      <c r="P126" s="595" t="n"/>
      <c r="Q126" s="595" t="inlineStr">
        <is>
          <t>Permanent - Full Time</t>
        </is>
      </c>
      <c r="R126" s="597" t="n"/>
      <c r="S126" s="597" t="n"/>
      <c r="T126" s="598" t="n">
        <v>188010</v>
      </c>
      <c r="U126" s="729" t="n">
        <v>188010</v>
      </c>
      <c r="V126" s="601" t="n">
        <v>0.12</v>
      </c>
      <c r="W126" s="732" t="n">
        <v>0.055</v>
      </c>
      <c r="X126" s="732" t="n">
        <v>0.12</v>
      </c>
      <c r="Y126" s="733" t="n"/>
      <c r="Z126" s="732" t="n">
        <v>0.04</v>
      </c>
      <c r="AA126" s="731">
        <f>U126*(1+V126+W126+X126+Y126+Z126)</f>
        <v>250993.35</v>
      </c>
      <c r="AB126" s="606" t="n"/>
    </row>
    <row r="127">
      <c r="A127" s="590" t="n">
        <v>99999101251</v>
      </c>
      <c r="B127" s="591" t="inlineStr">
        <is>
          <t>Tim Snedden</t>
        </is>
      </c>
      <c r="C127" s="592" t="inlineStr">
        <is>
          <t>Delivery Lead</t>
        </is>
      </c>
      <c r="D127" s="591" t="inlineStr">
        <is>
          <t>Joel Vijayakumar</t>
        </is>
      </c>
      <c r="E127" s="591" t="inlineStr">
        <is>
          <t>Delivery Manager, Strategy, Architecture &amp; Data</t>
        </is>
      </c>
      <c r="F127" s="624" t="inlineStr">
        <is>
          <t>Strategy, Architecture &amp; Data</t>
        </is>
      </c>
      <c r="G127" s="593" t="inlineStr">
        <is>
          <t>Delivery, SADA</t>
        </is>
      </c>
      <c r="H127" s="593" t="n"/>
      <c r="I127" s="593" t="inlineStr">
        <is>
          <t>Enterprise Data</t>
        </is>
      </c>
      <c r="J127" s="624" t="inlineStr">
        <is>
          <t>Group Data</t>
        </is>
      </c>
      <c r="K127" s="593" t="inlineStr">
        <is>
          <t>Data Platform</t>
        </is>
      </c>
      <c r="L127" s="593" t="n"/>
      <c r="M127" s="594" t="inlineStr">
        <is>
          <t>NZ</t>
        </is>
      </c>
      <c r="N127" s="595" t="inlineStr">
        <is>
          <t>CSB</t>
        </is>
      </c>
      <c r="O127" s="596" t="n">
        <v>1</v>
      </c>
      <c r="P127" s="595" t="n"/>
      <c r="Q127" s="596" t="inlineStr">
        <is>
          <t>Permanent - Full Time</t>
        </is>
      </c>
      <c r="R127" s="597" t="n"/>
      <c r="S127" s="597" t="n"/>
      <c r="T127" s="598" t="n">
        <v>161600</v>
      </c>
      <c r="U127" s="729" t="n">
        <v>148672</v>
      </c>
      <c r="V127" s="600" t="n">
        <v>0.15</v>
      </c>
      <c r="W127" s="597" t="n"/>
      <c r="X127" s="601" t="n">
        <v>0.05</v>
      </c>
      <c r="Y127" s="730" t="n">
        <v>2910</v>
      </c>
      <c r="Z127" s="601" t="n">
        <v>0.03</v>
      </c>
      <c r="AA127" s="731">
        <f>U127*(1+V127+X127+Z127)+Y127</f>
        <v>185776.56</v>
      </c>
      <c r="AB127" s="589" t="n">
        <v>15175</v>
      </c>
    </row>
    <row r="128">
      <c r="A128" s="590" t="inlineStr">
        <is>
          <t>V</t>
        </is>
      </c>
      <c r="B128" s="591" t="inlineStr">
        <is>
          <t>Vacant</t>
        </is>
      </c>
      <c r="C128" s="592" t="inlineStr">
        <is>
          <t>Service Transition Lead</t>
        </is>
      </c>
      <c r="D128" s="591" t="inlineStr">
        <is>
          <t>Deepali Mahajan</t>
        </is>
      </c>
      <c r="E128" s="591" t="inlineStr">
        <is>
          <t>Data Operations Manager</t>
        </is>
      </c>
      <c r="F128" s="624" t="inlineStr">
        <is>
          <t>Strategy, Architecture &amp; Data</t>
        </is>
      </c>
      <c r="G128" s="593" t="inlineStr">
        <is>
          <t>Group Data</t>
        </is>
      </c>
      <c r="H128" s="624" t="inlineStr">
        <is>
          <t>Data Operations</t>
        </is>
      </c>
      <c r="I128" s="624" t="inlineStr">
        <is>
          <t>Enterprise Data</t>
        </is>
      </c>
      <c r="J128" s="593" t="inlineStr">
        <is>
          <t>Leadership</t>
        </is>
      </c>
      <c r="K128" s="593" t="n"/>
      <c r="L128" s="593" t="n"/>
      <c r="M128" s="594" t="inlineStr">
        <is>
          <t>Australia</t>
        </is>
      </c>
      <c r="N128" s="595" t="inlineStr">
        <is>
          <t>CIB</t>
        </is>
      </c>
      <c r="O128" s="595" t="n">
        <v>1</v>
      </c>
      <c r="P128" s="595" t="n"/>
      <c r="Q128" s="595" t="inlineStr">
        <is>
          <t>v</t>
        </is>
      </c>
      <c r="R128" s="597" t="n"/>
      <c r="S128" s="597" t="n"/>
      <c r="T128" s="598" t="n">
        <v>151950</v>
      </c>
      <c r="U128" s="729" t="n">
        <v>151950</v>
      </c>
      <c r="V128" s="601" t="n">
        <v>0.12</v>
      </c>
      <c r="W128" s="732" t="n">
        <v>0.055</v>
      </c>
      <c r="X128" s="732" t="n">
        <v>0.12</v>
      </c>
      <c r="Y128" s="733" t="n"/>
      <c r="Z128" s="732" t="n">
        <v>0.04</v>
      </c>
      <c r="AA128" s="731">
        <f>U128*(1+V128+W128+X128+Y128+Z128)</f>
        <v>202853.25</v>
      </c>
      <c r="AB128" s="606" t="n"/>
    </row>
    <row r="129">
      <c r="A129" s="590" t="inlineStr">
        <is>
          <t>V</t>
        </is>
      </c>
      <c r="B129" s="591" t="inlineStr">
        <is>
          <t>Vacant</t>
        </is>
      </c>
      <c r="C129" s="592" t="inlineStr">
        <is>
          <t xml:space="preserve">Engineer Data  </t>
        </is>
      </c>
      <c r="D129" s="591" t="inlineStr">
        <is>
          <t>Dinesh Chandrasekaran</t>
        </is>
      </c>
      <c r="E129" s="591" t="inlineStr">
        <is>
          <t>Lead Engineer (Snowflake)</t>
        </is>
      </c>
      <c r="F129" s="624" t="inlineStr">
        <is>
          <t>Strategy, Architecture &amp; Data</t>
        </is>
      </c>
      <c r="G129" s="593" t="inlineStr">
        <is>
          <t>Group Data</t>
        </is>
      </c>
      <c r="H129" s="624" t="inlineStr">
        <is>
          <t>Data Engineering &amp; Platforms</t>
        </is>
      </c>
      <c r="I129" s="593" t="inlineStr">
        <is>
          <t>Enterprise Data</t>
        </is>
      </c>
      <c r="J129" s="624" t="inlineStr">
        <is>
          <t>Group Data</t>
        </is>
      </c>
      <c r="K129" s="593" t="inlineStr">
        <is>
          <t>Data Platform</t>
        </is>
      </c>
      <c r="L129" s="593" t="n"/>
      <c r="M129" s="594" t="inlineStr">
        <is>
          <t>Australia</t>
        </is>
      </c>
      <c r="N129" s="595" t="inlineStr">
        <is>
          <t>CIB</t>
        </is>
      </c>
      <c r="O129" s="595" t="n">
        <v>1</v>
      </c>
      <c r="P129" s="595" t="n"/>
      <c r="Q129" s="595" t="inlineStr">
        <is>
          <t>V</t>
        </is>
      </c>
      <c r="R129" s="597" t="n"/>
      <c r="S129" s="597" t="n"/>
      <c r="T129" s="598" t="n">
        <v>151950</v>
      </c>
      <c r="U129" s="729" t="n">
        <v>151950</v>
      </c>
      <c r="V129" s="601" t="n">
        <v>0.12</v>
      </c>
      <c r="W129" s="732" t="n">
        <v>0.055</v>
      </c>
      <c r="X129" s="732" t="n">
        <v>0.12</v>
      </c>
      <c r="Y129" s="733" t="n"/>
      <c r="Z129" s="732" t="n">
        <v>0.04</v>
      </c>
      <c r="AA129" s="731">
        <f>U129*(1+V129+W129+X129+Y129+Z129)</f>
        <v>202853.25</v>
      </c>
      <c r="AB129" s="606" t="n"/>
    </row>
    <row r="130">
      <c r="A130" s="590" t="inlineStr">
        <is>
          <t>V</t>
        </is>
      </c>
      <c r="B130" s="591" t="inlineStr">
        <is>
          <t>Vacant</t>
        </is>
      </c>
      <c r="C130" s="592" t="inlineStr">
        <is>
          <t>Engineer Data - Reporting</t>
        </is>
      </c>
      <c r="D130" s="591" t="inlineStr">
        <is>
          <t>Dinesh Chandrasekaran</t>
        </is>
      </c>
      <c r="E130" s="591" t="inlineStr">
        <is>
          <t>Lead Engineer (Snowflake)</t>
        </is>
      </c>
      <c r="F130" s="624" t="inlineStr">
        <is>
          <t>Strategy, Architecture &amp; Data</t>
        </is>
      </c>
      <c r="G130" s="593" t="inlineStr">
        <is>
          <t>Group Data</t>
        </is>
      </c>
      <c r="H130" s="624" t="inlineStr">
        <is>
          <t>Data Engineering &amp; Platforms</t>
        </is>
      </c>
      <c r="I130" s="624" t="inlineStr">
        <is>
          <t>Enterprise Data</t>
        </is>
      </c>
      <c r="J130" s="624" t="inlineStr">
        <is>
          <t>Group Data</t>
        </is>
      </c>
      <c r="K130" s="624" t="inlineStr">
        <is>
          <t>Reporting &amp; Analytics</t>
        </is>
      </c>
      <c r="L130" s="593" t="n"/>
      <c r="M130" s="594" t="inlineStr">
        <is>
          <t>Australia</t>
        </is>
      </c>
      <c r="N130" s="595" t="inlineStr">
        <is>
          <t>CIB</t>
        </is>
      </c>
      <c r="O130" s="595" t="n">
        <v>1</v>
      </c>
      <c r="P130" s="595" t="n"/>
      <c r="Q130" s="595" t="inlineStr">
        <is>
          <t>Pause</t>
        </is>
      </c>
      <c r="R130" s="597" t="n"/>
      <c r="S130" s="597" t="n"/>
      <c r="T130" s="598" t="n">
        <v>151950</v>
      </c>
      <c r="U130" s="729" t="n">
        <v>151950</v>
      </c>
      <c r="V130" s="601" t="n">
        <v>0.12</v>
      </c>
      <c r="W130" s="732" t="n">
        <v>0.055</v>
      </c>
      <c r="X130" s="732" t="n">
        <v>0.12</v>
      </c>
      <c r="Y130" s="733" t="n"/>
      <c r="Z130" s="732" t="n">
        <v>0.04</v>
      </c>
      <c r="AA130" s="731">
        <f>U130*(1+V130+W130+X130+Y130+Z130)</f>
        <v>202853.25</v>
      </c>
      <c r="AB130" s="606" t="n"/>
    </row>
    <row r="131">
      <c r="A131" s="590" t="inlineStr">
        <is>
          <t>V</t>
        </is>
      </c>
      <c r="B131" s="591" t="inlineStr">
        <is>
          <t>Vacant</t>
        </is>
      </c>
      <c r="C131" s="592" t="inlineStr">
        <is>
          <t>Quality Assurance</t>
        </is>
      </c>
      <c r="D131" s="591" t="inlineStr">
        <is>
          <t>Dinesh Chandrasekaran</t>
        </is>
      </c>
      <c r="E131" s="591" t="inlineStr">
        <is>
          <t>Lead Engineer (Snowflake)</t>
        </is>
      </c>
      <c r="F131" s="624" t="inlineStr">
        <is>
          <t>Strategy, Architecture &amp; Data</t>
        </is>
      </c>
      <c r="G131" s="593" t="inlineStr">
        <is>
          <t>Group Data</t>
        </is>
      </c>
      <c r="H131" s="624" t="inlineStr">
        <is>
          <t>Data Engineering &amp; Platforms</t>
        </is>
      </c>
      <c r="I131" s="593" t="inlineStr">
        <is>
          <t>Enterprise Data</t>
        </is>
      </c>
      <c r="J131" s="624" t="inlineStr">
        <is>
          <t>Group Data</t>
        </is>
      </c>
      <c r="K131" s="593" t="inlineStr">
        <is>
          <t>Data Platform</t>
        </is>
      </c>
      <c r="L131" s="593" t="n"/>
      <c r="M131" s="594" t="inlineStr">
        <is>
          <t>Australia</t>
        </is>
      </c>
      <c r="N131" s="595" t="inlineStr">
        <is>
          <t>CIA</t>
        </is>
      </c>
      <c r="O131" s="595" t="n">
        <v>1</v>
      </c>
      <c r="P131" s="595" t="n"/>
      <c r="Q131" s="595" t="inlineStr">
        <is>
          <t>v</t>
        </is>
      </c>
      <c r="R131" s="597" t="n"/>
      <c r="S131" s="597" t="n"/>
      <c r="T131" s="598" t="n">
        <v>129650</v>
      </c>
      <c r="U131" s="729" t="n">
        <v>129650</v>
      </c>
      <c r="V131" s="601" t="n">
        <v>0.1</v>
      </c>
      <c r="W131" s="732" t="n">
        <v>0.055</v>
      </c>
      <c r="X131" s="732" t="n">
        <v>0.12</v>
      </c>
      <c r="Y131" s="733" t="n"/>
      <c r="Z131" s="732" t="n">
        <v>0.04</v>
      </c>
      <c r="AA131" s="731">
        <f>U131*(1+V131+W131+X131+Y131+Z131)</f>
        <v>170489.75</v>
      </c>
      <c r="AB131" s="606" t="n"/>
    </row>
    <row r="132">
      <c r="A132" s="590" t="inlineStr">
        <is>
          <t>V</t>
        </is>
      </c>
      <c r="B132" s="591" t="inlineStr">
        <is>
          <t>Vacant</t>
        </is>
      </c>
      <c r="C132" s="592" t="inlineStr">
        <is>
          <t>Engineer - DevOps</t>
        </is>
      </c>
      <c r="D132" s="591" t="inlineStr">
        <is>
          <t>Jason Gleason</t>
        </is>
      </c>
      <c r="E132" s="591" t="inlineStr">
        <is>
          <t>Technology Manager, Data Engineering &amp; Platforms</t>
        </is>
      </c>
      <c r="F132" s="624" t="inlineStr">
        <is>
          <t>Strategy, Architecture &amp; Data</t>
        </is>
      </c>
      <c r="G132" s="606" t="inlineStr">
        <is>
          <t>Group Data</t>
        </is>
      </c>
      <c r="H132" s="628" t="inlineStr">
        <is>
          <t>Data Engineering &amp; Platforms</t>
        </is>
      </c>
      <c r="I132" s="593" t="inlineStr">
        <is>
          <t>Enterprise Data</t>
        </is>
      </c>
      <c r="J132" s="624" t="inlineStr">
        <is>
          <t>Group Data</t>
        </is>
      </c>
      <c r="K132" s="593" t="inlineStr">
        <is>
          <t>Data Platform</t>
        </is>
      </c>
      <c r="L132" s="593" t="n"/>
      <c r="M132" s="594" t="inlineStr">
        <is>
          <t>Australia</t>
        </is>
      </c>
      <c r="N132" s="595" t="inlineStr">
        <is>
          <t>cib</t>
        </is>
      </c>
      <c r="O132" s="595" t="n">
        <v>1</v>
      </c>
      <c r="P132" s="595" t="n"/>
      <c r="Q132" s="595" t="inlineStr">
        <is>
          <t>V</t>
        </is>
      </c>
      <c r="R132" s="597" t="n"/>
      <c r="S132" s="597" t="n"/>
      <c r="T132" s="598" t="n">
        <v>151950</v>
      </c>
      <c r="U132" s="729" t="n">
        <v>151950</v>
      </c>
      <c r="V132" s="601" t="n">
        <v>0.12</v>
      </c>
      <c r="W132" s="732" t="n">
        <v>0.055</v>
      </c>
      <c r="X132" s="732" t="n">
        <v>0.12</v>
      </c>
      <c r="Y132" s="733" t="n"/>
      <c r="Z132" s="732" t="n">
        <v>0.04</v>
      </c>
      <c r="AA132" s="731">
        <f>U132*(1+V132+W132+X132+Y132+Z132)</f>
        <v>202853.25</v>
      </c>
      <c r="AB132" s="606" t="n"/>
    </row>
    <row r="133">
      <c r="A133" s="590" t="inlineStr">
        <is>
          <t>V</t>
        </is>
      </c>
      <c r="B133" s="591" t="inlineStr">
        <is>
          <t>Vacant</t>
        </is>
      </c>
      <c r="C133" s="592" t="inlineStr">
        <is>
          <t>Business Analyst</t>
        </is>
      </c>
      <c r="D133" s="591" t="inlineStr">
        <is>
          <t>Joel Vijayakumar</t>
        </is>
      </c>
      <c r="E133" s="591" t="inlineStr">
        <is>
          <t>Delivery Manager, Strategy, Architecture &amp; Data</t>
        </is>
      </c>
      <c r="F133" s="624" t="inlineStr">
        <is>
          <t>Strategy, Architecture &amp; Data</t>
        </is>
      </c>
      <c r="G133" s="593" t="inlineStr">
        <is>
          <t>Delivery, SADA</t>
        </is>
      </c>
      <c r="H133" s="593" t="n"/>
      <c r="I133" s="593" t="inlineStr">
        <is>
          <t>Enterprise Data</t>
        </is>
      </c>
      <c r="J133" s="624" t="inlineStr">
        <is>
          <t>Group Data</t>
        </is>
      </c>
      <c r="K133" s="593" t="inlineStr">
        <is>
          <t>Data Platform</t>
        </is>
      </c>
      <c r="L133" s="593" t="n"/>
      <c r="M133" s="594" t="inlineStr">
        <is>
          <t>Australia</t>
        </is>
      </c>
      <c r="N133" s="595" t="inlineStr">
        <is>
          <t>CIB</t>
        </is>
      </c>
      <c r="O133" s="595" t="n">
        <v>1</v>
      </c>
      <c r="P133" s="595" t="n"/>
      <c r="Q133" s="595" t="inlineStr">
        <is>
          <t>V</t>
        </is>
      </c>
      <c r="R133" s="597" t="n"/>
      <c r="S133" s="597" t="n"/>
      <c r="T133" s="598" t="n">
        <v>151950</v>
      </c>
      <c r="U133" s="729" t="n">
        <v>151950</v>
      </c>
      <c r="V133" s="601" t="n">
        <v>0.12</v>
      </c>
      <c r="W133" s="732" t="n">
        <v>0.055</v>
      </c>
      <c r="X133" s="732" t="n">
        <v>0.12</v>
      </c>
      <c r="Y133" s="733" t="n"/>
      <c r="Z133" s="732" t="n">
        <v>0.04</v>
      </c>
      <c r="AA133" s="731">
        <f>U133*(1+V133+W133+X133+Y133+Z133)</f>
        <v>202853.25</v>
      </c>
      <c r="AB133" s="606" t="n"/>
    </row>
    <row r="134">
      <c r="A134" s="590" t="inlineStr">
        <is>
          <t>V</t>
        </is>
      </c>
      <c r="B134" s="591" t="inlineStr">
        <is>
          <t>Vacant</t>
        </is>
      </c>
      <c r="C134" s="592" t="inlineStr">
        <is>
          <t>Business Analyst</t>
        </is>
      </c>
      <c r="D134" s="591" t="inlineStr">
        <is>
          <t>Joel Vijayakumar</t>
        </is>
      </c>
      <c r="E134" s="591" t="inlineStr">
        <is>
          <t>Delivery Manager, Strategy, Architecture &amp; Data</t>
        </is>
      </c>
      <c r="F134" s="624" t="inlineStr">
        <is>
          <t>Strategy, Architecture &amp; Data</t>
        </is>
      </c>
      <c r="G134" s="593" t="inlineStr">
        <is>
          <t>Delivery, SADA</t>
        </is>
      </c>
      <c r="H134" s="593" t="n"/>
      <c r="I134" s="624" t="inlineStr">
        <is>
          <t>Enterprise Data</t>
        </is>
      </c>
      <c r="J134" s="624" t="inlineStr">
        <is>
          <t>EGI</t>
        </is>
      </c>
      <c r="K134" s="624" t="inlineStr">
        <is>
          <t>Reporting &amp; Analytics</t>
        </is>
      </c>
      <c r="L134" s="593" t="n"/>
      <c r="M134" s="594" t="inlineStr">
        <is>
          <t>Australia</t>
        </is>
      </c>
      <c r="N134" s="595" t="inlineStr">
        <is>
          <t>CIB</t>
        </is>
      </c>
      <c r="O134" s="595" t="n">
        <v>1</v>
      </c>
      <c r="P134" s="595" t="n"/>
      <c r="Q134" s="595" t="inlineStr">
        <is>
          <t>Pause</t>
        </is>
      </c>
      <c r="R134" s="597" t="n"/>
      <c r="S134" s="597" t="n"/>
      <c r="T134" s="598" t="n">
        <v>151950</v>
      </c>
      <c r="U134" s="729" t="n">
        <v>151950</v>
      </c>
      <c r="V134" s="601" t="n">
        <v>0.12</v>
      </c>
      <c r="W134" s="732" t="n">
        <v>0.055</v>
      </c>
      <c r="X134" s="732" t="n">
        <v>0.12</v>
      </c>
      <c r="Y134" s="733" t="n"/>
      <c r="Z134" s="732" t="n">
        <v>0.04</v>
      </c>
      <c r="AA134" s="731">
        <f>U134*(1+V134+W134+X134+Y134+Z134)</f>
        <v>202853.25</v>
      </c>
      <c r="AB134" s="606" t="n"/>
    </row>
    <row r="135">
      <c r="A135" s="590" t="inlineStr">
        <is>
          <t>V</t>
        </is>
      </c>
      <c r="B135" s="591" t="inlineStr">
        <is>
          <t>vacant</t>
        </is>
      </c>
      <c r="C135" s="592" t="inlineStr">
        <is>
          <t>Data Analyst</t>
        </is>
      </c>
      <c r="D135" s="591" t="inlineStr">
        <is>
          <t>Jonathan Robinson</t>
        </is>
      </c>
      <c r="E135" s="591" t="inlineStr">
        <is>
          <t>Technology Manager, Data Science</t>
        </is>
      </c>
      <c r="F135" s="624" t="inlineStr">
        <is>
          <t>Strategy, Architecture &amp; Data</t>
        </is>
      </c>
      <c r="G135" s="593" t="inlineStr">
        <is>
          <t>Group Data</t>
        </is>
      </c>
      <c r="H135" s="624" t="inlineStr">
        <is>
          <t>Data Science</t>
        </is>
      </c>
      <c r="I135" s="624" t="inlineStr">
        <is>
          <t>Enterprise Data</t>
        </is>
      </c>
      <c r="J135" s="624" t="inlineStr">
        <is>
          <t>Group Data</t>
        </is>
      </c>
      <c r="K135" s="593" t="inlineStr">
        <is>
          <t>Data Science</t>
        </is>
      </c>
      <c r="L135" s="593" t="n"/>
      <c r="M135" s="594" t="inlineStr">
        <is>
          <t>Australia</t>
        </is>
      </c>
      <c r="N135" s="595" t="inlineStr">
        <is>
          <t>CIB</t>
        </is>
      </c>
      <c r="O135" s="595" t="n">
        <v>1</v>
      </c>
      <c r="P135" s="595" t="n"/>
      <c r="Q135" s="595" t="inlineStr">
        <is>
          <t>Pause</t>
        </is>
      </c>
      <c r="R135" s="597" t="n"/>
      <c r="S135" s="597" t="n"/>
      <c r="T135" s="598" t="n">
        <v>151000</v>
      </c>
      <c r="U135" s="729" t="n">
        <v>151000</v>
      </c>
      <c r="V135" s="601" t="n">
        <v>0.12</v>
      </c>
      <c r="W135" s="732" t="n">
        <v>0.055</v>
      </c>
      <c r="X135" s="732" t="n">
        <v>0.12</v>
      </c>
      <c r="Y135" s="733" t="n"/>
      <c r="Z135" s="732" t="n">
        <v>0.04</v>
      </c>
      <c r="AA135" s="731">
        <f>U135*(1+V135+W135+X135+Y135+Z135)</f>
        <v>201585.0</v>
      </c>
      <c r="AB135" s="606" t="n"/>
    </row>
    <row r="136">
      <c r="A136" s="590" t="inlineStr">
        <is>
          <t>V</t>
        </is>
      </c>
      <c r="B136" s="591" t="inlineStr">
        <is>
          <t>Vacant</t>
        </is>
      </c>
      <c r="C136" s="592" t="inlineStr">
        <is>
          <t>Data Analyst</t>
        </is>
      </c>
      <c r="D136" s="591" t="inlineStr">
        <is>
          <t>Jonathan Robinson</t>
        </is>
      </c>
      <c r="E136" s="591" t="inlineStr">
        <is>
          <t>Technology Manager, Data Science</t>
        </is>
      </c>
      <c r="F136" s="624" t="inlineStr">
        <is>
          <t>Strategy, Architecture &amp; Data</t>
        </is>
      </c>
      <c r="G136" s="593" t="inlineStr">
        <is>
          <t>Group Data</t>
        </is>
      </c>
      <c r="H136" s="624" t="inlineStr">
        <is>
          <t>Data Science</t>
        </is>
      </c>
      <c r="I136" s="624" t="inlineStr">
        <is>
          <t>Enterprise Data</t>
        </is>
      </c>
      <c r="J136" s="624" t="inlineStr">
        <is>
          <t>Group Data</t>
        </is>
      </c>
      <c r="K136" s="593" t="inlineStr">
        <is>
          <t>Data Science</t>
        </is>
      </c>
      <c r="L136" s="593" t="n"/>
      <c r="M136" s="594" t="inlineStr">
        <is>
          <t>Australia</t>
        </is>
      </c>
      <c r="N136" s="595" t="inlineStr">
        <is>
          <t>CIB</t>
        </is>
      </c>
      <c r="O136" s="595" t="n">
        <v>1</v>
      </c>
      <c r="P136" s="595" t="n"/>
      <c r="Q136" s="595" t="inlineStr">
        <is>
          <t>Pause</t>
        </is>
      </c>
      <c r="R136" s="597" t="n"/>
      <c r="S136" s="597" t="n"/>
      <c r="T136" s="598" t="n">
        <v>151000</v>
      </c>
      <c r="U136" s="729" t="n">
        <v>151000</v>
      </c>
      <c r="V136" s="601" t="n">
        <v>0.12</v>
      </c>
      <c r="W136" s="732" t="n">
        <v>0.055</v>
      </c>
      <c r="X136" s="732" t="n">
        <v>0.12</v>
      </c>
      <c r="Y136" s="733" t="n"/>
      <c r="Z136" s="732" t="n">
        <v>0.04</v>
      </c>
      <c r="AA136" s="731">
        <f>U136*(1+V136+W136+X136+Y136+Z136)</f>
        <v>201585.0</v>
      </c>
      <c r="AB136" s="606" t="n"/>
    </row>
    <row r="137">
      <c r="A137" s="590" t="inlineStr">
        <is>
          <t>V</t>
        </is>
      </c>
      <c r="B137" s="591" t="inlineStr">
        <is>
          <t>vacant</t>
        </is>
      </c>
      <c r="C137" s="592" t="inlineStr">
        <is>
          <t>Data Scientist</t>
        </is>
      </c>
      <c r="D137" s="591" t="inlineStr">
        <is>
          <t>Jonathan Robinson</t>
        </is>
      </c>
      <c r="E137" s="591" t="inlineStr">
        <is>
          <t>Technology Manager, Data Science</t>
        </is>
      </c>
      <c r="F137" s="624" t="inlineStr">
        <is>
          <t>Strategy, Architecture &amp; Data</t>
        </is>
      </c>
      <c r="G137" s="593" t="inlineStr">
        <is>
          <t>Group Data</t>
        </is>
      </c>
      <c r="H137" s="624" t="inlineStr">
        <is>
          <t>Data Science</t>
        </is>
      </c>
      <c r="I137" s="624" t="inlineStr">
        <is>
          <t>Enterprise Data</t>
        </is>
      </c>
      <c r="J137" s="624" t="inlineStr">
        <is>
          <t>Group Data</t>
        </is>
      </c>
      <c r="K137" s="593" t="inlineStr">
        <is>
          <t>Data Science</t>
        </is>
      </c>
      <c r="L137" s="593" t="n"/>
      <c r="M137" s="594" t="inlineStr">
        <is>
          <t>Australia</t>
        </is>
      </c>
      <c r="N137" s="595" t="inlineStr">
        <is>
          <t>CIB</t>
        </is>
      </c>
      <c r="O137" s="595" t="n">
        <v>1</v>
      </c>
      <c r="P137" s="595" t="n"/>
      <c r="Q137" s="595" t="inlineStr">
        <is>
          <t>Pause</t>
        </is>
      </c>
      <c r="R137" s="597" t="n"/>
      <c r="S137" s="597" t="n"/>
      <c r="T137" s="598" t="n">
        <v>151950</v>
      </c>
      <c r="U137" s="729" t="n">
        <v>151950</v>
      </c>
      <c r="V137" s="601" t="n">
        <v>0.12</v>
      </c>
      <c r="W137" s="732" t="n">
        <v>0.055</v>
      </c>
      <c r="X137" s="732" t="n">
        <v>0.12</v>
      </c>
      <c r="Y137" s="733" t="n"/>
      <c r="Z137" s="732" t="n">
        <v>0.04</v>
      </c>
      <c r="AA137" s="731">
        <f>U137*(1+V137+W137+X137+Y137+Z137)</f>
        <v>202853.25</v>
      </c>
      <c r="AB137" s="606" t="n"/>
    </row>
    <row r="138">
      <c r="A138" s="590" t="inlineStr">
        <is>
          <t>V</t>
        </is>
      </c>
      <c r="B138" s="591" t="inlineStr">
        <is>
          <t>Vacant</t>
        </is>
      </c>
      <c r="C138" s="592" t="inlineStr">
        <is>
          <t xml:space="preserve">Reporting Lead </t>
        </is>
      </c>
      <c r="D138" s="591" t="inlineStr">
        <is>
          <t>Prashanth Krishnankutty</t>
        </is>
      </c>
      <c r="E138" s="591" t="inlineStr">
        <is>
          <t>Lead, Reporting &amp; Insights</t>
        </is>
      </c>
      <c r="F138" s="624" t="inlineStr">
        <is>
          <t>Strategy, Architecture &amp; Data</t>
        </is>
      </c>
      <c r="G138" s="593" t="inlineStr">
        <is>
          <t>Group Data</t>
        </is>
      </c>
      <c r="H138" s="624" t="inlineStr">
        <is>
          <t>Data Engineering &amp; Platforms</t>
        </is>
      </c>
      <c r="I138" s="624" t="inlineStr">
        <is>
          <t>Enterprise Data</t>
        </is>
      </c>
      <c r="J138" s="624" t="inlineStr">
        <is>
          <t>Group Data</t>
        </is>
      </c>
      <c r="K138" s="624" t="inlineStr">
        <is>
          <t>Reporting &amp; Analytics</t>
        </is>
      </c>
      <c r="L138" s="593" t="n"/>
      <c r="M138" s="594" t="inlineStr">
        <is>
          <t>Australia</t>
        </is>
      </c>
      <c r="N138" s="595" t="inlineStr">
        <is>
          <t>CIB</t>
        </is>
      </c>
      <c r="O138" s="595" t="n">
        <v>1</v>
      </c>
      <c r="P138" s="595" t="n"/>
      <c r="Q138" s="595" t="inlineStr">
        <is>
          <t>Pause</t>
        </is>
      </c>
      <c r="R138" s="597" t="n"/>
      <c r="S138" s="597" t="n"/>
      <c r="T138" s="598" t="n">
        <v>151950</v>
      </c>
      <c r="U138" s="729" t="n">
        <v>151950</v>
      </c>
      <c r="V138" s="601" t="n">
        <v>0.12</v>
      </c>
      <c r="W138" s="732" t="n">
        <v>0.055</v>
      </c>
      <c r="X138" s="732" t="n">
        <v>0.12</v>
      </c>
      <c r="Y138" s="733" t="n"/>
      <c r="Z138" s="732" t="n">
        <v>0.04</v>
      </c>
      <c r="AA138" s="731">
        <f>U138*(1+V138+W138+X138+Y138+Z138)</f>
        <v>202853.25</v>
      </c>
      <c r="AB138" s="606" t="n"/>
    </row>
    <row r="139">
      <c r="A139" s="590" t="inlineStr">
        <is>
          <t>V</t>
        </is>
      </c>
      <c r="B139" s="591" t="inlineStr">
        <is>
          <t>vacant</t>
        </is>
      </c>
      <c r="C139" s="592" t="inlineStr">
        <is>
          <t>Engineer - Data</t>
        </is>
      </c>
      <c r="D139" s="591" t="inlineStr">
        <is>
          <t>Roozbeh Shahbazirad</t>
        </is>
      </c>
      <c r="E139" s="591" t="inlineStr">
        <is>
          <t>Lead Engineer (Databricks)</t>
        </is>
      </c>
      <c r="F139" s="624" t="inlineStr">
        <is>
          <t>Strategy, Architecture &amp; Data</t>
        </is>
      </c>
      <c r="G139" s="593" t="inlineStr">
        <is>
          <t>Group Data</t>
        </is>
      </c>
      <c r="H139" s="624" t="inlineStr">
        <is>
          <t>Data Engineering &amp; Platforms</t>
        </is>
      </c>
      <c r="I139" s="593" t="inlineStr">
        <is>
          <t>Enterprise Data</t>
        </is>
      </c>
      <c r="J139" s="624" t="inlineStr">
        <is>
          <t>Group Data</t>
        </is>
      </c>
      <c r="K139" s="593" t="inlineStr">
        <is>
          <t>Data Platform</t>
        </is>
      </c>
      <c r="L139" s="593" t="n"/>
      <c r="M139" s="594" t="inlineStr">
        <is>
          <t>Australia</t>
        </is>
      </c>
      <c r="N139" s="595" t="inlineStr">
        <is>
          <t>CIB</t>
        </is>
      </c>
      <c r="O139" s="595" t="n">
        <v>1</v>
      </c>
      <c r="P139" s="595" t="n"/>
      <c r="Q139" s="595" t="inlineStr">
        <is>
          <t>V</t>
        </is>
      </c>
      <c r="R139" s="597" t="n"/>
      <c r="S139" s="597" t="n"/>
      <c r="T139" s="598" t="n">
        <v>151950</v>
      </c>
      <c r="U139" s="729" t="n">
        <v>151950</v>
      </c>
      <c r="V139" s="601" t="n">
        <v>0.12</v>
      </c>
      <c r="W139" s="732" t="n">
        <v>0.055</v>
      </c>
      <c r="X139" s="732" t="n">
        <v>0.12</v>
      </c>
      <c r="Y139" s="733" t="n"/>
      <c r="Z139" s="732" t="n">
        <v>0.04</v>
      </c>
      <c r="AA139" s="731">
        <f>U139*(1+V139+W139+X139+Y139+Z139)</f>
        <v>202853.25</v>
      </c>
      <c r="AB139" s="606" t="n"/>
    </row>
    <row r="140">
      <c r="A140" s="590" t="inlineStr">
        <is>
          <t>V</t>
        </is>
      </c>
      <c r="B140" s="591" t="inlineStr">
        <is>
          <t>vacant</t>
        </is>
      </c>
      <c r="C140" s="592" t="inlineStr">
        <is>
          <t>Quality Assurance</t>
        </is>
      </c>
      <c r="D140" s="591" t="inlineStr">
        <is>
          <t>Roozbeh Shahbazirad</t>
        </is>
      </c>
      <c r="E140" s="591" t="inlineStr">
        <is>
          <t>Lead Engineer (Databricks)</t>
        </is>
      </c>
      <c r="F140" s="624" t="inlineStr">
        <is>
          <t>Strategy, Architecture &amp; Data</t>
        </is>
      </c>
      <c r="G140" s="593" t="inlineStr">
        <is>
          <t>Group Data</t>
        </is>
      </c>
      <c r="H140" s="624" t="inlineStr">
        <is>
          <t>Data Engineering &amp; Platforms</t>
        </is>
      </c>
      <c r="I140" s="593" t="inlineStr">
        <is>
          <t>Enterprise Data</t>
        </is>
      </c>
      <c r="J140" s="624" t="inlineStr">
        <is>
          <t>EGI</t>
        </is>
      </c>
      <c r="K140" s="593" t="inlineStr">
        <is>
          <t>Data Platform</t>
        </is>
      </c>
      <c r="L140" s="593" t="n"/>
      <c r="M140" s="594" t="inlineStr">
        <is>
          <t>Australia</t>
        </is>
      </c>
      <c r="N140" s="595" t="inlineStr">
        <is>
          <t>CIA</t>
        </is>
      </c>
      <c r="O140" s="595" t="n">
        <v>1</v>
      </c>
      <c r="P140" s="595" t="n"/>
      <c r="Q140" s="595" t="inlineStr">
        <is>
          <t>v</t>
        </is>
      </c>
      <c r="R140" s="597" t="n"/>
      <c r="S140" s="597" t="n"/>
      <c r="T140" s="598" t="n">
        <v>129650</v>
      </c>
      <c r="U140" s="729" t="n">
        <v>129650</v>
      </c>
      <c r="V140" s="601" t="n">
        <v>0.1</v>
      </c>
      <c r="W140" s="732" t="n">
        <v>0.055</v>
      </c>
      <c r="X140" s="732" t="n">
        <v>0.12</v>
      </c>
      <c r="Y140" s="733" t="n"/>
      <c r="Z140" s="732" t="n">
        <v>0.04</v>
      </c>
      <c r="AA140" s="731">
        <f>U140*(1+V140+W140+X140+Y140+Z140)</f>
        <v>170489.75</v>
      </c>
      <c r="AB140" s="606" t="n"/>
    </row>
    <row r="141">
      <c r="A141" s="590" t="inlineStr">
        <is>
          <t>V</t>
        </is>
      </c>
      <c r="B141" s="591" t="inlineStr">
        <is>
          <t>Vacant</t>
        </is>
      </c>
      <c r="C141" s="592" t="inlineStr">
        <is>
          <t>Data Governance Lead</t>
        </is>
      </c>
      <c r="D141" s="593" t="inlineStr">
        <is>
          <t>Sanjay Tikoo</t>
        </is>
      </c>
      <c r="E141" s="591" t="inlineStr">
        <is>
          <t>Data Capability Manager</t>
        </is>
      </c>
      <c r="F141" s="624" t="inlineStr">
        <is>
          <t>Strategy, Architecture &amp; Data</t>
        </is>
      </c>
      <c r="G141" s="617" t="inlineStr">
        <is>
          <t>Group Data</t>
        </is>
      </c>
      <c r="H141" s="629" t="inlineStr">
        <is>
          <t>Data Capability</t>
        </is>
      </c>
      <c r="I141" s="624" t="inlineStr">
        <is>
          <t>Enterprise Data</t>
        </is>
      </c>
      <c r="J141" s="624" t="inlineStr">
        <is>
          <t>Group Data</t>
        </is>
      </c>
      <c r="K141" s="593" t="n"/>
      <c r="L141" s="593" t="n"/>
      <c r="M141" s="594" t="inlineStr">
        <is>
          <t>australia</t>
        </is>
      </c>
      <c r="N141" s="631" t="inlineStr">
        <is>
          <t>CSC</t>
        </is>
      </c>
      <c r="O141" s="595" t="n">
        <v>1</v>
      </c>
      <c r="P141" s="595" t="n"/>
      <c r="Q141" s="595" t="inlineStr">
        <is>
          <t>V</t>
        </is>
      </c>
      <c r="R141" s="597" t="n"/>
      <c r="S141" s="597" t="n"/>
      <c r="T141" s="598" t="n">
        <v>275340</v>
      </c>
      <c r="U141" s="729" t="n">
        <v>275340</v>
      </c>
      <c r="V141" s="601" t="n">
        <v>0.2</v>
      </c>
      <c r="W141" s="732" t="n">
        <v>0.055</v>
      </c>
      <c r="X141" s="732" t="n">
        <v>0.12</v>
      </c>
      <c r="Y141" s="733" t="n"/>
      <c r="Z141" s="732" t="n">
        <v>0.04</v>
      </c>
      <c r="AA141" s="731">
        <f>U141*(1+V141+W141+X141+Y141+Z141)</f>
        <v>389606.10000000003</v>
      </c>
      <c r="AB141" s="606" t="n"/>
    </row>
    <row r="142">
      <c r="A142" s="590" t="inlineStr">
        <is>
          <t>V</t>
        </is>
      </c>
      <c r="B142" s="591" t="inlineStr">
        <is>
          <t>Vacant</t>
        </is>
      </c>
      <c r="C142" s="592" t="inlineStr">
        <is>
          <t>Head of Architecture</t>
        </is>
      </c>
      <c r="D142" s="591" t="inlineStr">
        <is>
          <t>Matt Ashley</t>
        </is>
      </c>
      <c r="E142" s="591" t="inlineStr">
        <is>
          <t>GM TDD, Strategy, Architecture, Data</t>
        </is>
      </c>
      <c r="F142" s="624" t="inlineStr">
        <is>
          <t>Strategy, Architecture &amp; Data</t>
        </is>
      </c>
      <c r="G142" s="593" t="inlineStr">
        <is>
          <t>Architecture</t>
        </is>
      </c>
      <c r="H142" s="593" t="n"/>
      <c r="I142" s="593" t="n"/>
      <c r="J142" s="624" t="inlineStr">
        <is>
          <t>Leadership</t>
        </is>
      </c>
      <c r="K142" s="624" t="n"/>
      <c r="L142" s="593" t="n"/>
      <c r="M142" s="594" t="inlineStr">
        <is>
          <t>Australia</t>
        </is>
      </c>
      <c r="N142" s="595" t="inlineStr">
        <is>
          <t>CSC</t>
        </is>
      </c>
      <c r="O142" s="595" t="n">
        <v>1</v>
      </c>
      <c r="P142" s="595" t="n"/>
      <c r="Q142" s="595" t="inlineStr">
        <is>
          <t>v</t>
        </is>
      </c>
      <c r="R142" s="597" t="n"/>
      <c r="S142" s="597" t="n"/>
      <c r="T142" s="598" t="n">
        <v>236730</v>
      </c>
      <c r="U142" s="729" t="n">
        <v>236730</v>
      </c>
      <c r="V142" s="601" t="n">
        <v>0.2</v>
      </c>
      <c r="W142" s="732" t="n">
        <v>0.055</v>
      </c>
      <c r="X142" s="732" t="n">
        <v>0.12</v>
      </c>
      <c r="Y142" s="733" t="n"/>
      <c r="Z142" s="732" t="n">
        <v>0.04</v>
      </c>
      <c r="AA142" s="731">
        <f>U142*(1+V142+W142+X142+Y142+Z142)</f>
        <v>334972.95</v>
      </c>
      <c r="AB142" s="606" t="n"/>
    </row>
    <row r="143">
      <c r="A143" s="590" t="inlineStr">
        <is>
          <t>V</t>
        </is>
      </c>
      <c r="B143" s="591" t="inlineStr">
        <is>
          <t>Vacant</t>
        </is>
      </c>
      <c r="C143" s="592" t="inlineStr">
        <is>
          <t>Head of Technology Strategy &amp; AI Capability</t>
        </is>
      </c>
      <c r="D143" s="591" t="inlineStr">
        <is>
          <t>Matt Ashley</t>
        </is>
      </c>
      <c r="E143" s="591" t="inlineStr">
        <is>
          <t>GM TDD, Strategy, Architecture, Data</t>
        </is>
      </c>
      <c r="F143" s="624" t="inlineStr">
        <is>
          <t>Strategy, Architecture &amp; Data</t>
        </is>
      </c>
      <c r="G143" s="593" t="inlineStr">
        <is>
          <t>Technology Strategy &amp; AI Capability</t>
        </is>
      </c>
      <c r="H143" s="606" t="n"/>
      <c r="I143" s="593" t="n"/>
      <c r="J143" s="624" t="inlineStr">
        <is>
          <t>Leadership</t>
        </is>
      </c>
      <c r="K143" s="624" t="n"/>
      <c r="L143" s="593" t="n"/>
      <c r="M143" s="594" t="inlineStr">
        <is>
          <t>Australia</t>
        </is>
      </c>
      <c r="N143" s="595" t="inlineStr">
        <is>
          <t>CSC</t>
        </is>
      </c>
      <c r="O143" s="595" t="n">
        <v>1</v>
      </c>
      <c r="P143" s="595" t="n"/>
      <c r="Q143" s="595" t="inlineStr">
        <is>
          <t>v</t>
        </is>
      </c>
      <c r="R143" s="597" t="n"/>
      <c r="S143" s="597" t="n"/>
      <c r="T143" s="598" t="n">
        <v>235350</v>
      </c>
      <c r="U143" s="729" t="n">
        <v>235350</v>
      </c>
      <c r="V143" s="601" t="n">
        <v>0.2</v>
      </c>
      <c r="W143" s="732" t="n">
        <v>0.055</v>
      </c>
      <c r="X143" s="732" t="n">
        <v>0.12</v>
      </c>
      <c r="Y143" s="733" t="n"/>
      <c r="Z143" s="732" t="n">
        <v>0.04</v>
      </c>
      <c r="AA143" s="731">
        <f>U143*(1+V143+W143+X143+Y143+Z143)</f>
        <v>333020.25</v>
      </c>
      <c r="AB143" s="606" t="n"/>
    </row>
    <row r="144">
      <c r="A144" s="590" t="inlineStr">
        <is>
          <t>V</t>
        </is>
      </c>
      <c r="B144" s="591" t="inlineStr">
        <is>
          <t>Vacant</t>
        </is>
      </c>
      <c r="C144" s="592" t="inlineStr">
        <is>
          <t>Senior Communications Advisor</t>
        </is>
      </c>
      <c r="D144" s="591" t="inlineStr">
        <is>
          <t>Matt Ashley</t>
        </is>
      </c>
      <c r="E144" s="591" t="inlineStr">
        <is>
          <t>GM TDD, Strategy, Architecture, Data</t>
        </is>
      </c>
      <c r="F144" s="624" t="inlineStr">
        <is>
          <t>Strategy, Architecture &amp; Data</t>
        </is>
      </c>
      <c r="G144" s="593" t="inlineStr">
        <is>
          <t>na</t>
        </is>
      </c>
      <c r="H144" s="593" t="n"/>
      <c r="I144" s="593" t="n"/>
      <c r="J144" s="624" t="inlineStr">
        <is>
          <t>Leadership</t>
        </is>
      </c>
      <c r="K144" s="624" t="n"/>
      <c r="L144" s="593" t="n"/>
      <c r="M144" s="594" t="inlineStr">
        <is>
          <t>Australia</t>
        </is>
      </c>
      <c r="N144" s="595" t="inlineStr">
        <is>
          <t>CIB</t>
        </is>
      </c>
      <c r="O144" s="595" t="n">
        <v>1</v>
      </c>
      <c r="P144" s="595" t="n"/>
      <c r="Q144" s="595" t="inlineStr">
        <is>
          <t>v</t>
        </is>
      </c>
      <c r="R144" s="597" t="n"/>
      <c r="S144" s="597" t="n"/>
      <c r="T144" s="598" t="n">
        <v>140000</v>
      </c>
      <c r="U144" s="729" t="n">
        <v>140000</v>
      </c>
      <c r="V144" s="601" t="n">
        <v>0.12</v>
      </c>
      <c r="W144" s="732" t="n">
        <v>0.055</v>
      </c>
      <c r="X144" s="732" t="n">
        <v>0.12</v>
      </c>
      <c r="Y144" s="733" t="n"/>
      <c r="Z144" s="732" t="n">
        <v>0.04</v>
      </c>
      <c r="AA144" s="731">
        <f>U144*(1+V144+W144+X144+Y144+Z144)</f>
        <v>186900.0</v>
      </c>
      <c r="AB144" s="606" t="n"/>
    </row>
    <row r="145">
      <c r="A145" s="590" t="inlineStr">
        <is>
          <t>V</t>
        </is>
      </c>
      <c r="B145" s="632" t="inlineStr">
        <is>
          <t>Vacant</t>
        </is>
      </c>
      <c r="C145" s="633" t="inlineStr">
        <is>
          <t>Enterprise Data Architect</t>
        </is>
      </c>
      <c r="D145" s="634" t="inlineStr">
        <is>
          <t>Sanjay Tikoo</t>
        </is>
      </c>
      <c r="E145" s="632" t="inlineStr">
        <is>
          <t>Data Capability Manager</t>
        </is>
      </c>
      <c r="F145" s="635" t="inlineStr">
        <is>
          <t>Strategy, Architecture &amp; Data</t>
        </is>
      </c>
      <c r="G145" s="636" t="inlineStr">
        <is>
          <t>Group Data</t>
        </is>
      </c>
      <c r="H145" s="636" t="inlineStr">
        <is>
          <t>Data Capability</t>
        </is>
      </c>
      <c r="I145" s="635" t="inlineStr">
        <is>
          <t>Enterprise Data</t>
        </is>
      </c>
      <c r="J145" s="635" t="inlineStr">
        <is>
          <t>Group Data</t>
        </is>
      </c>
      <c r="K145" s="636" t="n"/>
      <c r="L145" s="636" t="n"/>
      <c r="M145" s="594" t="inlineStr">
        <is>
          <t>Australia</t>
        </is>
      </c>
      <c r="N145" s="595" t="inlineStr">
        <is>
          <t>CSB</t>
        </is>
      </c>
      <c r="O145" s="595" t="n">
        <v>1</v>
      </c>
      <c r="P145" s="595" t="n"/>
      <c r="Q145" s="595" t="inlineStr">
        <is>
          <t>Pause</t>
        </is>
      </c>
      <c r="R145" s="619" t="n"/>
      <c r="S145" s="597" t="n"/>
      <c r="T145" s="598" t="n">
        <v>203550</v>
      </c>
      <c r="U145" s="729" t="n">
        <v>203550</v>
      </c>
      <c r="V145" s="601" t="n">
        <v>0.14</v>
      </c>
      <c r="W145" s="732" t="n">
        <v>0.055</v>
      </c>
      <c r="X145" s="732" t="n">
        <v>0.12</v>
      </c>
      <c r="Y145" s="733" t="n"/>
      <c r="Z145" s="732" t="n">
        <v>0.04</v>
      </c>
      <c r="AA145" s="731">
        <f>U145*(1+V145+W145+X145+Y145+Z145)</f>
        <v>275810.25</v>
      </c>
      <c r="AB145" s="606" t="n"/>
    </row>
    <row r="146">
      <c r="A146" s="590" t="inlineStr">
        <is>
          <t>V</t>
        </is>
      </c>
      <c r="B146" s="591" t="inlineStr">
        <is>
          <t>Vacant</t>
        </is>
      </c>
      <c r="C146" s="592" t="inlineStr">
        <is>
          <t>AI Capability Lead</t>
        </is>
      </c>
      <c r="D146" s="589" t="inlineStr">
        <is>
          <t>Vacant</t>
        </is>
      </c>
      <c r="E146" s="591" t="inlineStr">
        <is>
          <t>Head of Technology  Strategy &amp; AI Capability</t>
        </is>
      </c>
      <c r="F146" s="624" t="inlineStr">
        <is>
          <t>Strategy, Architecture &amp; Data</t>
        </is>
      </c>
      <c r="G146" s="593" t="inlineStr">
        <is>
          <t>Technology Strategy &amp; AI Capability</t>
        </is>
      </c>
      <c r="H146" s="593" t="inlineStr">
        <is>
          <t>Technology Strategy &amp; AI Capability</t>
        </is>
      </c>
      <c r="I146" s="624" t="n"/>
      <c r="J146" s="624" t="n"/>
      <c r="K146" s="593" t="n"/>
      <c r="L146" s="593" t="n"/>
      <c r="M146" s="594" t="inlineStr">
        <is>
          <t>Australia</t>
        </is>
      </c>
      <c r="N146" s="595" t="inlineStr">
        <is>
          <t>CSB</t>
        </is>
      </c>
      <c r="O146" s="595" t="n">
        <v>1</v>
      </c>
      <c r="P146" s="595" t="n"/>
      <c r="Q146" s="595" t="inlineStr">
        <is>
          <t>V</t>
        </is>
      </c>
      <c r="R146" s="597" t="n"/>
      <c r="S146" s="597" t="n"/>
      <c r="T146" s="598" t="n">
        <v>203550</v>
      </c>
      <c r="U146" s="729" t="n">
        <v>203550</v>
      </c>
      <c r="V146" s="601" t="n">
        <v>0.14</v>
      </c>
      <c r="W146" s="732" t="n">
        <v>0.055</v>
      </c>
      <c r="X146" s="732" t="n">
        <v>0.12</v>
      </c>
      <c r="Y146" s="733" t="n"/>
      <c r="Z146" s="732" t="n">
        <v>0.04</v>
      </c>
      <c r="AA146" s="731">
        <f>U146*(1+V146+W146+X146+Y146+Z146)</f>
        <v>275810.25</v>
      </c>
      <c r="AB146" s="606" t="n"/>
    </row>
    <row r="147">
      <c r="A147" s="590" t="inlineStr">
        <is>
          <t>V</t>
        </is>
      </c>
      <c r="B147" s="591" t="inlineStr">
        <is>
          <t>Vacant</t>
        </is>
      </c>
      <c r="C147" s="592" t="inlineStr">
        <is>
          <t>Enterprise Process Lead</t>
        </is>
      </c>
      <c r="D147" s="589" t="inlineStr">
        <is>
          <t>Vacant</t>
        </is>
      </c>
      <c r="E147" s="591" t="inlineStr">
        <is>
          <t>Head of Technology  Strategy &amp; AI Capability</t>
        </is>
      </c>
      <c r="F147" s="624" t="inlineStr">
        <is>
          <t>Strategy, Architecture &amp; Data</t>
        </is>
      </c>
      <c r="G147" s="593" t="inlineStr">
        <is>
          <t>Technology Strategy &amp; AI Capability</t>
        </is>
      </c>
      <c r="H147" s="593" t="inlineStr">
        <is>
          <t>Technology Strategy &amp; AI Capability</t>
        </is>
      </c>
      <c r="I147" s="624" t="n"/>
      <c r="J147" s="624" t="n"/>
      <c r="K147" s="593" t="n"/>
      <c r="L147" s="593" t="n"/>
      <c r="M147" s="594" t="inlineStr">
        <is>
          <t>Australia</t>
        </is>
      </c>
      <c r="N147" s="595" t="inlineStr">
        <is>
          <t>CIB</t>
        </is>
      </c>
      <c r="O147" s="595" t="n">
        <v>1</v>
      </c>
      <c r="P147" s="595" t="n"/>
      <c r="Q147" s="595" t="inlineStr">
        <is>
          <t>V</t>
        </is>
      </c>
      <c r="R147" s="597" t="n"/>
      <c r="S147" s="597" t="n"/>
      <c r="T147" s="598" t="n">
        <v>151950</v>
      </c>
      <c r="U147" s="729" t="n">
        <v>151950</v>
      </c>
      <c r="V147" s="601" t="n">
        <v>0.12</v>
      </c>
      <c r="W147" s="732" t="n">
        <v>0.055</v>
      </c>
      <c r="X147" s="732" t="n">
        <v>0.12</v>
      </c>
      <c r="Y147" s="733" t="n"/>
      <c r="Z147" s="732" t="n">
        <v>0.04</v>
      </c>
      <c r="AA147" s="731">
        <f>U147*(1+V147+W147+X147+Y147+Z147)</f>
        <v>202853.25</v>
      </c>
      <c r="AB147" s="606" t="n"/>
    </row>
    <row r="148">
      <c r="A148" s="590" t="inlineStr">
        <is>
          <t>V</t>
        </is>
      </c>
      <c r="B148" s="591" t="inlineStr">
        <is>
          <t>Vacant</t>
        </is>
      </c>
      <c r="C148" s="592" t="inlineStr">
        <is>
          <t>EnterpriseProcess Analyst</t>
        </is>
      </c>
      <c r="D148" s="606" t="inlineStr">
        <is>
          <t>Vacant</t>
        </is>
      </c>
      <c r="E148" s="591" t="inlineStr">
        <is>
          <t>Enterprise Process Lead</t>
        </is>
      </c>
      <c r="F148" s="624" t="inlineStr">
        <is>
          <t>Strategy, Architecture &amp; Data</t>
        </is>
      </c>
      <c r="G148" s="593" t="inlineStr">
        <is>
          <t>Technology Strategy &amp; AI Capability</t>
        </is>
      </c>
      <c r="H148" s="593" t="inlineStr">
        <is>
          <t>Technology Strategy &amp; AI Capability</t>
        </is>
      </c>
      <c r="I148" s="624" t="n"/>
      <c r="J148" s="624" t="n"/>
      <c r="K148" s="593" t="n"/>
      <c r="L148" s="593" t="n"/>
      <c r="M148" s="594" t="inlineStr">
        <is>
          <t>Australia</t>
        </is>
      </c>
      <c r="N148" s="595" t="inlineStr">
        <is>
          <t>CIA</t>
        </is>
      </c>
      <c r="O148" s="595" t="n">
        <v>1</v>
      </c>
      <c r="P148" s="595" t="n"/>
      <c r="Q148" s="595" t="inlineStr">
        <is>
          <t>V</t>
        </is>
      </c>
      <c r="R148" s="597" t="n"/>
      <c r="S148" s="597" t="n"/>
      <c r="T148" s="598" t="n">
        <v>129650</v>
      </c>
      <c r="U148" s="729" t="n">
        <v>129650</v>
      </c>
      <c r="V148" s="601" t="n">
        <v>0.1</v>
      </c>
      <c r="W148" s="732" t="n">
        <v>0.055</v>
      </c>
      <c r="X148" s="732" t="n">
        <v>0.12</v>
      </c>
      <c r="Y148" s="733" t="n"/>
      <c r="Z148" s="732" t="n">
        <v>0.04</v>
      </c>
      <c r="AA148" s="731">
        <f>U148*(1+V148+W148+X148+Y148+Z148)</f>
        <v>170489.75</v>
      </c>
      <c r="AB148" s="606" t="n"/>
    </row>
    <row r="149">
      <c r="A149" s="590" t="inlineStr">
        <is>
          <t>V</t>
        </is>
      </c>
      <c r="B149" s="591" t="inlineStr">
        <is>
          <t>Vacant</t>
        </is>
      </c>
      <c r="C149" s="592" t="inlineStr">
        <is>
          <t>Strategy Analyst</t>
        </is>
      </c>
      <c r="D149" s="589" t="inlineStr">
        <is>
          <t>Vacant</t>
        </is>
      </c>
      <c r="E149" s="591" t="inlineStr">
        <is>
          <t>Head of Technology  Strategy &amp; AI Capability</t>
        </is>
      </c>
      <c r="F149" s="624" t="inlineStr">
        <is>
          <t>Strategy, Architecture &amp; Data</t>
        </is>
      </c>
      <c r="G149" s="593" t="inlineStr">
        <is>
          <t>Technology Strategy &amp; AI Capability</t>
        </is>
      </c>
      <c r="H149" s="606" t="inlineStr">
        <is>
          <t>Technology Strategy &amp; AI Capability</t>
        </is>
      </c>
      <c r="I149" s="624" t="n"/>
      <c r="J149" s="624" t="n"/>
      <c r="K149" s="593" t="n"/>
      <c r="L149" s="593" t="n"/>
      <c r="M149" s="594" t="inlineStr">
        <is>
          <t>Australia</t>
        </is>
      </c>
      <c r="N149" s="595" t="inlineStr">
        <is>
          <t>CIA</t>
        </is>
      </c>
      <c r="O149" s="595" t="n">
        <v>1</v>
      </c>
      <c r="P149" s="595" t="n"/>
      <c r="Q149" s="595" t="inlineStr">
        <is>
          <t>v</t>
        </is>
      </c>
      <c r="R149" s="597" t="n"/>
      <c r="S149" s="597" t="n"/>
      <c r="T149" s="598" t="n">
        <v>129650</v>
      </c>
      <c r="U149" s="729" t="n">
        <v>129650</v>
      </c>
      <c r="V149" s="601" t="n">
        <v>0.1</v>
      </c>
      <c r="W149" s="732" t="n">
        <v>0.055</v>
      </c>
      <c r="X149" s="732" t="n">
        <v>0.12</v>
      </c>
      <c r="Y149" s="733" t="n"/>
      <c r="Z149" s="732" t="n">
        <v>0.04</v>
      </c>
      <c r="AA149" s="731">
        <f>U149*(1+V149+W149+X149+Y149+Z149)</f>
        <v>170489.75</v>
      </c>
      <c r="AB149" s="606" t="n"/>
    </row>
    <row r="150">
      <c r="A150" s="590" t="inlineStr">
        <is>
          <t>V</t>
        </is>
      </c>
      <c r="B150" s="591" t="inlineStr">
        <is>
          <t>Vacant  (Contract)</t>
        </is>
      </c>
      <c r="C150" s="592" t="inlineStr">
        <is>
          <t>Applications Specialist - Strategic Programs</t>
        </is>
      </c>
      <c r="D150" s="589" t="inlineStr">
        <is>
          <t>Sai Konka</t>
        </is>
      </c>
      <c r="E150" s="589" t="inlineStr">
        <is>
          <t>Applications &amp; Analytics Manager</t>
        </is>
      </c>
      <c r="F150" s="624" t="inlineStr">
        <is>
          <t>Strategy, Architecture &amp; Data</t>
        </is>
      </c>
      <c r="G150" s="593" t="inlineStr">
        <is>
          <t>Group Data</t>
        </is>
      </c>
      <c r="H150" s="624" t="inlineStr">
        <is>
          <t>Data Engineering &amp; Platforms</t>
        </is>
      </c>
      <c r="I150" s="593" t="inlineStr">
        <is>
          <t>Enterprise Data</t>
        </is>
      </c>
      <c r="J150" s="624" t="inlineStr">
        <is>
          <t>EGI</t>
        </is>
      </c>
      <c r="K150" s="624" t="inlineStr">
        <is>
          <t>Reporting &amp; Analytics</t>
        </is>
      </c>
      <c r="L150" s="593" t="n"/>
      <c r="M150" s="594" t="inlineStr">
        <is>
          <t>Australia</t>
        </is>
      </c>
      <c r="N150" s="595" t="inlineStr">
        <is>
          <t>CIB</t>
        </is>
      </c>
      <c r="O150" s="595" t="n">
        <v>1</v>
      </c>
      <c r="P150" s="595" t="n"/>
      <c r="Q150" s="595" t="inlineStr">
        <is>
          <t>Pause</t>
        </is>
      </c>
      <c r="R150" s="597" t="n"/>
      <c r="S150" s="597" t="n"/>
      <c r="T150" s="598" t="n">
        <v>151950</v>
      </c>
      <c r="U150" s="729" t="n">
        <v>151950</v>
      </c>
      <c r="V150" s="601" t="n">
        <v>0.12</v>
      </c>
      <c r="W150" s="732" t="n">
        <v>0.055</v>
      </c>
      <c r="X150" s="732" t="n">
        <v>0.12</v>
      </c>
      <c r="Y150" s="733" t="n"/>
      <c r="Z150" s="732" t="n">
        <v>0.04</v>
      </c>
      <c r="AA150" s="731">
        <f>U150*(1+V150+W150+X150+Y150+Z150)</f>
        <v>202853.25</v>
      </c>
      <c r="AB150" s="606" t="n"/>
    </row>
    <row r="151">
      <c r="A151" s="590" t="inlineStr">
        <is>
          <t>V</t>
        </is>
      </c>
      <c r="B151" s="591" t="inlineStr">
        <is>
          <t>Vacant (contract)</t>
        </is>
      </c>
      <c r="C151" s="592" t="inlineStr">
        <is>
          <t>Reporting analysts - Strategic Programs</t>
        </is>
      </c>
      <c r="D151" s="589" t="inlineStr">
        <is>
          <t>Prashanth Krishnankutty</t>
        </is>
      </c>
      <c r="E151" s="591" t="inlineStr">
        <is>
          <t>Lead, Reporting &amp; Insights</t>
        </is>
      </c>
      <c r="F151" s="624" t="inlineStr">
        <is>
          <t>Strategy, Architecture &amp; Data</t>
        </is>
      </c>
      <c r="G151" s="593" t="inlineStr">
        <is>
          <t>Group Data</t>
        </is>
      </c>
      <c r="H151" s="624" t="inlineStr">
        <is>
          <t>Data Engineering &amp; Platforms</t>
        </is>
      </c>
      <c r="I151" s="593" t="inlineStr">
        <is>
          <t>Enterprise Data</t>
        </is>
      </c>
      <c r="J151" s="624" t="inlineStr">
        <is>
          <t>Group Data</t>
        </is>
      </c>
      <c r="K151" s="624" t="inlineStr">
        <is>
          <t>Reporting &amp; Analytics</t>
        </is>
      </c>
      <c r="L151" s="593" t="n"/>
      <c r="M151" s="594" t="inlineStr">
        <is>
          <t>Australia</t>
        </is>
      </c>
      <c r="N151" s="595" t="inlineStr">
        <is>
          <t>CIB</t>
        </is>
      </c>
      <c r="O151" s="595" t="n">
        <v>1</v>
      </c>
      <c r="P151" s="595" t="n"/>
      <c r="Q151" s="595" t="inlineStr">
        <is>
          <t>Pause</t>
        </is>
      </c>
      <c r="R151" s="597" t="n"/>
      <c r="S151" s="597" t="n"/>
      <c r="T151" s="598" t="n">
        <v>151950</v>
      </c>
      <c r="U151" s="729" t="n">
        <v>151950</v>
      </c>
      <c r="V151" s="601" t="n">
        <v>0.12</v>
      </c>
      <c r="W151" s="732" t="n">
        <v>0.055</v>
      </c>
      <c r="X151" s="732" t="n">
        <v>0.12</v>
      </c>
      <c r="Y151" s="733" t="n"/>
      <c r="Z151" s="732" t="n">
        <v>0.04</v>
      </c>
      <c r="AA151" s="731">
        <f>U151*(1+V151+W151+X151+Y151+Z151)</f>
        <v>202853.25</v>
      </c>
      <c r="AB151" s="606" t="n"/>
    </row>
    <row r="152">
      <c r="A152" s="590" t="n">
        <v>106026</v>
      </c>
      <c r="B152" s="591" t="inlineStr">
        <is>
          <t>Vincent Lu</t>
        </is>
      </c>
      <c r="C152" s="592" t="inlineStr">
        <is>
          <t>Reporting Analyst</t>
        </is>
      </c>
      <c r="D152" s="589" t="inlineStr">
        <is>
          <t>Prashanth Krishnankutty</t>
        </is>
      </c>
      <c r="E152" s="591" t="inlineStr">
        <is>
          <t>Lead, Reporting &amp; Insights</t>
        </is>
      </c>
      <c r="F152" s="624" t="inlineStr">
        <is>
          <t>Strategy, Architecture &amp; Data</t>
        </is>
      </c>
      <c r="G152" s="593" t="inlineStr">
        <is>
          <t>Group Data</t>
        </is>
      </c>
      <c r="H152" s="624" t="inlineStr">
        <is>
          <t>Data Engineering &amp; Platforms</t>
        </is>
      </c>
      <c r="I152" s="624" t="inlineStr">
        <is>
          <t>Enterprise Data</t>
        </is>
      </c>
      <c r="J152" s="624" t="inlineStr">
        <is>
          <t>Group Data</t>
        </is>
      </c>
      <c r="K152" s="624" t="inlineStr">
        <is>
          <t>Reporting &amp; Analytics</t>
        </is>
      </c>
      <c r="L152" s="593" t="n"/>
      <c r="M152" s="594" t="inlineStr">
        <is>
          <t>Australia</t>
        </is>
      </c>
      <c r="N152" s="595" t="inlineStr">
        <is>
          <t>CIB</t>
        </is>
      </c>
      <c r="O152" s="595" t="n">
        <v>1</v>
      </c>
      <c r="P152" s="595" t="n"/>
      <c r="Q152" s="595" t="inlineStr">
        <is>
          <t>Permanent - Full Time</t>
        </is>
      </c>
      <c r="R152" s="597" t="n"/>
      <c r="S152" s="597" t="n"/>
      <c r="T152" s="598" t="n">
        <v>134550</v>
      </c>
      <c r="U152" s="729" t="n">
        <v>134550</v>
      </c>
      <c r="V152" s="601" t="n">
        <v>0.12</v>
      </c>
      <c r="W152" s="732" t="n">
        <v>0.055</v>
      </c>
      <c r="X152" s="732" t="n">
        <v>0.12</v>
      </c>
      <c r="Y152" s="733" t="n"/>
      <c r="Z152" s="732" t="n">
        <v>0.04</v>
      </c>
      <c r="AA152" s="731">
        <f>U152*(1+V152+W152+X152+Y152+Z152)</f>
        <v>179624.25</v>
      </c>
      <c r="AB152" s="606" t="n"/>
    </row>
    <row r="153">
      <c r="A153" s="590" t="n">
        <v>101166</v>
      </c>
      <c r="B153" s="593" t="inlineStr">
        <is>
          <t>Yu Chen</t>
        </is>
      </c>
      <c r="C153" s="623" t="inlineStr">
        <is>
          <t>Senior Data Scientist</t>
        </is>
      </c>
      <c r="D153" s="589" t="inlineStr">
        <is>
          <t>Jonathan Robinson</t>
        </is>
      </c>
      <c r="E153" s="591" t="inlineStr">
        <is>
          <t>Technology Manager, Data Science</t>
        </is>
      </c>
      <c r="F153" s="624" t="inlineStr">
        <is>
          <t>Strategy, Architecture &amp; Data</t>
        </is>
      </c>
      <c r="G153" s="593" t="inlineStr">
        <is>
          <t>Group Data</t>
        </is>
      </c>
      <c r="H153" s="624" t="inlineStr">
        <is>
          <t>Data Science</t>
        </is>
      </c>
      <c r="I153" s="624" t="inlineStr">
        <is>
          <t>Enterprise Data</t>
        </is>
      </c>
      <c r="J153" s="624" t="inlineStr">
        <is>
          <t>Group Data</t>
        </is>
      </c>
      <c r="K153" s="593" t="inlineStr">
        <is>
          <t>Data Science</t>
        </is>
      </c>
      <c r="L153" s="593" t="n"/>
      <c r="M153" s="594" t="inlineStr">
        <is>
          <t>Australia</t>
        </is>
      </c>
      <c r="N153" s="595" t="inlineStr">
        <is>
          <t>CIC</t>
        </is>
      </c>
      <c r="O153" s="595" t="n">
        <v>1</v>
      </c>
      <c r="P153" s="595" t="n"/>
      <c r="Q153" s="595" t="inlineStr">
        <is>
          <t>Permanent - Full Time</t>
        </is>
      </c>
      <c r="R153" s="597" t="n"/>
      <c r="S153" s="597" t="n"/>
      <c r="T153" s="598" t="n">
        <v>173470</v>
      </c>
      <c r="U153" s="729" t="n">
        <v>173470</v>
      </c>
      <c r="V153" s="601" t="n">
        <v>0.12</v>
      </c>
      <c r="W153" s="732" t="n">
        <v>0.055</v>
      </c>
      <c r="X153" s="732" t="n">
        <v>0.12</v>
      </c>
      <c r="Y153" s="733" t="n"/>
      <c r="Z153" s="732" t="n">
        <v>0.04</v>
      </c>
      <c r="AA153" s="731">
        <f>U153*(1+V153+W153+X153+Y153+Z153)</f>
        <v>231582.44999999998</v>
      </c>
      <c r="AB153" s="606" t="n"/>
    </row>
  </sheetData>
  <autoFilter ref="A1:AB153"/>
  <pageMargins left="0.7" right="0.7" top="0.75" bottom="0.75" header="0.3" footer="0.3"/>
</worksheet>
</file>

<file path=xl/worksheets/sheet48.xml><?xml version="1.0" encoding="utf-8"?>
<worksheet xmlns="http://schemas.openxmlformats.org/spreadsheetml/2006/main">
  <sheetPr>
    <outlinePr summaryBelow="1" summaryRight="1"/>
    <pageSetUpPr/>
  </sheetPr>
  <dimension ref="A1:I15"/>
  <sheetViews>
    <sheetView showGridLines="0" zoomScaleNormal="100" workbookViewId="0">
      <selection activeCell="C5" sqref="C5"/>
    </sheetView>
  </sheetViews>
  <sheetFormatPr baseColWidth="8" defaultColWidth="8.54296875" defaultRowHeight="14.5" outlineLevelCol="0"/>
  <cols>
    <col width="20" customWidth="1" style="506" min="2" max="2"/>
    <col width="36.54296875" customWidth="1" style="506" min="3" max="3"/>
    <col width="10" customWidth="1" style="506" min="4" max="4"/>
    <col width="15" customWidth="1" style="506" min="5" max="6"/>
    <col width="13" customWidth="1" style="506" min="7" max="7"/>
    <col width="15" customWidth="1" style="506" min="8" max="8"/>
    <col width="10" customWidth="1" style="506" min="9" max="9"/>
  </cols>
  <sheetData>
    <row r="1"/>
    <row r="2" ht="18" customHeight="1" s="506">
      <c r="B2" s="2" t="inlineStr">
        <is>
          <t>FY2026 Budget by Business Segment</t>
        </is>
      </c>
    </row>
    <row r="3">
      <c r="B3" s="19" t="n"/>
    </row>
    <row r="4"/>
    <row r="5">
      <c r="B5" s="508" t="inlineStr">
        <is>
          <t>Business Segment</t>
        </is>
      </c>
      <c r="C5" s="508" t="inlineStr">
        <is>
          <t>TDD GM</t>
        </is>
      </c>
      <c r="D5" s="508" t="inlineStr">
        <is>
          <t>Total</t>
        </is>
      </c>
      <c r="E5" s="508" t="inlineStr">
        <is>
          <t>OpEx: Lights On</t>
        </is>
      </c>
      <c r="F5" s="508" t="inlineStr">
        <is>
          <t>OpEx: Initiatives</t>
        </is>
      </c>
      <c r="G5" s="508" t="inlineStr">
        <is>
          <t>Depreciation</t>
        </is>
      </c>
      <c r="H5" s="508" t="inlineStr">
        <is>
          <t>Significant Items</t>
        </is>
      </c>
      <c r="I5" s="508" t="inlineStr">
        <is>
          <t>CapEx</t>
        </is>
      </c>
    </row>
    <row r="6">
      <c r="B6" s="20" t="inlineStr">
        <is>
          <t>TDD (Corporate)</t>
        </is>
      </c>
      <c r="C6" s="20" t="inlineStr">
        <is>
          <t>Brad Blyth / Greg Cassis</t>
        </is>
      </c>
      <c r="D6" s="21" t="n">
        <v>112.75951309</v>
      </c>
      <c r="E6" s="21" t="n">
        <v>78.89486321</v>
      </c>
      <c r="F6" s="21" t="n">
        <v>3</v>
      </c>
      <c r="G6" s="21" t="n">
        <v>5.80004988</v>
      </c>
      <c r="H6" s="21" t="n">
        <v>20.1966</v>
      </c>
      <c r="I6" s="21" t="n">
        <v>4.868</v>
      </c>
    </row>
    <row r="7">
      <c r="B7" s="8" t="inlineStr">
        <is>
          <t>Z-Energy</t>
        </is>
      </c>
      <c r="C7" s="8" t="inlineStr">
        <is>
          <t>Vance Anderson / Harley Giles</t>
        </is>
      </c>
      <c r="D7" s="9" t="n">
        <v>76.70351405</v>
      </c>
      <c r="E7" s="9" t="n">
        <v>52.22525962</v>
      </c>
      <c r="F7" s="9" t="n">
        <v>1.44624</v>
      </c>
      <c r="G7" s="9" t="n">
        <v>11.30652059</v>
      </c>
      <c r="H7" s="9" t="n">
        <v>0</v>
      </c>
      <c r="I7" s="9" t="n">
        <v>11.72549384</v>
      </c>
    </row>
    <row r="8">
      <c r="B8" s="20" t="inlineStr">
        <is>
          <t>Commercial Fuels</t>
        </is>
      </c>
      <c r="C8" s="20" t="inlineStr">
        <is>
          <t>Roanne Steele</t>
        </is>
      </c>
      <c r="D8" s="21" t="n">
        <v>40.53422304</v>
      </c>
      <c r="E8" s="21" t="n">
        <v>13.65558128</v>
      </c>
      <c r="F8" s="21" t="n">
        <v>5.86172092</v>
      </c>
      <c r="G8" s="21" t="n">
        <v>0</v>
      </c>
      <c r="H8" s="21" t="n">
        <v>14.219208</v>
      </c>
      <c r="I8" s="21" t="n">
        <v>6.79771284</v>
      </c>
    </row>
    <row r="9">
      <c r="B9" s="8" t="inlineStr">
        <is>
          <t>Retail</t>
        </is>
      </c>
      <c r="C9" s="8" t="inlineStr">
        <is>
          <t>Vance Anderson</t>
        </is>
      </c>
      <c r="D9" s="9" t="n">
        <v>33.88085459</v>
      </c>
      <c r="E9" s="9" t="n">
        <v>13.92585459</v>
      </c>
      <c r="F9" s="9" t="n">
        <v>1.31</v>
      </c>
      <c r="G9" s="9" t="n">
        <v>0</v>
      </c>
      <c r="H9" s="9" t="n">
        <v>6.845</v>
      </c>
      <c r="I9" s="9" t="n">
        <v>11.8</v>
      </c>
    </row>
    <row r="10">
      <c r="B10" s="20" t="inlineStr">
        <is>
          <t>Energy Solutions</t>
        </is>
      </c>
      <c r="C10" s="20" t="inlineStr">
        <is>
          <t>Roanne Steele</t>
        </is>
      </c>
      <c r="D10" s="21" t="n">
        <v>8.009524369999999</v>
      </c>
      <c r="E10" s="21" t="n">
        <v>4.04193945</v>
      </c>
      <c r="F10" s="21" t="n">
        <v>0.97</v>
      </c>
      <c r="G10" s="21" t="n">
        <v>0</v>
      </c>
      <c r="H10" s="21" t="n">
        <v>0</v>
      </c>
      <c r="I10" s="21" t="n">
        <v>2.99758492</v>
      </c>
    </row>
    <row r="11">
      <c r="B11" s="8" t="inlineStr">
        <is>
          <t>Infrastructure</t>
        </is>
      </c>
      <c r="C11" s="8" t="inlineStr">
        <is>
          <t>Roanne Steele</t>
        </is>
      </c>
      <c r="D11" s="9" t="n">
        <v>9.24937596</v>
      </c>
      <c r="E11" s="9" t="n">
        <v>3.594596</v>
      </c>
      <c r="F11" s="9" t="n">
        <v>0.763362</v>
      </c>
      <c r="G11" s="9" t="n">
        <v>0</v>
      </c>
      <c r="H11" s="9" t="n">
        <v>0</v>
      </c>
      <c r="I11" s="9" t="n">
        <v>4.89141796</v>
      </c>
    </row>
    <row r="12">
      <c r="B12" s="20" t="inlineStr">
        <is>
          <t>Finance &amp; Other Corp</t>
        </is>
      </c>
      <c r="C12" s="20" t="inlineStr">
        <is>
          <t>Emily Mogic</t>
        </is>
      </c>
      <c r="D12" s="21" t="n">
        <v>3.88077368</v>
      </c>
      <c r="E12" s="21" t="n">
        <v>2.94528707</v>
      </c>
      <c r="F12" s="21" t="n">
        <v>0.93548661</v>
      </c>
      <c r="G12" s="21" t="n">
        <v>0</v>
      </c>
      <c r="H12" s="21" t="n">
        <v>0</v>
      </c>
      <c r="I12" s="21" t="n">
        <v>0</v>
      </c>
    </row>
    <row r="13">
      <c r="B13" s="8" t="inlineStr">
        <is>
          <t>P&amp;C</t>
        </is>
      </c>
      <c r="C13" s="8" t="inlineStr">
        <is>
          <t>Emily Mogic</t>
        </is>
      </c>
      <c r="D13" s="9" t="n">
        <v>5.81303803</v>
      </c>
      <c r="E13" s="9" t="n">
        <v>2.14803803</v>
      </c>
      <c r="F13" s="9" t="n">
        <v>1.975</v>
      </c>
      <c r="G13" s="9" t="n">
        <v>0</v>
      </c>
      <c r="H13" s="9" t="n">
        <v>1.36</v>
      </c>
      <c r="I13" s="9" t="n">
        <v>0.33</v>
      </c>
    </row>
    <row r="14">
      <c r="B14" s="20" t="inlineStr">
        <is>
          <t>Customer</t>
        </is>
      </c>
      <c r="C14" s="20" t="inlineStr">
        <is>
          <t>Harley Giles</t>
        </is>
      </c>
      <c r="D14" s="21" t="n">
        <v>11.69153287</v>
      </c>
      <c r="E14" s="21" t="n">
        <v>1.69153283</v>
      </c>
      <c r="F14" s="21" t="n">
        <v>0</v>
      </c>
      <c r="G14" s="21" t="n">
        <v>0</v>
      </c>
      <c r="H14" s="21" t="n">
        <v>5.00000004</v>
      </c>
      <c r="I14" s="21" t="n">
        <v>5</v>
      </c>
    </row>
    <row r="15">
      <c r="B15" s="13" t="inlineStr">
        <is>
          <t>Total Technology</t>
        </is>
      </c>
      <c r="D15" s="22">
        <f>SUM(D6:D14)</f>
        <v>302.52234968</v>
      </c>
      <c r="E15" s="22">
        <f>SUM(E6:E14)</f>
        <v>173.12295208000003</v>
      </c>
      <c r="F15" s="22">
        <f>SUM(F6:F14)</f>
        <v>16.26180953</v>
      </c>
      <c r="G15" s="22">
        <f>SUM(G6:G14)</f>
        <v>17.10657047</v>
      </c>
      <c r="H15" s="22">
        <f>SUM(H6:H14)</f>
        <v>47.62080804</v>
      </c>
      <c r="I15" s="22">
        <f>SUM(I6:I14)</f>
        <v>48.41020956</v>
      </c>
    </row>
  </sheetData>
  <pageMargins left="0.75" right="0.75" top="1" bottom="1" header="0.511811023622047" footer="0.511811023622047"/>
  <pageSetup orientation="portrait" paperSize="9" horizontalDpi="300" verticalDpi="300"/>
</worksheet>
</file>

<file path=xl/worksheets/sheet4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4.5"/>
  <sheetData/>
  <pageMargins left="0.7" right="0.7" top="0.75" bottom="0.75" header="0.3" footer="0.3"/>
</worksheet>
</file>

<file path=xl/worksheets/sheet50.xml><?xml version="1.0" encoding="utf-8"?>
<worksheet xmlns="http://schemas.openxmlformats.org/spreadsheetml/2006/main">
  <sheetPr>
    <outlinePr summaryBelow="1" summaryRight="1"/>
    <pageSetUpPr/>
  </sheetPr>
  <dimension ref="A1:I54"/>
  <sheetViews>
    <sheetView showGridLines="0" zoomScale="70" zoomScaleNormal="70" workbookViewId="0">
      <selection activeCell="H31" sqref="H31"/>
    </sheetView>
  </sheetViews>
  <sheetFormatPr baseColWidth="8" defaultColWidth="8.54296875" defaultRowHeight="14.5" outlineLevelCol="0"/>
  <cols>
    <col width="37" customWidth="1" style="506" min="4" max="4"/>
    <col width="23.453125" customWidth="1" style="506" min="5" max="5"/>
    <col width="28" customWidth="1" style="506" min="6" max="6"/>
    <col width="10.54296875" customWidth="1" style="506" min="7" max="7"/>
    <col width="12.81640625" customWidth="1" style="506" min="8" max="8"/>
  </cols>
  <sheetData>
    <row r="1"/>
    <row r="2"/>
    <row r="3"/>
    <row r="4"/>
    <row r="5"/>
    <row r="6"/>
    <row r="7">
      <c r="D7" t="inlineStr">
        <is>
          <t>Portfolio</t>
        </is>
      </c>
      <c r="E7" t="inlineStr">
        <is>
          <t>Platform</t>
        </is>
      </c>
      <c r="F7" t="inlineStr">
        <is>
          <t>Squad</t>
        </is>
      </c>
      <c r="G7" t="inlineStr">
        <is>
          <t>Type</t>
        </is>
      </c>
      <c r="H7" t="inlineStr">
        <is>
          <t>Size</t>
        </is>
      </c>
      <c r="I7" t="inlineStr">
        <is>
          <t>On/Off</t>
        </is>
      </c>
    </row>
    <row r="8">
      <c r="D8" t="inlineStr">
        <is>
          <t>Customer</t>
        </is>
      </c>
      <c r="E8" t="inlineStr">
        <is>
          <t>Ampol Digital</t>
        </is>
      </c>
      <c r="F8" t="inlineStr">
        <is>
          <t>Ampol App</t>
        </is>
      </c>
      <c r="G8" t="inlineStr">
        <is>
          <t>Engineering</t>
        </is>
      </c>
      <c r="H8" t="inlineStr">
        <is>
          <t>L</t>
        </is>
      </c>
      <c r="I8" s="240" t="inlineStr">
        <is>
          <t>Onshore</t>
        </is>
      </c>
    </row>
    <row r="9">
      <c r="F9" t="inlineStr">
        <is>
          <t>Ampol Web</t>
        </is>
      </c>
      <c r="G9" t="inlineStr">
        <is>
          <t>Engineering</t>
        </is>
      </c>
      <c r="H9" t="inlineStr">
        <is>
          <t>L</t>
        </is>
      </c>
      <c r="I9" s="240" t="inlineStr">
        <is>
          <t>Onshore</t>
        </is>
      </c>
    </row>
    <row r="10">
      <c r="F10" t="inlineStr">
        <is>
          <t>Digital Operations</t>
        </is>
      </c>
      <c r="G10" t="inlineStr">
        <is>
          <t>Operations</t>
        </is>
      </c>
      <c r="H10" t="inlineStr">
        <is>
          <t>M</t>
        </is>
      </c>
      <c r="I10" s="240" t="inlineStr">
        <is>
          <t>Onshore</t>
        </is>
      </c>
    </row>
    <row r="11">
      <c r="E11" t="inlineStr">
        <is>
          <t>Customer Z</t>
        </is>
      </c>
      <c r="F11" t="inlineStr">
        <is>
          <t>Z Energy Apps</t>
        </is>
      </c>
      <c r="G11" t="inlineStr">
        <is>
          <t>Product</t>
        </is>
      </c>
      <c r="H11" t="inlineStr">
        <is>
          <t>M</t>
        </is>
      </c>
      <c r="I11" s="240" t="inlineStr">
        <is>
          <t>Onshore</t>
        </is>
      </c>
    </row>
    <row r="12">
      <c r="F12" t="inlineStr">
        <is>
          <t>Z Energy Martech</t>
        </is>
      </c>
      <c r="G12" t="inlineStr">
        <is>
          <t>Product</t>
        </is>
      </c>
      <c r="H12" t="inlineStr">
        <is>
          <t>L</t>
        </is>
      </c>
      <c r="I12" s="240" t="inlineStr">
        <is>
          <t>Onshore</t>
        </is>
      </c>
    </row>
    <row r="13">
      <c r="E13" t="inlineStr">
        <is>
          <t>Group Customer Platforms</t>
        </is>
      </c>
      <c r="F13" t="inlineStr">
        <is>
          <t>Loyalty &amp; Martech</t>
        </is>
      </c>
      <c r="G13" t="inlineStr">
        <is>
          <t>Product</t>
        </is>
      </c>
      <c r="H13" t="inlineStr">
        <is>
          <t>L</t>
        </is>
      </c>
      <c r="I13" s="240" t="inlineStr">
        <is>
          <t>Onshore</t>
        </is>
      </c>
    </row>
    <row r="14"/>
    <row r="15">
      <c r="D15" t="inlineStr">
        <is>
          <t>Enterprise Data</t>
        </is>
      </c>
      <c r="E15" t="inlineStr">
        <is>
          <t>Group Data</t>
        </is>
      </c>
      <c r="F15" t="inlineStr">
        <is>
          <t>Data Science</t>
        </is>
      </c>
      <c r="G15" s="240" t="inlineStr">
        <is>
          <t>Enterprise Data and Insights</t>
        </is>
      </c>
      <c r="H15" t="inlineStr">
        <is>
          <t>M</t>
        </is>
      </c>
      <c r="I15" s="240" t="inlineStr">
        <is>
          <t>Onshore</t>
        </is>
      </c>
    </row>
    <row r="16">
      <c r="F16" t="inlineStr">
        <is>
          <t>Reporting &amp; Analytics</t>
        </is>
      </c>
      <c r="G16" s="240" t="inlineStr">
        <is>
          <t>Build and Run</t>
        </is>
      </c>
      <c r="H16" t="inlineStr">
        <is>
          <t>L</t>
        </is>
      </c>
      <c r="I16" s="240" t="inlineStr">
        <is>
          <t>Onshore</t>
        </is>
      </c>
    </row>
    <row r="17">
      <c r="F17" t="inlineStr">
        <is>
          <t>Data Platforms</t>
        </is>
      </c>
      <c r="G17" s="240" t="inlineStr">
        <is>
          <t>Build and Run</t>
        </is>
      </c>
      <c r="H17" t="inlineStr">
        <is>
          <t>L</t>
        </is>
      </c>
      <c r="I17" s="240" t="inlineStr">
        <is>
          <t>Onshore</t>
        </is>
      </c>
    </row>
    <row r="18">
      <c r="F18" t="inlineStr">
        <is>
          <t>Enterprise Data Delivery</t>
        </is>
      </c>
      <c r="G18" s="240" t="inlineStr">
        <is>
          <t>Enterprise Data and Insights</t>
        </is>
      </c>
      <c r="H18" s="240" t="inlineStr">
        <is>
          <t>M</t>
        </is>
      </c>
      <c r="I18" t="inlineStr">
        <is>
          <t>Offshore</t>
        </is>
      </c>
    </row>
    <row r="19"/>
    <row r="20"/>
    <row r="21">
      <c r="D21" t="inlineStr">
        <is>
          <t>TDD Group Functions</t>
        </is>
      </c>
      <c r="E21" t="inlineStr">
        <is>
          <t>TDD Group Functions</t>
        </is>
      </c>
      <c r="F21" t="inlineStr">
        <is>
          <t>Workplace &amp; Enterprise Tooling</t>
        </is>
      </c>
      <c r="G21" s="240" t="inlineStr">
        <is>
          <t>Configuration / Integration</t>
        </is>
      </c>
      <c r="H21" t="inlineStr">
        <is>
          <t>S</t>
        </is>
      </c>
      <c r="I21" s="240" t="inlineStr">
        <is>
          <t>Onshore</t>
        </is>
      </c>
    </row>
    <row r="22">
      <c r="F22" t="inlineStr">
        <is>
          <t>Network &amp; Infrastructure</t>
        </is>
      </c>
      <c r="G22" s="240" t="inlineStr">
        <is>
          <t>Operations</t>
        </is>
      </c>
      <c r="H22" s="240" t="inlineStr">
        <is>
          <t>M</t>
        </is>
      </c>
      <c r="I22" s="240" t="inlineStr">
        <is>
          <t>Onshore</t>
        </is>
      </c>
    </row>
    <row r="23">
      <c r="F23" t="inlineStr">
        <is>
          <t>DevOps &amp; Engineering</t>
        </is>
      </c>
      <c r="G23" t="inlineStr">
        <is>
          <t>Engineering</t>
        </is>
      </c>
      <c r="H23" t="inlineStr">
        <is>
          <t>S</t>
        </is>
      </c>
      <c r="I23" s="240" t="inlineStr">
        <is>
          <t>Onshore</t>
        </is>
      </c>
    </row>
    <row r="24">
      <c r="F24" t="inlineStr">
        <is>
          <t>Integration</t>
        </is>
      </c>
      <c r="G24" s="240" t="inlineStr">
        <is>
          <t>Configuration / Integration</t>
        </is>
      </c>
      <c r="H24" s="240" t="inlineStr">
        <is>
          <t>M</t>
        </is>
      </c>
      <c r="I24" s="240" t="inlineStr">
        <is>
          <t>Onshore</t>
        </is>
      </c>
    </row>
    <row r="25"/>
    <row r="26">
      <c r="D26" t="inlineStr">
        <is>
          <t>P&amp;C</t>
        </is>
      </c>
      <c r="E26" t="inlineStr">
        <is>
          <t>P&amp;C</t>
        </is>
      </c>
      <c r="F26" t="inlineStr">
        <is>
          <t>P&amp;C</t>
        </is>
      </c>
      <c r="G26" s="240" t="inlineStr">
        <is>
          <t>Configuration / Integration</t>
        </is>
      </c>
      <c r="H26" t="inlineStr">
        <is>
          <t>M</t>
        </is>
      </c>
      <c r="I26" s="240" t="inlineStr">
        <is>
          <t>Onshore</t>
        </is>
      </c>
    </row>
    <row r="27">
      <c r="F27" t="inlineStr">
        <is>
          <t>P&amp;C - RTA</t>
        </is>
      </c>
      <c r="G27" s="240" t="inlineStr">
        <is>
          <t>Configuration / Integration</t>
        </is>
      </c>
      <c r="H27" t="inlineStr">
        <is>
          <t>S</t>
        </is>
      </c>
      <c r="I27" s="240" t="inlineStr">
        <is>
          <t>Onshore</t>
        </is>
      </c>
    </row>
    <row r="28"/>
    <row r="29">
      <c r="D29" t="inlineStr">
        <is>
          <t>Finance</t>
        </is>
      </c>
      <c r="E29" t="inlineStr">
        <is>
          <t>Finance</t>
        </is>
      </c>
      <c r="F29" t="inlineStr">
        <is>
          <t xml:space="preserve">AU Finance </t>
        </is>
      </c>
      <c r="G29" s="240" t="inlineStr">
        <is>
          <t>Configuration / Integration</t>
        </is>
      </c>
      <c r="H29" t="inlineStr">
        <is>
          <t>L</t>
        </is>
      </c>
      <c r="I29" s="240" t="inlineStr">
        <is>
          <t>Onshore</t>
        </is>
      </c>
    </row>
    <row r="30">
      <c r="F30" t="inlineStr">
        <is>
          <t xml:space="preserve">NZ Finance </t>
        </is>
      </c>
      <c r="G30" s="240" t="inlineStr">
        <is>
          <t>Configuration / Integration</t>
        </is>
      </c>
      <c r="H30" t="inlineStr">
        <is>
          <t>L</t>
        </is>
      </c>
      <c r="I30" s="240" t="inlineStr">
        <is>
          <t>Onshore</t>
        </is>
      </c>
    </row>
    <row r="31"/>
    <row r="32">
      <c r="D32" t="inlineStr">
        <is>
          <t>Infrastructure</t>
        </is>
      </c>
      <c r="E32" t="inlineStr">
        <is>
          <t>Distribution</t>
        </is>
      </c>
      <c r="F32" t="inlineStr">
        <is>
          <t>Distribution, Sales &amp; Services</t>
        </is>
      </c>
      <c r="G32" s="240" t="inlineStr">
        <is>
          <t>Configuration / Integration</t>
        </is>
      </c>
      <c r="H32" t="inlineStr">
        <is>
          <t>M</t>
        </is>
      </c>
      <c r="I32" s="240" t="inlineStr">
        <is>
          <t>Onshore</t>
        </is>
      </c>
    </row>
    <row r="33">
      <c r="E33" t="inlineStr">
        <is>
          <t>Manufacturing</t>
        </is>
      </c>
      <c r="F33" t="inlineStr">
        <is>
          <t>Manufacturing &amp; Group Projects</t>
        </is>
      </c>
      <c r="G33" s="240" t="inlineStr">
        <is>
          <t>Configuration / Integration</t>
        </is>
      </c>
      <c r="H33" t="inlineStr">
        <is>
          <t>M</t>
        </is>
      </c>
      <c r="I33" s="240" t="inlineStr">
        <is>
          <t>Onshore</t>
        </is>
      </c>
    </row>
    <row r="34">
      <c r="F34" t="inlineStr">
        <is>
          <t>Technology Support</t>
        </is>
      </c>
      <c r="G34" s="240" t="inlineStr">
        <is>
          <t>Operations</t>
        </is>
      </c>
      <c r="H34" t="inlineStr">
        <is>
          <t>S</t>
        </is>
      </c>
      <c r="I34" s="240" t="inlineStr">
        <is>
          <t>Onshore</t>
        </is>
      </c>
    </row>
    <row r="35">
      <c r="E35" t="inlineStr">
        <is>
          <t>Data &amp; Insights</t>
        </is>
      </c>
      <c r="F35" t="inlineStr">
        <is>
          <t>Data &amp; Insights</t>
        </is>
      </c>
      <c r="G35" s="240" t="inlineStr">
        <is>
          <t>Configuration / Integration</t>
        </is>
      </c>
      <c r="H35" t="inlineStr">
        <is>
          <t>S</t>
        </is>
      </c>
      <c r="I35" s="240" t="inlineStr">
        <is>
          <t>Onshore</t>
        </is>
      </c>
    </row>
    <row r="36"/>
    <row r="37">
      <c r="D37" t="inlineStr">
        <is>
          <t>Energy Solutions &amp; B2B</t>
        </is>
      </c>
      <c r="E37" t="inlineStr">
        <is>
          <t>Energy Solutions</t>
        </is>
      </c>
      <c r="F37" t="inlineStr">
        <is>
          <t>Energy</t>
        </is>
      </c>
      <c r="G37" t="inlineStr">
        <is>
          <t>Engineering</t>
        </is>
      </c>
      <c r="H37" t="inlineStr">
        <is>
          <t>L</t>
        </is>
      </c>
      <c r="I37" s="240" t="inlineStr">
        <is>
          <t>Onshore</t>
        </is>
      </c>
    </row>
    <row r="38">
      <c r="F38" t="inlineStr">
        <is>
          <t>EVCI</t>
        </is>
      </c>
      <c r="G38" t="inlineStr">
        <is>
          <t>Engineering</t>
        </is>
      </c>
      <c r="H38" t="inlineStr">
        <is>
          <t>M</t>
        </is>
      </c>
      <c r="I38" s="240" t="inlineStr">
        <is>
          <t>Onshore</t>
        </is>
      </c>
    </row>
    <row r="39">
      <c r="E39" t="inlineStr">
        <is>
          <t>B2B</t>
        </is>
      </c>
      <c r="F39" t="inlineStr">
        <is>
          <t>B2B</t>
        </is>
      </c>
      <c r="G39" t="inlineStr">
        <is>
          <t>Engineering</t>
        </is>
      </c>
      <c r="H39" t="inlineStr">
        <is>
          <t>L</t>
        </is>
      </c>
      <c r="I39" s="240" t="inlineStr">
        <is>
          <t>Onshore</t>
        </is>
      </c>
    </row>
    <row r="40"/>
    <row r="41">
      <c r="D41" t="inlineStr">
        <is>
          <t>Commercial Fuels</t>
        </is>
      </c>
      <c r="E41" t="inlineStr">
        <is>
          <t xml:space="preserve">Trading &amp; Shipping </t>
        </is>
      </c>
      <c r="F41" t="inlineStr">
        <is>
          <t>Trading &amp; Shipping</t>
        </is>
      </c>
      <c r="G41" s="240" t="inlineStr">
        <is>
          <t>Configuration / Integration</t>
        </is>
      </c>
      <c r="H41" t="inlineStr">
        <is>
          <t>M</t>
        </is>
      </c>
      <c r="I41" s="240" t="inlineStr">
        <is>
          <t>Onshore</t>
        </is>
      </c>
    </row>
    <row r="42">
      <c r="F42" t="inlineStr">
        <is>
          <t>Trading &amp; Shipping Data</t>
        </is>
      </c>
      <c r="G42" s="240" t="inlineStr">
        <is>
          <t>Enterprise Data and Insights</t>
        </is>
      </c>
      <c r="H42" t="inlineStr">
        <is>
          <t>M</t>
        </is>
      </c>
      <c r="I42" s="240" t="inlineStr">
        <is>
          <t>Onshore</t>
        </is>
      </c>
    </row>
    <row r="43">
      <c r="E43" t="inlineStr">
        <is>
          <t>Supply</t>
        </is>
      </c>
      <c r="F43" t="inlineStr">
        <is>
          <t>Supply</t>
        </is>
      </c>
      <c r="G43" s="240" t="inlineStr">
        <is>
          <t>Configuration / Integration</t>
        </is>
      </c>
      <c r="H43" t="inlineStr">
        <is>
          <t>M</t>
        </is>
      </c>
      <c r="I43" s="240" t="inlineStr">
        <is>
          <t>Onshore</t>
        </is>
      </c>
    </row>
    <row r="44">
      <c r="E44" t="inlineStr">
        <is>
          <t>CTRM</t>
        </is>
      </c>
      <c r="F44" t="inlineStr">
        <is>
          <t>CTRM</t>
        </is>
      </c>
      <c r="G44" s="240" t="inlineStr">
        <is>
          <t>Configuration / Integration</t>
        </is>
      </c>
      <c r="H44" t="inlineStr">
        <is>
          <t>M</t>
        </is>
      </c>
      <c r="I44" s="240" t="inlineStr">
        <is>
          <t>Onshore</t>
        </is>
      </c>
    </row>
    <row r="45"/>
    <row r="46">
      <c r="D46" t="inlineStr">
        <is>
          <t>Z Retail</t>
        </is>
      </c>
      <c r="E46" t="inlineStr">
        <is>
          <t>Z Supply</t>
        </is>
      </c>
      <c r="F46" t="inlineStr">
        <is>
          <t>Z Supply</t>
        </is>
      </c>
      <c r="G46" s="240" t="inlineStr">
        <is>
          <t>Configuration / Integration</t>
        </is>
      </c>
      <c r="H46" s="240" t="inlineStr">
        <is>
          <t>M</t>
        </is>
      </c>
      <c r="I46" s="240" t="inlineStr">
        <is>
          <t>Onshore</t>
        </is>
      </c>
    </row>
    <row r="47">
      <c r="E47" t="inlineStr">
        <is>
          <t>Z Customer</t>
        </is>
      </c>
      <c r="F47" t="inlineStr">
        <is>
          <t>Site Systems</t>
        </is>
      </c>
      <c r="G47" s="240" t="inlineStr">
        <is>
          <t>Configuration / Integration</t>
        </is>
      </c>
      <c r="H47" s="240" t="inlineStr">
        <is>
          <t>M</t>
        </is>
      </c>
      <c r="I47" s="240" t="inlineStr">
        <is>
          <t>Onshore</t>
        </is>
      </c>
    </row>
    <row r="48">
      <c r="F48" t="inlineStr">
        <is>
          <t>Z Retail Backend</t>
        </is>
      </c>
      <c r="G48" s="240" t="inlineStr">
        <is>
          <t>Engineering</t>
        </is>
      </c>
      <c r="H48" s="240" t="inlineStr">
        <is>
          <t>M</t>
        </is>
      </c>
      <c r="I48" s="240" t="inlineStr">
        <is>
          <t>Onshore</t>
        </is>
      </c>
    </row>
    <row r="49"/>
    <row r="50">
      <c r="D50" t="inlineStr">
        <is>
          <t>TDD Cyber</t>
        </is>
      </c>
      <c r="E50" t="inlineStr">
        <is>
          <t>TDD Cyber</t>
        </is>
      </c>
      <c r="F50" t="inlineStr">
        <is>
          <t>TDD Cyber</t>
        </is>
      </c>
      <c r="G50" s="240" t="inlineStr">
        <is>
          <t>Operations</t>
        </is>
      </c>
      <c r="H50" s="240" t="inlineStr">
        <is>
          <t>M</t>
        </is>
      </c>
      <c r="I50" s="240" t="inlineStr">
        <is>
          <t>Onshore</t>
        </is>
      </c>
    </row>
    <row r="51"/>
    <row r="52">
      <c r="C52" t="inlineStr">
        <is>
          <t>COE</t>
        </is>
      </c>
      <c r="D52" t="inlineStr">
        <is>
          <t>Business Partnering</t>
        </is>
      </c>
    </row>
    <row r="53">
      <c r="D53" t="inlineStr">
        <is>
          <t>Strategy, Architecture, Enterprise Data &amp; AI</t>
        </is>
      </c>
    </row>
    <row r="54">
      <c r="D54" t="inlineStr">
        <is>
          <t>Cyber, Risk &amp; Service Operations</t>
        </is>
      </c>
    </row>
  </sheetData>
  <pageMargins left="0.7" right="0.7" top="0.75" bottom="0.75" header="0.511811023622047" footer="0.511811023622047"/>
  <pageSetup orientation="portrait" paperSize="9" horizontalDpi="300" verticalDpi="300"/>
</worksheet>
</file>

<file path=xl/worksheets/sheet51.xml><?xml version="1.0" encoding="utf-8"?>
<worksheet xmlns="http://schemas.openxmlformats.org/spreadsheetml/2006/main">
  <sheetPr>
    <outlinePr summaryBelow="1" summaryRight="1"/>
    <pageSetUpPr/>
  </sheetPr>
  <dimension ref="A1:K12"/>
  <sheetViews>
    <sheetView showGridLines="0" zoomScaleNormal="100" workbookViewId="0">
      <selection activeCell="A1" sqref="A1"/>
    </sheetView>
  </sheetViews>
  <sheetFormatPr baseColWidth="8" defaultColWidth="8.54296875" defaultRowHeight="14.5"/>
  <sheetData>
    <row r="1">
      <c r="A1" t="inlineStr">
        <is>
          <t>Squad Types</t>
        </is>
      </c>
      <c r="B1" t="inlineStr">
        <is>
          <t>Sizes</t>
        </is>
      </c>
      <c r="C1" t="inlineStr">
        <is>
          <t>On/Off</t>
        </is>
      </c>
      <c r="D1" t="inlineStr">
        <is>
          <t>Support %</t>
        </is>
      </c>
      <c r="E1" t="inlineStr">
        <is>
          <t>BPT Category</t>
        </is>
      </c>
      <c r="F1" t="inlineStr">
        <is>
          <t>SAD Category</t>
        </is>
      </c>
      <c r="G1" t="inlineStr">
        <is>
          <t>CYB Category</t>
        </is>
      </c>
      <c r="J1" t="inlineStr">
        <is>
          <t>Portfolio</t>
        </is>
      </c>
      <c r="K1" t="inlineStr">
        <is>
          <t>Archetype seats</t>
        </is>
      </c>
    </row>
    <row r="2">
      <c r="A2" t="inlineStr">
        <is>
          <t>Engineering</t>
        </is>
      </c>
      <c r="B2" t="inlineStr">
        <is>
          <t>XS</t>
        </is>
      </c>
      <c r="C2" t="inlineStr">
        <is>
          <t>Onshore</t>
        </is>
      </c>
      <c r="D2" s="241" t="n">
        <v>0</v>
      </c>
      <c r="E2" t="inlineStr">
        <is>
          <t>Business Partnering</t>
        </is>
      </c>
      <c r="F2" t="inlineStr">
        <is>
          <t>Strategy &amp; Architecture</t>
        </is>
      </c>
      <c r="G2" t="inlineStr">
        <is>
          <t>TDD COE</t>
        </is>
      </c>
      <c r="J2" t="inlineStr">
        <is>
          <t>Ampol Retail</t>
        </is>
      </c>
      <c r="K2">
        <f>'2.7 Squad Detail'!$G$22</f>
        <v>60.5</v>
      </c>
    </row>
    <row r="3">
      <c r="A3" t="inlineStr">
        <is>
          <t>Configuration / Integration</t>
        </is>
      </c>
      <c r="B3" t="inlineStr">
        <is>
          <t>S</t>
        </is>
      </c>
      <c r="C3" t="inlineStr">
        <is>
          <t>Offshore</t>
        </is>
      </c>
      <c r="D3" s="241" t="n">
        <v>0.2</v>
      </c>
      <c r="E3" t="inlineStr">
        <is>
          <t>Transformation</t>
        </is>
      </c>
      <c r="F3" t="inlineStr">
        <is>
          <t>Data - COE</t>
        </is>
      </c>
      <c r="G3" t="inlineStr">
        <is>
          <t>TDD Cyber</t>
        </is>
      </c>
      <c r="J3" t="inlineStr">
        <is>
          <t>Customer</t>
        </is>
      </c>
      <c r="K3">
        <f>'2.7 Squad Detail'!$G$36</f>
        <v>61.0</v>
      </c>
    </row>
    <row r="4">
      <c r="A4" t="inlineStr">
        <is>
          <t>Product</t>
        </is>
      </c>
      <c r="B4" t="inlineStr">
        <is>
          <t>M</t>
        </is>
      </c>
      <c r="D4" s="241" t="n">
        <v>0.3</v>
      </c>
      <c r="E4" t="inlineStr">
        <is>
          <t>Exclude</t>
        </is>
      </c>
      <c r="F4" t="inlineStr">
        <is>
          <t>Exclude</t>
        </is>
      </c>
      <c r="G4" t="inlineStr">
        <is>
          <t>Exclude</t>
        </is>
      </c>
      <c r="J4" t="inlineStr">
        <is>
          <t>Enterprise Data</t>
        </is>
      </c>
      <c r="K4">
        <f>'2.7 Squad Detail'!$G$43</f>
        <v>33.0</v>
      </c>
    </row>
    <row r="5">
      <c r="A5" t="inlineStr">
        <is>
          <t>Operations</t>
        </is>
      </c>
      <c r="B5" t="inlineStr">
        <is>
          <t>L</t>
        </is>
      </c>
      <c r="D5" t="n">
        <v>0.4</v>
      </c>
      <c r="J5" t="inlineStr">
        <is>
          <t>TDD Group Functions</t>
        </is>
      </c>
      <c r="K5">
        <f>'2.7 Squad Detail'!$G$51</f>
        <v>26.5</v>
      </c>
    </row>
    <row r="6">
      <c r="A6" t="inlineStr">
        <is>
          <t>Enterprise Data and Insights</t>
        </is>
      </c>
      <c r="D6" t="n">
        <v>0.5</v>
      </c>
      <c r="J6" t="inlineStr">
        <is>
          <t>P&amp;C</t>
        </is>
      </c>
      <c r="K6">
        <f>'2.7 Squad Detail'!$G$57</f>
        <v>15.0</v>
      </c>
    </row>
    <row r="7">
      <c r="A7" t="inlineStr">
        <is>
          <t>Build and Run</t>
        </is>
      </c>
      <c r="D7" t="n">
        <v>0.7</v>
      </c>
      <c r="J7" t="inlineStr">
        <is>
          <t>Finance</t>
        </is>
      </c>
      <c r="K7">
        <f>'2.7 Squad Detail'!$G$63</f>
        <v>20.0</v>
      </c>
    </row>
    <row r="8">
      <c r="A8" t="inlineStr">
        <is>
          <t>Strategic Programs</t>
        </is>
      </c>
      <c r="D8" t="n">
        <v>0.8</v>
      </c>
      <c r="J8" t="inlineStr">
        <is>
          <t>Infrastructure</t>
        </is>
      </c>
      <c r="K8">
        <f>'2.7 Squad Detail'!$G$71</f>
        <v>28.0</v>
      </c>
    </row>
    <row r="9">
      <c r="D9" t="n">
        <v>0.9</v>
      </c>
      <c r="J9" t="inlineStr">
        <is>
          <t>Energy Solutions &amp; B2B</t>
        </is>
      </c>
      <c r="K9">
        <f>'2.7 Squad Detail'!$G$77</f>
        <v>32.0</v>
      </c>
    </row>
    <row r="10">
      <c r="D10" t="n">
        <v>1</v>
      </c>
      <c r="J10" t="inlineStr">
        <is>
          <t>Commercial Fuels</t>
        </is>
      </c>
      <c r="K10">
        <f>'2.7 Squad Detail'!$G$85</f>
        <v>25.5</v>
      </c>
    </row>
    <row r="11">
      <c r="J11" t="inlineStr">
        <is>
          <t>Z Retail</t>
        </is>
      </c>
      <c r="K11">
        <f>'2.7 Squad Detail'!$G$91</f>
        <v>27.0</v>
      </c>
    </row>
    <row r="12">
      <c r="J12" t="inlineStr">
        <is>
          <t>TDD Cyber</t>
        </is>
      </c>
      <c r="K12">
        <f>'2.7 Squad Detail'!$G$94</f>
        <v>0.0</v>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2026-07-20T10:52:13Z</dcterms:created>
  <dcterms:modified xsi:type="dcterms:W3CDTF">2026-07-22T07:33:46Z</dcterms:modified>
  <cp:lastModifiedBy>Leewaine Scott</cp:lastModifiedBy>
  <cp:revision>0</cp:revision>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0x010100F04FBCABD6E803438FCB3E42FB7A7A49</vt:lpwstr>
  </property>
  <property name="MediaServiceImageTags" fmtid="{D5CDD505-2E9C-101B-9397-08002B2CF9AE}" pid="3">
    <vt:lpwstr/>
  </property>
</Properties>
</file>