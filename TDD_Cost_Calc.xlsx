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4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75" fillId="0" borderId="0"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8" t="inlineStr">
        <is>
          <t>Roles in the ledger</t>
        </is>
      </c>
      <c r="C5" s="1790">
        <f>'3.1 Cost Bridge'!$H$40</f>
        <v>525</v>
      </c>
    </row>
    <row r="6">
      <c r="B6" s="1788" t="inlineStr">
        <is>
          <t>Filled</t>
        </is>
      </c>
      <c r="C6" s="1790">
        <f>'3.1 Cost Bridge'!$I$40</f>
        <v>390</v>
      </c>
    </row>
    <row r="7">
      <c r="B7" s="1788" t="inlineStr">
        <is>
          <t>Vacant</t>
        </is>
      </c>
      <c r="C7" s="1790">
        <f>'3.1 Cost Bridge'!$J$40</f>
        <v>135</v>
      </c>
    </row>
    <row r="8">
      <c r="B8" s="1788" t="inlineStr">
        <is>
          <t>Cost of the 525 roles in the ledger ($m)</t>
        </is>
      </c>
      <c r="C8" s="1791">
        <f>'3.1 Cost Bridge'!$E$40</f>
        <v>115.2830022681</v>
      </c>
    </row>
    <row r="9">
      <c r="B9" s="1788" t="inlineStr">
        <is>
          <t>Of which filled roles ($m)</t>
        </is>
      </c>
      <c r="C9" s="1791">
        <f>SUMIFS('REVIEW - Complete Role Mapping'!$AA$2:$AA$528,'REVIEW - Complete Role Mapping'!$AK$2:$AK$528,"Filled")/1000000</f>
        <v>86.7485101821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Bridge'!$E$42</f>
        <v>120.3830022681</v>
      </c>
    </row>
    <row r="13"/>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63.9809976151</v>
      </c>
    </row>
    <row r="17">
      <c r="B17" s="1788" t="inlineStr">
        <is>
          <t>Squads priced by an archetype - over/(under) ($m)</t>
        </is>
      </c>
      <c r="C17" s="1791">
        <f>'3.1 Cost Bridge'!$F$17</f>
        <v>-0.219002</v>
      </c>
    </row>
    <row r="18">
      <c r="B18" s="1788" t="inlineStr">
        <is>
          <t>Directly funded programmes - over/(under) funded ($m)</t>
        </is>
      </c>
      <c r="C18" s="1791">
        <f>'3.1 Cost Bridge'!$F$27</f>
        <v>0.1327</v>
      </c>
    </row>
    <row r="19">
      <c r="B19" s="1788" t="inlineStr">
        <is>
          <t>COEs and EGI - over/(under) their 1.x planned spend ($m)</t>
        </is>
      </c>
      <c r="C19" s="1791">
        <f>'3.1 Cost Bridge'!$F$33</f>
        <v>0</v>
      </c>
    </row>
    <row r="20">
      <c r="B20" s="1788" t="inlineStr">
        <is>
          <t>Overhead roles - not covered by the allowance ($m)</t>
        </is>
      </c>
      <c r="C20" s="1791">
        <f>'3.1 Cost Bridge'!$F$34</f>
        <v>5.32923</v>
      </c>
    </row>
    <row r="21">
      <c r="B21" s="1788" t="inlineStr">
        <is>
          <t>The 8 GMs - over/(under) their allowance ($m)</t>
        </is>
      </c>
      <c r="C21" s="1791">
        <f>'3.1 Cost Bridge'!$F$41</f>
        <v>2.1</v>
      </c>
    </row>
    <row r="22">
      <c r="B22" s="1788" t="inlineStr">
        <is>
          <t>Total over/(under) archetype, everything comparable ($m)</t>
        </is>
      </c>
      <c r="C22" s="1791">
        <f>'3.1 Cost Bridge'!$F$35+'3.1 Cost Bridge'!$F$41</f>
        <v>7.342928</v>
      </c>
    </row>
    <row r="23">
      <c r="B23" s="1788" t="inlineStr">
        <is>
          <t>Groups with no archetype and no funded figure ($m)</t>
        </is>
      </c>
      <c r="C23" s="1791">
        <f>'3.1 Cost Bridge'!$E$39</f>
        <v>1.304917148</v>
      </c>
    </row>
    <row r="24"/>
    <row r="25" ht="19" customHeight="1" s="866">
      <c r="B25" s="1527" t="inlineStr">
        <is>
          <t>The vacancy decision</t>
        </is>
      </c>
      <c r="C25" s="1528" t="n"/>
    </row>
    <row r="26">
      <c r="B26" s="1788" t="inlineStr">
        <is>
          <t>Vacant roles</t>
        </is>
      </c>
      <c r="C26" s="1790">
        <f>'3.1 Cost Bridge'!$J$40</f>
        <v>135</v>
      </c>
    </row>
    <row r="27">
      <c r="B27" s="1788" t="inlineStr">
        <is>
          <t>Vacancies set to hire</t>
        </is>
      </c>
      <c r="C27" s="1790">
        <f>N('2.1 Ampol Retail'!$I$29)+N('2.2 Customer'!$I$27)+N('2.3 Enterprise Data'!$I$22)+N('2.4 TDD Group Functions'!$I$24)+N('2.5 P&amp;C'!$I$22)+N('2.6 Finance'!$I$20)+N('2.7 Infrastructure'!$I$24)+N('2.8 Energy Solutions &amp; B2B'!$I$23)+N('2.9 Commercial Fuels'!$I$23)+N('2.10 Z Retail'!$I$24)+N('2.11 COE Cyber'!$I$23)+N('2.12 COE BP&amp;T'!$I$21)+N('2.13 COE SA&amp;D'!$I$23)+N('2.14 EGI'!$I$19)</f>
        <v>135</v>
      </c>
    </row>
    <row r="28">
      <c r="B28" s="1788" t="inlineStr">
        <is>
          <t>Roles set to offshore</t>
        </is>
      </c>
      <c r="C28" s="1790">
        <f>N('2.1 Ampol Retail'!$J$29)+N('2.2 Customer'!$J$27)+N('2.3 Enterprise Data'!$J$22)+N('2.4 TDD Group Functions'!$J$24)+N('2.5 P&amp;C'!$J$22)+N('2.6 Finance'!$J$20)+N('2.7 Infrastructure'!$J$24)+N('2.8 Energy Solutions &amp; B2B'!$J$23)+N('2.9 Commercial Fuels'!$J$23)+N('2.10 Z Retail'!$J$24)+N('2.11 COE Cyber'!$J$23)+N('2.12 COE BP&amp;T'!$J$21)+N('2.13 COE SA&amp;D'!$J$23)+N('2.14 EGI'!$J$19)</f>
        <v>0</v>
      </c>
    </row>
    <row r="29">
      <c r="B29" s="1788" t="inlineStr">
        <is>
          <t>Roles put on hold</t>
        </is>
      </c>
      <c r="C29" s="1790">
        <f>N('2.1 Ampol Retail'!$K$29)+N('2.2 Customer'!$K$27)+N('2.3 Enterprise Data'!$K$22)+N('2.4 TDD Group Functions'!$K$24)+N('2.5 P&amp;C'!$K$22)+N('2.6 Finance'!$K$20)+N('2.7 Infrastructure'!$K$24)+N('2.8 Energy Solutions &amp; B2B'!$K$23)+N('2.9 Commercial Fuels'!$K$23)+N('2.10 Z Retail'!$K$24)+N('2.11 COE Cyber'!$K$23)+N('2.12 COE BP&amp;T'!$K$21)+N('2.13 COE SA&amp;D'!$K$23)+N('2.14 EGI'!$K$19)</f>
        <v>0</v>
      </c>
    </row>
    <row r="30">
      <c r="B30" s="1788" t="inlineStr">
        <is>
          <t>Roles after the decisions set today</t>
        </is>
      </c>
      <c r="C30" s="1790">
        <f>'3.1 Cost Bridge'!$K$40</f>
        <v>525</v>
      </c>
    </row>
    <row r="31">
      <c r="B31" s="1788" t="inlineStr">
        <is>
          <t>Cost after the decisions set today ($m)</t>
        </is>
      </c>
      <c r="C31" s="1791">
        <f>'3.1 Cost Bridge'!$G$40</f>
        <v>115.2830022681</v>
      </c>
    </row>
    <row r="32">
      <c r="B32" s="1788" t="inlineStr">
        <is>
          <t>Impact of those decisions ($m)</t>
        </is>
      </c>
      <c r="C32" s="1791">
        <f>'3.1 Cost Bridge'!$G$40-'3.1 Cost Bridge'!$E$40</f>
        <v>0</v>
      </c>
    </row>
    <row r="33"/>
    <row r="34" ht="19" customHeight="1" s="866">
      <c r="B34" s="1527" t="inlineStr">
        <is>
          <t>Portfolio drill-down</t>
        </is>
      </c>
      <c r="C34" s="1528" t="n"/>
    </row>
    <row r="35">
      <c r="B35" s="1792" t="inlineStr">
        <is>
          <t>Pick a portfolio</t>
        </is>
      </c>
      <c r="C35" s="1548" t="inlineStr">
        <is>
          <t>Ampol Retail</t>
        </is>
      </c>
    </row>
    <row r="36">
      <c r="B36" s="1788" t="inlineStr">
        <is>
          <t>Roles</t>
        </is>
      </c>
      <c r="C36" s="1790">
        <f>ROUND(SUMIFS('3.3 Squad Detail'!$H$6:$H$109,'3.3 Squad Detail'!$B$6:$B$109,$C$35),6)</f>
        <v>70</v>
      </c>
    </row>
    <row r="37">
      <c r="B37" s="1788" t="inlineStr">
        <is>
          <t>Filled</t>
        </is>
      </c>
      <c r="C37" s="1790">
        <f>ROUND(SUMIFS('3.3 Squad Detail'!$I$6:$I$109,'3.3 Squad Detail'!$B$6:$B$109,$C$35),6)</f>
        <v>48</v>
      </c>
    </row>
    <row r="38">
      <c r="B38" s="1788" t="inlineStr">
        <is>
          <t>Vacant</t>
        </is>
      </c>
      <c r="C38" s="1790">
        <f>ROUND(SUMIFS('3.3 Squad Detail'!$J$6:$J$109,'3.3 Squad Detail'!$B$6:$B$109,$C$35),6)</f>
        <v>22</v>
      </c>
    </row>
    <row r="39">
      <c r="B39" s="1788" t="inlineStr">
        <is>
          <t>Roles after decisions</t>
        </is>
      </c>
      <c r="C39" s="1790">
        <f>ROUND(SUMIFS('3.3 Squad Detail'!$K$6:$K$109,'3.3 Squad Detail'!$B$6:$B$109,$C$35),6)</f>
        <v>70</v>
      </c>
    </row>
    <row r="40">
      <c r="B40" s="1788" t="inlineStr">
        <is>
          <t>Actual cost ($m)</t>
        </is>
      </c>
      <c r="C40" s="1791">
        <f>ROUND(SUMIFS('3.3 Squad Detail'!$M$6:$M$109,'3.3 Squad Detail'!$B$6:$B$109,$C$35),6)</f>
        <v>14.005227</v>
      </c>
    </row>
    <row r="41">
      <c r="B41" s="1788" t="inlineStr">
        <is>
          <t>Of which overhead roles ($m)</t>
        </is>
      </c>
      <c r="C41" s="1791">
        <f>ROUND(SUMIFS('3.3 Squad Detail'!$M$6:$M$109,'3.3 Squad Detail'!$B$6:$B$109,$C$35,'3.3 Squad Detail'!$C$6:$C$109,"Overhead"),6)</f>
        <v>1.255616</v>
      </c>
    </row>
    <row r="42">
      <c r="B42" s="1788" t="inlineStr">
        <is>
          <t>Squads priced by an archetype - over/(under) archetype ($m)</t>
        </is>
      </c>
      <c r="C42" s="1791">
        <f>ROUND(SUMIFS('3.3 Squad Detail'!$N$6:$N$109,'3.3 Squad Detail'!$B$6:$B$109,$C$35,'3.3 Squad Detail'!$C$6:$C$109,"Archetype"),6)</f>
        <v>-0.766475</v>
      </c>
    </row>
    <row r="43">
      <c r="B43" s="1788" t="inlineStr">
        <is>
          <t>Directly funded programmes - over/(under) funded ($m)</t>
        </is>
      </c>
      <c r="C43" s="1791">
        <f>ROUND(SUMIFS('3.3 Squad Detail'!$N$6:$N$109,'3.3 Squad Detail'!$B$6:$B$109,$C$35,'3.3 Squad Detail'!$C$6:$C$109,"Directly funded"),6)</f>
        <v>0.710941</v>
      </c>
    </row>
    <row r="44">
      <c r="B44" s="1788" t="inlineStr">
        <is>
          <t>Cost after vacancy decisions ($m)</t>
        </is>
      </c>
      <c r="C44" s="1791">
        <f>ROUND(SUMIFS('3.3 Squad Detail'!$O$6:$O$109,'3.3 Squad Detail'!$B$6:$B$109,$C$35),6)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M29"/>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7" t="inlineStr">
        <is>
          <t>Actual cost ($m)</t>
        </is>
      </c>
      <c r="G5" s="1817"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8" t="n">
        <v>1.5</v>
      </c>
      <c r="D6" s="1818" t="n">
        <v>0.5</v>
      </c>
      <c r="E6" s="1016">
        <f>C6+D6</f>
        <v>2</v>
      </c>
      <c r="F6" s="1016">
        <f>SUMIFS('REVIEW - Complete Role Mapping'!$AA$2:$AA$528,'REVIEW - Complete Role Mapping'!$AJ$2:$AJ$528,"COE SA&amp;D")/1000000</f>
        <v>6.529494052</v>
      </c>
      <c r="G6" s="1869">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6" t="n">
        <v>0</v>
      </c>
      <c r="G7" s="1869">
        <f>$F7-$E7</f>
        <v>0</v>
      </c>
      <c r="H7" s="865" t="n"/>
      <c r="I7" s="1012" t="inlineStr">
        <is>
          <t>Business Partner</t>
        </is>
      </c>
      <c r="J7" s="1818" t="n">
        <v>0.44</v>
      </c>
      <c r="K7" s="1819" t="n">
        <v>0.5</v>
      </c>
      <c r="L7" s="1014">
        <f>J7*K7</f>
        <v>0.22</v>
      </c>
    </row>
    <row r="8" ht="14.25" customHeight="1" s="866">
      <c r="B8" s="1015" t="inlineStr">
        <is>
          <t>COE - Transformation</t>
        </is>
      </c>
      <c r="C8" s="1818" t="n">
        <v>1.5</v>
      </c>
      <c r="D8" s="1818" t="n">
        <v>0.5</v>
      </c>
      <c r="E8" s="1016">
        <f>C8+D8</f>
        <v>2</v>
      </c>
      <c r="F8" s="1016">
        <f>SUMIFS('REVIEW - Complete Role Mapping'!$AA$2:$AA$528,'REVIEW - Complete Role Mapping'!$AJ$2:$AJ$528,"COE BP&amp;T")/1000000</f>
        <v>6.400561822</v>
      </c>
      <c r="G8" s="1869">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6" t="n">
        <v>0</v>
      </c>
      <c r="G9" s="1869">
        <f>$F9-$E9</f>
        <v>-2</v>
      </c>
      <c r="H9" s="1861" t="n"/>
      <c r="I9" s="1012" t="inlineStr">
        <is>
          <t>Leadership Overhead</t>
        </is>
      </c>
      <c r="J9" s="1818" t="n">
        <v>1</v>
      </c>
      <c r="K9" s="1819" t="n">
        <v>0.3</v>
      </c>
      <c r="L9" s="1014">
        <f>J9*K9</f>
        <v>0.3</v>
      </c>
    </row>
    <row r="10" ht="14.25" customHeight="1" s="866">
      <c r="B10" s="1015" t="inlineStr">
        <is>
          <t>COE - Data</t>
        </is>
      </c>
      <c r="C10" s="1818" t="n">
        <v>1.5</v>
      </c>
      <c r="D10" s="1818" t="n">
        <v>0.5</v>
      </c>
      <c r="E10" s="1016">
        <f>C10+D10</f>
        <v>2</v>
      </c>
      <c r="F10" s="1016" t="n">
        <v>0</v>
      </c>
      <c r="G10" s="1869">
        <f>$F10-$E10</f>
        <v>-2</v>
      </c>
      <c r="H10" s="1861" t="n"/>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6">
        <f>SUMIFS('REVIEW - Complete Role Mapping'!$AA$2:$AA$528,'REVIEW - Complete Role Mapping'!$AJ$2:$AJ$528,"Ampol Retail")/1000000</f>
        <v>14.005227457</v>
      </c>
      <c r="G11" s="1870">
        <f>$F11-$E11</f>
        <v>8.505227457</v>
      </c>
      <c r="H11" s="865" t="n"/>
      <c r="I11" s="865" t="n"/>
      <c r="J11" s="865" t="n"/>
      <c r="K11" s="865" t="n"/>
      <c r="L11" s="865" t="n"/>
    </row>
    <row r="12" ht="14.25" customHeight="1" s="866">
      <c r="B12" s="1015" t="inlineStr">
        <is>
          <t>Z Retail</t>
        </is>
      </c>
      <c r="C12" s="1818" t="n">
        <v>0</v>
      </c>
      <c r="D12" s="1818" t="n">
        <v>6.5</v>
      </c>
      <c r="E12" s="1016">
        <f>C12+D12</f>
        <v>6.5</v>
      </c>
      <c r="F12" s="1016">
        <f>SUMIFS('REVIEW - Complete Role Mapping'!$AA$2:$AA$528,'REVIEW - Complete Role Mapping'!$AJ$2:$AJ$528,"Z Retail")/1000000</f>
        <v>7.337294352</v>
      </c>
      <c r="G12" s="1870">
        <f>$F12-$E12</f>
        <v>0.837294352</v>
      </c>
      <c r="H12" s="865" t="n"/>
      <c r="I12" s="1002" t="inlineStr">
        <is>
          <t>Platform Overhead (roles, $m)</t>
        </is>
      </c>
      <c r="J12" s="1003" t="n"/>
      <c r="K12" s="1003" t="n"/>
      <c r="L12" s="1004" t="n"/>
    </row>
    <row r="13" ht="48" customHeight="1" s="866">
      <c r="B13" s="1402" t="inlineStr">
        <is>
          <t>Ampol Customer</t>
        </is>
      </c>
      <c r="C13" s="1818" t="n">
        <v>2.5</v>
      </c>
      <c r="D13" s="1818" t="n">
        <v>0</v>
      </c>
      <c r="E13" s="1821">
        <f>C13+D13</f>
        <v>2.5</v>
      </c>
      <c r="F13" s="1821">
        <f>SUMIFS('REVIEW - Complete Role Mapping'!$AA$2:$AA$528,'REVIEW - Complete Role Mapping'!$AJ$2:$AJ$528,"Customer")/1000000</f>
        <v>17.12686714</v>
      </c>
      <c r="G13" s="1821">
        <f>$F13-$E13</f>
        <v>14.62686714</v>
      </c>
      <c r="H13" s="1861" t="n"/>
      <c r="I13" s="1319" t="inlineStr">
        <is>
          <t>Role</t>
        </is>
      </c>
      <c r="J13" s="1319" t="inlineStr">
        <is>
          <t>Cost ($m)</t>
        </is>
      </c>
      <c r="K13" s="1319" t="inlineStr">
        <is>
          <t>Alloc %</t>
        </is>
      </c>
      <c r="L13" s="1319" t="inlineStr">
        <is>
          <t>Platform cost ($m)</t>
        </is>
      </c>
    </row>
    <row r="14" ht="14.25" customHeight="1" s="866">
      <c r="B14" s="1015" t="inlineStr">
        <is>
          <t>Z Customer</t>
        </is>
      </c>
      <c r="C14" s="1818" t="n">
        <v>0</v>
      </c>
      <c r="D14" s="1818" t="n">
        <v>4</v>
      </c>
      <c r="E14" s="1016">
        <f>C14+D14</f>
        <v>4</v>
      </c>
      <c r="F14" s="1016" t="n">
        <v>0</v>
      </c>
      <c r="G14" s="1016" t="n"/>
      <c r="H14" s="1861" t="n"/>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6">
        <f>SUMIFS('REVIEW - Complete Role Mapping'!$AA$2:$AA$528,'REVIEW - Complete Role Mapping'!$AJ$2:$AJ$528,"Commercial Fuels")/1000000</f>
        <v>10.1976697287</v>
      </c>
      <c r="G15" s="1870">
        <f>$F15-$E15</f>
        <v>7.6976697287</v>
      </c>
      <c r="H15" s="865" t="n"/>
      <c r="I15" s="1012" t="inlineStr">
        <is>
          <t>Tech Manager</t>
        </is>
      </c>
      <c r="J15" s="1818" t="n">
        <v>0.27</v>
      </c>
      <c r="K15" s="1819" t="n">
        <v>0.3</v>
      </c>
      <c r="L15" s="1014">
        <f>J15*K15</f>
        <v>0.081</v>
      </c>
    </row>
    <row r="16" ht="14.25" customHeight="1" s="866">
      <c r="B16" s="1015" t="inlineStr">
        <is>
          <t>Energy Solutions &amp; B2B</t>
        </is>
      </c>
      <c r="C16" s="1818" t="n">
        <v>2.5</v>
      </c>
      <c r="D16" s="1818" t="n">
        <v>0</v>
      </c>
      <c r="E16" s="1016">
        <f>C16+D16</f>
        <v>2.5</v>
      </c>
      <c r="F16" s="1016">
        <f>SUMIFS('REVIEW - Complete Role Mapping'!$AA$2:$AA$528,'REVIEW - Complete Role Mapping'!$AJ$2:$AJ$528,"Energy Solutions &amp; B2B")/1000000</f>
        <v>6.447816278</v>
      </c>
      <c r="G16" s="187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6">
        <f>SUMIFS('REVIEW - Complete Role Mapping'!$AA$2:$AA$528,'REVIEW - Complete Role Mapping'!$AJ$2:$AJ$528,"Infrastructure")/1000000</f>
        <v>7.74836354</v>
      </c>
      <c r="G17" s="1870">
        <f>$F17-$E17</f>
        <v>5.24836354</v>
      </c>
    </row>
    <row r="18" ht="14.25" customHeight="1" s="866">
      <c r="B18" s="1015" t="inlineStr">
        <is>
          <t>P&amp;C</t>
        </is>
      </c>
      <c r="C18" s="1818" t="n">
        <v>1</v>
      </c>
      <c r="D18" s="1818" t="n">
        <v>1</v>
      </c>
      <c r="E18" s="1016">
        <f>C18+D18</f>
        <v>2</v>
      </c>
      <c r="F18" s="1016">
        <f>SUMIFS('REVIEW - Complete Role Mapping'!$AA$2:$AA$528,'REVIEW - Complete Role Mapping'!$AJ$2:$AJ$528,"P&amp;C")/1000000</f>
        <v>4.18444088</v>
      </c>
      <c r="G18" s="1870">
        <f>$F18-$E18</f>
        <v>2.18444088</v>
      </c>
    </row>
    <row r="19" ht="14.25" customHeight="1" s="866">
      <c r="B19" s="1015" t="inlineStr">
        <is>
          <t>Finance</t>
        </is>
      </c>
      <c r="C19" s="1818" t="n">
        <v>1</v>
      </c>
      <c r="D19" s="1818" t="n">
        <v>1</v>
      </c>
      <c r="E19" s="1016">
        <f>C19+D19</f>
        <v>2</v>
      </c>
      <c r="F19" s="1016">
        <f>SUMIFS('REVIEW - Complete Role Mapping'!$AA$2:$AA$528,'REVIEW - Complete Role Mapping'!$AJ$2:$AJ$528,"Finance")/1000000</f>
        <v>3.844616116</v>
      </c>
      <c r="G19" s="1870">
        <f>$F19-$E19</f>
        <v>1.844616116</v>
      </c>
    </row>
    <row r="20" ht="14.25" customHeight="1" s="866">
      <c r="B20" s="1015" t="inlineStr">
        <is>
          <t>Legal</t>
        </is>
      </c>
      <c r="C20" s="1818" t="n">
        <v>0</v>
      </c>
      <c r="D20" s="1818" t="n">
        <v>0</v>
      </c>
      <c r="E20" s="1016">
        <f>C20+D20</f>
        <v>0</v>
      </c>
      <c r="F20" s="1016" t="n">
        <v>0</v>
      </c>
      <c r="G20" s="1016">
        <f>$F20-$E20</f>
        <v>0</v>
      </c>
    </row>
    <row r="21" ht="14.25" customHeight="1" s="866">
      <c r="B21" s="1015" t="inlineStr">
        <is>
          <t>TDD</t>
        </is>
      </c>
      <c r="C21" s="1818" t="n">
        <v>4.5</v>
      </c>
      <c r="D21" s="1818"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8" t="n">
        <v>2.5</v>
      </c>
      <c r="D22" s="1818" t="n">
        <v>1</v>
      </c>
      <c r="E22" s="1016">
        <f>C22+D22</f>
        <v>3.5</v>
      </c>
      <c r="F22" s="1016">
        <f>SUMIFS('REVIEW - Complete Role Mapping'!$AA$2:$AA$528,'REVIEW - Complete Role Mapping'!$AJ$2:$AJ$528,"Enterprise Data")/1000000</f>
        <v>6.418403776</v>
      </c>
      <c r="G22" s="1016">
        <f>$F22-$E22</f>
        <v>2.918403776</v>
      </c>
    </row>
    <row r="23" ht="14.25" customHeight="1" s="866">
      <c r="B23" s="1823" t="inlineStr">
        <is>
          <t>TDD Cyber</t>
        </is>
      </c>
      <c r="C23" s="1818" t="n">
        <v>2.5</v>
      </c>
      <c r="D23" s="1818" t="n">
        <v>1</v>
      </c>
      <c r="E23" s="1016">
        <f>C23+D23</f>
        <v>3.5</v>
      </c>
      <c r="F23" s="1016">
        <f>SUMIFS('REVIEW - Complete Role Mapping'!$AA$2:$AA$528,'REVIEW - Complete Role Mapping'!$AJ$2:$AJ$528,"COE Cyber")/1000000</f>
        <v>9.897858294</v>
      </c>
      <c r="G23" s="1870">
        <f>$F23-$E23</f>
        <v>6.397858294</v>
      </c>
    </row>
    <row r="24" ht="14.25" customHeight="1" s="866">
      <c r="B24" s="1015" t="n"/>
      <c r="C24" s="1814" t="n"/>
      <c r="D24" s="1814" t="n"/>
      <c r="E24" s="1016" t="n"/>
      <c r="F24" s="1016" t="n"/>
      <c r="G24" s="1016" t="n"/>
    </row>
    <row r="25" ht="14.25" customHeight="1" s="866">
      <c r="B25" s="1015" t="inlineStr">
        <is>
          <t>EGI</t>
        </is>
      </c>
      <c r="C25" s="1818" t="n">
        <v>0</v>
      </c>
      <c r="D25" s="1818" t="n">
        <v>0</v>
      </c>
      <c r="E25" s="1016">
        <f>C25+D25</f>
        <v>0</v>
      </c>
      <c r="F25" s="1016">
        <f>SUMIFS('REVIEW - Complete Role Mapping'!$AA$2:$AA$528,'REVIEW - Complete Role Mapping'!$AJ$2:$AJ$528,"EGI")/1000000</f>
        <v>4.94341935</v>
      </c>
      <c r="G25" s="1016">
        <f>$F25-$E25</f>
        <v>4.94341935</v>
      </c>
    </row>
    <row r="26" ht="14.25" customHeight="1" s="866">
      <c r="B26" s="1871" t="inlineStr">
        <is>
          <t>Total</t>
        </is>
      </c>
      <c r="C26" s="1872">
        <f>SUM(C6:C25)</f>
        <v>33</v>
      </c>
      <c r="D26" s="1872">
        <f>SUM(D6:D25)</f>
        <v>17.5</v>
      </c>
      <c r="E26" s="1872">
        <f>SUM(E6:E25)</f>
        <v>50.5</v>
      </c>
      <c r="F26" s="1872">
        <f>SUM(F6:F25)</f>
        <v>115.2830022681</v>
      </c>
      <c r="G26" s="1873">
        <f>$F26-$E26</f>
        <v>64.7830022681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4">
        <f>I5+AC5+AH5+X5</f>
        <v>53.57500618</v>
      </c>
      <c r="E5" s="1875">
        <f>J5+AD5+AI5+Y5</f>
        <v>56.15812513</v>
      </c>
      <c r="F5" s="1875">
        <f>E5-D5</f>
        <v>2.58311894999999</v>
      </c>
      <c r="G5" s="1876">
        <f>IFERROR(F5/E5,"-")</f>
        <v>0.0459972433912341</v>
      </c>
      <c r="H5" s="1065" t="inlineStr">
        <is>
          <t>G</t>
        </is>
      </c>
      <c r="I5" s="1875" t="n">
        <v>41.77379708</v>
      </c>
      <c r="J5" s="1875" t="n">
        <v>41.9336938</v>
      </c>
      <c r="K5" s="1875">
        <f>J5-I5</f>
        <v>0.159896719999999</v>
      </c>
      <c r="L5" s="1876">
        <f>IFERROR(K5/J5,"-")</f>
        <v>0.00381308455111577</v>
      </c>
      <c r="M5" s="1066" t="inlineStr">
        <is>
          <t>G</t>
        </is>
      </c>
      <c r="N5" s="1875">
        <f>I5-S5</f>
        <v>40.97295585</v>
      </c>
      <c r="O5" s="1875">
        <f>J5-T5</f>
        <v>40.4336938</v>
      </c>
      <c r="P5" s="1875">
        <f>O5-N5</f>
        <v>-0.539262049999998</v>
      </c>
      <c r="Q5" s="1876">
        <f>IFERROR(P5/O5,"-")</f>
        <v>-0.0133369474643446</v>
      </c>
      <c r="R5" s="1067" t="inlineStr">
        <is>
          <t>A</t>
        </is>
      </c>
      <c r="S5" s="1875" t="n">
        <v>0.80084123</v>
      </c>
      <c r="T5" s="1875" t="n">
        <v>1.5</v>
      </c>
      <c r="U5" s="1875">
        <f>T5-S5</f>
        <v>0.69915877</v>
      </c>
      <c r="V5" s="1876">
        <f>IFERROR(U5/T5,"-")</f>
        <v>0.466105846666667</v>
      </c>
      <c r="W5" s="1065" t="inlineStr">
        <is>
          <t>G</t>
        </is>
      </c>
      <c r="X5" s="1875" t="n">
        <v>2.78522111</v>
      </c>
      <c r="Y5" s="1875" t="n">
        <v>2.9338979</v>
      </c>
      <c r="Z5" s="1875">
        <f>Y5-X5</f>
        <v>0.14867679</v>
      </c>
      <c r="AA5" s="1876">
        <f>IFERROR(Z5/Y5,"-")</f>
        <v>0.0506755160089244</v>
      </c>
      <c r="AB5" s="1065" t="inlineStr">
        <is>
          <t>G</t>
        </is>
      </c>
      <c r="AC5" s="1875" t="n">
        <v>8.8400082</v>
      </c>
      <c r="AD5" s="1875" t="n">
        <v>9.2622</v>
      </c>
      <c r="AE5" s="1875">
        <f>AD5-AC5</f>
        <v>0.4221918</v>
      </c>
      <c r="AF5" s="1876">
        <f>IFERROR(AE5/AD5,"-")</f>
        <v>0.0455822374813759</v>
      </c>
      <c r="AG5" s="1065" t="inlineStr">
        <is>
          <t>G</t>
        </is>
      </c>
      <c r="AH5" s="1875" t="n">
        <v>0.17597979</v>
      </c>
      <c r="AI5" s="1875" t="n">
        <v>2.02833343</v>
      </c>
      <c r="AJ5" s="1875">
        <f>AI5-AH5</f>
        <v>1.85235364</v>
      </c>
      <c r="AK5" s="1876">
        <f>IFERROR(AJ5/AI5,"-")</f>
        <v>0.913239220240037</v>
      </c>
      <c r="AL5" s="1068" t="inlineStr">
        <is>
          <t>G</t>
        </is>
      </c>
      <c r="AN5" s="1877">
        <f>I21+AC21+AH21+X21</f>
        <v>117.95714038</v>
      </c>
      <c r="AO5" s="1878">
        <f>J21+AD21+AI21+Y21</f>
        <v>112.75951309</v>
      </c>
      <c r="AP5" s="1878">
        <f>AO5-AN5</f>
        <v>-5.19762729000001</v>
      </c>
      <c r="AQ5" s="1876">
        <f>IFERROR(AP5/AO5,"-")</f>
        <v>-0.0460948007628543</v>
      </c>
      <c r="AR5" s="1071" t="inlineStr">
        <is>
          <t>A</t>
        </is>
      </c>
    </row>
    <row r="6" ht="21" customFormat="1" customHeight="1" s="1059">
      <c r="A6" s="1059" t="inlineStr">
        <is>
          <t>Z-Energy</t>
        </is>
      </c>
      <c r="B6" s="1072" t="inlineStr">
        <is>
          <t>Z- Energy</t>
        </is>
      </c>
      <c r="C6" s="1073" t="inlineStr">
        <is>
          <t>Vance Anderson
Harley Giles</t>
        </is>
      </c>
      <c r="D6" s="1877">
        <f>I6+AC6+AH6+X6</f>
        <v>35.2578582524</v>
      </c>
      <c r="E6" s="1878">
        <f>J6+AD6+AI6+Y6</f>
        <v>38.2541598471487</v>
      </c>
      <c r="F6" s="1878">
        <f>E6-D6</f>
        <v>2.99630159474868</v>
      </c>
      <c r="G6" s="1879">
        <f>IFERROR(F6/E6,"-")</f>
        <v>0.0783261639184062</v>
      </c>
      <c r="H6" s="1066" t="inlineStr">
        <is>
          <t>G</t>
        </is>
      </c>
      <c r="I6" s="1878" t="n">
        <v>26.4555130724</v>
      </c>
      <c r="J6" s="1878" t="n">
        <v>26.8009903019695</v>
      </c>
      <c r="K6" s="1878">
        <f>J6-I6</f>
        <v>0.3454772295695</v>
      </c>
      <c r="L6" s="1879">
        <f>IFERROR(K6/J6,"-")</f>
        <v>0.0128904650789755</v>
      </c>
      <c r="M6" s="1066" t="inlineStr">
        <is>
          <t>G</t>
        </is>
      </c>
      <c r="N6" s="1875">
        <f>I6-S6</f>
        <v>26.4555130724</v>
      </c>
      <c r="O6" s="1875">
        <f>J6-T6</f>
        <v>26.0778703019695</v>
      </c>
      <c r="P6" s="1878">
        <f>O6-N6</f>
        <v>-0.377642770430501</v>
      </c>
      <c r="Q6" s="1879">
        <f>IFERROR(P6/O6,"-")</f>
        <v>-0.0144813501278124</v>
      </c>
      <c r="R6" s="1067" t="inlineStr">
        <is>
          <t>A</t>
        </is>
      </c>
      <c r="S6" s="1875" t="n">
        <v>0</v>
      </c>
      <c r="T6" s="1875" t="n">
        <v>0.72312</v>
      </c>
      <c r="U6" s="1878">
        <f>T6-S6</f>
        <v>0.72312</v>
      </c>
      <c r="V6" s="1879">
        <f>IFERROR(U6/T6,"-")</f>
        <v>1</v>
      </c>
      <c r="W6" s="1066" t="inlineStr">
        <is>
          <t>G</t>
        </is>
      </c>
      <c r="X6" s="1878" t="n">
        <v>4.835755244</v>
      </c>
      <c r="Y6" s="1878" t="n">
        <v>5.14368626517918</v>
      </c>
      <c r="Z6" s="1878">
        <f>Y6-X6</f>
        <v>0.30793102117918</v>
      </c>
      <c r="AA6" s="1879">
        <f>IFERROR(Z6/Y6,"-")</f>
        <v>0.0598658248781146</v>
      </c>
      <c r="AB6" s="1066" t="inlineStr">
        <is>
          <t>G</t>
        </is>
      </c>
      <c r="AC6" s="1878" t="n">
        <v>0</v>
      </c>
      <c r="AD6" s="1878" t="n">
        <v>0</v>
      </c>
      <c r="AE6" s="1878">
        <f>AD6-AC6</f>
        <v>0</v>
      </c>
      <c r="AF6" s="1879" t="str">
        <f>IFERROR(AE6/AD6,"-")</f>
        <v>-</v>
      </c>
      <c r="AG6" s="1075" t="n"/>
      <c r="AH6" s="1875" t="n">
        <v>3.966589936</v>
      </c>
      <c r="AI6" s="1875" t="n">
        <v>6.30948328</v>
      </c>
      <c r="AJ6" s="1878">
        <f>AI6-AH6</f>
        <v>2.342893344</v>
      </c>
      <c r="AK6" s="1879">
        <f>IFERROR(AJ6/AI6,"-")</f>
        <v>0.371328877505164</v>
      </c>
      <c r="AL6" s="1076" t="inlineStr">
        <is>
          <t>G</t>
        </is>
      </c>
      <c r="AN6" s="1877">
        <f>I22+AC22+AH22+X22</f>
        <v>73.1083914772</v>
      </c>
      <c r="AO6" s="1878">
        <f>J22+AD22+AI22+Y22</f>
        <v>76.7035140483733</v>
      </c>
      <c r="AP6" s="1878">
        <f>AO6-AN6</f>
        <v>3.59512257117331</v>
      </c>
      <c r="AQ6" s="1879">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7">
        <f>I7+AC7+AH7+X7</f>
        <v>12.401562279697</v>
      </c>
      <c r="E7" s="1878">
        <f>J7+AD7+AI7+Y7</f>
        <v>18.7773775690909</v>
      </c>
      <c r="F7" s="1878">
        <f>E7-D7</f>
        <v>6.37581528939394</v>
      </c>
      <c r="G7" s="1879">
        <f>IFERROR(F7/E7,"-")</f>
        <v>0.339547695940729</v>
      </c>
      <c r="H7" s="1066" t="inlineStr">
        <is>
          <t>G</t>
        </is>
      </c>
      <c r="I7" s="1878" t="n">
        <v>7.1072414</v>
      </c>
      <c r="J7" s="1878" t="n">
        <v>8.284722285454549</v>
      </c>
      <c r="K7" s="1878">
        <f>J7-I7</f>
        <v>1.17748088545455</v>
      </c>
      <c r="L7" s="1879">
        <f>IFERROR(K7/J7,"-")</f>
        <v>0.142126778048052</v>
      </c>
      <c r="M7" s="1066" t="inlineStr">
        <is>
          <t>G</t>
        </is>
      </c>
      <c r="N7" s="1875">
        <f>I7-S7</f>
        <v>5.01868455307692</v>
      </c>
      <c r="O7" s="1875">
        <f>J7-T7</f>
        <v>5.35386182391609</v>
      </c>
      <c r="P7" s="1878">
        <f>O7-N7</f>
        <v>0.33517727083917</v>
      </c>
      <c r="Q7" s="1879">
        <f>IFERROR(P7/O7,"-")</f>
        <v>0.0626047667763685</v>
      </c>
      <c r="R7" s="1066" t="inlineStr">
        <is>
          <t>G</t>
        </is>
      </c>
      <c r="S7" s="1875" t="n">
        <v>2.08855684692308</v>
      </c>
      <c r="T7" s="1875" t="n">
        <v>2.93086046153846</v>
      </c>
      <c r="U7" s="1878">
        <f>T7-S7</f>
        <v>0.84230361461538</v>
      </c>
      <c r="V7" s="1879">
        <f>IFERROR(U7/T7,"-")</f>
        <v>0.287391237375129</v>
      </c>
      <c r="W7" s="1066" t="inlineStr">
        <is>
          <t>G</t>
        </is>
      </c>
      <c r="X7" s="1878" t="n"/>
      <c r="Y7" s="1878" t="n"/>
      <c r="Z7" s="1878">
        <f>Y7-X7</f>
        <v>0</v>
      </c>
      <c r="AA7" s="1879" t="str">
        <f>IFERROR(Z7/Y7,"-")</f>
        <v>-</v>
      </c>
      <c r="AB7" s="1075" t="n"/>
      <c r="AC7" s="1878" t="n">
        <v>4.72854146969697</v>
      </c>
      <c r="AD7" s="1878" t="n">
        <v>7.109604</v>
      </c>
      <c r="AE7" s="1878">
        <f>AD7-AC7</f>
        <v>2.38106253030303</v>
      </c>
      <c r="AF7" s="1879">
        <f>IFERROR(AE7/AD7,"-")</f>
        <v>0.334907897866468</v>
      </c>
      <c r="AG7" s="1066" t="inlineStr">
        <is>
          <t>G</t>
        </is>
      </c>
      <c r="AH7" s="1875" t="n">
        <v>0.56577941</v>
      </c>
      <c r="AI7" s="1875" t="n">
        <v>3.38305128363636</v>
      </c>
      <c r="AJ7" s="1878">
        <f>AI7-AH7</f>
        <v>2.81727187363636</v>
      </c>
      <c r="AK7" s="1879">
        <f>IFERROR(AJ7/AI7,"-")</f>
        <v>0.832760616802753</v>
      </c>
      <c r="AL7" s="1076" t="inlineStr">
        <is>
          <t>G</t>
        </is>
      </c>
      <c r="AN7" s="1877">
        <f>I23+AC23+AH23+X23</f>
        <v>32.7689975631702</v>
      </c>
      <c r="AO7" s="1878">
        <f>J23+AD23+AI23+Y23</f>
        <v>40.5342230439394</v>
      </c>
      <c r="AP7" s="1878">
        <f>AO7-AN7</f>
        <v>7.76522548076924</v>
      </c>
      <c r="AQ7" s="1879">
        <f>IFERROR(AP7/AO7,"-")</f>
        <v>0.191572081506328</v>
      </c>
      <c r="AR7" s="1076" t="inlineStr">
        <is>
          <t>G</t>
        </is>
      </c>
    </row>
    <row r="8" ht="24" customFormat="1" customHeight="1" s="1059">
      <c r="A8" s="1059" t="inlineStr">
        <is>
          <t>Retail</t>
        </is>
      </c>
      <c r="B8" s="1072" t="inlineStr">
        <is>
          <t>Retail</t>
        </is>
      </c>
      <c r="C8" s="1073" t="inlineStr">
        <is>
          <t>Vance Anderson</t>
        </is>
      </c>
      <c r="D8" s="1877">
        <f>I8+AC8+AH8+X8</f>
        <v>14.29054862</v>
      </c>
      <c r="E8" s="1878">
        <f>J8+AD8+AI8+Y8</f>
        <v>18.06529514</v>
      </c>
      <c r="F8" s="1878">
        <f>E8-D8</f>
        <v>3.77474652</v>
      </c>
      <c r="G8" s="1879">
        <f>IFERROR(F8/E8,"-")</f>
        <v>0.208950171627254</v>
      </c>
      <c r="H8" s="1066" t="inlineStr">
        <is>
          <t>G</t>
        </is>
      </c>
      <c r="I8" s="1878" t="n">
        <v>6.854453</v>
      </c>
      <c r="J8" s="1878" t="n">
        <v>7.08529514</v>
      </c>
      <c r="K8" s="1878">
        <f>J8-I8</f>
        <v>0.23084214</v>
      </c>
      <c r="L8" s="1879">
        <f>IFERROR(K8/J8,"-")</f>
        <v>0.0325804550747338</v>
      </c>
      <c r="M8" s="1066" t="inlineStr">
        <is>
          <t>G</t>
        </is>
      </c>
      <c r="N8" s="1875">
        <f>I8-S8</f>
        <v>6.45960741</v>
      </c>
      <c r="O8" s="1875">
        <f>J8-T8</f>
        <v>6.43029514</v>
      </c>
      <c r="P8" s="1878">
        <f>O8-N8</f>
        <v>-0.0293122700000001</v>
      </c>
      <c r="Q8" s="1879">
        <f>IFERROR(P8/O8,"-")</f>
        <v>-0.00455846417027759</v>
      </c>
      <c r="R8" s="1066" t="inlineStr">
        <is>
          <t>G</t>
        </is>
      </c>
      <c r="S8" s="1875" t="n">
        <v>0.39484559</v>
      </c>
      <c r="T8" s="1875" t="n">
        <v>0.655</v>
      </c>
      <c r="U8" s="1878">
        <f>T8-S8</f>
        <v>0.26015441</v>
      </c>
      <c r="V8" s="1879">
        <f>IFERROR(U8/T8,"-")</f>
        <v>0.397182305343511</v>
      </c>
      <c r="W8" s="1066" t="inlineStr">
        <is>
          <t>G</t>
        </is>
      </c>
      <c r="X8" s="1878" t="n"/>
      <c r="Y8" s="1878" t="n"/>
      <c r="Z8" s="1878">
        <f>Y8-X8</f>
        <v>0</v>
      </c>
      <c r="AA8" s="1879" t="str">
        <f>IFERROR(Z8/Y8,"-")</f>
        <v>-</v>
      </c>
      <c r="AB8" s="1075" t="n"/>
      <c r="AC8" s="1878" t="n">
        <v>3.35460589</v>
      </c>
      <c r="AD8" s="1878" t="n">
        <v>5.08</v>
      </c>
      <c r="AE8" s="1878">
        <f>AD8-AC8</f>
        <v>1.72539411</v>
      </c>
      <c r="AF8" s="1879">
        <f>IFERROR(AE8/AD8,"-")</f>
        <v>0.33964450984252</v>
      </c>
      <c r="AG8" s="1066" t="inlineStr">
        <is>
          <t>G</t>
        </is>
      </c>
      <c r="AH8" s="1875" t="n">
        <v>4.08148973</v>
      </c>
      <c r="AI8" s="1875" t="n">
        <v>5.9</v>
      </c>
      <c r="AJ8" s="1878">
        <f>AI8-AH8</f>
        <v>1.81851027</v>
      </c>
      <c r="AK8" s="1879">
        <f>IFERROR(AJ8/AI8,"-")</f>
        <v>0.308222079661017</v>
      </c>
      <c r="AL8" s="1076" t="inlineStr">
        <is>
          <t>G</t>
        </is>
      </c>
      <c r="AN8" s="1877">
        <f>I24+AC24+AH24+X24</f>
        <v>35.26035577</v>
      </c>
      <c r="AO8" s="1878">
        <f>J24+AD24+AI24+Y24</f>
        <v>33.88085459</v>
      </c>
      <c r="AP8" s="1878">
        <f>AO8-AN8</f>
        <v>-1.37950118000001</v>
      </c>
      <c r="AQ8" s="1879">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7">
        <f>I9+AC9+AH9+X9</f>
        <v>4.138503998274</v>
      </c>
      <c r="E9" s="1878">
        <f>J9+AD9+AI9+Y9</f>
        <v>3.80667954</v>
      </c>
      <c r="F9" s="1878">
        <f>E9-D9</f>
        <v>-0.331824458274</v>
      </c>
      <c r="G9" s="1879">
        <f>IFERROR(F9/E9,"-")</f>
        <v>-0.0871690024829356</v>
      </c>
      <c r="H9" s="1078" t="inlineStr">
        <is>
          <t>R</t>
        </is>
      </c>
      <c r="I9" s="1878" t="n">
        <v>2.87890034</v>
      </c>
      <c r="J9" s="1878" t="n">
        <v>2.51601915</v>
      </c>
      <c r="K9" s="1878">
        <f>J9-I9</f>
        <v>-0.36288119</v>
      </c>
      <c r="L9" s="1879">
        <f>IFERROR(K9/J9,"-")</f>
        <v>-0.144228310026973</v>
      </c>
      <c r="M9" s="1079" t="inlineStr">
        <is>
          <t>R</t>
        </is>
      </c>
      <c r="N9" s="1875">
        <f>I9-S9</f>
        <v>2.54529162</v>
      </c>
      <c r="O9" s="1875">
        <f>J9-T9</f>
        <v>2.03101915</v>
      </c>
      <c r="P9" s="1878">
        <f>O9-N9</f>
        <v>-0.51427247</v>
      </c>
      <c r="Q9" s="1879">
        <f>IFERROR(P9/O9,"-")</f>
        <v>-0.253209069939099</v>
      </c>
      <c r="R9" s="1078" t="inlineStr">
        <is>
          <t>R</t>
        </is>
      </c>
      <c r="S9" s="1875" t="n">
        <v>0.33360872</v>
      </c>
      <c r="T9" s="1875" t="n">
        <v>0.485</v>
      </c>
      <c r="U9" s="1878">
        <f>T9-S9</f>
        <v>0.15139128</v>
      </c>
      <c r="V9" s="1879">
        <f>IFERROR(U9/T9,"-")</f>
        <v>0.312146969072165</v>
      </c>
      <c r="W9" s="1066" t="inlineStr">
        <is>
          <t>G</t>
        </is>
      </c>
      <c r="X9" s="1878" t="n"/>
      <c r="Y9" s="1878" t="n"/>
      <c r="Z9" s="1878">
        <f>Y9-X9</f>
        <v>0</v>
      </c>
      <c r="AA9" s="1879" t="str">
        <f>IFERROR(Z9/Y9,"-")</f>
        <v>-</v>
      </c>
      <c r="AB9" s="1075" t="n"/>
      <c r="AC9" s="1878" t="n"/>
      <c r="AD9" s="1878" t="n"/>
      <c r="AE9" s="1878">
        <f>AD9-AC9</f>
        <v>0</v>
      </c>
      <c r="AF9" s="1879" t="str">
        <f>IFERROR(AE9/AD9,"-")</f>
        <v>-</v>
      </c>
      <c r="AG9" s="1075" t="n"/>
      <c r="AH9" s="1875" t="n">
        <v>1.259603658274</v>
      </c>
      <c r="AI9" s="1875" t="n">
        <v>1.29066039</v>
      </c>
      <c r="AJ9" s="1878">
        <f>AI9-AH9</f>
        <v>0.031056731726</v>
      </c>
      <c r="AK9" s="1879">
        <f>IFERROR(AJ9/AI9,"-")</f>
        <v>0.0240626674271766</v>
      </c>
      <c r="AL9" s="1076" t="inlineStr">
        <is>
          <t>G</t>
        </is>
      </c>
      <c r="AN9" s="1877">
        <f>I25+AC25+AH25+X25</f>
        <v>7.830666008274</v>
      </c>
      <c r="AO9" s="1878">
        <f>J25+AD25+AI25+Y25</f>
        <v>8.00952437</v>
      </c>
      <c r="AP9" s="1878">
        <f>AO9-AN9</f>
        <v>0.178858361726</v>
      </c>
      <c r="AQ9" s="1879">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7">
        <f>I10+AC10+AH10+X10</f>
        <v>2.69057661</v>
      </c>
      <c r="E10" s="1878">
        <f>J10+AD10+AI10+Y10</f>
        <v>4.27708298</v>
      </c>
      <c r="F10" s="1878">
        <f>E10-D10</f>
        <v>1.58650637</v>
      </c>
      <c r="G10" s="1879">
        <f>IFERROR(F10/E10,"-")</f>
        <v>0.37093186581103</v>
      </c>
      <c r="H10" s="1066" t="inlineStr">
        <is>
          <t>G</t>
        </is>
      </c>
      <c r="I10" s="1878" t="n">
        <v>1.75620822</v>
      </c>
      <c r="J10" s="1878" t="n">
        <v>1.831374</v>
      </c>
      <c r="K10" s="1878">
        <f>J10-I10</f>
        <v>0.0751657800000001</v>
      </c>
      <c r="L10" s="1879">
        <f>IFERROR(K10/J10,"-")</f>
        <v>0.0410433805437885</v>
      </c>
      <c r="M10" s="1066" t="inlineStr">
        <is>
          <t>G</t>
        </is>
      </c>
      <c r="N10" s="1875">
        <f>I10-S10</f>
        <v>1.44044992</v>
      </c>
      <c r="O10" s="1875">
        <f>J10-T10</f>
        <v>1.449693</v>
      </c>
      <c r="P10" s="1878">
        <f>O10-N10</f>
        <v>0.00924308000000007</v>
      </c>
      <c r="Q10" s="1879">
        <f>IFERROR(P10/O10,"-")</f>
        <v>0.00637588786039532</v>
      </c>
      <c r="R10" s="1066" t="inlineStr">
        <is>
          <t>G</t>
        </is>
      </c>
      <c r="S10" s="1875" t="n">
        <v>0.3157583</v>
      </c>
      <c r="T10" s="1875" t="n">
        <v>0.381681</v>
      </c>
      <c r="U10" s="1878">
        <f>T10-S10</f>
        <v>0.0659227</v>
      </c>
      <c r="V10" s="1879">
        <f>IFERROR(U10/T10,"-")</f>
        <v>0.172716745135336</v>
      </c>
      <c r="W10" s="1066" t="inlineStr">
        <is>
          <t>G</t>
        </is>
      </c>
      <c r="X10" s="1878" t="n"/>
      <c r="Y10" s="1878" t="n"/>
      <c r="Z10" s="1878">
        <f>Y10-X10</f>
        <v>0</v>
      </c>
      <c r="AA10" s="1879" t="str">
        <f>IFERROR(Z10/Y10,"-")</f>
        <v>-</v>
      </c>
      <c r="AB10" s="1075" t="n"/>
      <c r="AC10" s="1878" t="n"/>
      <c r="AD10" s="1878" t="n"/>
      <c r="AE10" s="1878">
        <f>AD10-AC10</f>
        <v>0</v>
      </c>
      <c r="AF10" s="1879" t="str">
        <f>IFERROR(AE10/AD10,"-")</f>
        <v>-</v>
      </c>
      <c r="AG10" s="1075" t="n"/>
      <c r="AH10" s="1875" t="n">
        <v>0.93436839</v>
      </c>
      <c r="AI10" s="1875" t="n">
        <v>2.44570898</v>
      </c>
      <c r="AJ10" s="1878">
        <f>AI10-AH10</f>
        <v>1.51134059</v>
      </c>
      <c r="AK10" s="1879">
        <f>IFERROR(AJ10/AI10,"-")</f>
        <v>0.617956021079826</v>
      </c>
      <c r="AL10" s="1076" t="inlineStr">
        <is>
          <t>G</t>
        </is>
      </c>
      <c r="AN10" s="1877">
        <f>I26+AC26+AH26+X26</f>
        <v>8.41854714</v>
      </c>
      <c r="AO10" s="1878">
        <f>J26+AD26+AI26+Y26</f>
        <v>9.24937596</v>
      </c>
      <c r="AP10" s="1878">
        <f>AO10-AN10</f>
        <v>0.830828820000001</v>
      </c>
      <c r="AQ10" s="1879">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7">
        <f>I11+AC11+AH11+X11</f>
        <v>2.84685292</v>
      </c>
      <c r="E11" s="1878">
        <f>J11+AD11+AI11+Y11</f>
        <v>2.12235381</v>
      </c>
      <c r="F11" s="1878">
        <f>E11-D11</f>
        <v>-0.72449911</v>
      </c>
      <c r="G11" s="1879">
        <f>IFERROR(F11/E11,"-")</f>
        <v>-0.341365848892085</v>
      </c>
      <c r="H11" s="1078" t="inlineStr">
        <is>
          <t>R</t>
        </is>
      </c>
      <c r="I11" s="1878" t="n">
        <v>2.84685292</v>
      </c>
      <c r="J11" s="1878" t="n">
        <v>2.12235381</v>
      </c>
      <c r="K11" s="1878">
        <f>J11-I11</f>
        <v>-0.72449911</v>
      </c>
      <c r="L11" s="1879">
        <f>IFERROR(K11/J11,"-")</f>
        <v>-0.341365848892085</v>
      </c>
      <c r="M11" s="1078" t="inlineStr">
        <is>
          <t>R</t>
        </is>
      </c>
      <c r="N11" s="1875">
        <f>I11-S11</f>
        <v>2.07860065</v>
      </c>
      <c r="O11" s="1875">
        <f>J11-T11</f>
        <v>1.654610505</v>
      </c>
      <c r="P11" s="1878">
        <f>O11-N11</f>
        <v>-0.423990145</v>
      </c>
      <c r="Q11" s="1879">
        <f>IFERROR(P11/O11,"-")</f>
        <v>-0.256247705256773</v>
      </c>
      <c r="R11" s="1078" t="inlineStr">
        <is>
          <t>R</t>
        </is>
      </c>
      <c r="S11" s="1875" t="n">
        <v>0.76825227</v>
      </c>
      <c r="T11" s="1875" t="n">
        <v>0.467743305</v>
      </c>
      <c r="U11" s="1878">
        <f>T11-S11</f>
        <v>-0.300508965</v>
      </c>
      <c r="V11" s="1879">
        <f>IFERROR(U11/T11,"-")</f>
        <v>-0.642465561318938</v>
      </c>
      <c r="W11" s="1078" t="inlineStr">
        <is>
          <t>R</t>
        </is>
      </c>
      <c r="X11" s="1878" t="n"/>
      <c r="Y11" s="1878" t="n"/>
      <c r="Z11" s="1878">
        <f>Y11-X11</f>
        <v>0</v>
      </c>
      <c r="AA11" s="1879" t="str">
        <f>IFERROR(Z11/Y11,"-")</f>
        <v>-</v>
      </c>
      <c r="AB11" s="1075" t="n"/>
      <c r="AC11" s="1878" t="n"/>
      <c r="AD11" s="1878" t="n"/>
      <c r="AE11" s="1878">
        <f>AD11-AC11</f>
        <v>0</v>
      </c>
      <c r="AF11" s="1879" t="str">
        <f>IFERROR(AE11/AD11,"-")</f>
        <v>-</v>
      </c>
      <c r="AG11" s="1075" t="n"/>
      <c r="AH11" s="1875" t="n">
        <v>0</v>
      </c>
      <c r="AI11" s="1875" t="n">
        <v>0</v>
      </c>
      <c r="AJ11" s="1878">
        <f>AI11-AH11</f>
        <v>0</v>
      </c>
      <c r="AK11" s="1879" t="str">
        <f>IFERROR(AJ11/AI11,"-")</f>
        <v>-</v>
      </c>
      <c r="AL11" s="1080" t="n"/>
      <c r="AN11" s="1877">
        <f>I27+AC27+AH27+X27</f>
        <v>5.27211191</v>
      </c>
      <c r="AO11" s="1878">
        <f>J27+AD27+AI27+Y27</f>
        <v>3.88077368</v>
      </c>
      <c r="AP11" s="1878">
        <f>AO11-AN11</f>
        <v>-1.39133823</v>
      </c>
      <c r="AQ11" s="1879">
        <f>IFERROR(AP11/AO11,"-")</f>
        <v>-0.358520837525367</v>
      </c>
      <c r="AR11" s="1076" t="inlineStr">
        <is>
          <t>G</t>
        </is>
      </c>
    </row>
    <row r="12" ht="24" customFormat="1" customHeight="1" s="1059">
      <c r="A12" s="1059" t="inlineStr">
        <is>
          <t>People &amp; Culture</t>
        </is>
      </c>
      <c r="B12" s="1072" t="inlineStr">
        <is>
          <t>P&amp;C</t>
        </is>
      </c>
      <c r="C12" s="1073" t="inlineStr">
        <is>
          <t>Emily Mogic</t>
        </is>
      </c>
      <c r="D12" s="1877">
        <f>I12+AC12+AH12+X12</f>
        <v>1.9651397</v>
      </c>
      <c r="E12" s="1878">
        <f>J12+AD12+AI12+Y12</f>
        <v>2.46050804</v>
      </c>
      <c r="F12" s="1878">
        <f>E12-D12</f>
        <v>0.49536834</v>
      </c>
      <c r="G12" s="1879">
        <f>IFERROR(F12/E12,"-")</f>
        <v>0.201327665647457</v>
      </c>
      <c r="H12" s="1066" t="inlineStr">
        <is>
          <t>G</t>
        </is>
      </c>
      <c r="I12" s="1878" t="n">
        <v>1.61781844</v>
      </c>
      <c r="J12" s="1878" t="n">
        <v>1.86060804</v>
      </c>
      <c r="K12" s="1878">
        <f>J12-I12</f>
        <v>0.2427896</v>
      </c>
      <c r="L12" s="1879">
        <f>IFERROR(K12/J12,"-")</f>
        <v>0.130489385609663</v>
      </c>
      <c r="M12" s="1066" t="inlineStr">
        <is>
          <t>G</t>
        </is>
      </c>
      <c r="N12" s="1875">
        <f>I12-S12</f>
        <v>0.70035539</v>
      </c>
      <c r="O12" s="1875">
        <f>J12-T12</f>
        <v>0.87310804</v>
      </c>
      <c r="P12" s="1878">
        <f>O12-N12</f>
        <v>0.17275265</v>
      </c>
      <c r="Q12" s="1879">
        <f>IFERROR(P12/O12,"-")</f>
        <v>0.197859419551331</v>
      </c>
      <c r="R12" s="1066" t="inlineStr">
        <is>
          <t>G</t>
        </is>
      </c>
      <c r="S12" s="1875" t="n">
        <v>0.9174630499999999</v>
      </c>
      <c r="T12" s="1875" t="n">
        <v>0.9875</v>
      </c>
      <c r="U12" s="1878">
        <f>T12-S12</f>
        <v>0.0700369500000001</v>
      </c>
      <c r="V12" s="1879">
        <f>IFERROR(U12/T12,"-")</f>
        <v>0.0709234936708862</v>
      </c>
      <c r="W12" s="1066" t="inlineStr">
        <is>
          <t>G</t>
        </is>
      </c>
      <c r="X12" s="1878" t="n"/>
      <c r="Y12" s="1878" t="n"/>
      <c r="Z12" s="1878">
        <f>Y12-X12</f>
        <v>0</v>
      </c>
      <c r="AA12" s="1879" t="str">
        <f>IFERROR(Z12/Y12,"-")</f>
        <v>-</v>
      </c>
      <c r="AB12" s="1075" t="n"/>
      <c r="AC12" s="1878" t="n">
        <v>0.34732126</v>
      </c>
      <c r="AD12" s="1878" t="n">
        <v>0.4624</v>
      </c>
      <c r="AE12" s="1878">
        <f>AD12-AC12</f>
        <v>0.11507874</v>
      </c>
      <c r="AF12" s="1879">
        <f>IFERROR(AE12/AD12,"-")</f>
        <v>0.248872707612457</v>
      </c>
      <c r="AG12" s="1066" t="inlineStr">
        <is>
          <t>G</t>
        </is>
      </c>
      <c r="AH12" s="1875" t="n">
        <v>0</v>
      </c>
      <c r="AI12" s="1875" t="n">
        <v>0.1375</v>
      </c>
      <c r="AJ12" s="1878">
        <f>AI12-AH12</f>
        <v>0.1375</v>
      </c>
      <c r="AK12" s="1879">
        <f>IFERROR(AJ12/AI12,"-")</f>
        <v>1</v>
      </c>
      <c r="AL12" s="1076" t="inlineStr">
        <is>
          <t>G</t>
        </is>
      </c>
      <c r="AN12" s="1877">
        <f>I28+AC28+AH28+X28</f>
        <v>5.4932256</v>
      </c>
      <c r="AO12" s="1878">
        <f>J28+AD28+AI28+Y28</f>
        <v>5.81303803</v>
      </c>
      <c r="AP12" s="1878">
        <f>AO12-AN12</f>
        <v>0.319812430000001</v>
      </c>
      <c r="AQ12" s="1879">
        <f>IFERROR(AP12/AO12,"-")</f>
        <v>0.0550164007786477</v>
      </c>
      <c r="AR12" s="1076" t="inlineStr">
        <is>
          <t>G</t>
        </is>
      </c>
    </row>
    <row r="13" ht="24" customFormat="1" customHeight="1" s="1059">
      <c r="A13" s="1059" t="inlineStr">
        <is>
          <t>Customer</t>
        </is>
      </c>
      <c r="B13" s="1081" t="inlineStr">
        <is>
          <t>Customer</t>
        </is>
      </c>
      <c r="C13" s="1082" t="inlineStr">
        <is>
          <t>Harley Giles</t>
        </is>
      </c>
      <c r="D13" s="1880">
        <f>I13+AC13+AH13+X13</f>
        <v>2.41052833</v>
      </c>
      <c r="E13" s="1881">
        <f>J13+AD13+AI13+Y13</f>
        <v>5.40474571</v>
      </c>
      <c r="F13" s="1881">
        <f>E13-D13</f>
        <v>2.99421738</v>
      </c>
      <c r="G13" s="1882">
        <f>IFERROR(F13/E13,"-")</f>
        <v>0.553997827216926</v>
      </c>
      <c r="H13" s="1086" t="inlineStr">
        <is>
          <t>G</t>
        </is>
      </c>
      <c r="I13" s="1881" t="n">
        <v>0.98861064</v>
      </c>
      <c r="J13" s="1881" t="n">
        <v>0.82141236</v>
      </c>
      <c r="K13" s="1881">
        <f>J13-I13</f>
        <v>-0.16719828</v>
      </c>
      <c r="L13" s="1882">
        <f>IFERROR(K13/J13,"-")</f>
        <v>-0.203549749360967</v>
      </c>
      <c r="M13" s="1079" t="inlineStr">
        <is>
          <t>R</t>
        </is>
      </c>
      <c r="N13" s="1883">
        <f>I13-S13</f>
        <v>0.98861064</v>
      </c>
      <c r="O13" s="1883">
        <f>J13-T13</f>
        <v>0.82141236</v>
      </c>
      <c r="P13" s="1881">
        <f>O13-N13</f>
        <v>-0.16719828</v>
      </c>
      <c r="Q13" s="1882">
        <f>IFERROR(P13/O13,"-")</f>
        <v>-0.203549749360967</v>
      </c>
      <c r="R13" s="1079" t="inlineStr">
        <is>
          <t>R</t>
        </is>
      </c>
      <c r="S13" s="1883" t="n">
        <v>0</v>
      </c>
      <c r="T13" s="1883" t="n">
        <v>0</v>
      </c>
      <c r="U13" s="1881">
        <f>T13-S13</f>
        <v>0</v>
      </c>
      <c r="V13" s="1882" t="str">
        <f>IFERROR(U13/T13,"-")</f>
        <v>-</v>
      </c>
      <c r="W13" s="1088" t="n"/>
      <c r="X13" s="1881" t="n"/>
      <c r="Y13" s="1881" t="n"/>
      <c r="Z13" s="1881">
        <f>Y13-X13</f>
        <v>0</v>
      </c>
      <c r="AA13" s="1882" t="str">
        <f>IFERROR(Z13/Y13,"-")</f>
        <v>-</v>
      </c>
      <c r="AB13" s="1088" t="n"/>
      <c r="AC13" s="1881" t="n">
        <v>0</v>
      </c>
      <c r="AD13" s="1881" t="n">
        <v>2.50000002</v>
      </c>
      <c r="AE13" s="1881">
        <f>AD13-AC13</f>
        <v>2.50000002</v>
      </c>
      <c r="AF13" s="1882">
        <f>IFERROR(AE13/AD13,"-")</f>
        <v>1</v>
      </c>
      <c r="AG13" s="1086" t="inlineStr">
        <is>
          <t>G</t>
        </is>
      </c>
      <c r="AH13" s="1883" t="n">
        <v>1.42191769</v>
      </c>
      <c r="AI13" s="1883" t="n">
        <v>2.08333333</v>
      </c>
      <c r="AJ13" s="1881">
        <f>AI13-AH13</f>
        <v>0.66141564</v>
      </c>
      <c r="AK13" s="1882">
        <f>IFERROR(AJ13/AI13,"-")</f>
        <v>0.317479507707967</v>
      </c>
      <c r="AL13" s="1089" t="inlineStr">
        <is>
          <t>G</t>
        </is>
      </c>
      <c r="AN13" s="1880">
        <f>I29+AC29+AH29+X29</f>
        <v>10.98378269</v>
      </c>
      <c r="AO13" s="1881">
        <f>J29+AD29+AI29+Y29</f>
        <v>11.69153287</v>
      </c>
      <c r="AP13" s="1881">
        <f>AO13-AN13</f>
        <v>0.70775018</v>
      </c>
      <c r="AQ13" s="1882">
        <f>IFERROR(AP13/AO13,"-")</f>
        <v>0.0605352769281484</v>
      </c>
      <c r="AR13" s="1089" t="inlineStr">
        <is>
          <t>G</t>
        </is>
      </c>
    </row>
    <row r="14" ht="26.25" customFormat="1" customHeight="1" s="1090">
      <c r="B14" s="1091" t="inlineStr">
        <is>
          <t>Total Technology</t>
        </is>
      </c>
      <c r="C14" s="1091" t="n"/>
      <c r="D14" s="1884">
        <f>SUM(D5:D13)</f>
        <v>129.576576890371</v>
      </c>
      <c r="E14" s="1885">
        <f>SUM(E5:E13)</f>
        <v>149.32632776624</v>
      </c>
      <c r="F14" s="1885">
        <f>SUM(F5:F13)</f>
        <v>19.7497508758686</v>
      </c>
      <c r="G14" s="1886">
        <f>F14/E14</f>
        <v>0.132259000614986</v>
      </c>
      <c r="H14" s="1095" t="inlineStr">
        <is>
          <t>G</t>
        </is>
      </c>
      <c r="I14" s="1887">
        <f>SUM(I5:I13)</f>
        <v>92.2793951124</v>
      </c>
      <c r="J14" s="1885">
        <f>SUM(J5:J13)</f>
        <v>93.2564688874241</v>
      </c>
      <c r="K14" s="1885">
        <f>SUM(K5:K13)</f>
        <v>0.977073775024048</v>
      </c>
      <c r="L14" s="1886">
        <f>K14/J14</f>
        <v>0.0104772761255151</v>
      </c>
      <c r="M14" s="1095" t="inlineStr">
        <is>
          <t>G</t>
        </is>
      </c>
      <c r="N14" s="1887">
        <f>SUM(N5:N13)</f>
        <v>86.6600691054769</v>
      </c>
      <c r="O14" s="1885">
        <f>SUM(O5:O13)</f>
        <v>85.1255641208856</v>
      </c>
      <c r="P14" s="1885">
        <f>SUM(P5:P13)</f>
        <v>-1.53450498459133</v>
      </c>
      <c r="Q14" s="1886">
        <f>P14/O14</f>
        <v>-0.0180263708139684</v>
      </c>
      <c r="R14" s="1097" t="inlineStr">
        <is>
          <t>A</t>
        </is>
      </c>
      <c r="S14" s="1887">
        <f>SUM(S5:S13)</f>
        <v>5.61932600692308</v>
      </c>
      <c r="T14" s="1885">
        <f>SUM(T5:T13)</f>
        <v>8.13090476653846</v>
      </c>
      <c r="U14" s="1885">
        <f>SUM(U5:U13)</f>
        <v>2.51157875961538</v>
      </c>
      <c r="V14" s="1886">
        <f>U14/T14</f>
        <v>0.308892900818543</v>
      </c>
      <c r="W14" s="1095" t="inlineStr">
        <is>
          <t>G</t>
        </is>
      </c>
      <c r="X14" s="1887">
        <f>SUM(X5:X13)</f>
        <v>7.620976354</v>
      </c>
      <c r="Y14" s="1885">
        <f>SUM(Y5:Y13)</f>
        <v>8.07758416517918</v>
      </c>
      <c r="Z14" s="1885">
        <f>SUM(Z5:Z13)</f>
        <v>0.45660781117918</v>
      </c>
      <c r="AA14" s="1886">
        <f>Z14/Y14</f>
        <v>0.0565277689271903</v>
      </c>
      <c r="AB14" s="1095" t="inlineStr">
        <is>
          <t>G</t>
        </is>
      </c>
      <c r="AC14" s="1887">
        <f>SUM(AC5:AC13)</f>
        <v>17.270476819697</v>
      </c>
      <c r="AD14" s="1885">
        <f>SUM(AD5:AD13)</f>
        <v>24.41420402</v>
      </c>
      <c r="AE14" s="1885">
        <f>SUM(AE5:AE13)</f>
        <v>7.14372720030303</v>
      </c>
      <c r="AF14" s="1886">
        <f>AE14/AD14</f>
        <v>0.292605369990802</v>
      </c>
      <c r="AG14" s="1095" t="inlineStr">
        <is>
          <t>G</t>
        </is>
      </c>
      <c r="AH14" s="1887">
        <f>SUM(AH5:AH13)</f>
        <v>12.405728604274</v>
      </c>
      <c r="AI14" s="1885">
        <f>SUM(AI5:AI13)</f>
        <v>23.5780706936364</v>
      </c>
      <c r="AJ14" s="1885">
        <f>SUM(AJ5:AJ13)</f>
        <v>11.1723420893624</v>
      </c>
      <c r="AK14" s="1886">
        <f>AJ14/AI14</f>
        <v>0.473844625988747</v>
      </c>
      <c r="AL14" s="1098" t="inlineStr">
        <is>
          <t>G</t>
        </is>
      </c>
      <c r="AN14" s="1884">
        <f>SUM(AN5:AN13)</f>
        <v>297.093218538644</v>
      </c>
      <c r="AO14" s="1885">
        <f>SUM(AO5:AO13)</f>
        <v>302.522349682313</v>
      </c>
      <c r="AP14" s="1885">
        <f>SUM(AP5:AP13)</f>
        <v>5.42913114366853</v>
      </c>
      <c r="AQ14" s="1888">
        <f>AP14/AO14</f>
        <v>0.0179462150461604</v>
      </c>
      <c r="AR14" s="1098" t="inlineStr">
        <is>
          <t>G</t>
        </is>
      </c>
    </row>
    <row r="15" ht="24" customHeight="1" s="866">
      <c r="F15" s="1889">
        <f>F14/E14</f>
        <v>0.132259000614986</v>
      </c>
      <c r="I15" s="1889">
        <f>I14/$D14</f>
        <v>0.712161081323159</v>
      </c>
      <c r="J15" s="1101" t="inlineStr">
        <is>
          <t>`</t>
        </is>
      </c>
      <c r="K15" s="1889">
        <f>K14/J14</f>
        <v>0.0104772761255151</v>
      </c>
      <c r="L15" s="1101" t="n"/>
      <c r="M15" s="1101" t="n"/>
      <c r="N15" s="1889">
        <f>N14/$D14</f>
        <v>0.668794246500247</v>
      </c>
      <c r="O15" s="1101" t="n"/>
      <c r="P15" s="1889">
        <f>P14/O14</f>
        <v>-0.0180263708139684</v>
      </c>
      <c r="Q15" s="1101" t="n"/>
      <c r="R15" s="1101" t="n"/>
      <c r="S15" s="1889">
        <f>S14/$D14</f>
        <v>0.043366834822912</v>
      </c>
      <c r="T15" s="1101" t="n"/>
      <c r="U15" s="1889">
        <f>U14/T14</f>
        <v>0.308892900818543</v>
      </c>
      <c r="V15" s="1101" t="n"/>
      <c r="W15" s="1101" t="n"/>
      <c r="X15" s="1889">
        <f>X14/$D14</f>
        <v>0.058814459656916</v>
      </c>
      <c r="Z15" s="1889">
        <f>Z14/Y14</f>
        <v>0.0565277689271903</v>
      </c>
      <c r="AC15" s="1889">
        <f>AC14/$D14</f>
        <v>0.133283940926366</v>
      </c>
      <c r="AD15" s="1101" t="n"/>
      <c r="AE15" s="1889">
        <f>AE14/AD14</f>
        <v>0.292605369990802</v>
      </c>
      <c r="AF15" s="1101" t="n"/>
      <c r="AG15" s="1101" t="n"/>
      <c r="AH15" s="1889">
        <f>AH14/$D14</f>
        <v>0.095740518093559</v>
      </c>
      <c r="AI15" s="1101" t="n"/>
      <c r="AJ15" s="1889">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5">
        <f>I21+AC21+AH21+X21</f>
        <v>117.95714038</v>
      </c>
      <c r="E21" s="1875">
        <f>J21+AD21+AI21+Y21</f>
        <v>112.75951309</v>
      </c>
      <c r="F21" s="1875">
        <f>E21-D21</f>
        <v>-5.19762729000001</v>
      </c>
      <c r="G21" s="1876">
        <f>IFERROR(F21/E21,"-")</f>
        <v>-0.0460948007628543</v>
      </c>
      <c r="H21" s="1078" t="inlineStr">
        <is>
          <t>R</t>
        </is>
      </c>
      <c r="I21" s="1875" t="n">
        <v>82.08787687</v>
      </c>
      <c r="J21" s="1875" t="n">
        <v>81.89486321</v>
      </c>
      <c r="K21" s="1875">
        <f>J21-I21</f>
        <v>-0.193013660000005</v>
      </c>
      <c r="L21" s="1876">
        <f>IFERROR(K21/J21,"-")</f>
        <v>-0.0023568469673741</v>
      </c>
      <c r="M21" s="1065" t="inlineStr">
        <is>
          <t>G</t>
        </is>
      </c>
      <c r="N21" s="1875">
        <f>I21-S21</f>
        <v>79.31043564</v>
      </c>
      <c r="O21" s="1875">
        <f>J21-T21</f>
        <v>78.89486321</v>
      </c>
      <c r="P21" s="1875">
        <f>O21-N21</f>
        <v>-0.415572430000012</v>
      </c>
      <c r="Q21" s="1876">
        <f>IFERROR(P21/O21,"-")</f>
        <v>-0.00526742062907002</v>
      </c>
      <c r="R21" s="1067" t="inlineStr">
        <is>
          <t>A</t>
        </is>
      </c>
      <c r="S21" s="1875" t="n">
        <v>2.77744123</v>
      </c>
      <c r="T21" s="1875" t="n">
        <v>3</v>
      </c>
      <c r="U21" s="1875">
        <f>T21-S21</f>
        <v>0.22255877</v>
      </c>
      <c r="V21" s="1876">
        <f>IFERROR(U21/T21,"-")</f>
        <v>0.0741862566666667</v>
      </c>
      <c r="W21" s="1065" t="inlineStr">
        <is>
          <t>G</t>
        </is>
      </c>
      <c r="X21" s="1875" t="n">
        <v>5.68651106</v>
      </c>
      <c r="Y21" s="1875" t="n">
        <v>5.80004988</v>
      </c>
      <c r="Z21" s="1875">
        <f>Y21-X21</f>
        <v>0.11353882</v>
      </c>
      <c r="AA21" s="1876">
        <f>IFERROR(Z21/Y21,"-")</f>
        <v>0.0195754902714734</v>
      </c>
      <c r="AB21" s="1065" t="inlineStr">
        <is>
          <t>G</t>
        </is>
      </c>
      <c r="AC21" s="1875" t="n">
        <v>25.39577262</v>
      </c>
      <c r="AD21" s="1875" t="n">
        <v>20.1966</v>
      </c>
      <c r="AE21" s="1875">
        <f>AD21-AC21</f>
        <v>-5.19917262</v>
      </c>
      <c r="AF21" s="1876">
        <f>IFERROR(AE21/AD21,"-")</f>
        <v>-0.257428112652625</v>
      </c>
      <c r="AG21" s="1078" t="inlineStr">
        <is>
          <t>R</t>
        </is>
      </c>
      <c r="AH21" s="1875" t="n">
        <v>4.78697983</v>
      </c>
      <c r="AI21" s="1875" t="n">
        <v>4.868</v>
      </c>
      <c r="AJ21" s="1875">
        <f>AI21-AH21</f>
        <v>0.0810201700000004</v>
      </c>
      <c r="AK21" s="1876">
        <f>IFERROR(AJ21/AI21,"-")</f>
        <v>0.0166434202958094</v>
      </c>
      <c r="AL21" s="1068" t="inlineStr">
        <is>
          <t>G</t>
        </is>
      </c>
      <c r="AM21" s="1890">
        <f>I21+X21</f>
        <v>87.77438793</v>
      </c>
      <c r="AN21" s="1059" t="inlineStr">
        <is>
          <t>input retail SI number manually</t>
        </is>
      </c>
      <c r="AO21" s="1890" t="n"/>
      <c r="AP21" s="1890" t="n"/>
      <c r="AQ21" s="1890" t="n"/>
      <c r="AR21" s="1890" t="n"/>
      <c r="AS21" s="1890" t="n"/>
    </row>
    <row r="22" ht="21" customFormat="1" customHeight="1" s="1059">
      <c r="A22" s="1059" t="inlineStr">
        <is>
          <t>Z-Energy</t>
        </is>
      </c>
      <c r="B22" s="1107" t="inlineStr">
        <is>
          <t>Z- Energy</t>
        </is>
      </c>
      <c r="C22" s="1073" t="inlineStr">
        <is>
          <t>Vance Anderson
Harley Giles</t>
        </is>
      </c>
      <c r="D22" s="1878">
        <f>I22+AC22+AH22+X22</f>
        <v>73.1083914772</v>
      </c>
      <c r="E22" s="1878">
        <f>J22+AD22+AI22+Y22</f>
        <v>76.7035140483733</v>
      </c>
      <c r="F22" s="1878">
        <f>E22-D22</f>
        <v>3.59512257117331</v>
      </c>
      <c r="G22" s="1879">
        <f>IFERROR(F22/E22,"-")</f>
        <v>0.0468703763546743</v>
      </c>
      <c r="H22" s="1066" t="inlineStr">
        <is>
          <t>G</t>
        </is>
      </c>
      <c r="I22" s="1878" t="n">
        <v>53.465433886</v>
      </c>
      <c r="J22" s="1878" t="n">
        <v>53.6714996190862</v>
      </c>
      <c r="K22" s="1878">
        <f>J22-I22</f>
        <v>0.206065733086199</v>
      </c>
      <c r="L22" s="1879">
        <f>IFERROR(K22/J22,"-")</f>
        <v>0.0038393884007094</v>
      </c>
      <c r="M22" s="1066" t="inlineStr">
        <is>
          <t>G</t>
        </is>
      </c>
      <c r="N22" s="1875">
        <f>I22-S22</f>
        <v>53.465433886</v>
      </c>
      <c r="O22" s="1875">
        <f>J22-T22</f>
        <v>52.2252596190862</v>
      </c>
      <c r="P22" s="1878">
        <f>O22-N22</f>
        <v>-1.2401742669138</v>
      </c>
      <c r="Q22" s="1879">
        <f>IFERROR(P22/O22,"-")</f>
        <v>-0.0237466367033735</v>
      </c>
      <c r="R22" s="1067" t="inlineStr">
        <is>
          <t>A</t>
        </is>
      </c>
      <c r="S22" s="1878" t="n">
        <v>0</v>
      </c>
      <c r="T22" s="1878" t="n">
        <v>1.44624</v>
      </c>
      <c r="U22" s="1878">
        <f>T22-S22</f>
        <v>1.44624</v>
      </c>
      <c r="V22" s="1879">
        <f>IFERROR(U22/T22,"-")</f>
        <v>1</v>
      </c>
      <c r="W22" s="1066" t="inlineStr">
        <is>
          <t>G</t>
        </is>
      </c>
      <c r="X22" s="1878" t="n">
        <v>10.1614981916</v>
      </c>
      <c r="Y22" s="1878" t="n">
        <v>11.3065205892871</v>
      </c>
      <c r="Z22" s="1875">
        <f>Y22-X22</f>
        <v>1.1450223976871</v>
      </c>
      <c r="AA22" s="1879">
        <f>IFERROR(Z22/Y22,"-")</f>
        <v>0.101270977985217</v>
      </c>
      <c r="AB22" s="1066" t="inlineStr">
        <is>
          <t>G</t>
        </is>
      </c>
      <c r="AC22" s="1878" t="n">
        <v>0</v>
      </c>
      <c r="AD22" s="1878" t="n">
        <v>0</v>
      </c>
      <c r="AE22" s="1878">
        <f>AD22-AC22</f>
        <v>0</v>
      </c>
      <c r="AF22" s="1879" t="str">
        <f>IFERROR(AE22/AD22,"-")</f>
        <v>-</v>
      </c>
      <c r="AG22" s="1075" t="n"/>
      <c r="AH22" s="1878" t="n">
        <v>9.4814593996</v>
      </c>
      <c r="AI22" s="1878" t="n">
        <v>11.72549384</v>
      </c>
      <c r="AJ22" s="1878">
        <f>AI22-AH22</f>
        <v>2.2440344404</v>
      </c>
      <c r="AK22" s="1879">
        <f>IFERROR(AJ22/AI22,"-")</f>
        <v>0.191380804170889</v>
      </c>
      <c r="AL22" s="1076" t="inlineStr">
        <is>
          <t>G</t>
        </is>
      </c>
      <c r="AM22" s="1890">
        <f>I22+X22</f>
        <v>63.6269320776</v>
      </c>
      <c r="AN22" s="1890" t="n"/>
      <c r="AO22" s="1890" t="n"/>
      <c r="AP22" s="1890" t="n"/>
      <c r="AQ22" s="1890" t="n"/>
      <c r="AR22" s="1890" t="n"/>
      <c r="AS22" s="1890" t="n"/>
    </row>
    <row r="23" ht="24" customFormat="1" customHeight="1" s="1059">
      <c r="A23" s="1059" t="inlineStr">
        <is>
          <t>Commercial Fuels</t>
        </is>
      </c>
      <c r="B23" s="1107" t="inlineStr">
        <is>
          <t>Commercial Fuels</t>
        </is>
      </c>
      <c r="C23" s="1073" t="inlineStr">
        <is>
          <t>Roanne Steele</t>
        </is>
      </c>
      <c r="D23" s="1878">
        <f>I23+AC23+AH23+X23</f>
        <v>32.7689975631702</v>
      </c>
      <c r="E23" s="1878">
        <f>J23+AD23+AI23+Y23</f>
        <v>40.5342230439394</v>
      </c>
      <c r="F23" s="1878">
        <f>E23-D23</f>
        <v>7.76522548076924</v>
      </c>
      <c r="G23" s="1879">
        <f>IFERROR(F23/E23,"-")</f>
        <v>0.191572081506328</v>
      </c>
      <c r="H23" s="1066" t="inlineStr">
        <is>
          <t>G</t>
        </is>
      </c>
      <c r="I23" s="1878" t="n">
        <v>18.0758203839394</v>
      </c>
      <c r="J23" s="1878" t="n">
        <v>19.5173022039394</v>
      </c>
      <c r="K23" s="1878">
        <f>J23-I23</f>
        <v>1.44148182</v>
      </c>
      <c r="L23" s="1879">
        <f>IFERROR(K23/J23,"-")</f>
        <v>0.0738566121965898</v>
      </c>
      <c r="M23" s="1066" t="inlineStr">
        <is>
          <t>G</t>
        </is>
      </c>
      <c r="N23" s="1875">
        <f>I23-S23</f>
        <v>12.122014240313</v>
      </c>
      <c r="O23" s="1875">
        <f>J23-T23</f>
        <v>13.6555812808625</v>
      </c>
      <c r="P23" s="1878">
        <f>O23-N23</f>
        <v>1.53356704054946</v>
      </c>
      <c r="Q23" s="1879">
        <f>IFERROR(P23/O23,"-")</f>
        <v>0.11230331459406</v>
      </c>
      <c r="R23" s="1066" t="inlineStr">
        <is>
          <t>G</t>
        </is>
      </c>
      <c r="S23" s="1878" t="n">
        <v>5.95380614362638</v>
      </c>
      <c r="T23" s="1878" t="n">
        <v>5.86172092307692</v>
      </c>
      <c r="U23" s="1878">
        <f>T23-S23</f>
        <v>-0.0920852205494604</v>
      </c>
      <c r="V23" s="1879">
        <f>IFERROR(U23/T23,"-")</f>
        <v>-0.0157095879790066</v>
      </c>
      <c r="W23" s="1067" t="inlineStr">
        <is>
          <t>A</t>
        </is>
      </c>
      <c r="X23" s="1878" t="n"/>
      <c r="Y23" s="1878" t="n"/>
      <c r="Z23" s="1878">
        <f>Y23-X23</f>
        <v>0</v>
      </c>
      <c r="AA23" s="1879" t="str">
        <f>IFERROR(Z23/Y23,"-")</f>
        <v>-</v>
      </c>
      <c r="AB23" s="1075" t="n"/>
      <c r="AC23" s="1878" t="n">
        <v>8.927315999999999</v>
      </c>
      <c r="AD23" s="1878" t="n">
        <v>14.219208</v>
      </c>
      <c r="AE23" s="1878">
        <f>AD23-AC23</f>
        <v>5.291892</v>
      </c>
      <c r="AF23" s="1879">
        <f>IFERROR(AE23/AD23,"-")</f>
        <v>0.372165031976465</v>
      </c>
      <c r="AG23" s="1066" t="inlineStr">
        <is>
          <t>G</t>
        </is>
      </c>
      <c r="AH23" s="1878" t="n">
        <v>5.76586117923077</v>
      </c>
      <c r="AI23" s="1878" t="n">
        <v>6.79771284</v>
      </c>
      <c r="AJ23" s="1878">
        <f>AI23-AH23</f>
        <v>1.03185166076923</v>
      </c>
      <c r="AK23" s="1879">
        <f>IFERROR(AJ23/AI23,"-")</f>
        <v>0.151793946737125</v>
      </c>
      <c r="AL23" s="1076" t="inlineStr">
        <is>
          <t>G</t>
        </is>
      </c>
    </row>
    <row r="24" ht="24" customFormat="1" customHeight="1" s="1059">
      <c r="A24" s="1059" t="inlineStr">
        <is>
          <t>Retail</t>
        </is>
      </c>
      <c r="B24" s="1107" t="inlineStr">
        <is>
          <t>Retail</t>
        </is>
      </c>
      <c r="C24" s="1073" t="inlineStr">
        <is>
          <t>Vance Anderson</t>
        </is>
      </c>
      <c r="D24" s="1878">
        <f>I24+AC24+AH24+X24</f>
        <v>35.26035577</v>
      </c>
      <c r="E24" s="1878">
        <f>J24+AD24+AI24+Y24</f>
        <v>33.88085459</v>
      </c>
      <c r="F24" s="1878">
        <f>E24-D24</f>
        <v>-1.37950118000001</v>
      </c>
      <c r="G24" s="1879">
        <f>IFERROR(F24/E24,"-")</f>
        <v>-0.0407162451093299</v>
      </c>
      <c r="H24" s="1067" t="inlineStr">
        <is>
          <t>A</t>
        </is>
      </c>
      <c r="I24" s="1878" t="n">
        <v>15.23072269</v>
      </c>
      <c r="J24" s="1878" t="n">
        <v>15.23585459</v>
      </c>
      <c r="K24" s="1878">
        <f>J24-I24</f>
        <v>0.0051319000000003</v>
      </c>
      <c r="L24" s="1879">
        <f>IFERROR(K24/J24,"-")</f>
        <v>0.000336830465904328</v>
      </c>
      <c r="M24" s="1066" t="inlineStr">
        <is>
          <t>G</t>
        </is>
      </c>
      <c r="N24" s="1875">
        <f>I24-S24</f>
        <v>14.4810851</v>
      </c>
      <c r="O24" s="1875">
        <f>J24-T24</f>
        <v>13.92585459</v>
      </c>
      <c r="P24" s="1878">
        <f>O24-N24</f>
        <v>-0.55523051</v>
      </c>
      <c r="Q24" s="1879">
        <f>IFERROR(P24/O24,"-")</f>
        <v>-0.0398704802216378</v>
      </c>
      <c r="R24" s="1067" t="inlineStr">
        <is>
          <t>A</t>
        </is>
      </c>
      <c r="S24" s="1878" t="n">
        <v>0.74963759</v>
      </c>
      <c r="T24" s="1878" t="n">
        <v>1.31</v>
      </c>
      <c r="U24" s="1878">
        <f>T24-S24</f>
        <v>0.56036241</v>
      </c>
      <c r="V24" s="1879">
        <f>IFERROR(U24/T24,"-")</f>
        <v>0.427757564885496</v>
      </c>
      <c r="W24" s="1066" t="inlineStr">
        <is>
          <t>G</t>
        </is>
      </c>
      <c r="X24" s="1878" t="n"/>
      <c r="Y24" s="1878" t="n"/>
      <c r="Z24" s="1878">
        <f>Y24-X24</f>
        <v>0</v>
      </c>
      <c r="AA24" s="1879" t="str">
        <f>IFERROR(Z24/Y24,"-")</f>
        <v>-</v>
      </c>
      <c r="AB24" s="1075" t="n"/>
      <c r="AC24" s="1878" t="n">
        <v>8.640000000000001</v>
      </c>
      <c r="AD24" s="1878" t="n">
        <v>6.845</v>
      </c>
      <c r="AE24" s="1878">
        <f>AD24-AC24</f>
        <v>-1.795</v>
      </c>
      <c r="AF24" s="1879">
        <f>IFERROR(AE24/AD24,"-")</f>
        <v>-0.262235208181154</v>
      </c>
      <c r="AG24" s="1078" t="inlineStr">
        <is>
          <t>R</t>
        </is>
      </c>
      <c r="AH24" s="1878" t="n">
        <v>11.38963308</v>
      </c>
      <c r="AI24" s="1878" t="n">
        <v>11.8</v>
      </c>
      <c r="AJ24" s="1878">
        <f>AI24-AH24</f>
        <v>0.410366920000001</v>
      </c>
      <c r="AK24" s="1879">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8">
        <f>I25+AC25+AH25+X25</f>
        <v>7.830666008274</v>
      </c>
      <c r="E25" s="1878">
        <f>J25+AD25+AI25+Y25</f>
        <v>8.00952437</v>
      </c>
      <c r="F25" s="1878">
        <f>E25-D25</f>
        <v>0.178858361726</v>
      </c>
      <c r="G25" s="1879">
        <f>IFERROR(F25/E25,"-")</f>
        <v>0.0223307094733267</v>
      </c>
      <c r="H25" s="1066" t="inlineStr">
        <is>
          <t>G</t>
        </is>
      </c>
      <c r="I25" s="1878" t="n">
        <v>5.04409835</v>
      </c>
      <c r="J25" s="1878" t="n">
        <v>5.01193945</v>
      </c>
      <c r="K25" s="1878">
        <f>J25-I25</f>
        <v>-0.0321588999999998</v>
      </c>
      <c r="L25" s="1879">
        <f>IFERROR(K25/J25,"-")</f>
        <v>-0.00641645820362011</v>
      </c>
      <c r="M25" s="1067" t="inlineStr">
        <is>
          <t>A</t>
        </is>
      </c>
      <c r="N25" s="1875">
        <f>I25-S25</f>
        <v>4.53621563</v>
      </c>
      <c r="O25" s="1875">
        <f>J25-T25</f>
        <v>4.04193945</v>
      </c>
      <c r="P25" s="1878">
        <f>O25-N25</f>
        <v>-0.494276179999999</v>
      </c>
      <c r="Q25" s="1879">
        <f>IFERROR(P25/O25,"-")</f>
        <v>-0.122286883837411</v>
      </c>
      <c r="R25" s="1078" t="inlineStr">
        <is>
          <t>R</t>
        </is>
      </c>
      <c r="S25" s="1878" t="n">
        <v>0.50788272</v>
      </c>
      <c r="T25" s="1878" t="n">
        <v>0.97</v>
      </c>
      <c r="U25" s="1878">
        <f>T25-S25</f>
        <v>0.46211728</v>
      </c>
      <c r="V25" s="1879">
        <f>IFERROR(U25/T25,"-")</f>
        <v>0.476409567010309</v>
      </c>
      <c r="W25" s="1066" t="inlineStr">
        <is>
          <t>G</t>
        </is>
      </c>
      <c r="X25" s="1878" t="n"/>
      <c r="Y25" s="1878" t="n"/>
      <c r="Z25" s="1878">
        <f>Y25-X25</f>
        <v>0</v>
      </c>
      <c r="AA25" s="1879" t="str">
        <f>IFERROR(Z25/Y25,"-")</f>
        <v>-</v>
      </c>
      <c r="AB25" s="1075" t="n"/>
      <c r="AC25" s="1878" t="n"/>
      <c r="AD25" s="1878" t="n"/>
      <c r="AE25" s="1878">
        <f>AD25-AC25</f>
        <v>0</v>
      </c>
      <c r="AF25" s="1879" t="str">
        <f>IFERROR(AE25/AD25,"-")</f>
        <v>-</v>
      </c>
      <c r="AG25" s="1075" t="n"/>
      <c r="AH25" s="1878" t="n">
        <v>2.786567658274</v>
      </c>
      <c r="AI25" s="1878" t="n">
        <v>2.99758492</v>
      </c>
      <c r="AJ25" s="1878">
        <f>AI25-AH25</f>
        <v>0.211017261726</v>
      </c>
      <c r="AK25" s="1879">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8">
        <f>I26+AC26+AH26+X26</f>
        <v>8.41854714</v>
      </c>
      <c r="E26" s="1878">
        <f>J26+AD26+AI26+Y26</f>
        <v>9.24937596</v>
      </c>
      <c r="F26" s="1878">
        <f>E26-D26</f>
        <v>0.830828820000001</v>
      </c>
      <c r="G26" s="1879">
        <f>IFERROR(F26/E26,"-")</f>
        <v>0.0898253918527062</v>
      </c>
      <c r="H26" s="1066" t="inlineStr">
        <is>
          <t>G</t>
        </is>
      </c>
      <c r="I26" s="1878" t="n">
        <v>4.27497864</v>
      </c>
      <c r="J26" s="1878" t="n">
        <v>4.357958</v>
      </c>
      <c r="K26" s="1878">
        <f>J26-I26</f>
        <v>0.0829793600000004</v>
      </c>
      <c r="L26" s="1879">
        <f>IFERROR(K26/J26,"-")</f>
        <v>0.0190408810732</v>
      </c>
      <c r="M26" s="1066" t="inlineStr">
        <is>
          <t>G</t>
        </is>
      </c>
      <c r="N26" s="1875">
        <f>I26-S26</f>
        <v>3.30102534</v>
      </c>
      <c r="O26" s="1875">
        <f>J26-T26</f>
        <v>3.594596</v>
      </c>
      <c r="P26" s="1878">
        <f>O26-N26</f>
        <v>0.29357066</v>
      </c>
      <c r="Q26" s="1879">
        <f>IFERROR(P26/O26,"-")</f>
        <v>0.0816700013019545</v>
      </c>
      <c r="R26" s="1066" t="inlineStr">
        <is>
          <t>G</t>
        </is>
      </c>
      <c r="S26" s="1878" t="n">
        <v>0.9739533</v>
      </c>
      <c r="T26" s="1878" t="n">
        <v>0.763362</v>
      </c>
      <c r="U26" s="1878">
        <f>T26-S26</f>
        <v>-0.2105913</v>
      </c>
      <c r="V26" s="1879">
        <f>IFERROR(U26/T26,"-")</f>
        <v>-0.275873438814088</v>
      </c>
      <c r="W26" s="1078" t="inlineStr">
        <is>
          <t>R</t>
        </is>
      </c>
      <c r="X26" s="1878" t="n"/>
      <c r="Y26" s="1878" t="n"/>
      <c r="Z26" s="1878">
        <f>Y26-X26</f>
        <v>0</v>
      </c>
      <c r="AA26" s="1879" t="str">
        <f>IFERROR(Z26/Y26,"-")</f>
        <v>-</v>
      </c>
      <c r="AB26" s="1075" t="n"/>
      <c r="AC26" s="1878" t="n"/>
      <c r="AD26" s="1878" t="n"/>
      <c r="AE26" s="1878">
        <f>AD26-AC26</f>
        <v>0</v>
      </c>
      <c r="AF26" s="1879" t="str">
        <f>IFERROR(AE26/AD26,"-")</f>
        <v>-</v>
      </c>
      <c r="AG26" s="1075" t="n"/>
      <c r="AH26" s="1878" t="n">
        <v>4.1435685</v>
      </c>
      <c r="AI26" s="1878" t="n">
        <v>4.89141796</v>
      </c>
      <c r="AJ26" s="1878">
        <f>AI26-AH26</f>
        <v>0.74784946</v>
      </c>
      <c r="AK26" s="1879">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8">
        <f>I27+AC27+AH27+X27</f>
        <v>5.27211191</v>
      </c>
      <c r="E27" s="1878">
        <f>J27+AD27+AI27+Y27</f>
        <v>3.88077368</v>
      </c>
      <c r="F27" s="1878">
        <f>E27-D27</f>
        <v>-1.39133823</v>
      </c>
      <c r="G27" s="1879">
        <f>IFERROR(F27/E27,"-")</f>
        <v>-0.358520837525367</v>
      </c>
      <c r="H27" s="1078" t="inlineStr">
        <is>
          <t>R</t>
        </is>
      </c>
      <c r="I27" s="1878" t="n">
        <v>5.27211191</v>
      </c>
      <c r="J27" s="1878" t="n">
        <v>3.88077368</v>
      </c>
      <c r="K27" s="1878">
        <f>J27-I27</f>
        <v>-1.39133823</v>
      </c>
      <c r="L27" s="1879">
        <f>IFERROR(K27/J27,"-")</f>
        <v>-0.358520837525367</v>
      </c>
      <c r="M27" s="1078" t="inlineStr">
        <is>
          <t>R</t>
        </is>
      </c>
      <c r="N27" s="1875">
        <f>I27-S27</f>
        <v>4.35889564</v>
      </c>
      <c r="O27" s="1875">
        <f>J27-T27</f>
        <v>2.94528707</v>
      </c>
      <c r="P27" s="1878">
        <f>O27-N27</f>
        <v>-1.41360857</v>
      </c>
      <c r="Q27" s="1879">
        <f>IFERROR(P27/O27,"-")</f>
        <v>-0.479956125295454</v>
      </c>
      <c r="R27" s="1078" t="inlineStr">
        <is>
          <t>R</t>
        </is>
      </c>
      <c r="S27" s="1878" t="n">
        <v>0.9132162700000001</v>
      </c>
      <c r="T27" s="1878" t="n">
        <v>0.93548661</v>
      </c>
      <c r="U27" s="1878">
        <f>T27-S27</f>
        <v>0.0222703399999999</v>
      </c>
      <c r="V27" s="1879">
        <f>IFERROR(U27/T27,"-")</f>
        <v>0.0238061558144589</v>
      </c>
      <c r="W27" s="1066" t="inlineStr">
        <is>
          <t>G</t>
        </is>
      </c>
      <c r="X27" s="1878" t="n"/>
      <c r="Y27" s="1878" t="n"/>
      <c r="Z27" s="1878">
        <f>Y27-X27</f>
        <v>0</v>
      </c>
      <c r="AA27" s="1879" t="str">
        <f>IFERROR(Z27/Y27,"-")</f>
        <v>-</v>
      </c>
      <c r="AB27" s="1075" t="n"/>
      <c r="AC27" s="1878" t="n"/>
      <c r="AD27" s="1878" t="n"/>
      <c r="AE27" s="1878">
        <f>AD27-AC27</f>
        <v>0</v>
      </c>
      <c r="AF27" s="1879" t="str">
        <f>IFERROR(AE27/AD27,"-")</f>
        <v>-</v>
      </c>
      <c r="AG27" s="1075" t="n"/>
      <c r="AH27" s="1878" t="n">
        <v>0</v>
      </c>
      <c r="AI27" s="1878" t="n">
        <v>0</v>
      </c>
      <c r="AJ27" s="1878">
        <f>AI27-AH27</f>
        <v>0</v>
      </c>
      <c r="AK27" s="1879" t="str">
        <f>IFERROR(AJ27/AI27,"-")</f>
        <v>-</v>
      </c>
      <c r="AL27" s="1076" t="inlineStr">
        <is>
          <t>G</t>
        </is>
      </c>
    </row>
    <row r="28" ht="24" customFormat="1" customHeight="1" s="1059">
      <c r="A28" s="1059" t="inlineStr">
        <is>
          <t>People &amp; Culture</t>
        </is>
      </c>
      <c r="B28" s="1107" t="inlineStr">
        <is>
          <t>P&amp;C</t>
        </is>
      </c>
      <c r="C28" s="1073" t="inlineStr">
        <is>
          <t>Emily Mogic</t>
        </is>
      </c>
      <c r="D28" s="1878">
        <f>I28+AC28+AH28+X28</f>
        <v>5.4932256</v>
      </c>
      <c r="E28" s="1878">
        <f>J28+AD28+AI28+Y28</f>
        <v>5.81303803</v>
      </c>
      <c r="F28" s="1878">
        <f>E28-D28</f>
        <v>0.319812430000001</v>
      </c>
      <c r="G28" s="1879">
        <f>IFERROR(F28/E28,"-")</f>
        <v>0.0550164007786477</v>
      </c>
      <c r="H28" s="1066" t="inlineStr">
        <is>
          <t>G</t>
        </is>
      </c>
      <c r="I28" s="1878" t="n">
        <v>3.85168615</v>
      </c>
      <c r="J28" s="1878" t="n">
        <v>4.12303803</v>
      </c>
      <c r="K28" s="1878">
        <f>J28-I28</f>
        <v>0.27135188</v>
      </c>
      <c r="L28" s="1879">
        <f>IFERROR(K28/J28,"-")</f>
        <v>0.0658135767910926</v>
      </c>
      <c r="M28" s="1066" t="inlineStr">
        <is>
          <t>G</t>
        </is>
      </c>
      <c r="N28" s="1875">
        <f>I28-S28</f>
        <v>1.91213530398386</v>
      </c>
      <c r="O28" s="1875">
        <f>J28-T28</f>
        <v>2.14803803</v>
      </c>
      <c r="P28" s="1878">
        <f>O28-N28</f>
        <v>0.23590272601614</v>
      </c>
      <c r="Q28" s="1879">
        <f>IFERROR(P28/O28,"-")</f>
        <v>0.109822415954218</v>
      </c>
      <c r="R28" s="1066" t="inlineStr">
        <is>
          <t>G</t>
        </is>
      </c>
      <c r="S28" s="1878" t="n">
        <v>1.93955084601614</v>
      </c>
      <c r="T28" s="1878" t="n">
        <v>1.975</v>
      </c>
      <c r="U28" s="1878">
        <f>T28-S28</f>
        <v>0.0354491539838602</v>
      </c>
      <c r="V28" s="1879">
        <f>IFERROR(U28/T28,"-")</f>
        <v>0.0179489387260052</v>
      </c>
      <c r="W28" s="1066" t="inlineStr">
        <is>
          <t>G</t>
        </is>
      </c>
      <c r="X28" s="1878" t="n"/>
      <c r="Y28" s="1878" t="n"/>
      <c r="Z28" s="1878">
        <f>Y28-X28</f>
        <v>0</v>
      </c>
      <c r="AA28" s="1879" t="str">
        <f>IFERROR(Z28/Y28,"-")</f>
        <v>-</v>
      </c>
      <c r="AB28" s="1075" t="n"/>
      <c r="AC28" s="1878" t="n">
        <v>1.31153945</v>
      </c>
      <c r="AD28" s="1878" t="n">
        <v>1.36</v>
      </c>
      <c r="AE28" s="1878">
        <f>AD28-AC28</f>
        <v>0.0484605500000002</v>
      </c>
      <c r="AF28" s="1879">
        <f>IFERROR(AE28/AD28,"-")</f>
        <v>0.0356327573529413</v>
      </c>
      <c r="AG28" s="1066" t="inlineStr">
        <is>
          <t>G</t>
        </is>
      </c>
      <c r="AH28" s="1878" t="n">
        <v>0.33</v>
      </c>
      <c r="AI28" s="1878" t="n">
        <v>0.33</v>
      </c>
      <c r="AJ28" s="1878">
        <f>AI28-AH28</f>
        <v>0</v>
      </c>
      <c r="AK28" s="1879">
        <f>IFERROR(AJ28/AI28,"-")</f>
        <v>0</v>
      </c>
      <c r="AL28" s="1076" t="inlineStr">
        <is>
          <t>G</t>
        </is>
      </c>
    </row>
    <row r="29" ht="24" customFormat="1" customHeight="1" s="1059">
      <c r="A29" s="1059" t="inlineStr">
        <is>
          <t>Customer</t>
        </is>
      </c>
      <c r="B29" s="1108" t="inlineStr">
        <is>
          <t>Customer</t>
        </is>
      </c>
      <c r="C29" s="1082" t="inlineStr">
        <is>
          <t>Harley Giles</t>
        </is>
      </c>
      <c r="D29" s="1881">
        <f>I29+AC29+AH29+X29</f>
        <v>10.98378269</v>
      </c>
      <c r="E29" s="1881">
        <f>J29+AD29+AI29+Y29</f>
        <v>11.69153287</v>
      </c>
      <c r="F29" s="1881">
        <f>E29-D29</f>
        <v>0.70775018</v>
      </c>
      <c r="G29" s="1882">
        <f>IFERROR(F29/E29,"-")</f>
        <v>0.0605352769281484</v>
      </c>
      <c r="H29" s="1086" t="inlineStr">
        <is>
          <t>G</t>
        </is>
      </c>
      <c r="I29" s="1881" t="n">
        <v>2.74505002</v>
      </c>
      <c r="J29" s="1881" t="n">
        <v>1.69153283</v>
      </c>
      <c r="K29" s="1881">
        <f>J29-I29</f>
        <v>-1.05351719</v>
      </c>
      <c r="L29" s="1882">
        <f>IFERROR(K29/J29,"-")</f>
        <v>-0.622818056685308</v>
      </c>
      <c r="M29" s="1109" t="inlineStr">
        <is>
          <t>R</t>
        </is>
      </c>
      <c r="N29" s="1883">
        <f>I29-S29</f>
        <v>2.74505002</v>
      </c>
      <c r="O29" s="1883">
        <f>J29-T29</f>
        <v>1.69153283</v>
      </c>
      <c r="P29" s="1881">
        <f>O29-N29</f>
        <v>-1.05351719</v>
      </c>
      <c r="Q29" s="1882">
        <f>IFERROR(P29/O29,"-")</f>
        <v>-0.622818056685308</v>
      </c>
      <c r="R29" s="1109" t="inlineStr">
        <is>
          <t>R</t>
        </is>
      </c>
      <c r="S29" s="1881" t="n">
        <v>0</v>
      </c>
      <c r="T29" s="1881" t="n">
        <v>0</v>
      </c>
      <c r="U29" s="1881">
        <f>T29-S29</f>
        <v>0</v>
      </c>
      <c r="V29" s="1882" t="str">
        <f>IFERROR(U29/T29,"-")</f>
        <v>-</v>
      </c>
      <c r="W29" s="1088" t="n"/>
      <c r="X29" s="1881" t="n"/>
      <c r="Y29" s="1881" t="n"/>
      <c r="Z29" s="1881">
        <f>Y29-X29</f>
        <v>0</v>
      </c>
      <c r="AA29" s="1882" t="str">
        <f>IFERROR(Z29/Y29,"-")</f>
        <v>-</v>
      </c>
      <c r="AB29" s="1088" t="n"/>
      <c r="AC29" s="1881" t="n">
        <v>3.83238698</v>
      </c>
      <c r="AD29" s="1881" t="n">
        <v>5.00000004</v>
      </c>
      <c r="AE29" s="1881">
        <f>AD29-AC29</f>
        <v>1.16761306</v>
      </c>
      <c r="AF29" s="1882">
        <f>IFERROR(AE29/AD29,"-")</f>
        <v>0.233522610131819</v>
      </c>
      <c r="AG29" s="1110" t="inlineStr">
        <is>
          <t>G</t>
        </is>
      </c>
      <c r="AH29" s="1881" t="n">
        <v>4.40634569</v>
      </c>
      <c r="AI29" s="1881" t="n">
        <v>5</v>
      </c>
      <c r="AJ29" s="1881">
        <f>AI29-AH29</f>
        <v>0.59365431</v>
      </c>
      <c r="AK29" s="1882">
        <f>IFERROR(AJ29/AI29,"-")</f>
        <v>0.118730862</v>
      </c>
      <c r="AL29" s="1089" t="inlineStr">
        <is>
          <t>G</t>
        </is>
      </c>
    </row>
    <row r="30" ht="26.25" customFormat="1" customHeight="1" s="1090">
      <c r="B30" s="1091" t="inlineStr">
        <is>
          <t>Total Technology</t>
        </is>
      </c>
      <c r="C30" s="1091" t="n"/>
      <c r="D30" s="1887">
        <f>SUM(D21:D29)</f>
        <v>297.093218538644</v>
      </c>
      <c r="E30" s="1885">
        <f>SUM(E21:E29)</f>
        <v>302.522349682313</v>
      </c>
      <c r="F30" s="1885">
        <f>SUM(F21:F29)</f>
        <v>5.42913114366853</v>
      </c>
      <c r="G30" s="1888">
        <f>F30/E30</f>
        <v>0.0179462150461604</v>
      </c>
      <c r="H30" s="1095" t="inlineStr">
        <is>
          <t>G</t>
        </is>
      </c>
      <c r="I30" s="1887">
        <f>SUM(I21:I29)</f>
        <v>190.047778899939</v>
      </c>
      <c r="J30" s="1885">
        <f>SUM(J21:J29)</f>
        <v>189.384761613026</v>
      </c>
      <c r="K30" s="1885">
        <f>SUM(K21:K29)</f>
        <v>-0.663017286913805</v>
      </c>
      <c r="L30" s="1886">
        <f>K30/J30</f>
        <v>-0.00350090092395377</v>
      </c>
      <c r="M30" s="1097" t="inlineStr">
        <is>
          <t>A</t>
        </is>
      </c>
      <c r="N30" s="1887">
        <f>SUM(N21:N29)</f>
        <v>176.232290800297</v>
      </c>
      <c r="O30" s="1885">
        <f>SUM(O21:O29)</f>
        <v>173.122952079949</v>
      </c>
      <c r="P30" s="1885">
        <f>SUM(P21:P29)</f>
        <v>-3.10933872034821</v>
      </c>
      <c r="Q30" s="1886">
        <f>P30/O30</f>
        <v>-0.0179602917059334</v>
      </c>
      <c r="R30" s="1097" t="inlineStr">
        <is>
          <t>A</t>
        </is>
      </c>
      <c r="S30" s="1887">
        <f>SUM(S21:S29)</f>
        <v>13.8154880996425</v>
      </c>
      <c r="T30" s="1885">
        <f>SUM(T21:T29)</f>
        <v>16.2618095330769</v>
      </c>
      <c r="U30" s="1885">
        <f>SUM(U21:U29)</f>
        <v>2.4463214334344</v>
      </c>
      <c r="V30" s="1886">
        <f>U30/T30</f>
        <v>0.150433531302806</v>
      </c>
      <c r="W30" s="1095" t="inlineStr">
        <is>
          <t>G</t>
        </is>
      </c>
      <c r="X30" s="1887">
        <f>SUM(X21:X29)</f>
        <v>15.8480092516</v>
      </c>
      <c r="Y30" s="1885">
        <f>SUM(Y21:Y29)</f>
        <v>17.1065704692871</v>
      </c>
      <c r="Z30" s="1885">
        <f>SUM(Z21:Z29)</f>
        <v>1.2585612176871</v>
      </c>
      <c r="AA30" s="1886">
        <f>Z30/Y30</f>
        <v>0.0735718021298719</v>
      </c>
      <c r="AB30" s="1095" t="inlineStr">
        <is>
          <t>G</t>
        </is>
      </c>
      <c r="AC30" s="1887">
        <f>SUM(AC21:AC29)</f>
        <v>48.10701505</v>
      </c>
      <c r="AD30" s="1885">
        <f>SUM(AD21:AD29)</f>
        <v>47.62080804</v>
      </c>
      <c r="AE30" s="1885">
        <f>SUM(AE21:AE29)</f>
        <v>-0.486207009999999</v>
      </c>
      <c r="AF30" s="1886">
        <f>AE30/AD30</f>
        <v>-0.0102099697592615</v>
      </c>
      <c r="AG30" s="1097" t="inlineStr">
        <is>
          <t>A</t>
        </is>
      </c>
      <c r="AH30" s="1887">
        <f>SUM(AH21:AH29)</f>
        <v>43.0904153371048</v>
      </c>
      <c r="AI30" s="1885">
        <f>SUM(AI21:AI29)</f>
        <v>48.41020956</v>
      </c>
      <c r="AJ30" s="1885">
        <f>SUM(AJ21:AJ29)</f>
        <v>5.31979422289523</v>
      </c>
      <c r="AK30" s="1886">
        <f>AJ30/AI30</f>
        <v>0.109889923453065</v>
      </c>
      <c r="AL30" s="1098" t="inlineStr">
        <is>
          <t>G</t>
        </is>
      </c>
    </row>
    <row r="31" ht="15.75" customHeight="1" s="866">
      <c r="I31" s="1889">
        <f>I30/$D30</f>
        <v>0.639690733550753</v>
      </c>
      <c r="J31" s="1101" t="n"/>
      <c r="K31" s="1101" t="n"/>
      <c r="L31" s="1101" t="n"/>
      <c r="M31" s="1101" t="n"/>
      <c r="N31" s="1889">
        <f>N30/$D30</f>
        <v>0.593188534114499</v>
      </c>
      <c r="O31" s="1101" t="n"/>
      <c r="P31" s="1101" t="n"/>
      <c r="Q31" s="1101" t="n"/>
      <c r="R31" s="1101" t="n"/>
      <c r="S31" s="1889">
        <f>S30/$D30</f>
        <v>0.0465021994362536</v>
      </c>
      <c r="T31" s="1101" t="n"/>
      <c r="U31" s="1101" t="n"/>
      <c r="V31" s="1101" t="n"/>
      <c r="W31" s="1101" t="n"/>
      <c r="X31" s="1889">
        <f>X30/$D30</f>
        <v>0.0533435577208861</v>
      </c>
      <c r="AC31" s="1889">
        <f>AC30/$D30</f>
        <v>0.161925658507559</v>
      </c>
      <c r="AD31" s="1101" t="n"/>
      <c r="AE31" s="1101" t="n"/>
      <c r="AF31" s="1101" t="n"/>
      <c r="AG31" s="1101" t="n"/>
      <c r="AH31" s="1889">
        <f>AH30/$D30</f>
        <v>0.145040050220802</v>
      </c>
      <c r="AI31" s="1101" t="n"/>
      <c r="AJ31" s="1101" t="n"/>
      <c r="AK31" s="1101" t="n"/>
      <c r="AL31" s="1101" t="n"/>
    </row>
    <row r="32" ht="15" customHeight="1" s="866">
      <c r="AO32" s="189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2" t="inlineStr">
        <is>
          <t>A</t>
        </is>
      </c>
      <c r="E36" s="1893" t="inlineStr">
        <is>
          <t>B</t>
        </is>
      </c>
      <c r="F36" s="1893" t="inlineStr">
        <is>
          <t>V</t>
        </is>
      </c>
      <c r="G36" s="1054" t="inlineStr">
        <is>
          <t>V %</t>
        </is>
      </c>
      <c r="H36" s="1058" t="inlineStr">
        <is>
          <t>Trend</t>
        </is>
      </c>
      <c r="I36" s="1892" t="inlineStr">
        <is>
          <t>F</t>
        </is>
      </c>
      <c r="J36" s="1893" t="inlineStr">
        <is>
          <t>B</t>
        </is>
      </c>
      <c r="K36" s="1893" t="inlineStr">
        <is>
          <t>V</t>
        </is>
      </c>
      <c r="L36" s="1054" t="inlineStr">
        <is>
          <t>V %</t>
        </is>
      </c>
      <c r="M36" s="1058" t="inlineStr">
        <is>
          <t>Trend</t>
        </is>
      </c>
    </row>
    <row r="37" ht="19.5" customHeight="1" s="866">
      <c r="B37" s="1119" t="inlineStr">
        <is>
          <t>Lights on</t>
        </is>
      </c>
      <c r="C37" s="1119" t="n"/>
      <c r="D37" s="1877">
        <f>N14</f>
        <v>86.6600691054769</v>
      </c>
      <c r="E37" s="1877">
        <f>O14</f>
        <v>85.1255641208856</v>
      </c>
      <c r="F37" s="1878">
        <f>E37-D37</f>
        <v>-1.53450498459134</v>
      </c>
      <c r="G37" s="1879">
        <f>IFERROR(F37/E37,"-")</f>
        <v>-0.0180263708139685</v>
      </c>
      <c r="H37" s="1120" t="inlineStr">
        <is>
          <t>A</t>
        </is>
      </c>
      <c r="I37" s="1877">
        <f>N30</f>
        <v>176.232290800297</v>
      </c>
      <c r="J37" s="1877">
        <f>O30</f>
        <v>173.122952079949</v>
      </c>
      <c r="K37" s="1878">
        <f>J37-I37</f>
        <v>-3.10933872034823</v>
      </c>
      <c r="L37" s="1879">
        <f>IFERROR(K37/J37,"-")</f>
        <v>-0.0179602917059336</v>
      </c>
      <c r="M37" s="1120" t="inlineStr">
        <is>
          <t>A</t>
        </is>
      </c>
    </row>
    <row r="38" ht="19.5" customHeight="1" s="866">
      <c r="B38" s="1121" t="inlineStr">
        <is>
          <t>Depreciation</t>
        </is>
      </c>
      <c r="C38" s="1121" t="n"/>
      <c r="D38" s="1880">
        <f>X14</f>
        <v>7.620976354</v>
      </c>
      <c r="E38" s="1881">
        <f>Y14</f>
        <v>8.07758416517918</v>
      </c>
      <c r="F38" s="1881">
        <f>E38-D38</f>
        <v>0.456607811179179</v>
      </c>
      <c r="G38" s="1882">
        <f>IFERROR(F38/E38,"-")</f>
        <v>0.0565277689271902</v>
      </c>
      <c r="H38" s="1089" t="inlineStr">
        <is>
          <t>G</t>
        </is>
      </c>
      <c r="I38" s="1880">
        <f>X30</f>
        <v>15.8480092516</v>
      </c>
      <c r="J38" s="1881">
        <f>Y30</f>
        <v>17.1065704692871</v>
      </c>
      <c r="K38" s="1881">
        <f>J38-I38</f>
        <v>1.2585612176871</v>
      </c>
      <c r="L38" s="1882">
        <f>IFERROR(K38/J38,"-")</f>
        <v>0.0735718021298718</v>
      </c>
      <c r="M38" s="1089" t="inlineStr">
        <is>
          <t>G</t>
        </is>
      </c>
    </row>
    <row r="39" ht="19.5" customHeight="1" s="866">
      <c r="B39" s="1122" t="inlineStr">
        <is>
          <t>Lights on + Depreciation</t>
        </is>
      </c>
      <c r="C39" s="1122" t="n"/>
      <c r="D39" s="1894">
        <f>SUM(D37:D38)</f>
        <v>94.2810454594769</v>
      </c>
      <c r="E39" s="1895">
        <f>SUM(E37:E38)</f>
        <v>93.2031482860648</v>
      </c>
      <c r="F39" s="1895">
        <f>SUM(F37:F38)</f>
        <v>-1.07789717341216</v>
      </c>
      <c r="G39" s="1896">
        <f>IFERROR(F39/E39,"-")</f>
        <v>-0.0115650296501124</v>
      </c>
      <c r="H39" s="1126" t="inlineStr">
        <is>
          <t>A</t>
        </is>
      </c>
      <c r="I39" s="1894">
        <f>SUM(I37:I38)</f>
        <v>192.080300051897</v>
      </c>
      <c r="J39" s="1895">
        <f>SUM(J37:J38)</f>
        <v>190.229522549236</v>
      </c>
      <c r="K39" s="1895">
        <f>SUM(K37:K38)</f>
        <v>-1.85077750266113</v>
      </c>
      <c r="L39" s="1896">
        <f>IFERROR(K39/J39,"-")</f>
        <v>-0.00972918124305396</v>
      </c>
      <c r="M39" s="1126" t="inlineStr">
        <is>
          <t>A</t>
        </is>
      </c>
    </row>
    <row r="40" ht="19.5" customHeight="1" s="866">
      <c r="B40" s="1119" t="inlineStr">
        <is>
          <t>Opex Initiatives</t>
        </is>
      </c>
      <c r="C40" s="1119" t="n"/>
      <c r="D40" s="1874">
        <f>S14</f>
        <v>5.61932600692308</v>
      </c>
      <c r="E40" s="1875">
        <f>T14</f>
        <v>8.13090476653846</v>
      </c>
      <c r="F40" s="1875">
        <f>E40-D40</f>
        <v>2.51157875961538</v>
      </c>
      <c r="G40" s="1876">
        <f>IFERROR(F40/E40,"-")</f>
        <v>0.308892900818543</v>
      </c>
      <c r="H40" s="1068" t="inlineStr">
        <is>
          <t>G</t>
        </is>
      </c>
      <c r="I40" s="1874">
        <f>S30</f>
        <v>13.8154880996425</v>
      </c>
      <c r="J40" s="1875">
        <f>T30</f>
        <v>16.2618095330769</v>
      </c>
      <c r="K40" s="1875">
        <f>J40-I40</f>
        <v>2.4463214334344</v>
      </c>
      <c r="L40" s="1876">
        <f>IFERROR(K40/J40,"-")</f>
        <v>0.150433531302806</v>
      </c>
      <c r="M40" s="1068" t="inlineStr">
        <is>
          <t>G</t>
        </is>
      </c>
    </row>
    <row r="41" ht="19.5" customHeight="1" s="866">
      <c r="B41" s="1127" t="inlineStr">
        <is>
          <t>Capex</t>
        </is>
      </c>
      <c r="C41" s="1119" t="n"/>
      <c r="D41" s="1877">
        <f>AH14</f>
        <v>12.405728604274</v>
      </c>
      <c r="E41" s="1878">
        <f>AI14</f>
        <v>23.5780706936364</v>
      </c>
      <c r="F41" s="1878">
        <f>E41-D41</f>
        <v>11.1723420893624</v>
      </c>
      <c r="G41" s="1879">
        <f>IFERROR(F41/E41,"-")</f>
        <v>0.473844625988747</v>
      </c>
      <c r="H41" s="1076" t="inlineStr">
        <is>
          <t>G</t>
        </is>
      </c>
      <c r="I41" s="1877">
        <f>AH30</f>
        <v>43.0904153371048</v>
      </c>
      <c r="J41" s="1878">
        <f>AI30</f>
        <v>48.41020956</v>
      </c>
      <c r="K41" s="1878">
        <f>J41-I41</f>
        <v>5.31979422289523</v>
      </c>
      <c r="L41" s="1879">
        <f>IFERROR(K41/J41,"-")</f>
        <v>0.109889923453065</v>
      </c>
      <c r="M41" s="1076" t="inlineStr">
        <is>
          <t>G</t>
        </is>
      </c>
    </row>
    <row r="42" ht="19.5" customHeight="1" s="866">
      <c r="B42" s="1128" t="inlineStr">
        <is>
          <t>Significant Items</t>
        </is>
      </c>
      <c r="C42" s="1121" t="n"/>
      <c r="D42" s="1880">
        <f>AC14</f>
        <v>17.270476819697</v>
      </c>
      <c r="E42" s="1881">
        <f>AD14</f>
        <v>24.41420402</v>
      </c>
      <c r="F42" s="1881">
        <f>E42-D42</f>
        <v>7.14372720030303</v>
      </c>
      <c r="G42" s="1882">
        <f>IFERROR(F42/E42,"-")</f>
        <v>0.292605369990802</v>
      </c>
      <c r="H42" s="1089" t="inlineStr">
        <is>
          <t>G</t>
        </is>
      </c>
      <c r="I42" s="1880">
        <f>AC30</f>
        <v>48.10701505</v>
      </c>
      <c r="J42" s="1881">
        <f>AD30</f>
        <v>47.62080804</v>
      </c>
      <c r="K42" s="1881">
        <f>J42-I42</f>
        <v>-0.486207010000001</v>
      </c>
      <c r="L42" s="1882">
        <f>IFERROR(K42/J42,"-")</f>
        <v>-0.0102099697592616</v>
      </c>
      <c r="M42" s="1071" t="inlineStr">
        <is>
          <t>A</t>
        </is>
      </c>
    </row>
    <row r="43" ht="19.5" customHeight="1" s="866">
      <c r="B43" s="1122" t="inlineStr">
        <is>
          <t>Projects</t>
        </is>
      </c>
      <c r="C43" s="1122" t="n"/>
      <c r="D43" s="1894">
        <f>SUM(D40:D42)</f>
        <v>35.295531430894</v>
      </c>
      <c r="E43" s="1895">
        <f>SUM(E40:E42)</f>
        <v>56.1231794801748</v>
      </c>
      <c r="F43" s="1895">
        <f>SUM(F40:F42)</f>
        <v>20.8276480492808</v>
      </c>
      <c r="G43" s="1896">
        <f>IFERROR(F43/E43,"-")</f>
        <v>0.371105989400298</v>
      </c>
      <c r="H43" s="1129" t="inlineStr">
        <is>
          <t>G</t>
        </is>
      </c>
      <c r="I43" s="1894">
        <f>SUM(I40:I42)</f>
        <v>105.012918486747</v>
      </c>
      <c r="J43" s="1895">
        <f>SUM(J40:J42)</f>
        <v>112.292827133077</v>
      </c>
      <c r="K43" s="1895">
        <f>SUM(K40:K42)</f>
        <v>7.27990864632963</v>
      </c>
      <c r="L43" s="1896">
        <f>IFERROR(K43/J43,"-")</f>
        <v>0.0648296853164298</v>
      </c>
      <c r="M43" s="1129" t="inlineStr">
        <is>
          <t>G</t>
        </is>
      </c>
    </row>
    <row r="44" ht="19.5" customHeight="1" s="866">
      <c r="B44" s="1130" t="inlineStr">
        <is>
          <t>Total Technology</t>
        </is>
      </c>
      <c r="C44" s="1130" t="n"/>
      <c r="D44" s="1894">
        <f>SUM(D43,D39)</f>
        <v>129.576576890371</v>
      </c>
      <c r="E44" s="1895">
        <f>SUM(E43,E39)</f>
        <v>149.32632776624</v>
      </c>
      <c r="F44" s="1895">
        <f>SUM(F43,F39)</f>
        <v>19.7497508758686</v>
      </c>
      <c r="G44" s="1896">
        <f>IFERROR(F44/E44,"-")</f>
        <v>0.132259000614986</v>
      </c>
      <c r="H44" s="1129" t="inlineStr">
        <is>
          <t>G</t>
        </is>
      </c>
      <c r="I44" s="1894">
        <f>SUM(I43,I39)</f>
        <v>297.093218538644</v>
      </c>
      <c r="J44" s="1895">
        <f>SUM(J43,J39)</f>
        <v>302.522349682313</v>
      </c>
      <c r="K44" s="1895">
        <f>SUM(K43,K39)</f>
        <v>5.42913114366849</v>
      </c>
      <c r="L44" s="1896">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2" t="inlineStr">
        <is>
          <t>A</t>
        </is>
      </c>
      <c r="E48" s="1893" t="inlineStr">
        <is>
          <t>B</t>
        </is>
      </c>
      <c r="F48" s="1893" t="inlineStr">
        <is>
          <t>V</t>
        </is>
      </c>
      <c r="G48" s="1054" t="inlineStr">
        <is>
          <t>V %</t>
        </is>
      </c>
      <c r="H48" s="1058" t="inlineStr">
        <is>
          <t>Trend</t>
        </is>
      </c>
      <c r="I48" s="1892" t="inlineStr">
        <is>
          <t>A</t>
        </is>
      </c>
      <c r="J48" s="1893" t="inlineStr">
        <is>
          <t>B</t>
        </is>
      </c>
      <c r="K48" s="1893" t="inlineStr">
        <is>
          <t>V</t>
        </is>
      </c>
      <c r="L48" s="1054" t="inlineStr">
        <is>
          <t>V %</t>
        </is>
      </c>
      <c r="M48" s="1058" t="inlineStr">
        <is>
          <t>Trend</t>
        </is>
      </c>
    </row>
    <row r="49" ht="19.5" customHeight="1" s="866">
      <c r="B49" s="1119" t="inlineStr">
        <is>
          <t>Opex</t>
        </is>
      </c>
      <c r="C49" s="1119" t="n"/>
      <c r="D49" s="1877">
        <f>I14+X14</f>
        <v>99.9003714664</v>
      </c>
      <c r="E49" s="1877">
        <f>J14+Y14</f>
        <v>101.334053052603</v>
      </c>
      <c r="F49" s="1878">
        <f>E49-D49</f>
        <v>1.43368158620322</v>
      </c>
      <c r="G49" s="1879">
        <f>IFERROR(F49/E49,"-")</f>
        <v>0.0141480730614711</v>
      </c>
      <c r="H49" s="1076" t="inlineStr">
        <is>
          <t>G</t>
        </is>
      </c>
      <c r="I49" s="1877">
        <f>I30+X30</f>
        <v>205.895788151539</v>
      </c>
      <c r="J49" s="1877">
        <f>J30+Y30</f>
        <v>206.491332082313</v>
      </c>
      <c r="K49" s="1878">
        <f>J49-I49</f>
        <v>0.595543930773317</v>
      </c>
      <c r="L49" s="1879">
        <f>IFERROR(K49/J49,"-")</f>
        <v>0.0028841110412127</v>
      </c>
      <c r="M49" s="1076" t="inlineStr">
        <is>
          <t>G</t>
        </is>
      </c>
    </row>
    <row r="50" ht="19.5" customHeight="1" s="866">
      <c r="B50" s="1121" t="inlineStr">
        <is>
          <t>Significant Items</t>
        </is>
      </c>
      <c r="C50" s="1121" t="n"/>
      <c r="D50" s="1877">
        <f>AC14</f>
        <v>17.270476819697</v>
      </c>
      <c r="E50" s="1877">
        <f>AD14</f>
        <v>24.41420402</v>
      </c>
      <c r="F50" s="1878">
        <f>E50-D50</f>
        <v>7.14372720030303</v>
      </c>
      <c r="G50" s="1879">
        <f>IFERROR(F50/E50,"-")</f>
        <v>0.292605369990802</v>
      </c>
      <c r="H50" s="1076" t="inlineStr">
        <is>
          <t>G</t>
        </is>
      </c>
      <c r="I50" s="1877">
        <f>AC30</f>
        <v>48.10701505</v>
      </c>
      <c r="J50" s="1877">
        <f>AD30</f>
        <v>47.62080804</v>
      </c>
      <c r="K50" s="1878">
        <f>J50-I50</f>
        <v>-0.486207010000001</v>
      </c>
      <c r="L50" s="1879">
        <f>IFERROR(K50/J50,"-")</f>
        <v>-0.0102099697592616</v>
      </c>
      <c r="M50" s="1120" t="inlineStr">
        <is>
          <t>A</t>
        </is>
      </c>
    </row>
    <row r="51" ht="19.5" customHeight="1" s="866">
      <c r="B51" s="1121" t="inlineStr">
        <is>
          <t>Capex</t>
        </is>
      </c>
      <c r="C51" s="1121" t="n"/>
      <c r="D51" s="1877">
        <f>AH14</f>
        <v>12.405728604274</v>
      </c>
      <c r="E51" s="1877">
        <f>AI14</f>
        <v>23.5780706936364</v>
      </c>
      <c r="F51" s="1878">
        <f>E51-D51</f>
        <v>11.1723420893624</v>
      </c>
      <c r="G51" s="1879">
        <f>IFERROR(F51/E51,"-")</f>
        <v>0.473844625988747</v>
      </c>
      <c r="H51" s="1076" t="inlineStr">
        <is>
          <t>G</t>
        </is>
      </c>
      <c r="I51" s="1877">
        <f>AH30</f>
        <v>43.0904153371048</v>
      </c>
      <c r="J51" s="1877">
        <f>AI30</f>
        <v>48.41020956</v>
      </c>
      <c r="K51" s="1878">
        <f>J51-I51</f>
        <v>5.31979422289523</v>
      </c>
      <c r="L51" s="1879">
        <f>IFERROR(K51/J51,"-")</f>
        <v>0.109889923453065</v>
      </c>
      <c r="M51" s="1076" t="inlineStr">
        <is>
          <t>G</t>
        </is>
      </c>
    </row>
    <row r="52" ht="19.5" customHeight="1" s="866">
      <c r="B52" s="1130" t="inlineStr">
        <is>
          <t>Total Technology</t>
        </is>
      </c>
      <c r="C52" s="1130" t="n"/>
      <c r="D52" s="1894">
        <f>SUM(D49:D51)</f>
        <v>129.576576890371</v>
      </c>
      <c r="E52" s="1894">
        <f>SUM(E49:E51)</f>
        <v>149.32632776624</v>
      </c>
      <c r="F52" s="1894">
        <f>SUM(F49:F51)</f>
        <v>19.7497508758686</v>
      </c>
      <c r="G52" s="1896">
        <f>IFERROR(F52/E52,"-")</f>
        <v>0.132259000614986</v>
      </c>
      <c r="H52" s="1129" t="inlineStr">
        <is>
          <t>G</t>
        </is>
      </c>
      <c r="I52" s="1894">
        <f>SUM(I49:I51)</f>
        <v>297.093218538644</v>
      </c>
      <c r="J52" s="1894">
        <f>SUM(J49:J51)</f>
        <v>302.522349682313</v>
      </c>
      <c r="K52" s="1894">
        <f>SUM(K49:K51)</f>
        <v>5.42913114366854</v>
      </c>
      <c r="L52" s="1896">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7"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8" t="inlineStr">
        <is>
          <t>Country</t>
        </is>
      </c>
      <c r="N1" s="1899" t="inlineStr">
        <is>
          <t>Job Level</t>
        </is>
      </c>
      <c r="O1" s="1899" t="inlineStr">
        <is>
          <t>FTE</t>
        </is>
      </c>
      <c r="P1" s="1899" t="n"/>
      <c r="Q1" s="1899" t="inlineStr">
        <is>
          <t>Type</t>
        </is>
      </c>
      <c r="R1" s="1900" t="inlineStr">
        <is>
          <t>Unit</t>
        </is>
      </c>
      <c r="S1" s="1900" t="inlineStr">
        <is>
          <t>day rate</t>
        </is>
      </c>
      <c r="T1" s="1901" t="inlineStr">
        <is>
          <t>FTE Base
 Local</t>
        </is>
      </c>
      <c r="U1" s="1902" t="inlineStr">
        <is>
          <t>FTE Base 
AUD</t>
        </is>
      </c>
      <c r="V1" s="1903" t="inlineStr">
        <is>
          <t>STI</t>
        </is>
      </c>
      <c r="W1" s="1904" t="inlineStr">
        <is>
          <t>Payroll</t>
        </is>
      </c>
      <c r="X1" s="1904" t="inlineStr">
        <is>
          <t>Pensions</t>
        </is>
      </c>
      <c r="Y1" s="1904" t="inlineStr">
        <is>
          <t>medical</t>
        </is>
      </c>
      <c r="Z1" s="1904" t="inlineStr">
        <is>
          <t>CPI</t>
        </is>
      </c>
      <c r="AA1" s="1905"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6" t="inlineStr">
        <is>
          <t>Squad (canonical, from col K)</t>
        </is>
      </c>
      <c r="AQ1" s="1906" t="inlineStr">
        <is>
          <t>Leadership</t>
        </is>
      </c>
      <c r="AR1" s="1906" t="inlineStr">
        <is>
          <t>Overhead line</t>
        </is>
      </c>
      <c r="AS1" s="1906" t="inlineStr">
        <is>
          <t>Squad name on the 1.x tab</t>
        </is>
      </c>
      <c r="AT1" s="1824" t="inlineStr">
        <is>
          <t>Squad or overhead line</t>
        </is>
      </c>
      <c r="AU1" s="182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7" t="n">
        <v>2910</v>
      </c>
      <c r="Z2" s="1166" t="n">
        <v>0.03</v>
      </c>
      <c r="AA2" s="1168">
        <f>IF(TRIM($B2)="","",IF(N($AU2)&gt;0,$AU2,IF(N($S2)&gt;0,$S2*Lists!$AG$15*(1+N($Z2)),N($U2)*(1+N($V2)+N($W2)+N($X2)+N($Z2))+N($Y2))))</f>
        <v>142900.236</v>
      </c>
      <c r="AH2" s="1908"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8"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8"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7" t="n">
        <v>2910</v>
      </c>
      <c r="Z5" s="1166" t="n">
        <v>0.03</v>
      </c>
      <c r="AA5" s="1168">
        <f>IF(TRIM($B5)="","",IF(N($AU5)&gt;0,$AU5,IF(N($S5)&gt;0,$S5*Lists!$AG$15*(1+N($Z5)),N($U5)*(1+N($V5)+N($W5)+N($X5)+N($Z5))+N($Y5))))</f>
        <v>96857.824</v>
      </c>
      <c r="AH5" s="1908"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7" t="n">
        <v>2910</v>
      </c>
      <c r="Z6" s="1166" t="n">
        <v>0.03</v>
      </c>
      <c r="AA6" s="1168">
        <f>IF(TRIM($B6)="","",IF(N($AU6)&gt;0,$AU6,IF(N($S6)&gt;0,$S6*Lists!$AG$15*(1+N($Z6)),N($U6)*(1+N($V6)+N($W6)+N($X6)+N($Z6))+N($Y6))))</f>
        <v>112447.04</v>
      </c>
      <c r="AH6" s="1908"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9"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8"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8"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8"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8"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8"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8"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8"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8"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8"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8"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8"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8"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8"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8"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8"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8"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8"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10" t="n"/>
      <c r="Z130" s="1214" t="n">
        <v>0.04</v>
      </c>
      <c r="AA130" s="1216">
        <f>IF(TRIM($B130)="","",IF(N($AU130)&gt;0,$AU130,IF(N($S130)&gt;0,$S130*Lists!$AG$15*(1+N($Z130)),N($U130)*(1+N($V130)+N($W130)+N($X130)+N($Z130))+N($Y130))))</f>
        <v>177525</v>
      </c>
      <c r="AB130" s="1217" t="n"/>
      <c r="AC130" s="1217" t="n"/>
      <c r="AD130" s="1217" t="n"/>
      <c r="AE130" s="1217" t="n"/>
      <c r="AF130" s="1217" t="n"/>
      <c r="AG130" s="1217" t="n"/>
      <c r="AH130" s="1908"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10"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8"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10" t="n">
        <v>2910</v>
      </c>
      <c r="Z133" s="1214" t="n">
        <v>0.03</v>
      </c>
      <c r="AA133" s="1216">
        <f>IF(TRIM($B133)="","",IF(N($AU133)&gt;0,$AU133,IF(N($S133)&gt;0,$S133*Lists!$AG$15*(1+N($Z133)),N($U133)*(1+N($V133)+N($W133)+N($X133)+N($Z133))+N($Y133))))</f>
        <v>154465.188</v>
      </c>
      <c r="AB133" s="1217" t="n"/>
      <c r="AC133" s="1217" t="n"/>
      <c r="AD133" s="1217" t="n"/>
      <c r="AE133" s="1217" t="n"/>
      <c r="AF133" s="1217" t="n"/>
      <c r="AG133" s="1217" t="n"/>
      <c r="AH133" s="1908"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8"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10" t="n"/>
      <c r="Z135" s="1214" t="n">
        <v>0.04</v>
      </c>
      <c r="AA135" s="1216">
        <f>IF(TRIM($B135)="","",IF(N($AU135)&gt;0,$AU135,IF(N($S135)&gt;0,$S135*Lists!$AG$15*(1+N($Z135)),N($U135)*(1+N($V135)+N($W135)+N($X135)+N($Z135))+N($Y135))))</f>
        <v>202853.25</v>
      </c>
      <c r="AB135" s="1217" t="n"/>
      <c r="AC135" s="1217" t="n"/>
      <c r="AD135" s="1217" t="n"/>
      <c r="AE135" s="1217" t="n"/>
      <c r="AF135" s="1217" t="n"/>
      <c r="AG135" s="1217" t="n"/>
      <c r="AH135" s="1908"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8"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10" t="n"/>
      <c r="Z137" s="1214" t="n">
        <v>0.04</v>
      </c>
      <c r="AA137" s="1216">
        <f>IF(TRIM($B137)="","",IF(N($AU137)&gt;0,$AU137,IF(N($S137)&gt;0,$S137*Lists!$AG$15*(1+N($Z137)),N($U137)*(1+N($V137)+N($W137)+N($X137)+N($Z137))+N($Y137))))</f>
        <v>202853.25</v>
      </c>
      <c r="AB137" s="1217" t="n">
        <v>113612</v>
      </c>
      <c r="AC137" s="1217" t="n"/>
      <c r="AD137" s="1217" t="n"/>
      <c r="AE137" s="1217" t="n"/>
      <c r="AF137" s="1217" t="n"/>
      <c r="AG137" s="1217" t="n"/>
      <c r="AH137" s="1908"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8"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8"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8"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8"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8"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8"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8"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8"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8"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8"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8"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8"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8"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8"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8"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8"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10"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8"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8"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8"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8"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8"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8"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8"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8"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8"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8"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10"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8"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10"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8"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10" t="n"/>
      <c r="Z168" s="1214" t="n">
        <v>0.04</v>
      </c>
      <c r="AA168" s="1216">
        <f>IF(TRIM($B168)="","",IF(N($AU168)&gt;0,$AU168,IF(N($S168)&gt;0,$S168*Lists!$AG$15*(1+N($Z168)),N($U168)*(1+N($V168)+N($W168)+N($X168)+N($Z168))+N($Y168))))</f>
        <v>275810.25</v>
      </c>
      <c r="AB168" s="1217" t="n"/>
      <c r="AC168" s="1217" t="n"/>
      <c r="AD168" s="1217" t="n"/>
      <c r="AE168" s="1217" t="n"/>
      <c r="AF168" s="1217" t="n"/>
      <c r="AG168" s="1217" t="n"/>
      <c r="AH168" s="1908"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8"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10" t="n"/>
      <c r="Z170" s="1214" t="n">
        <v>0.04</v>
      </c>
      <c r="AA170" s="1216">
        <f>IF(TRIM($B170)="","",IF(N($AU170)&gt;0,$AU170,IF(N($S170)&gt;0,$S170*Lists!$AG$15*(1+N($Z170)),N($U170)*(1+N($V170)+N($W170)+N($X170)+N($Z170))+N($Y170))))</f>
        <v>275810.25</v>
      </c>
      <c r="AB170" s="1217" t="n"/>
      <c r="AC170" s="1217" t="n"/>
      <c r="AD170" s="1217" t="n"/>
      <c r="AE170" s="1217" t="n"/>
      <c r="AF170" s="1217" t="n"/>
      <c r="AG170" s="1217" t="n"/>
      <c r="AH170" s="1908"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8"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8"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10"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10"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10" t="n"/>
      <c r="Z175" s="1214" t="n">
        <v>0.03</v>
      </c>
      <c r="AA175" s="1216">
        <f>IF(TRIM($B175)="","",IF(N($AU175)&gt;0,$AU175,IF(N($S175)&gt;0,$S175*Lists!$AG$15*(1+N($Z175)),N($U175)*(1+N($V175)+N($W175)+N($X175)+N($Z175))+N($Y175))))</f>
        <v>85518.84</v>
      </c>
      <c r="AB175" s="1217" t="n">
        <v>113618</v>
      </c>
      <c r="AC175" s="1217" t="n"/>
      <c r="AD175" s="1217" t="n"/>
      <c r="AE175" s="1217" t="n"/>
      <c r="AF175" s="1217" t="n"/>
      <c r="AG175" s="1217" t="n"/>
      <c r="AH175" s="1908"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10"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10"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8"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10"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8"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10"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8"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10" t="n"/>
      <c r="Z180" s="1214" t="n">
        <v>0.03</v>
      </c>
      <c r="AA180" s="1216">
        <f>IF(TRIM($B180)="","",IF(N($AU180)&gt;0,$AU180,IF(N($S180)&gt;0,$S180*Lists!$AG$15*(1+N($Z180)),N($U180)*(1+N($V180)+N($W180)+N($X180)+N($Z180))+N($Y180))))</f>
        <v>75457.8</v>
      </c>
      <c r="AB180" s="1217" t="n">
        <v>113565</v>
      </c>
      <c r="AC180" s="1217" t="n"/>
      <c r="AD180" s="1217" t="n"/>
      <c r="AE180" s="1217" t="n"/>
      <c r="AF180" s="1217" t="n"/>
      <c r="AG180" s="1217" t="n"/>
      <c r="AH180" s="1908"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8"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10"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10"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8"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10"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8"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10"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10"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8"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8"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8"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8"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1" t="n"/>
      <c r="AD191" s="1217" t="n"/>
      <c r="AE191" s="1217" t="n"/>
      <c r="AF191" s="1217" t="n"/>
      <c r="AG191" s="1217" t="n"/>
      <c r="AH191" s="1908"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10"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8"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8"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8"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8"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2" t="n"/>
      <c r="Z243" s="1251" t="n"/>
      <c r="AA243" s="1247">
        <f>IF(TRIM($B243)="","",IF(N($AU243)&gt;0,$AU243,IF(N($S243)&gt;0,$S243*Lists!$AG$15*(1+N($Z243)),N($U243)*(1+N($V243)+N($W243)+N($X243)+N($Z243))+N($Y243))))</f>
        <v>244200</v>
      </c>
      <c r="AH243" s="1908"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8"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2"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2"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2"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7" t="n">
        <v>2910</v>
      </c>
      <c r="Z281" s="1166" t="n">
        <v>0.03</v>
      </c>
      <c r="AA281" s="1168">
        <f>IF(TRIM($B281)="","",IF(N($AU281)&gt;0,$AU281,IF(N($S281)&gt;0,$S281*Lists!$AG$15*(1+N($Z281)),N($U281)*(1+N($V281)+N($W281)+N($X281)+N($Z281))+N($Y281))))</f>
        <v>184871.28</v>
      </c>
      <c r="AB281" s="1248" t="n">
        <v>113527</v>
      </c>
      <c r="AH281" s="1908"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7" t="n">
        <v>2910</v>
      </c>
      <c r="Z291" s="1166" t="n">
        <v>0.03</v>
      </c>
      <c r="AA291" s="1168">
        <f>IF(TRIM($B291)="","",IF(N($AU291)&gt;0,$AU291,IF(N($S291)&gt;0,$S291*Lists!$AG$15*(1+N($Z291)),N($U291)*(1+N($V291)+N($W291)+N($X291)+N($Z291))+N($Y291))))</f>
        <v>149746.416</v>
      </c>
      <c r="AB291" s="1248" t="n">
        <v>113582</v>
      </c>
      <c r="AH291" s="1908"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7" t="n">
        <v>2910</v>
      </c>
      <c r="Z307" s="1166" t="n">
        <v>0.03</v>
      </c>
      <c r="AA307" s="1168">
        <f>IF(TRIM($B307)="","",IF(N($AU307)&gt;0,$AU307,IF(N($S307)&gt;0,$S307*Lists!$AG$15*(1+N($Z307)),N($U307)*(1+N($V307)+N($W307)+N($X307)+N($Z307))+N($Y307))))</f>
        <v>204006.636</v>
      </c>
      <c r="AB307" s="1248" t="n">
        <v>113607</v>
      </c>
      <c r="AH307" s="1908"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7" t="n">
        <v>2910</v>
      </c>
      <c r="Z312" s="1166" t="n">
        <v>0.03</v>
      </c>
      <c r="AA312" s="1168">
        <f>IF(TRIM($B312)="","",IF(N($AU312)&gt;0,$AU312,IF(N($S312)&gt;0,$S312*Lists!$AG$15*(1+N($Z312)),N($U312)*(1+N($V312)+N($W312)+N($X312)+N($Z312))+N($Y312))))</f>
        <v>185776.56</v>
      </c>
      <c r="AB312" s="1248" t="n">
        <v>15175</v>
      </c>
      <c r="AH312" s="1908"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3"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3"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3"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169740</v>
      </c>
      <c r="AB491" s="1847" t="n"/>
      <c r="AC491" s="1847"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9"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4" t="n"/>
      <c r="J12" s="1914" t="n"/>
      <c r="K12" s="1915"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30" t="n"/>
      <c r="J19" s="1830">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30" t="n"/>
      <c r="J20" s="1830">
        <f>E9</f>
        <v>8.182089</v>
      </c>
      <c r="K20" s="1014" t="n"/>
      <c r="L20" s="865" t="n"/>
      <c r="M20" s="865" t="n"/>
      <c r="N20" s="865" t="n"/>
      <c r="O20" s="865" t="n"/>
    </row>
    <row r="21" ht="14.25" customHeight="1" s="866">
      <c r="A21" s="876" t="n"/>
      <c r="B21" s="1916" t="inlineStr">
        <is>
          <t xml:space="preserve">Reconciled to Finance </t>
        </is>
      </c>
      <c r="C21" s="1917" t="n"/>
      <c r="D21" s="1918" t="n"/>
      <c r="E21" s="1919">
        <f>N('0.1 Budget Table (Fin)'!Q9)</f>
        <v>33.8</v>
      </c>
      <c r="F21" s="1920" t="n"/>
      <c r="G21" s="1921" t="n"/>
      <c r="H21" s="1922" t="inlineStr">
        <is>
          <t>Left to fund</t>
        </is>
      </c>
      <c r="I21" s="1923" t="n"/>
      <c r="J21" s="1924">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876" t="n"/>
      <c r="L24" s="1356" t="n"/>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60" t="n"/>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60" t="n"/>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876" t="n"/>
      <c r="L27" s="1360" t="n"/>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60" t="n"/>
      <c r="M28" s="865" t="n"/>
      <c r="N28" s="865" t="n"/>
      <c r="O28" s="865" t="n"/>
    </row>
    <row r="29" ht="14.25" customHeight="1" s="866">
      <c r="A29" s="865" t="n"/>
      <c r="B29" s="1012" t="inlineStr">
        <is>
          <t>Platform Overhead</t>
        </is>
      </c>
      <c r="C29" s="1361" t="n"/>
      <c r="D29" s="1362" t="n"/>
      <c r="E29" s="1362" t="n"/>
      <c r="F29" s="1314" t="n"/>
      <c r="G29" s="1362" t="n"/>
      <c r="H29" s="1362" t="n"/>
      <c r="I29" s="1830">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876" t="n"/>
      <c r="L30" s="865" t="n"/>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876" t="n"/>
      <c r="L33" s="1356" t="n"/>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60" t="n"/>
      <c r="M34" s="865" t="n"/>
      <c r="N34" s="865" t="n"/>
      <c r="O34" s="865" t="n"/>
    </row>
    <row r="35" ht="14.25" customHeight="1" s="866">
      <c r="B35" s="1012" t="n"/>
      <c r="C35" s="1012" t="n"/>
      <c r="D35" s="1012" t="n"/>
      <c r="E35" s="1012" t="n"/>
      <c r="F35" s="1314" t="n"/>
      <c r="G35" s="1365" t="n"/>
      <c r="H35" s="1830"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30">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876" t="n"/>
      <c r="L37" s="865" t="n"/>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6"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876" t="n"/>
      <c r="L47" s="1356" t="n"/>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2" t="n">
        <v>1.404089</v>
      </c>
      <c r="I48" s="1014">
        <f>IFERROR($H48*$G48,"")</f>
        <v>0</v>
      </c>
      <c r="J48" s="1014">
        <f>IFERROR($H48*(1-$G48),"")</f>
        <v>1.404089</v>
      </c>
      <c r="K48" s="876" t="n"/>
      <c r="L48" s="1360" t="n"/>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30"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876" t="n"/>
      <c r="L50" s="865" t="n"/>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876" t="n"/>
      <c r="L53" s="1356" t="n"/>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60" t="n"/>
      <c r="M54" s="865" t="n"/>
      <c r="N54" s="865" t="n"/>
      <c r="O54" s="865" t="n"/>
    </row>
    <row r="55" ht="14.25" customHeight="1" s="866">
      <c r="B55" s="1012" t="inlineStr">
        <is>
          <t>Platform Overhead</t>
        </is>
      </c>
      <c r="C55" s="1362" t="n"/>
      <c r="D55" s="1362" t="n"/>
      <c r="E55" s="1362" t="n"/>
      <c r="F55" s="1314" t="n"/>
      <c r="G55" s="1362" t="n"/>
      <c r="H55" s="1362" t="n"/>
      <c r="I55" s="1830">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876" t="n"/>
      <c r="L56" s="865" t="n"/>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865" t="n"/>
      <c r="L59" s="1356" t="n"/>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60" t="n"/>
      <c r="M60" s="865" t="n"/>
      <c r="N60" s="865" t="n"/>
      <c r="O60" s="865" t="n"/>
    </row>
    <row r="61" ht="14.25" customHeight="1" s="866">
      <c r="B61" s="1012" t="inlineStr">
        <is>
          <t>Platform Overhead</t>
        </is>
      </c>
      <c r="C61" s="1362" t="n"/>
      <c r="D61" s="1362" t="n"/>
      <c r="E61" s="1362" t="n"/>
      <c r="F61" s="1314" t="n"/>
      <c r="G61" s="1362" t="n"/>
      <c r="H61" s="1362" t="n"/>
      <c r="I61" s="1830">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865" t="n"/>
      <c r="L62" s="865" t="n"/>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865" t="n"/>
      <c r="L65" s="1356" t="n"/>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2" t="n">
        <v>1.52</v>
      </c>
      <c r="I66" s="1014">
        <f>IFERROR($H66*$G66,"")</f>
        <v>0</v>
      </c>
      <c r="J66" s="1014">
        <f>IFERROR($H66*(1-$G66),"")</f>
        <v>1.52</v>
      </c>
      <c r="K66" s="865" t="n"/>
      <c r="L66" s="1360" t="n"/>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30"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865" t="n"/>
      <c r="L68" s="865" t="n"/>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3">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30">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30">
        <f>N('0.1 Budget Table (Fin)'!N13)</f>
        <v>0</v>
      </c>
      <c r="J15" s="1852" t="n">
        <v>0</v>
      </c>
      <c r="K15" s="1014">
        <f>IFERROR(I15-J15,0)</f>
        <v>0</v>
      </c>
      <c r="L15" s="1925" t="n"/>
      <c r="M15" s="865" t="n"/>
      <c r="N15" s="865" t="n"/>
      <c r="O15" s="865" t="n"/>
    </row>
    <row r="16" ht="14.25" customHeight="1" s="866">
      <c r="B16" s="1336" t="inlineStr">
        <is>
          <t>Funding position ($m)</t>
        </is>
      </c>
      <c r="C16" s="1337" t="n"/>
      <c r="D16" s="865" t="n"/>
      <c r="E16" s="865" t="n"/>
      <c r="F16" s="1314" t="n"/>
      <c r="G16" s="865" t="n"/>
      <c r="H16" s="1012" t="inlineStr">
        <is>
          <t>CapEx</t>
        </is>
      </c>
      <c r="I16" s="1830">
        <f>N('0.1 Budget Table (Fin)'!P13)</f>
        <v>5</v>
      </c>
      <c r="J16" s="1852"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30" t="n"/>
      <c r="J17" s="1830">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30">
        <f>N('0.1 Budget Table (Fin)'!O13)</f>
        <v>5</v>
      </c>
      <c r="J18" s="1852" t="n">
        <v>4.5</v>
      </c>
      <c r="K18" s="1014">
        <f>IFERROR(I18-J18,0)</f>
        <v>0.5</v>
      </c>
      <c r="L18" s="1925"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30" t="n"/>
      <c r="J19" s="1854" t="n"/>
      <c r="K19" s="1014" t="n"/>
      <c r="L19" s="1403" t="n"/>
      <c r="M19" s="865" t="n"/>
      <c r="N19" s="865" t="n"/>
      <c r="O19" s="865" t="n"/>
    </row>
    <row r="20" ht="14.25" customHeight="1" s="866">
      <c r="B20" s="865" t="n"/>
      <c r="C20" s="865" t="n"/>
      <c r="D20" s="865" t="n"/>
      <c r="E20" s="865" t="n"/>
      <c r="F20" s="1314" t="n"/>
      <c r="G20" s="865" t="n"/>
      <c r="H20" s="1012" t="inlineStr">
        <is>
          <t>Z OpEx Initiatives</t>
        </is>
      </c>
      <c r="I20" s="1830" t="n"/>
      <c r="J20" s="1854" t="n"/>
      <c r="K20" s="1014" t="n"/>
      <c r="L20" s="1403" t="n"/>
      <c r="M20" s="865" t="n"/>
      <c r="N20" s="865" t="n"/>
      <c r="O20" s="865" t="n"/>
    </row>
    <row r="21" ht="14.25" customHeight="1" s="866">
      <c r="B21" s="865" t="n"/>
      <c r="C21" s="865" t="n"/>
      <c r="D21" s="865" t="n"/>
      <c r="E21" s="865" t="n"/>
      <c r="F21" s="1314" t="n"/>
      <c r="G21" s="865" t="n"/>
      <c r="H21" s="1012" t="inlineStr">
        <is>
          <t>Z CapEx</t>
        </is>
      </c>
      <c r="I21" s="1830" t="n"/>
      <c r="J21" s="1854" t="n"/>
      <c r="K21" s="1014" t="n"/>
      <c r="L21" s="1403" t="n"/>
      <c r="M21" s="865" t="n"/>
      <c r="N21" s="865" t="n"/>
      <c r="O21" s="865" t="n"/>
    </row>
    <row r="22" ht="14.25" customHeight="1" s="866">
      <c r="B22" s="865" t="n"/>
      <c r="C22" s="865" t="n"/>
      <c r="D22" s="865" t="n"/>
      <c r="E22" s="865" t="n"/>
      <c r="F22" s="1314" t="n"/>
      <c r="G22" s="865" t="n"/>
      <c r="H22" s="1012" t="inlineStr">
        <is>
          <t>Z Sig items</t>
        </is>
      </c>
      <c r="I22" s="1830" t="n"/>
      <c r="J22" s="1854" t="n"/>
      <c r="K22" s="1014" t="n"/>
      <c r="L22" s="1403" t="n"/>
      <c r="M22" s="865" t="n"/>
      <c r="N22" s="865" t="n"/>
      <c r="O22" s="865" t="n"/>
    </row>
    <row r="23" ht="14.25" customHeight="1" s="866">
      <c r="B23" s="865" t="n"/>
      <c r="C23" s="865" t="n"/>
      <c r="D23" s="865" t="n"/>
      <c r="E23" s="865" t="n"/>
      <c r="F23" s="1314" t="n"/>
      <c r="G23" s="865" t="n"/>
      <c r="H23" s="1012" t="inlineStr">
        <is>
          <t>Depreciation</t>
        </is>
      </c>
      <c r="I23" s="1830">
        <f>N('0.1 Budget Table (Fin)'!M13)</f>
        <v>0</v>
      </c>
      <c r="J23" s="1852"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865" t="n"/>
      <c r="L29" s="865" t="n"/>
      <c r="M29" s="865" t="n"/>
      <c r="N29" s="865" t="n"/>
      <c r="O29" s="865" t="n"/>
    </row>
    <row r="30" ht="31.5"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865" t="n"/>
      <c r="L30" s="865" t="n"/>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60" t="n"/>
      <c r="N33" s="865" t="n"/>
      <c r="O33" s="865" t="n"/>
    </row>
    <row r="34" ht="14.25" customHeight="1" s="866">
      <c r="A34" s="865" t="n"/>
      <c r="B34" s="1012" t="inlineStr">
        <is>
          <t>Platform Overhead</t>
        </is>
      </c>
      <c r="C34" s="865" t="n"/>
      <c r="D34" s="865" t="n"/>
      <c r="E34" s="865" t="n"/>
      <c r="F34" s="1314" t="n"/>
      <c r="G34" s="865" t="n"/>
      <c r="H34" s="865" t="n"/>
      <c r="I34" s="1830">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865" t="n"/>
      <c r="L35" s="865" t="n"/>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865" t="n"/>
      <c r="L37" s="865" t="n"/>
      <c r="M37" s="865" t="n"/>
      <c r="N37" s="865" t="n"/>
      <c r="O37" s="865" t="n"/>
    </row>
    <row r="38" ht="31.5"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865" t="n"/>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60" t="n"/>
      <c r="N40" s="865" t="n"/>
      <c r="O40" s="865" t="n"/>
    </row>
    <row r="41" ht="14.25" customHeight="1" s="866">
      <c r="A41" s="865" t="inlineStr">
        <is>
          <t>Net New</t>
        </is>
      </c>
      <c r="B41" s="1012" t="n"/>
      <c r="C41" s="1926" t="n"/>
      <c r="D41" s="1926" t="n"/>
      <c r="E41" s="1926" t="n"/>
      <c r="F41" s="1927" t="n"/>
      <c r="G41" s="1928" t="n"/>
      <c r="H41" s="1929"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30">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865" t="n"/>
      <c r="L43" s="865" t="n"/>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865" t="n"/>
      <c r="L45" s="865" t="n"/>
      <c r="M45" s="865" t="n"/>
      <c r="N45" s="865" t="n"/>
      <c r="O45" s="865" t="n"/>
    </row>
    <row r="46" ht="31.5"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865" t="n"/>
      <c r="L46" s="865" t="n"/>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5">
        <f>IFERROR(IF($E47="Onshore",INDEX('0.3 Squad Archetypes'!$G$5:$G$23,MATCH($C47&amp;"|"&amp;$D47,'0.3 Squad Archetypes'!$A$5:$A$23,0)),INDEX('0.3 Squad Archetypes'!$H$5:$H$23,MATCH($C47&amp;"|"&amp;$D47,'0.3 Squad Archetypes'!$A$5:$A$23,0))),"check size")</f>
        <v>1.9</v>
      </c>
      <c r="I47" s="1385">
        <f>IFERROR($H47*$G47,"")</f>
        <v>0.38</v>
      </c>
      <c r="J47" s="1385">
        <f>IFERROR($H47*(1-$G47),"")</f>
        <v>1.52</v>
      </c>
      <c r="K47" s="865" t="n"/>
      <c r="L47" s="865" t="n"/>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5">
        <f>IFERROR(IF($E48="Onshore",INDEX('0.3 Squad Archetypes'!$G$5:$G$23,MATCH($C48&amp;"|"&amp;$D48,'0.3 Squad Archetypes'!$A$5:$A$23,0)),INDEX('0.3 Squad Archetypes'!$H$5:$H$23,MATCH($C48&amp;"|"&amp;$D48,'0.3 Squad Archetypes'!$A$5:$A$23,0))),"check size")</f>
        <v>0.8</v>
      </c>
      <c r="I48" s="1385">
        <f>IFERROR($H48*$G48,"")</f>
        <v>0.16</v>
      </c>
      <c r="J48" s="1385">
        <f>IFERROR($H48*(1-$G48),"")</f>
        <v>0.64</v>
      </c>
      <c r="K48" s="865" t="n"/>
      <c r="L48" s="865" t="n"/>
      <c r="M48" s="1360" t="n"/>
      <c r="N48" s="865" t="n"/>
      <c r="O48" s="865" t="n"/>
    </row>
    <row r="49" ht="14.25" customHeight="1" s="866">
      <c r="A49" s="865" t="n"/>
      <c r="B49" s="1382" t="inlineStr">
        <is>
          <t>Platform Overhead</t>
        </is>
      </c>
      <c r="C49" s="1362" t="n"/>
      <c r="D49" s="1362" t="n"/>
      <c r="E49" s="1362" t="n"/>
      <c r="F49" s="1314" t="n"/>
      <c r="G49" s="1362" t="n"/>
      <c r="H49" s="1384" t="n"/>
      <c r="I49" s="1855">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865" t="n"/>
      <c r="L50" s="865" t="n"/>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865" t="n"/>
      <c r="L52" s="865" t="n"/>
      <c r="M52" s="865" t="n"/>
      <c r="N52" s="865" t="n"/>
      <c r="O52" s="865" t="n"/>
    </row>
    <row r="53" ht="31.5"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865" t="n"/>
      <c r="L53" s="865" t="n"/>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6" t="n">
        <v>0</v>
      </c>
      <c r="I54" s="1385">
        <f>IFERROR($H54*$G54,"")</f>
        <v>0</v>
      </c>
      <c r="J54" s="1385">
        <f>IFERROR($H54*(1-$G54),"")</f>
        <v>0</v>
      </c>
      <c r="K54" s="865" t="n"/>
      <c r="L54" s="865" t="n"/>
      <c r="M54" s="1360" t="n"/>
      <c r="N54" s="1366" t="n"/>
      <c r="O54" s="865" t="n"/>
    </row>
    <row r="55" ht="14.25" customHeight="1" s="866">
      <c r="B55" s="1415" t="n"/>
      <c r="C55" s="1362" t="n"/>
      <c r="D55" s="1362" t="n"/>
      <c r="E55" s="1362" t="n"/>
      <c r="F55" s="1314" t="n"/>
      <c r="G55" s="1362" t="n"/>
      <c r="H55" s="1384" t="n"/>
      <c r="I55" s="1855"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865" t="n"/>
      <c r="L56" s="865" t="n"/>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M38"/>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5" t="n"/>
      <c r="J14" s="1830">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5" t="n"/>
      <c r="J15" s="1852"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5" t="n"/>
      <c r="J16" s="1854">
        <f>H36</f>
        <v>0</v>
      </c>
      <c r="K16" s="1385" t="n"/>
    </row>
    <row r="17" ht="14.25" customHeight="1" s="866">
      <c r="B17" s="1338" t="inlineStr">
        <is>
          <t>Still to fund outside TDD</t>
        </is>
      </c>
      <c r="C17" s="1339">
        <f>$J17</f>
        <v>2.42</v>
      </c>
      <c r="D17" s="1314" t="n"/>
      <c r="E17" s="865" t="n"/>
      <c r="F17" s="1314" t="n"/>
      <c r="G17" s="865" t="n"/>
      <c r="H17" s="1363" t="inlineStr">
        <is>
          <t>Left to fund</t>
        </is>
      </c>
      <c r="I17" s="1855"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5" t="n"/>
      <c r="J18" s="1857" t="n"/>
      <c r="K18" s="1385" t="n"/>
      <c r="L18" s="865" t="n"/>
      <c r="M18" s="865" t="n"/>
    </row>
    <row r="19" ht="14.25" customHeight="1" s="866">
      <c r="H19" s="1382" t="n"/>
      <c r="I19" s="1855" t="n"/>
      <c r="J19" s="1929"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30" t="n"/>
      <c r="I22" s="1384" t="n"/>
      <c r="J22" s="1931"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865" t="n"/>
      <c r="L25" s="865" t="n"/>
      <c r="M25" s="865" t="n"/>
    </row>
    <row r="26" ht="31.5"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865" t="n"/>
      <c r="L26" s="1356" t="n"/>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60" t="n"/>
      <c r="M27" s="865" t="n"/>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60" t="n"/>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60" t="n"/>
      <c r="M29" s="865" t="n"/>
    </row>
    <row r="30" ht="14.25" customHeight="1" s="866">
      <c r="B30" s="1012" t="n"/>
      <c r="C30" s="1926" t="n"/>
      <c r="D30" s="1926" t="n"/>
      <c r="E30" s="1926" t="n"/>
      <c r="F30" s="1927" t="n"/>
      <c r="G30" s="1928" t="n"/>
      <c r="H30" s="1830" t="n"/>
      <c r="I30" s="1014" t="n"/>
      <c r="J30" s="1014" t="n"/>
      <c r="K30" s="865" t="n"/>
      <c r="L30" s="1360" t="n"/>
      <c r="M30" s="865" t="n"/>
    </row>
    <row r="31" ht="14.25" customHeight="1" s="866">
      <c r="B31" s="1012" t="inlineStr">
        <is>
          <t>Platform Overhead</t>
        </is>
      </c>
      <c r="C31" s="865" t="n"/>
      <c r="D31" s="865" t="n"/>
      <c r="E31" s="865" t="n"/>
      <c r="F31" s="1314" t="n"/>
      <c r="G31" s="865" t="n"/>
      <c r="H31" s="865" t="n"/>
      <c r="I31" s="1830">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865" t="n"/>
      <c r="L32" s="865" t="n"/>
      <c r="M32" s="865" t="n"/>
    </row>
    <row r="33" ht="14.25" customHeight="1" s="866">
      <c r="B33" s="865" t="n"/>
      <c r="C33" s="865" t="n"/>
      <c r="D33" s="865" t="n"/>
      <c r="E33" s="865" t="n"/>
      <c r="F33" s="1314"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sheetData>
  <mergeCells count="4">
    <mergeCell ref="B4:E4"/>
    <mergeCell ref="B25:J25"/>
    <mergeCell ref="H4:I4"/>
    <mergeCell ref="H12:K12"/>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30" t="n"/>
      <c r="J13" s="1830">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30" t="n"/>
      <c r="J14" s="1830">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30"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30" t="n"/>
      <c r="J16" s="1854" t="n"/>
      <c r="K16" s="865" t="n"/>
      <c r="L16" s="865" t="n"/>
      <c r="M16" s="865" t="n"/>
      <c r="N16" s="865" t="n"/>
    </row>
    <row r="17" ht="14.25" customHeight="1" s="866">
      <c r="B17" s="1344" t="inlineStr">
        <is>
          <t>Total to fund</t>
        </is>
      </c>
      <c r="C17" s="1345">
        <f>$C15+$C16</f>
        <v>1.1625</v>
      </c>
      <c r="D17" s="865" t="n"/>
      <c r="E17" s="865" t="n"/>
      <c r="F17" s="1314" t="n"/>
      <c r="G17" s="865" t="n"/>
      <c r="H17" s="1012" t="n"/>
      <c r="I17" s="1830" t="n"/>
      <c r="J17" s="1854"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865" t="n"/>
      <c r="L19" s="865" t="n"/>
      <c r="M19" s="865" t="n"/>
      <c r="N19" s="865" t="n"/>
    </row>
    <row r="20" ht="31.5"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356" t="n"/>
      <c r="L20" s="865" t="n"/>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360" t="n"/>
      <c r="L21" s="865" t="n"/>
      <c r="M21" s="1861" t="n">
        <v>6</v>
      </c>
      <c r="N21" s="1861" t="n">
        <v>6</v>
      </c>
      <c r="O21" s="1861" t="inlineStr">
        <is>
          <t>No Change</t>
        </is>
      </c>
      <c r="P21" s="1861" t="n">
        <v>2</v>
      </c>
      <c r="Q21" s="1861"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360" t="n"/>
      <c r="L22" s="865" t="n"/>
      <c r="M22" s="1861" t="n">
        <v>10</v>
      </c>
      <c r="N22" s="1861" t="n">
        <v>13</v>
      </c>
      <c r="O22" s="1312" t="inlineStr">
        <is>
          <t>Reduce CSA by 2</t>
        </is>
      </c>
      <c r="P22" s="1861" t="n">
        <v>2</v>
      </c>
      <c r="Q22" s="1861" t="n">
        <v>11</v>
      </c>
      <c r="R22" s="1861"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360" t="n"/>
      <c r="L23" s="865" t="n"/>
      <c r="M23" s="1312" t="n">
        <v>4.5</v>
      </c>
      <c r="N23" s="1312" t="n">
        <v>8</v>
      </c>
      <c r="O23" s="1862" t="inlineStr">
        <is>
          <t>Remove Lead Engineer Software and Test Automation</t>
        </is>
      </c>
      <c r="P23" s="1861"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360" t="n"/>
      <c r="L24" s="865" t="n"/>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4" t="n"/>
      <c r="G25" s="865" t="n"/>
      <c r="H25" s="865" t="n"/>
      <c r="I25" s="1830">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865" t="n"/>
      <c r="L26" s="865" t="n"/>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9" t="n"/>
      <c r="D28" s="1849" t="n"/>
      <c r="E28" s="1849" t="n"/>
      <c r="F28" s="1849" t="n"/>
      <c r="G28" s="1849" t="n"/>
      <c r="H28" s="1849" t="n"/>
      <c r="I28" s="1849" t="n"/>
      <c r="J28" s="1849" t="n"/>
      <c r="K28" s="865" t="n"/>
      <c r="L28" s="865" t="n"/>
      <c r="M28" s="865" t="n"/>
      <c r="N28" s="865" t="n"/>
    </row>
    <row r="29" ht="31.5"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356" t="n"/>
      <c r="L29" s="865" t="n"/>
      <c r="M29" s="865" t="n"/>
      <c r="N29" s="865" t="n"/>
    </row>
    <row r="30" ht="14.25" customHeight="1" s="866">
      <c r="B30" s="1012" t="inlineStr">
        <is>
          <t>EGI TDD</t>
        </is>
      </c>
      <c r="C30" s="1357" t="inlineStr">
        <is>
          <t>Strategic Programs</t>
        </is>
      </c>
      <c r="D30" s="1357" t="n"/>
      <c r="E30" s="1357" t="inlineStr">
        <is>
          <t>Onshore</t>
        </is>
      </c>
      <c r="F30" s="1358" t="n"/>
      <c r="G30" s="1359" t="n">
        <v>0.2</v>
      </c>
      <c r="H30" s="1852" t="n">
        <v>0</v>
      </c>
      <c r="I30" s="1014">
        <f>IFERROR($H30*$G30,"")</f>
        <v>0</v>
      </c>
      <c r="J30" s="1014">
        <f>IFERROR($H30*(1-$G30),"")</f>
        <v>0</v>
      </c>
      <c r="K30" s="1360" t="n"/>
      <c r="L30" s="865" t="n"/>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865" t="n"/>
      <c r="L31" s="865" t="n"/>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1"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5">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5">
        <f>N('0.1 Budget Table (Fin)'!N12)</f>
        <v>2</v>
      </c>
      <c r="J14" s="1857">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5">
        <f>N('0.1 Budget Table (Fin)'!P12)</f>
        <v>0.3</v>
      </c>
      <c r="J15" s="1857">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5">
        <f>N('0.1 Budget Table (Fin)'!O12)</f>
        <v>1.4</v>
      </c>
      <c r="J16" s="1857">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5" t="n"/>
      <c r="J17" s="1855">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5">
        <f>N('0.1 Budget Table (Fin)'!M12)</f>
        <v>0</v>
      </c>
      <c r="J18" s="1856"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1"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865" t="n"/>
      <c r="L23" s="865" t="n"/>
      <c r="M23" s="865" t="n"/>
      <c r="N23" s="865" t="n"/>
      <c r="O23" s="865" t="n"/>
    </row>
    <row r="24" ht="31.5"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5">
        <f>IFERROR(IF($E25="Onshore",INDEX('0.3 Squad Archetypes'!$G$5:$G$23,MATCH($C25&amp;"|"&amp;$D25,'0.3 Squad Archetypes'!$A$5:$A$23,0)),INDEX('0.3 Squad Archetypes'!$H$5:$H$23,MATCH($C25&amp;"|"&amp;$D25,'0.3 Squad Archetypes'!$A$5:$A$23,0))),"check size")</f>
        <v>2.1</v>
      </c>
      <c r="I25" s="1385">
        <f>IFERROR($H25*$G25,"")</f>
        <v>0.63</v>
      </c>
      <c r="J25" s="1385">
        <f>IFERROR($H25*(1-$G25),"")</f>
        <v>1.47</v>
      </c>
      <c r="M25" s="1861" t="n">
        <v>9</v>
      </c>
      <c r="N25" s="1861" t="n">
        <v>9</v>
      </c>
      <c r="O25" s="1862" t="n"/>
      <c r="P25" s="1861" t="n">
        <v>4</v>
      </c>
      <c r="Q25" s="1861"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5">
        <f>IFERROR(IF($E26="Onshore",INDEX('0.3 Squad Archetypes'!$G$5:$G$23,MATCH($C26&amp;"|"&amp;$D26,'0.3 Squad Archetypes'!$A$5:$A$23,0)),INDEX('0.3 Squad Archetypes'!$H$5:$H$23,MATCH($C26&amp;"|"&amp;$D26,'0.3 Squad Archetypes'!$A$5:$A$23,0))),"check size")</f>
        <v>1.4</v>
      </c>
      <c r="I26" s="1385">
        <f>IFERROR($H26*$G26,"")</f>
        <v>0.42</v>
      </c>
      <c r="J26" s="1385">
        <f>IFERROR($H26*(1-$G26),"")</f>
        <v>0.98</v>
      </c>
      <c r="M26" s="1861" t="n">
        <v>6</v>
      </c>
      <c r="N26" s="1861" t="n">
        <v>5</v>
      </c>
      <c r="O26" s="1862" t="n"/>
      <c r="P26" s="1861" t="n">
        <v>5</v>
      </c>
      <c r="Q26" s="1861" t="n">
        <v>5</v>
      </c>
    </row>
    <row r="27" ht="14.25" customHeight="1" s="866">
      <c r="B27" s="1382" t="inlineStr">
        <is>
          <t>Platform Overhead</t>
        </is>
      </c>
      <c r="C27" s="865" t="n"/>
      <c r="D27" s="865" t="n"/>
      <c r="E27" s="865" t="n"/>
      <c r="F27" s="1314" t="n"/>
      <c r="G27" s="865" t="n"/>
      <c r="H27" s="1384" t="n"/>
      <c r="I27" s="1855">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865" t="n"/>
      <c r="L28" s="865" t="n"/>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9" t="n"/>
      <c r="D30" s="1849" t="n"/>
      <c r="E30" s="1849" t="n"/>
      <c r="F30" s="1849" t="n"/>
      <c r="G30" s="1849" t="n"/>
      <c r="H30" s="1849" t="n"/>
      <c r="I30" s="1849" t="n"/>
      <c r="J30" s="1849" t="n"/>
      <c r="K30" s="865" t="n"/>
      <c r="L30" s="865" t="n"/>
      <c r="M30" s="865" t="n"/>
      <c r="N30" s="865" t="n"/>
      <c r="O30" s="865" t="n"/>
    </row>
    <row r="31" ht="31.5"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356" t="n"/>
      <c r="L31" s="865" t="n"/>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4" t="n"/>
      <c r="I32" s="1014">
        <f>IFERROR($H32*$G32,"")</f>
        <v>0</v>
      </c>
      <c r="J32" s="1014">
        <f>IFERROR($H32*(1-$G32),"")</f>
        <v>0</v>
      </c>
      <c r="K32" s="1360" t="n"/>
      <c r="L32" s="865" t="n"/>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865" t="n"/>
      <c r="L33" s="865" t="n"/>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2" t="n"/>
      <c r="C10" s="1933" t="n"/>
      <c r="D10" s="1933" t="n"/>
      <c r="E10" s="1933" t="n"/>
      <c r="F10" s="1933" t="n"/>
      <c r="G10" s="1375" t="n"/>
      <c r="H10" s="1374" t="inlineStr">
        <is>
          <t>TDD over/(under) budget ($m)</t>
        </is>
      </c>
      <c r="I10" s="1416">
        <f>I8+I9</f>
        <v>0.6425</v>
      </c>
    </row>
    <row r="11" ht="14.25" customFormat="1" customHeight="1" s="865">
      <c r="B11" s="1930" t="n"/>
      <c r="C11" s="1934" t="n"/>
      <c r="D11" s="1934" t="n"/>
      <c r="E11" s="1934" t="n"/>
      <c r="F11" s="1934"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5">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5">
        <f>N('0.1 Budget Table (Fin)'!N11)</f>
        <v>0.9</v>
      </c>
      <c r="J15" s="1857">
        <f>I15*0.5</f>
        <v>0.45</v>
      </c>
      <c r="K15" s="1385">
        <f>IFERROR(I15-J15,0)</f>
        <v>0.45</v>
      </c>
      <c r="L15" s="865" t="n"/>
      <c r="M15" s="1861"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5">
        <f>N('0.1 Budget Table (Fin)'!P11)</f>
        <v>0</v>
      </c>
      <c r="J16" s="1856"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5">
        <f>N('0.1 Budget Table (Fin)'!O11)</f>
        <v>0</v>
      </c>
      <c r="J17" s="1856"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5" t="n"/>
      <c r="J18" s="1855">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5">
        <f>N('0.1 Budget Table (Fin)'!M11)</f>
        <v>0</v>
      </c>
      <c r="J19" s="1856"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1.4</v>
      </c>
      <c r="I26" s="1385">
        <f>IFERROR($H26*$G26,"")</f>
        <v>0.28</v>
      </c>
      <c r="J26" s="1385">
        <f>IFERROR($H26*(1-$G26),"")</f>
        <v>1.12</v>
      </c>
      <c r="K26" s="1865" t="n">
        <v>6</v>
      </c>
      <c r="L26" s="1861" t="n">
        <v>9</v>
      </c>
      <c r="M26" s="1312" t="inlineStr">
        <is>
          <t>remove 2 roles</t>
        </is>
      </c>
      <c r="N26" s="1861" t="n">
        <v>5</v>
      </c>
      <c r="O26" s="1861" t="n">
        <v>7</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5">
        <f>IFERROR(IF($E27="Onshore",INDEX('0.3 Squad Archetypes'!$G$5:$G$23,MATCH($C27&amp;"|"&amp;$D27,'0.3 Squad Archetypes'!$A$5:$A$23,0)),INDEX('0.3 Squad Archetypes'!$H$5:$H$23,MATCH($C27&amp;"|"&amp;$D27,'0.3 Squad Archetypes'!$A$5:$A$23,0))),"check size")</f>
        <v>1.4</v>
      </c>
      <c r="I27" s="1385">
        <f>IFERROR($H27*$G27,"")</f>
        <v>1.4</v>
      </c>
      <c r="J27" s="1385">
        <f>IFERROR($H27*(1-$G27),"")</f>
        <v>0</v>
      </c>
      <c r="K27" s="1865" t="n">
        <v>6</v>
      </c>
      <c r="L27" s="1861" t="n">
        <v>5</v>
      </c>
      <c r="M27" s="1312" t="n"/>
      <c r="N27" s="1861" t="n">
        <v>1</v>
      </c>
      <c r="O27" s="1861" t="n">
        <v>5</v>
      </c>
    </row>
    <row r="28" ht="14.25" customHeight="1" s="866">
      <c r="B28" s="1382" t="inlineStr">
        <is>
          <t>Platform Overhead</t>
        </is>
      </c>
      <c r="C28" s="1384" t="n"/>
      <c r="D28" s="1384" t="n"/>
      <c r="E28" s="1384" t="n"/>
      <c r="F28" s="1314" t="n"/>
      <c r="G28" s="1384" t="n"/>
      <c r="H28" s="1384" t="n"/>
      <c r="I28" s="1855">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9" t="n"/>
      <c r="D31" s="1849" t="n"/>
      <c r="E31" s="1849" t="n"/>
      <c r="F31" s="1849" t="n"/>
      <c r="G31" s="1849" t="n"/>
      <c r="H31" s="1849" t="n"/>
      <c r="I31" s="1849" t="n"/>
      <c r="J31" s="1849" t="n"/>
      <c r="K31" s="865" t="n"/>
      <c r="L31" s="865" t="n"/>
      <c r="M31" s="865" t="n"/>
      <c r="N31" s="865" t="n"/>
      <c r="O31" s="865" t="n"/>
    </row>
    <row r="32" ht="31.5"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row>
    <row r="33" ht="14.25" customHeight="1" s="866">
      <c r="B33" s="1012" t="inlineStr">
        <is>
          <t>EGI Finance</t>
        </is>
      </c>
      <c r="C33" s="1357" t="inlineStr">
        <is>
          <t>Strategic Programs</t>
        </is>
      </c>
      <c r="D33" s="1357" t="n"/>
      <c r="E33" s="1357" t="inlineStr">
        <is>
          <t>Onshore</t>
        </is>
      </c>
      <c r="F33" s="1358" t="inlineStr">
        <is>
          <t>AU</t>
        </is>
      </c>
      <c r="G33" s="1359" t="n">
        <v>0.2</v>
      </c>
      <c r="H33" s="1852" t="n">
        <v>0</v>
      </c>
      <c r="I33" s="1014">
        <f>IFERROR($H33*$G33,"")</f>
        <v>0</v>
      </c>
      <c r="J33" s="1014">
        <f>IFERROR($H33*(1-$G33),"")</f>
        <v>0</v>
      </c>
      <c r="K33" s="1360" t="n"/>
      <c r="L33" s="865" t="n"/>
      <c r="M33" s="865" t="n"/>
      <c r="N33" s="1366" t="str">
        <f>"People in this program today cost "&amp;TEXT(SUMIFS('REVIEW - Complete Role Mapping'!$AA$2:$AA$528,'REVIEW - Complete Role Mapping'!$AT$2:$AT$528,$B33)/1000000,"0.00")&amp;"m. Set the agreed cost in the cream cell."</f>
        <v>People in this program today cost 0.24m. Set the agreed cost in the cream cell.</v>
      </c>
      <c r="O33" s="865" t="n"/>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M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30" t="n"/>
      <c r="C11" s="1934" t="n"/>
      <c r="D11" s="1934" t="n"/>
      <c r="E11" s="1934" t="n"/>
      <c r="F11" s="1934"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5">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5">
        <f>N('0.1 Budget Table (Fin)'!N10)</f>
        <v>0.4</v>
      </c>
      <c r="J15" s="1856"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5">
        <f>N('0.1 Budget Table (Fin)'!P10)</f>
        <v>5</v>
      </c>
      <c r="J16" s="1857">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5">
        <f>N('0.1 Budget Table (Fin)'!O10)</f>
        <v>0</v>
      </c>
      <c r="J17" s="1856"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5">
        <f>N('0.1 Budget Table (Fin)'!M10)</f>
        <v>0</v>
      </c>
      <c r="J18" s="1856"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865" t="n"/>
      <c r="L24" s="865" t="n"/>
      <c r="M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865" t="n"/>
      <c r="L25" s="1356" t="n"/>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2.1</v>
      </c>
      <c r="I26" s="1385">
        <f>IFERROR($H26*$G26,"")</f>
        <v>0.42</v>
      </c>
      <c r="J26" s="1385">
        <f>IFERROR($H26*(1-$G26),"")</f>
        <v>1.68</v>
      </c>
      <c r="K26" s="865" t="n"/>
      <c r="L26" s="1360" t="n"/>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865" t="n"/>
      <c r="L28" s="865" t="n"/>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865" t="n"/>
      <c r="L30" s="865" t="n"/>
      <c r="M30" s="865" t="n"/>
    </row>
    <row r="31" ht="31.5"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865" t="n"/>
      <c r="L31" s="1356" t="n"/>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5">
        <f>IFERROR(IF($E32="Onshore",INDEX('0.3 Squad Archetypes'!$G$5:$G$23,MATCH($C32&amp;"|"&amp;$D32,'0.3 Squad Archetypes'!$A$5:$A$23,0)),INDEX('0.3 Squad Archetypes'!$H$5:$H$23,MATCH($C32&amp;"|"&amp;$D32,'0.3 Squad Archetypes'!$A$5:$A$23,0))),"check size")</f>
        <v>2.1</v>
      </c>
      <c r="I32" s="1385">
        <f>IFERROR($H32*$G32,"")</f>
        <v>0.42</v>
      </c>
      <c r="J32" s="1385">
        <f>IFERROR($H32*(1-$G32),"")</f>
        <v>1.68</v>
      </c>
      <c r="K32" s="865" t="n"/>
      <c r="L32" s="1360" t="n"/>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5">
        <f>IFERROR(IF($E33="Onshore",INDEX('0.3 Squad Archetypes'!$G$5:$G$23,MATCH($C33&amp;"|"&amp;$D33,'0.3 Squad Archetypes'!$A$5:$A$23,0)),INDEX('0.3 Squad Archetypes'!$H$5:$H$23,MATCH($C33&amp;"|"&amp;$D33,'0.3 Squad Archetypes'!$A$5:$A$23,0))),"check size")</f>
        <v>0.8</v>
      </c>
      <c r="I33" s="1385">
        <f>IFERROR($H33*$G33,"")</f>
        <v>0.64</v>
      </c>
      <c r="J33" s="1385">
        <f>IFERROR($H33*(1-$G33),"")</f>
        <v>0.16</v>
      </c>
      <c r="K33" s="865" t="n"/>
      <c r="L33" s="1360" t="n"/>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865" t="n"/>
      <c r="L35" s="865" t="n"/>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865" t="n"/>
      <c r="L37" s="865" t="n"/>
      <c r="M37" s="865" t="n"/>
    </row>
    <row r="38" ht="31.5"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865" t="n"/>
      <c r="L38" s="1356" t="n"/>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5">
        <f>IFERROR(IF($E39="Onshore",INDEX('0.3 Squad Archetypes'!$G$5:$G$23,MATCH($C39&amp;"|"&amp;$D39,'0.3 Squad Archetypes'!$A$5:$A$23,0)),INDEX('0.3 Squad Archetypes'!$H$5:$H$23,MATCH($C39&amp;"|"&amp;$D39,'0.3 Squad Archetypes'!$A$5:$A$23,0))),"check size")</f>
        <v>1.4</v>
      </c>
      <c r="I39" s="1385">
        <f>IFERROR($H39*$G39,"")</f>
        <v>0.28</v>
      </c>
      <c r="J39" s="1385">
        <f>IFERROR($H39*(1-$G39),"")</f>
        <v>1.12</v>
      </c>
      <c r="K39" s="865" t="inlineStr">
        <is>
          <t>Data team to be worked out</t>
        </is>
      </c>
      <c r="L39" s="1360" t="n"/>
      <c r="M39" s="865" t="n"/>
    </row>
    <row r="40" ht="14.25" customHeight="1" s="866">
      <c r="B40" s="1382" t="inlineStr">
        <is>
          <t>Platform Overhead</t>
        </is>
      </c>
      <c r="C40" s="1384" t="n"/>
      <c r="D40" s="1384" t="n"/>
      <c r="E40" s="1384" t="n"/>
      <c r="F40" s="1314" t="n"/>
      <c r="G40" s="1384" t="n"/>
      <c r="H40" s="1384" t="n"/>
      <c r="I40" s="1855">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865" t="n"/>
      <c r="L41" s="865" t="n"/>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M4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5">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6" t="n">
        <v>2.5</v>
      </c>
      <c r="J14" s="1856"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6" t="n">
        <v>2.5</v>
      </c>
      <c r="J15" s="1856"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7" t="n"/>
      <c r="J16" s="1857" t="n"/>
      <c r="K16" s="1385" t="n"/>
      <c r="L16" s="1403" t="n"/>
      <c r="M16" s="865" t="n"/>
    </row>
    <row r="17" ht="14.25" customHeight="1" s="866">
      <c r="B17" s="1338" t="inlineStr">
        <is>
          <t>Still to fund outside TDD</t>
        </is>
      </c>
      <c r="C17" s="1339">
        <f>$J23</f>
        <v>-0.5</v>
      </c>
      <c r="D17" s="865" t="n"/>
      <c r="E17" s="1861" t="n"/>
      <c r="F17" s="1314" t="n"/>
      <c r="G17" s="865" t="n"/>
      <c r="H17" s="1449" t="inlineStr">
        <is>
          <t xml:space="preserve">B2B OpEx Initiatives </t>
        </is>
      </c>
      <c r="I17" s="1857" t="n"/>
      <c r="J17" s="1857" t="n"/>
      <c r="K17" s="1385" t="n"/>
      <c r="L17" s="1403" t="n"/>
      <c r="M17" s="865" t="n"/>
    </row>
    <row r="18" ht="14.25" customHeight="1" s="866">
      <c r="B18" s="1344" t="inlineStr">
        <is>
          <t>Total to fund</t>
        </is>
      </c>
      <c r="C18" s="1345">
        <f>$C16+$C17</f>
        <v>0.0274999999999999</v>
      </c>
      <c r="D18" s="865" t="n"/>
      <c r="E18" s="1861" t="n"/>
      <c r="F18" s="1314" t="n"/>
      <c r="G18" s="865" t="n"/>
      <c r="H18" s="1449" t="inlineStr">
        <is>
          <t>B2B CapEx (not yet in the Finance table)</t>
        </is>
      </c>
      <c r="I18" s="1857" t="n"/>
      <c r="J18" s="1856" t="n">
        <v>1.5</v>
      </c>
      <c r="K18" s="1385" t="n"/>
      <c r="L18" s="1403" t="n"/>
      <c r="M18" s="865" t="n"/>
    </row>
    <row r="19" ht="14.25" customHeight="1" s="866">
      <c r="B19" s="865" t="n"/>
      <c r="C19" s="865" t="n"/>
      <c r="D19" s="865" t="n"/>
      <c r="E19" s="865" t="n"/>
      <c r="F19" s="1314" t="n"/>
      <c r="G19" s="865" t="n"/>
      <c r="H19" s="1382" t="inlineStr">
        <is>
          <t>Significant Items</t>
        </is>
      </c>
      <c r="I19" s="1855">
        <f>N('0.1 Budget Table (Fin)'!O7)</f>
        <v>0</v>
      </c>
      <c r="J19" s="1856" t="n">
        <v>0</v>
      </c>
      <c r="K19" s="1385">
        <f>IFERROR(I19-J19,0)</f>
        <v>0</v>
      </c>
      <c r="L19" s="1403" t="n"/>
      <c r="M19" s="865" t="n"/>
    </row>
    <row r="20" ht="14.25" customHeight="1" s="866">
      <c r="B20" s="865" t="n"/>
      <c r="C20" s="865" t="n"/>
      <c r="D20" s="865" t="n"/>
      <c r="E20" s="865" t="n"/>
      <c r="F20" s="1314" t="n"/>
      <c r="G20" s="865" t="n"/>
      <c r="H20" s="1382" t="inlineStr">
        <is>
          <t>Depreciation</t>
        </is>
      </c>
      <c r="I20" s="1855">
        <f>N('0.1 Budget Table (Fin)'!M7)</f>
        <v>0</v>
      </c>
      <c r="J20" s="1856" t="n">
        <v>0</v>
      </c>
      <c r="K20" s="1385">
        <f>IFERROR(I20-J20,0)</f>
        <v>0</v>
      </c>
      <c r="L20" s="1403" t="n"/>
      <c r="M20" s="865" t="n"/>
    </row>
    <row r="21" ht="14.25" customHeight="1" s="866">
      <c r="B21" s="1861"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865" t="n"/>
      <c r="L26" s="865" t="n"/>
      <c r="M26" s="865" t="n"/>
    </row>
    <row r="27" ht="31.5"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865" t="n"/>
      <c r="L27" s="1356" t="n"/>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5">
        <f>IFERROR(IF($E28="Onshore",INDEX('0.3 Squad Archetypes'!$G$5:$G$23,MATCH($C28&amp;"|"&amp;$D28,'0.3 Squad Archetypes'!$A$5:$A$23,0)),INDEX('0.3 Squad Archetypes'!$H$5:$H$23,MATCH($C28&amp;"|"&amp;$D28,'0.3 Squad Archetypes'!$A$5:$A$23,0))),"check size")</f>
        <v>2.7</v>
      </c>
      <c r="I28" s="1385">
        <f>IFERROR($H28*$G28,"")</f>
        <v>0.54</v>
      </c>
      <c r="J28" s="1385">
        <f>IFERROR($H28*(1-$G28),"")</f>
        <v>2.16</v>
      </c>
      <c r="K28" s="865" t="n"/>
      <c r="L28" s="1360" t="n"/>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5">
        <f>IFERROR(IF($E29="Onshore",INDEX('0.3 Squad Archetypes'!$G$5:$G$23,MATCH($C29&amp;"|"&amp;$D29,'0.3 Squad Archetypes'!$A$5:$A$23,0)),INDEX('0.3 Squad Archetypes'!$H$5:$H$23,MATCH($C29&amp;"|"&amp;$D29,'0.3 Squad Archetypes'!$A$5:$A$23,0))),"check size")</f>
        <v>2</v>
      </c>
      <c r="I29" s="1385">
        <f>IFERROR($H29*$G29,"")</f>
        <v>0.4</v>
      </c>
      <c r="J29" s="1385">
        <f>IFERROR($H29*(1-$G29),"")</f>
        <v>1.6</v>
      </c>
      <c r="K29" s="865" t="n"/>
      <c r="L29" s="1360" t="n"/>
      <c r="M29" s="865" t="n"/>
    </row>
    <row r="30" ht="14.25" customHeight="1" s="866">
      <c r="B30" s="1382" t="inlineStr">
        <is>
          <t>Platform Overhead</t>
        </is>
      </c>
      <c r="C30" s="1384" t="n"/>
      <c r="D30" s="1384" t="n"/>
      <c r="E30" s="1384" t="n"/>
      <c r="F30" s="1314" t="n"/>
      <c r="G30" s="1384" t="n"/>
      <c r="H30" s="1384" t="n"/>
      <c r="I30" s="1855">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865" t="n"/>
      <c r="L31" s="865" t="n"/>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865" t="n"/>
      <c r="L33" s="865" t="n"/>
      <c r="M33" s="865" t="n"/>
    </row>
    <row r="34" ht="31.5"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865" t="n"/>
      <c r="L34" s="1356" t="n"/>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5">
        <f>IFERROR(IF($E35="Onshore",INDEX('0.3 Squad Archetypes'!$G$5:$G$23,MATCH($C35&amp;"|"&amp;$D35,'0.3 Squad Archetypes'!$A$5:$A$23,0)),INDEX('0.3 Squad Archetypes'!$H$5:$H$23,MATCH($C35&amp;"|"&amp;$D35,'0.3 Squad Archetypes'!$A$5:$A$23,0))),"check size")</f>
        <v>3.2</v>
      </c>
      <c r="I35" s="1385">
        <f>IFERROR($H35*$G35,"")</f>
        <v>0.96</v>
      </c>
      <c r="J35" s="1385">
        <f>IFERROR($H35*(1-$G35),"")</f>
        <v>2.24</v>
      </c>
      <c r="K35" s="865" t="n"/>
      <c r="L35" s="1360" t="n"/>
      <c r="M35" s="865" t="n"/>
    </row>
    <row r="36" ht="14.25" customHeight="1" s="866">
      <c r="B36" s="1382" t="inlineStr">
        <is>
          <t>Platform Overhead</t>
        </is>
      </c>
      <c r="C36" s="1384" t="n"/>
      <c r="D36" s="1384" t="n"/>
      <c r="E36" s="1384" t="n"/>
      <c r="F36" s="1314" t="n"/>
      <c r="G36" s="1384" t="n"/>
      <c r="H36" s="1384" t="n"/>
      <c r="I36" s="1855">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865" t="n"/>
      <c r="L37" s="865" t="n"/>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30">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30">
        <f>N('0.1 Budget Table (Fin)'!N8)</f>
        <v>6.1</v>
      </c>
      <c r="J14" s="1852"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30">
        <f>N('0.1 Budget Table (Fin)'!P8)</f>
        <v>6.8</v>
      </c>
      <c r="J15" s="1852"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30">
        <f>N('0.1 Budget Table (Fin)'!P5)</f>
        <v>4.9</v>
      </c>
      <c r="J16" s="1854"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30">
        <f>N('0.1 Budget Table (Fin)'!O8)</f>
        <v>14.2</v>
      </c>
      <c r="J17" s="1830">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30">
        <f>N('0.1 Budget Table (Fin)'!M8)</f>
        <v>0</v>
      </c>
      <c r="J18" s="1852"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865" t="n"/>
      <c r="L24" s="865" t="n"/>
      <c r="M24" s="865" t="n"/>
      <c r="N24" s="865" t="n"/>
    </row>
    <row r="25" ht="31.5"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865" t="n"/>
      <c r="L25" s="1356" t="n"/>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60" t="n"/>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60" t="n"/>
      <c r="M27" s="865" t="n"/>
      <c r="N27" s="865" t="n"/>
    </row>
    <row r="28" ht="14.25" customHeight="1" s="866">
      <c r="B28" s="1012" t="inlineStr">
        <is>
          <t>Platform Overhead</t>
        </is>
      </c>
      <c r="C28" s="865" t="n"/>
      <c r="D28" s="865" t="n"/>
      <c r="E28" s="865" t="n"/>
      <c r="F28" s="1314" t="n"/>
      <c r="G28" s="865" t="n"/>
      <c r="H28" s="865" t="n"/>
      <c r="I28" s="1830">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865" t="n"/>
      <c r="L29" s="865" t="n"/>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865" t="n"/>
      <c r="L31" s="865" t="n"/>
      <c r="M31" s="865" t="n"/>
      <c r="N31" s="865" t="n"/>
    </row>
    <row r="32" ht="31.5"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865" t="n"/>
      <c r="L32" s="1356" t="n"/>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60" t="n"/>
      <c r="M33" s="865" t="n"/>
      <c r="N33" s="865" t="n"/>
    </row>
    <row r="34" ht="14.25" customHeight="1" s="866">
      <c r="B34" s="1012" t="inlineStr">
        <is>
          <t>Platform Overhead</t>
        </is>
      </c>
      <c r="C34" s="865" t="n"/>
      <c r="D34" s="865" t="n"/>
      <c r="E34" s="865" t="n"/>
      <c r="F34" s="1314" t="n"/>
      <c r="G34" s="865" t="n"/>
      <c r="H34" s="865" t="n"/>
      <c r="I34" s="1830">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865" t="n"/>
      <c r="L35" s="865" t="n"/>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865" t="n"/>
      <c r="L37" s="865" t="n"/>
      <c r="M37" s="865" t="n"/>
      <c r="N37" s="865" t="n"/>
    </row>
    <row r="38" ht="31.5"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1356" t="n"/>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2" t="n">
        <v>3.8</v>
      </c>
      <c r="I39" s="1014">
        <f>IFERROR($H39*$G39,"")</f>
        <v>0</v>
      </c>
      <c r="J39" s="1014">
        <f>IFERROR($H39*(1-$G39),"")</f>
        <v>3.8</v>
      </c>
      <c r="K39" s="876" t="inlineStr">
        <is>
          <t>Fully funded by CTRM</t>
        </is>
      </c>
      <c r="L39" s="1360" t="n"/>
      <c r="M39" s="865" t="n"/>
      <c r="N39" s="865" t="n"/>
    </row>
    <row r="40" ht="14.25" customHeight="1" s="866">
      <c r="B40" s="1012" t="inlineStr">
        <is>
          <t>Platform Overhead</t>
        </is>
      </c>
      <c r="C40" s="865" t="n"/>
      <c r="D40" s="865" t="n"/>
      <c r="E40" s="865" t="n"/>
      <c r="F40" s="1314" t="n"/>
      <c r="G40" s="865" t="n"/>
      <c r="H40" s="865" t="n"/>
      <c r="I40" s="1830">
        <f>'0.2 Data Config'!$L$16</f>
        <v>0.165</v>
      </c>
      <c r="J40" s="865" t="n"/>
      <c r="K40" s="865" t="inlineStr">
        <is>
          <t xml:space="preserve">Trading &amp; Shipping reduced from Large to Medium </t>
        </is>
      </c>
      <c r="L40" s="865" t="n"/>
      <c r="M40" s="865" t="n"/>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865" t="inlineStr">
        <is>
          <t xml:space="preserve">Hybrid Trading &amp; Shipping </t>
        </is>
      </c>
      <c r="L41" s="865" t="n"/>
      <c r="M41" s="865" t="n"/>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M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5">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5">
        <f>N('0.1 Budget Table (Fin)'!N6)</f>
        <v>1.4</v>
      </c>
      <c r="J15" s="1856"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5">
        <f>N('0.1 Budget Table (Fin)'!P6)</f>
        <v>11.7</v>
      </c>
      <c r="J16" s="1856"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5">
        <f>N('0.1 Budget Table (Fin)'!$O$6)</f>
        <v>0</v>
      </c>
      <c r="J17" s="1856"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5">
        <f>N('0.1 Budget Table (Fin)'!M6)</f>
        <v>11.3</v>
      </c>
      <c r="J18" s="1856"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1"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865" t="n"/>
      <c r="L24" s="865" t="n"/>
      <c r="M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865" t="n"/>
      <c r="L25" s="865" t="n"/>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5">
        <f>IFERROR(IF($E26="Onshore",INDEX('0.3 Squad Archetypes'!$G$5:$G$23,MATCH($C26&amp;"|"&amp;$D26,'0.3 Squad Archetypes'!$A$5:$A$23,0)),INDEX('0.3 Squad Archetypes'!$H$5:$H$23,MATCH($C26&amp;"|"&amp;$D26,'0.3 Squad Archetypes'!$A$5:$A$23,0))),"check size")</f>
        <v>2</v>
      </c>
      <c r="I26" s="1385">
        <f>IFERROR($H26*$G26,"")</f>
        <v>1.6</v>
      </c>
      <c r="J26" s="1385">
        <f>IFERROR($H26*(1-$G26),"")</f>
        <v>0.4</v>
      </c>
      <c r="K26" s="865" t="n"/>
      <c r="L26" s="1360" t="n"/>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865" t="n"/>
      <c r="L28" s="865" t="n"/>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865" t="n"/>
      <c r="L30" s="865" t="n"/>
      <c r="M30" s="865" t="n"/>
    </row>
    <row r="31" ht="31.5"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865" t="n"/>
      <c r="L31" s="1356" t="n"/>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5">
        <f>IFERROR(IF($E32="Onshore",INDEX('0.3 Squad Archetypes'!$G$5:$G$23,MATCH($C32&amp;"|"&amp;$D32,'0.3 Squad Archetypes'!$A$5:$A$23,0)),INDEX('0.3 Squad Archetypes'!$H$5:$H$23,MATCH($C32&amp;"|"&amp;$D32,'0.3 Squad Archetypes'!$A$5:$A$23,0))),"check size")</f>
        <v>2.1</v>
      </c>
      <c r="I32" s="1385">
        <f>IFERROR($H32*$G32,"")</f>
        <v>1.68</v>
      </c>
      <c r="J32" s="1385">
        <f>IFERROR($H32*(1-$G32),"")</f>
        <v>0.42</v>
      </c>
      <c r="K32" s="865" t="n"/>
      <c r="L32" s="1360" t="n"/>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5">
        <f>IFERROR(IF($E33="Onshore",INDEX('0.3 Squad Archetypes'!$G$5:$G$23,MATCH($C33&amp;"|"&amp;$D33,'0.3 Squad Archetypes'!$A$5:$A$23,0)),INDEX('0.3 Squad Archetypes'!$H$5:$H$23,MATCH($C33&amp;"|"&amp;$D33,'0.3 Squad Archetypes'!$A$5:$A$23,0))),"check size")</f>
        <v>2</v>
      </c>
      <c r="I33" s="1385">
        <f>IFERROR($H33*$G33,"")</f>
        <v>1.6</v>
      </c>
      <c r="J33" s="1385">
        <f>IFERROR($H33*(1-$G33),"")</f>
        <v>0.4</v>
      </c>
      <c r="K33" s="865" t="n"/>
      <c r="L33" s="1360" t="n"/>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865" t="n"/>
      <c r="L35" s="865" t="n"/>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865" t="n"/>
      <c r="L37" s="865" t="n"/>
      <c r="M37" s="865" t="n"/>
    </row>
    <row r="38" ht="31.5"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865" t="n"/>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n"/>
      <c r="C40" s="1362" t="n"/>
      <c r="D40" s="1362" t="n"/>
      <c r="E40" s="1362" t="n"/>
      <c r="F40" s="1314" t="n"/>
      <c r="G40" s="1362" t="n"/>
      <c r="H40" s="1362" t="n"/>
      <c r="I40" s="1830"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1"/>
    <row r="2" ht="21" customHeight="1" s="866">
      <c r="B2" s="1315" t="inlineStr">
        <is>
          <t>Business Partnering &amp; Transformation - roles and funding</t>
        </is>
      </c>
      <c r="C2" s="865" t="n"/>
      <c r="D2" s="865" t="n"/>
      <c r="E2" s="865" t="n"/>
      <c r="F2" s="865" t="n"/>
      <c r="G2" s="865" t="n"/>
      <c r="H2" s="865" t="n"/>
      <c r="I2" s="865" t="n"/>
      <c r="J2" s="865" t="n"/>
      <c r="K2" s="865" t="n"/>
      <c r="L2" s="865" t="n"/>
    </row>
    <row r="3"/>
    <row r="4" ht="19" customHeight="1" s="866">
      <c r="B4" s="1470" t="inlineStr">
        <is>
          <t>Summary</t>
        </is>
      </c>
      <c r="C4" s="1849" t="n"/>
      <c r="D4" s="1849" t="n"/>
      <c r="E4" s="1849" t="n"/>
      <c r="F4" s="1849" t="n"/>
      <c r="G4" s="1849" t="n"/>
      <c r="H4" s="1849" t="n"/>
      <c r="I4" s="1849" t="n"/>
      <c r="J4" s="1849"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5">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5">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6">
        <f>$F8-$G8</f>
        <v>0.200561822</v>
      </c>
      <c r="I8" s="1492">
        <f>SUM(I6:I7)</f>
        <v>5.43460475</v>
      </c>
      <c r="J8" s="1492">
        <f>SUM(J6:J7)</f>
        <v>0.741951272</v>
      </c>
      <c r="K8" s="1314" t="n"/>
      <c r="L8" s="1314" t="n"/>
    </row>
    <row r="9" ht="14.25" customFormat="1" customHeight="1" s="865">
      <c r="B9" s="1861" t="n"/>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9">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6" t="n"/>
      <c r="G19" s="1527" t="n"/>
      <c r="H19" s="1866"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7"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8"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1"/>
    <row r="2" ht="21" customHeight="1" s="866">
      <c r="B2" s="1315" t="inlineStr">
        <is>
          <t>Strategy, Architecture &amp; Data - roles and funding</t>
        </is>
      </c>
      <c r="C2" s="865" t="n"/>
      <c r="D2" s="865" t="n"/>
      <c r="E2" s="865" t="n"/>
      <c r="F2" s="865" t="n"/>
      <c r="G2" s="865" t="n"/>
      <c r="H2" s="865" t="n"/>
      <c r="I2" s="865" t="n"/>
      <c r="J2" s="865" t="n"/>
      <c r="K2" s="865" t="n"/>
      <c r="L2" s="865" t="n"/>
    </row>
    <row r="3"/>
    <row r="4" ht="19" customHeight="1" s="866">
      <c r="B4" s="1470" t="inlineStr">
        <is>
          <t>Summary</t>
        </is>
      </c>
      <c r="C4" s="1849" t="n"/>
      <c r="D4" s="1849" t="n"/>
      <c r="E4" s="1849" t="n"/>
      <c r="F4" s="1849" t="n"/>
      <c r="G4" s="1849" t="n"/>
      <c r="H4" s="1849" t="n"/>
      <c r="I4" s="1849" t="n"/>
      <c r="J4" s="1849" t="n"/>
      <c r="K4" s="1849"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5">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5">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6">
        <f>$G8-$H8</f>
        <v>1.129494052</v>
      </c>
      <c r="J8" s="1492">
        <f>SUM(J6:J7)</f>
        <v>5.6858791</v>
      </c>
      <c r="K8" s="1492">
        <f>SUM(K6:K7)</f>
        <v>0.843614952</v>
      </c>
      <c r="L8" s="1314" t="n"/>
    </row>
    <row r="9" ht="14.25" customHeight="1" s="866">
      <c r="B9" s="1861" t="n"/>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9">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6" t="n"/>
      <c r="G20" s="1527" t="n"/>
      <c r="H20" s="1866"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7"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7"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7"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937"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8"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1"/>
    <row r="2" ht="21" customHeight="1" s="866">
      <c r="B2" s="1826" t="inlineStr">
        <is>
          <t>Cyber, Risk &amp; Service Operations - roles and funding</t>
        </is>
      </c>
      <c r="C2" s="865" t="n"/>
      <c r="D2" s="865" t="n"/>
      <c r="E2" s="865" t="n"/>
      <c r="F2" s="865" t="n"/>
      <c r="G2" s="865" t="n"/>
      <c r="H2" s="865" t="n"/>
      <c r="I2" s="865" t="n"/>
      <c r="J2" s="865" t="n"/>
    </row>
    <row r="3"/>
    <row r="4" ht="19" customHeight="1" s="866">
      <c r="B4" s="1505" t="inlineStr">
        <is>
          <t>Summary</t>
        </is>
      </c>
      <c r="C4" s="1867" t="n"/>
      <c r="D4" s="1867" t="n"/>
      <c r="E4" s="1867" t="n"/>
      <c r="F4" s="1867" t="n"/>
      <c r="G4" s="1867" t="n"/>
      <c r="H4" s="1867" t="n"/>
      <c r="I4" s="1867" t="n"/>
      <c r="J4" s="1867" t="n"/>
    </row>
    <row r="5" ht="48" customHeight="1" s="866">
      <c r="B5" s="1320"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3" t="n">
        <v>0</v>
      </c>
      <c r="H7" s="1506">
        <f>$F7-$G7</f>
        <v>3.92346938</v>
      </c>
      <c r="I7" s="1323">
        <f>SUMIFS($T$19:$T$70,$D$19:$D$70,"Service Op &amp; Assurance",$E$19:$E$70,"&lt;&gt;NZ")</f>
        <v>3.5464988</v>
      </c>
      <c r="J7" s="1323">
        <f>SUMIFS($T$19:$T$70,$D$19:$D$70,"Service Op &amp; Assurance",$E$19:$E$70,"NZ")</f>
        <v>0.37697058</v>
      </c>
    </row>
    <row r="8" ht="14.25" customHeight="1" s="866">
      <c r="B8" s="1939" t="inlineStr">
        <is>
          <t>Total</t>
        </is>
      </c>
      <c r="C8" s="1940">
        <f>SUM(C6:C7)</f>
        <v>46</v>
      </c>
      <c r="D8" s="1940">
        <f>SUM(D6:D7)</f>
        <v>42</v>
      </c>
      <c r="E8" s="1940">
        <f>SUM(E6:E7)</f>
        <v>4</v>
      </c>
      <c r="F8" s="1941">
        <f>SUM(F6:F7)</f>
        <v>9.897858294</v>
      </c>
      <c r="G8" s="1924">
        <f>C14</f>
        <v>4</v>
      </c>
      <c r="H8" s="1941">
        <f>$F8-$G8</f>
        <v>5.897858294</v>
      </c>
      <c r="I8" s="1942">
        <f>SUM(I6:I7)</f>
        <v>8.83986105</v>
      </c>
      <c r="J8" s="1942">
        <f>SUM(J6:J7)</f>
        <v>1.057997244</v>
      </c>
    </row>
    <row r="9"/>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4"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3">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7" t="n"/>
      <c r="D17" s="1867" t="n"/>
      <c r="E17" s="1867" t="n"/>
      <c r="F17" s="1867" t="n"/>
      <c r="G17" s="1867" t="n"/>
      <c r="H17" s="1944" t="n"/>
      <c r="I17" s="1944" t="n"/>
      <c r="J17" s="1944" t="n"/>
      <c r="K17" s="1816"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Q118"/>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COUNTA($B$37:$B$47)</f>
        <v>11</v>
      </c>
      <c r="G8" s="1770">
        <f>COUNTIFS($D$37:$D$47,"Filled")</f>
        <v>7</v>
      </c>
      <c r="H8" s="1770">
        <f>COUNTIFS($D$37:$D$47,"Vacant")</f>
        <v>4</v>
      </c>
      <c r="I8" s="1770">
        <f>COUNTIFS($D$37:$D$47,"Vacant",$E$37:$E$47,"Hire")</f>
        <v>4</v>
      </c>
      <c r="J8" s="1770">
        <f>COUNTIFS($E$37:$E$47,"Offshore")</f>
        <v>0</v>
      </c>
      <c r="K8" s="1770">
        <f>COUNTIFS($E$37:$E$47,"Hold")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SUM($G$37:$G$47)/1000000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COUNTA($B$60:$B$65)</f>
        <v>6</v>
      </c>
      <c r="G9" s="1770">
        <f>COUNTIFS($D$60:$D$65,"Filled")</f>
        <v>0</v>
      </c>
      <c r="H9" s="1770">
        <f>COUNTIFS($D$60:$D$65,"Vacant")</f>
        <v>6</v>
      </c>
      <c r="I9" s="1770">
        <f>COUNTIFS($D$60:$D$65,"Vacant",$E$60:$E$65,"Hire")</f>
        <v>6</v>
      </c>
      <c r="J9" s="1770">
        <f>COUNTIFS($E$60:$E$65,"Offshore")</f>
        <v>0</v>
      </c>
      <c r="K9" s="1770">
        <f>COUNTIFS($E$60:$E$65,"Hold")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SUM($G$60:$G$65)/1000000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COUNTA($B$67:$B$71)</f>
        <v>5</v>
      </c>
      <c r="G10" s="1770">
        <f>COUNTIFS($D$67:$D$71,"Filled")</f>
        <v>5</v>
      </c>
      <c r="H10" s="1770">
        <f>COUNTIFS($D$67:$D$71,"Vacant")</f>
        <v>0</v>
      </c>
      <c r="I10" s="1770">
        <f>COUNTIFS($D$67:$D$71,"Vacant",$E$67:$E$71,"Hire")</f>
        <v>0</v>
      </c>
      <c r="J10" s="1770">
        <f>COUNTIFS($E$67:$E$71,"Offshore")</f>
        <v>0</v>
      </c>
      <c r="K10" s="1770">
        <f>COUNTIFS($E$67:$E$71,"Hold")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SUM($G$67:$G$71)/1000000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COUNTA($B$82:$B$87)</f>
        <v>6</v>
      </c>
      <c r="G11" s="1770">
        <f>COUNTIFS($D$82:$D$87,"Filled")</f>
        <v>4</v>
      </c>
      <c r="H11" s="1770">
        <f>COUNTIFS($D$82:$D$87,"Vacant")</f>
        <v>2</v>
      </c>
      <c r="I11" s="1770">
        <f>COUNTIFS($D$82:$D$87,"Vacant",$E$82:$E$87,"Hire")</f>
        <v>2</v>
      </c>
      <c r="J11" s="1770">
        <f>COUNTIFS($E$82:$E$87,"Offshore")</f>
        <v>0</v>
      </c>
      <c r="K11" s="1770">
        <f>COUNTIFS($E$82:$E$87,"Hold")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SUM($G$82:$G$87)/1000000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COUNTA($B$89:$B$96)</f>
        <v>8</v>
      </c>
      <c r="G12" s="1770">
        <f>COUNTIFS($D$89:$D$96,"Filled")</f>
        <v>0</v>
      </c>
      <c r="H12" s="1770">
        <f>COUNTIFS($D$89:$D$96,"Vacant")</f>
        <v>8</v>
      </c>
      <c r="I12" s="1770">
        <f>COUNTIFS($D$89:$D$96,"Vacant",$E$89:$E$96,"Hire")</f>
        <v>8</v>
      </c>
      <c r="J12" s="1770">
        <f>COUNTIFS($E$89:$E$96,"Offshore")</f>
        <v>0</v>
      </c>
      <c r="K12" s="1770">
        <f>COUNTIFS($E$89:$E$96,"Hold")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SUM($G$89:$G$96)/1000000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COUNTA($B$98:$B$101)</f>
        <v>4</v>
      </c>
      <c r="G13" s="1770">
        <f>COUNTIFS($D$98:$D$101,"Filled")</f>
        <v>3</v>
      </c>
      <c r="H13" s="1770">
        <f>COUNTIFS($D$98:$D$101,"Vacant")</f>
        <v>1</v>
      </c>
      <c r="I13" s="1770">
        <f>COUNTIFS($D$98:$D$101,"Vacant",$E$98:$E$101,"Hire")</f>
        <v>1</v>
      </c>
      <c r="J13" s="1770">
        <f>COUNTIFS($E$98:$E$101,"Offshore")</f>
        <v>0</v>
      </c>
      <c r="K13" s="1770">
        <f>COUNTIFS($E$98:$E$101,"Hold")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SUM($G$98:$G$101)/1000000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COUNTA($B$103:$B$110)</f>
        <v>8</v>
      </c>
      <c r="G14" s="1770">
        <f>COUNTIFS($D$103:$D$110,"Filled")</f>
        <v>7</v>
      </c>
      <c r="H14" s="1770">
        <f>COUNTIFS($D$103:$D$110,"Vacant")</f>
        <v>1</v>
      </c>
      <c r="I14" s="1770">
        <f>COUNTIFS($D$103:$D$110,"Vacant",$E$103:$E$110,"Hire")</f>
        <v>1</v>
      </c>
      <c r="J14" s="1770">
        <f>COUNTIFS($E$103:$E$110,"Offshore")</f>
        <v>0</v>
      </c>
      <c r="K14" s="1770">
        <f>COUNTIFS($E$103:$E$110,"Hold")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SUM($G$103:$G$110)/1000000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SUM(M8:M14)</f>
        <v>9.88</v>
      </c>
      <c r="N15" s="1771">
        <f>SUM(N8:N14)</f>
        <v>9.113524162</v>
      </c>
      <c r="O15" s="1771">
        <f>IF(N($M15)=0,"-",ROUND($N15-$M15,6))</f>
        <v>-0.766476</v>
      </c>
      <c r="P15" s="1771">
        <f>SUM(P8:P14)</f>
        <v>9.113524162</v>
      </c>
      <c r="Q15" s="1771">
        <f>IF(N($M15)=0,"-",ROUND($P15-$M15,6))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COUNTA($B$49:$B$58)</f>
        <v>10</v>
      </c>
      <c r="G17" s="1770">
        <f>COUNTIFS($D$49:$D$58,"Filled")</f>
        <v>10</v>
      </c>
      <c r="H17" s="1770">
        <f>COUNTIFS($D$49:$D$58,"Vacant")</f>
        <v>0</v>
      </c>
      <c r="I17" s="1770">
        <f>COUNTIFS($D$49:$D$58,"Vacant",$E$49:$E$58,"Hire")</f>
        <v>0</v>
      </c>
      <c r="J17" s="1770">
        <f>COUNTIFS($E$49:$E$58,"Offshore")</f>
        <v>0</v>
      </c>
      <c r="K17" s="1770">
        <f>COUNTIFS($E$49:$E$58,"Hold")</f>
        <v>0</v>
      </c>
      <c r="L17" s="1770">
        <f>$F17-$K17</f>
        <v>10</v>
      </c>
      <c r="M17" s="1769">
        <f>IFERROR(INDEX('1.1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SUM($G$49:$G$58)/1000000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COUNTA($B$73:$B$78)</f>
        <v>6</v>
      </c>
      <c r="G18" s="1770">
        <f>COUNTIFS($D$73:$D$78,"Filled")</f>
        <v>6</v>
      </c>
      <c r="H18" s="1770">
        <f>COUNTIFS($D$73:$D$78,"Vacant")</f>
        <v>0</v>
      </c>
      <c r="I18" s="1770">
        <f>COUNTIFS($D$73:$D$78,"Vacant",$E$73:$E$78,"Hire")</f>
        <v>0</v>
      </c>
      <c r="J18" s="1770">
        <f>COUNTIFS($E$73:$E$78,"Offshore")</f>
        <v>0</v>
      </c>
      <c r="K18" s="1770">
        <f>COUNTIFS($E$73:$E$78,"Hold")</f>
        <v>0</v>
      </c>
      <c r="L18" s="1770">
        <f>$F18-$K18</f>
        <v>6</v>
      </c>
      <c r="M18" s="1769">
        <f>$N18</f>
        <v>1.221357614</v>
      </c>
      <c r="N18" s="1769">
        <f>SUMIFS('REVIEW - Complete Role Mapping'!$AA$2:$AA$528,'REVIEW - Complete Role Mapping'!$AJ$2:$AJ$528,$C$3,'REVIEW - Complete Role Mapping'!$AT$2:$AT$528,$B18)/1000000</f>
        <v>1.221357614</v>
      </c>
      <c r="O18" s="1769">
        <f>IFERROR(ROUND($N18-$M18,6),"-")</f>
        <v>0</v>
      </c>
      <c r="P18" s="1769">
        <f>SUM($G$73:$G$78)/1000000</f>
        <v>1.221357614</v>
      </c>
      <c r="Q18" s="1769">
        <f>IFERROR(ROUND($P18-$M18,6),"-")</f>
        <v>0</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COUNTA($B$80:$B$80)</f>
        <v>1</v>
      </c>
      <c r="G19" s="1770">
        <f>COUNTIFS($D$80:$D$80,"Filled")</f>
        <v>1</v>
      </c>
      <c r="H19" s="1770">
        <f>COUNTIFS($D$80:$D$80,"Vacant")</f>
        <v>0</v>
      </c>
      <c r="I19" s="1770">
        <f>COUNTIFS($D$80:$D$80,"Vacant",$E$80:$E$80,"Hire")</f>
        <v>0</v>
      </c>
      <c r="J19" s="1770">
        <f>COUNTIFS($E$80:$E$80,"Offshore")</f>
        <v>0</v>
      </c>
      <c r="K19" s="1770">
        <f>COUNTIFS($E$80:$E$80,"Hold")</f>
        <v>0</v>
      </c>
      <c r="L19" s="1770">
        <f>$F19-$K19</f>
        <v>1</v>
      </c>
      <c r="M19" s="1769">
        <f>$N19</f>
        <v>0.2997</v>
      </c>
      <c r="N19" s="1769">
        <f>SUMIFS('REVIEW - Complete Role Mapping'!$AA$2:$AA$528,'REVIEW - Complete Role Mapping'!$AJ$2:$AJ$528,$C$3,'REVIEW - Complete Role Mapping'!$AT$2:$AT$528,$B19)/1000000</f>
        <v>0.2997</v>
      </c>
      <c r="O19" s="1769">
        <f>IFERROR(ROUND($N19-$M19,6),"-")</f>
        <v>0</v>
      </c>
      <c r="P19" s="1769">
        <f>SUM($G$80:$G$80)/1000000</f>
        <v>0.2997</v>
      </c>
      <c r="Q19" s="1769">
        <f>IFERROR(ROUND($P19-$M19,6),"-")</f>
        <v>0</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f>SUM(M17:M19)</f>
        <v>2.925146614</v>
      </c>
      <c r="N20" s="1771">
        <f>SUM(N17:N19)</f>
        <v>3.636087332</v>
      </c>
      <c r="O20" s="1771">
        <f>IF(N($M20)=0,"-",ROUND($N20-$M20,6))</f>
        <v>0.710941</v>
      </c>
      <c r="P20" s="1771">
        <f>SUM(P17:P19)</f>
        <v>3.636087332</v>
      </c>
      <c r="Q20" s="1771">
        <f>IF(N($M20)=0,"-",ROUND($P20-$M20,6))</f>
        <v>0.710941</v>
      </c>
    </row>
    <row r="21">
      <c r="B21" s="1530" t="inlineStr">
        <is>
          <t>Groups with no archetype and no funded figure</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None</t>
        </is>
      </c>
      <c r="C22" s="1531" t="inlineStr">
        <is>
          <t>None - every group here has a figure to compare</t>
        </is>
      </c>
      <c r="D22" s="1539" t="str">
        <f>"-"</f>
        <v>-</v>
      </c>
      <c r="E22" s="1539" t="str">
        <f>"-"</f>
        <v>-</v>
      </c>
      <c r="F22" s="1539" t="str">
        <f>"-"</f>
        <v>-</v>
      </c>
      <c r="G22" s="1539" t="str">
        <f>"-"</f>
        <v>-</v>
      </c>
      <c r="H22" s="1539" t="str">
        <f>"-"</f>
        <v>-</v>
      </c>
      <c r="I22" s="1539" t="str">
        <f>"-"</f>
        <v>-</v>
      </c>
      <c r="J22" s="1539" t="str">
        <f>"-"</f>
        <v>-</v>
      </c>
      <c r="K22" s="1539" t="str">
        <f>"-"</f>
        <v>-</v>
      </c>
      <c r="L22" s="1539" t="str">
        <f>"-"</f>
        <v>-</v>
      </c>
      <c r="M22" s="1539" t="str">
        <f>"-"</f>
        <v>-</v>
      </c>
      <c r="N22" s="1539" t="str">
        <f>"-"</f>
        <v>-</v>
      </c>
      <c r="O22" s="1539" t="str">
        <f>"-"</f>
        <v>-</v>
      </c>
      <c r="P22" s="1539" t="str">
        <f>"-"</f>
        <v>-</v>
      </c>
      <c r="Q22" s="1539" t="str">
        <f>"-"</f>
        <v>-</v>
      </c>
    </row>
    <row r="23">
      <c r="B23" s="1535" t="inlineStr">
        <is>
          <t>Groups with no archetype and no funded figure total</t>
        </is>
      </c>
      <c r="C23" s="1535" t="n"/>
      <c r="D23" s="1535" t="n"/>
      <c r="E23" s="1784">
        <f>SUM(E22:E22)</f>
        <v>0</v>
      </c>
      <c r="F23" s="1772">
        <f>SUM(F22:F22)</f>
        <v>0</v>
      </c>
      <c r="G23" s="1772">
        <f>SUM(G22:G22)</f>
        <v>0</v>
      </c>
      <c r="H23" s="1772">
        <f>SUM(H22:H22)</f>
        <v>0</v>
      </c>
      <c r="I23" s="1772">
        <f>SUM(I22:I22)</f>
        <v>0</v>
      </c>
      <c r="J23" s="1772">
        <f>SUM(J22:J22)</f>
        <v>0</v>
      </c>
      <c r="K23" s="1772">
        <f>SUM(K22:K22)</f>
        <v>0</v>
      </c>
      <c r="L23" s="1772">
        <f>SUM(L22:L22)</f>
        <v>0</v>
      </c>
      <c r="M23" s="1771">
        <f>SUM(M22:M22)</f>
        <v>0</v>
      </c>
      <c r="N23" s="1771">
        <f>SUM(N22:N22)</f>
        <v>0</v>
      </c>
      <c r="O23" s="1771" t="str">
        <f>IF(N($M23)=0,"-",ROUND($N23-$M23,6))</f>
        <v>-</v>
      </c>
      <c r="P23" s="1771">
        <f>SUM(P22:P22)</f>
        <v>0</v>
      </c>
      <c r="Q23" s="1771" t="str">
        <f>IF(N($M23)=0,"-",ROUND($P23-$M23,6))</f>
        <v>-</v>
      </c>
    </row>
    <row r="24">
      <c r="B24" s="1530" t="inlineStr">
        <is>
          <t>Overhead roles</t>
        </is>
      </c>
      <c r="C24" s="1530" t="n"/>
      <c r="D24" s="1530" t="n"/>
      <c r="E24" s="1530" t="n"/>
      <c r="F24" s="1530" t="n"/>
      <c r="G24" s="1530" t="n"/>
      <c r="H24" s="1530" t="n"/>
      <c r="I24" s="1530" t="n"/>
      <c r="J24" s="1530" t="n"/>
      <c r="K24" s="1530" t="n"/>
      <c r="L24" s="1530" t="n"/>
      <c r="M24" s="1530" t="n"/>
      <c r="N24" s="1530" t="n"/>
      <c r="O24" s="1530" t="n"/>
      <c r="P24" s="1530" t="n"/>
      <c r="Q24" s="1530" t="n"/>
    </row>
    <row r="25">
      <c r="B25" s="1531" t="inlineStr">
        <is>
          <t>Head of Technology</t>
        </is>
      </c>
      <c r="C25" s="1531" t="str">
        <f>"-"</f>
        <v>-</v>
      </c>
      <c r="D25" s="1531" t="str">
        <f>"-"</f>
        <v>-</v>
      </c>
      <c r="E25" s="1540" t="str">
        <f>"-"</f>
        <v>-</v>
      </c>
      <c r="F25" s="1770">
        <f>COUNTA($B$112:$B$112)</f>
        <v>1</v>
      </c>
      <c r="G25" s="1770">
        <f>COUNTIFS($D$112:$D$112,"Filled")</f>
        <v>1</v>
      </c>
      <c r="H25" s="1770">
        <f>COUNTIFS($D$112:$D$112,"Vacant")</f>
        <v>0</v>
      </c>
      <c r="I25" s="1770">
        <f>COUNTIFS($D$112:$D$112,"Vacant",$E$112:$E$112,"Hire")</f>
        <v>0</v>
      </c>
      <c r="J25" s="1770">
        <f>COUNTIFS($E$112:$E$112,"Offshore")</f>
        <v>0</v>
      </c>
      <c r="K25" s="1770">
        <f>COUNTIFS($E$112:$E$112,"Hold")</f>
        <v>0</v>
      </c>
      <c r="L25" s="1770">
        <f>$F25-$K25</f>
        <v>1</v>
      </c>
      <c r="M25" s="1540" t="str">
        <f>"-"</f>
        <v>-</v>
      </c>
      <c r="N25" s="1769">
        <f>SUMIFS('REVIEW - Complete Role Mapping'!$AA$2:$AA$528,'REVIEW - Complete Role Mapping'!$AJ$2:$AJ$528,$C$3,'REVIEW - Complete Role Mapping'!$AT$2:$AT$528,$B25)/1000000</f>
        <v>0.18603225</v>
      </c>
      <c r="O25" s="1540" t="str">
        <f>"-"</f>
        <v>-</v>
      </c>
      <c r="P25" s="1769">
        <f>SUM($G$112:$G$112)/1000000</f>
        <v>0.18603225</v>
      </c>
      <c r="Q25" s="1540" t="str">
        <f>"-"</f>
        <v>-</v>
      </c>
    </row>
    <row r="26">
      <c r="B26" s="1531" t="inlineStr">
        <is>
          <t>Delivery Manager</t>
        </is>
      </c>
      <c r="C26" s="1531" t="str">
        <f>"-"</f>
        <v>-</v>
      </c>
      <c r="D26" s="1531" t="str">
        <f>"-"</f>
        <v>-</v>
      </c>
      <c r="E26" s="1540" t="str">
        <f>"-"</f>
        <v>-</v>
      </c>
      <c r="F26" s="1770">
        <f>COUNTA($B$114:$B$114)</f>
        <v>1</v>
      </c>
      <c r="G26" s="1770">
        <f>COUNTIFS($D$114:$D$114,"Filled")</f>
        <v>1</v>
      </c>
      <c r="H26" s="1770">
        <f>COUNTIFS($D$114:$D$114,"Vacant")</f>
        <v>0</v>
      </c>
      <c r="I26" s="1770">
        <f>COUNTIFS($D$114:$D$114,"Vacant",$E$114:$E$114,"Hire")</f>
        <v>0</v>
      </c>
      <c r="J26" s="1770">
        <f>COUNTIFS($E$114:$E$114,"Offshore")</f>
        <v>0</v>
      </c>
      <c r="K26" s="1770">
        <f>COUNTIFS($E$114:$E$114,"Hold")</f>
        <v>0</v>
      </c>
      <c r="L26" s="1770">
        <f>$F26-$K26</f>
        <v>1</v>
      </c>
      <c r="M26" s="1540" t="str">
        <f>"-"</f>
        <v>-</v>
      </c>
      <c r="N26" s="1769">
        <f>SUMIFS('REVIEW - Complete Role Mapping'!$AA$2:$AA$528,'REVIEW - Complete Role Mapping'!$AJ$2:$AJ$528,$C$3,'REVIEW - Complete Role Mapping'!$AT$2:$AT$528,$B26)/1000000</f>
        <v>0.30293735</v>
      </c>
      <c r="O26" s="1540" t="str">
        <f>"-"</f>
        <v>-</v>
      </c>
      <c r="P26" s="1769">
        <f>SUM($G$114:$G$114)/1000000</f>
        <v>0.30293735</v>
      </c>
      <c r="Q26" s="1540" t="str">
        <f>"-"</f>
        <v>-</v>
      </c>
    </row>
    <row r="27">
      <c r="B27" s="1531" t="inlineStr">
        <is>
          <t>Technology Manager</t>
        </is>
      </c>
      <c r="C27" s="1531" t="str">
        <f>"-"</f>
        <v>-</v>
      </c>
      <c r="D27" s="1531" t="str">
        <f>"-"</f>
        <v>-</v>
      </c>
      <c r="E27" s="1540" t="str">
        <f>"-"</f>
        <v>-</v>
      </c>
      <c r="F27" s="1770">
        <f>COUNTA($B$116:$B$118)</f>
        <v>3</v>
      </c>
      <c r="G27" s="1770">
        <f>COUNTIFS($D$116:$D$118,"Filled")</f>
        <v>3</v>
      </c>
      <c r="H27" s="1770">
        <f>COUNTIFS($D$116:$D$118,"Vacant")</f>
        <v>0</v>
      </c>
      <c r="I27" s="1770">
        <f>COUNTIFS($D$116:$D$118,"Vacant",$E$116:$E$118,"Hire")</f>
        <v>0</v>
      </c>
      <c r="J27" s="1770">
        <f>COUNTIFS($E$116:$E$118,"Offshore")</f>
        <v>0</v>
      </c>
      <c r="K27" s="1770">
        <f>COUNTIFS($E$116:$E$118,"Hold")</f>
        <v>0</v>
      </c>
      <c r="L27" s="1770">
        <f>$F27-$K27</f>
        <v>3</v>
      </c>
      <c r="M27" s="1540" t="str">
        <f>"-"</f>
        <v>-</v>
      </c>
      <c r="N27" s="1769">
        <f>SUMIFS('REVIEW - Complete Role Mapping'!$AA$2:$AA$528,'REVIEW - Complete Role Mapping'!$AJ$2:$AJ$528,$C$3,'REVIEW - Complete Role Mapping'!$AT$2:$AT$528,$B27)/1000000</f>
        <v>0.766646363</v>
      </c>
      <c r="O27" s="1540" t="str">
        <f>"-"</f>
        <v>-</v>
      </c>
      <c r="P27" s="1769">
        <f>SUM($G$116:$G$118)/1000000</f>
        <v>0.766646363</v>
      </c>
      <c r="Q27" s="1540" t="str">
        <f>"-"</f>
        <v>-</v>
      </c>
    </row>
    <row r="28">
      <c r="B28" s="1535" t="inlineStr">
        <is>
          <t>Overhead roles total</t>
        </is>
      </c>
      <c r="C28" s="1535" t="n"/>
      <c r="D28" s="1535" t="n"/>
      <c r="E28" s="1784">
        <f>SUM(E25:E27)</f>
        <v>0</v>
      </c>
      <c r="F28" s="1772">
        <f>SUM(F25:F27)</f>
        <v>5</v>
      </c>
      <c r="G28" s="1772">
        <f>SUM(G25:G27)</f>
        <v>5</v>
      </c>
      <c r="H28" s="1772">
        <f>SUM(H25:H27)</f>
        <v>0</v>
      </c>
      <c r="I28" s="1772">
        <f>SUM(I25:I27)</f>
        <v>0</v>
      </c>
      <c r="J28" s="1772">
        <f>SUM(J25:J27)</f>
        <v>0</v>
      </c>
      <c r="K28" s="1772">
        <f>SUM(K25:K27)</f>
        <v>0</v>
      </c>
      <c r="L28" s="1772">
        <f>SUM(L25:L27)</f>
        <v>5</v>
      </c>
      <c r="M28" s="1771">
        <f>SUM(M25:M27)</f>
        <v>0</v>
      </c>
      <c r="N28" s="1771">
        <f>SUM(N25:N27)</f>
        <v>1.255615963</v>
      </c>
      <c r="O28" s="1771" t="str">
        <f>IF(N($M28)=0,"-",ROUND($N28-$M28,6))</f>
        <v>-</v>
      </c>
      <c r="P28" s="1771">
        <f>SUM(P25:P27)</f>
        <v>1.255615963</v>
      </c>
      <c r="Q28" s="1771" t="str">
        <f>IF(N($M28)=0,"-",ROUND($P28-$M28,6))</f>
        <v>-</v>
      </c>
    </row>
    <row r="29">
      <c r="B29" s="1541" t="inlineStr">
        <is>
          <t>Total portfolio</t>
        </is>
      </c>
      <c r="C29" s="1541" t="n"/>
      <c r="D29" s="1541" t="n"/>
      <c r="E29" s="1785">
        <f>N(E15)+N(E20)+N(E23)+N(E28)</f>
        <v>47.5</v>
      </c>
      <c r="F29" s="1774">
        <f>N(F15)+N(F20)+N(F23)+N(F28)</f>
        <v>70</v>
      </c>
      <c r="G29" s="1774">
        <f>N(G15)+N(G20)+N(G23)+N(G28)</f>
        <v>48</v>
      </c>
      <c r="H29" s="1774">
        <f>N(H15)+N(H20)+N(H23)+N(H28)</f>
        <v>22</v>
      </c>
      <c r="I29" s="1774">
        <f>N(I15)+N(I20)+N(I23)+N(I28)</f>
        <v>22</v>
      </c>
      <c r="J29" s="1774">
        <f>N(J15)+N(J20)+N(J23)+N(J28)</f>
        <v>0</v>
      </c>
      <c r="K29" s="1774">
        <f>N(K15)+N(K20)+N(K23)+N(K28)</f>
        <v>0</v>
      </c>
      <c r="L29" s="1774">
        <f>N(L15)+N(L20)+N(L23)+N(L28)</f>
        <v>70</v>
      </c>
      <c r="M29" s="1773" t="str">
        <f>"-"</f>
        <v>-</v>
      </c>
      <c r="N29" s="1773">
        <f>N(N15)+N(N20)+N(N23)+N(N28)</f>
        <v>14.005227457</v>
      </c>
      <c r="O29" s="1773" t="str">
        <f>"-"</f>
        <v>-</v>
      </c>
      <c r="P29" s="1773">
        <f>N(P15)+N(P20)+N(P23)+N(P28)</f>
        <v>14.005227457</v>
      </c>
      <c r="Q29" s="1773" t="str">
        <f>"-"</f>
        <v>-</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Ampol Retail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30" t="inlineStr">
        <is>
          <t>Above Store</t>
        </is>
      </c>
      <c r="C36" s="1530" t="str">
        <f>COUNTA($B$37:$B$47)&amp;IF(COUNTA($B$37:$B$47)=1," role"," roles")</f>
        <v>11 roles</v>
      </c>
      <c r="D36" s="1530" t="n"/>
      <c r="E36" s="1530" t="n"/>
      <c r="F36" s="1786">
        <f>SUM(F37:F47)</f>
        <v>2097921.857</v>
      </c>
      <c r="G36" s="1786">
        <f>SUM(G37:G47)</f>
        <v>2097921.857</v>
      </c>
    </row>
    <row r="37">
      <c r="B37" s="1531" t="str">
        <f>INDEX('REVIEW - Complete Role Mapping'!$B:$B,36)</f>
        <v>Joseph Maroun</v>
      </c>
      <c r="C37" s="1531" t="str">
        <f>INDEX('REVIEW - Complete Role Mapping'!$C:$C,36)</f>
        <v>Systems Analyst</v>
      </c>
      <c r="D37" s="1531" t="str">
        <f>INDEX('REVIEW - Complete Role Mapping'!$AK:$AK,36)</f>
        <v>Filled</v>
      </c>
      <c r="E37" s="1548" t="inlineStr">
        <is>
          <t>Filled</t>
        </is>
      </c>
      <c r="F37" s="1770">
        <f>INDEX('REVIEW - Complete Role Mapping'!$AA:$AA,36)</f>
        <v>176565.05</v>
      </c>
      <c r="G37" s="1770">
        <f>$F37*IFERROR(INDEX(Lists!$AD:$AD,MATCH($E37,Lists!$AC:$AC,0)),1)</f>
        <v>176565.05</v>
      </c>
    </row>
    <row r="38">
      <c r="B38" s="1531" t="str">
        <f>INDEX('REVIEW - Complete Role Mapping'!$B:$B,43)</f>
        <v>Majdi Abedi</v>
      </c>
      <c r="C38" s="1531" t="str">
        <f>INDEX('REVIEW - Complete Role Mapping'!$C:$C,43)</f>
        <v>Systems Analyst</v>
      </c>
      <c r="D38" s="1531" t="str">
        <f>INDEX('REVIEW - Complete Role Mapping'!$AK:$AK,43)</f>
        <v>Filled</v>
      </c>
      <c r="E38" s="1548" t="inlineStr">
        <is>
          <t>Filled</t>
        </is>
      </c>
      <c r="F38" s="1770">
        <f>INDEX('REVIEW - Complete Role Mapping'!$AA:$AA,43)</f>
        <v>134367.972</v>
      </c>
      <c r="G38" s="1770">
        <f>$F38*IFERROR(INDEX(Lists!$AD:$AD,MATCH($E38,Lists!$AC:$AC,0)),1)</f>
        <v>134367.972</v>
      </c>
    </row>
    <row r="39">
      <c r="B39" s="1531" t="str">
        <f>INDEX('REVIEW - Complete Role Mapping'!$B:$B,53)</f>
        <v>Pahul Oberoi</v>
      </c>
      <c r="C39" s="1531" t="str">
        <f>INDEX('REVIEW - Complete Role Mapping'!$C:$C,53)</f>
        <v>Systems Analyst</v>
      </c>
      <c r="D39" s="1531" t="str">
        <f>INDEX('REVIEW - Complete Role Mapping'!$AK:$AK,53)</f>
        <v>Filled</v>
      </c>
      <c r="E39" s="1548" t="inlineStr">
        <is>
          <t>Filled</t>
        </is>
      </c>
      <c r="F39" s="1770">
        <f>INDEX('REVIEW - Complete Role Mapping'!$AA:$AA,53)</f>
        <v>162060.6</v>
      </c>
      <c r="G39" s="1770">
        <f>$F39*IFERROR(INDEX(Lists!$AD:$AD,MATCH($E39,Lists!$AC:$AC,0)),1)</f>
        <v>162060.6</v>
      </c>
    </row>
    <row r="40">
      <c r="B40" s="1531" t="str">
        <f>INDEX('REVIEW - Complete Role Mapping'!$B:$B,58)</f>
        <v>Sao Keawprasit</v>
      </c>
      <c r="C40" s="1531" t="str">
        <f>INDEX('REVIEW - Complete Role Mapping'!$C:$C,58)</f>
        <v>Systems Analyst</v>
      </c>
      <c r="D40" s="1531" t="str">
        <f>INDEX('REVIEW - Complete Role Mapping'!$AK:$AK,58)</f>
        <v>Filled</v>
      </c>
      <c r="E40" s="1548" t="inlineStr">
        <is>
          <t>Filled</t>
        </is>
      </c>
      <c r="F40" s="1770">
        <f>INDEX('REVIEW - Complete Role Mapping'!$AA:$AA,58)</f>
        <v>203213.7</v>
      </c>
      <c r="G40" s="1770">
        <f>$F40*IFERROR(INDEX(Lists!$AD:$AD,MATCH($E40,Lists!$AC:$AC,0)),1)</f>
        <v>203213.7</v>
      </c>
    </row>
    <row r="41">
      <c r="B41" s="1531" t="str">
        <f>INDEX('REVIEW - Complete Role Mapping'!$B:$B,67)</f>
        <v>Vacant</v>
      </c>
      <c r="C41" s="1531" t="str">
        <f>INDEX('REVIEW - Complete Role Mapping'!$C:$C,67)</f>
        <v>Business Analyst</v>
      </c>
      <c r="D41" s="1531" t="str">
        <f>INDEX('REVIEW - Complete Role Mapping'!$AK:$AK,67)</f>
        <v>Vacant</v>
      </c>
      <c r="E41" s="1548" t="inlineStr">
        <is>
          <t>Hire</t>
        </is>
      </c>
      <c r="F41" s="1770">
        <f>INDEX('REVIEW - Complete Role Mapping'!$AA:$AA,67)</f>
        <v>202853.25</v>
      </c>
      <c r="G41" s="1770">
        <f>$F41*IFERROR(INDEX(Lists!$AD:$AD,MATCH($E41,Lists!$AC:$AC,0)),1)</f>
        <v>202853.25</v>
      </c>
    </row>
    <row r="42">
      <c r="B42" s="1531" t="str">
        <f>INDEX('REVIEW - Complete Role Mapping'!$B:$B,79)</f>
        <v>Vacant</v>
      </c>
      <c r="C42" s="1531" t="str">
        <f>INDEX('REVIEW - Complete Role Mapping'!$C:$C,79)</f>
        <v>Engineer - Integration</v>
      </c>
      <c r="D42" s="1531" t="str">
        <f>INDEX('REVIEW - Complete Role Mapping'!$AK:$AK,79)</f>
        <v>Vacant</v>
      </c>
      <c r="E42" s="1548" t="inlineStr">
        <is>
          <t>Hire</t>
        </is>
      </c>
      <c r="F42" s="1770">
        <f>INDEX('REVIEW - Complete Role Mapping'!$AA:$AA,79)</f>
        <v>170489.75</v>
      </c>
      <c r="G42" s="1770">
        <f>$F42*IFERROR(INDEX(Lists!$AD:$AD,MATCH($E42,Lists!$AC:$AC,0)),1)</f>
        <v>170489.75</v>
      </c>
    </row>
    <row r="43">
      <c r="B43" s="1531" t="str">
        <f>INDEX('REVIEW - Complete Role Mapping'!$B:$B,85)</f>
        <v>Vacant</v>
      </c>
      <c r="C43" s="1531" t="str">
        <f>INDEX('REVIEW - Complete Role Mapping'!$C:$C,85)</f>
        <v>Quality Assurance</v>
      </c>
      <c r="D43" s="1531" t="str">
        <f>INDEX('REVIEW - Complete Role Mapping'!$AK:$AK,85)</f>
        <v>Vacant</v>
      </c>
      <c r="E43" s="1548" t="inlineStr">
        <is>
          <t>Hire</t>
        </is>
      </c>
      <c r="F43" s="1770">
        <f>INDEX('REVIEW - Complete Role Mapping'!$AA:$AA,85)</f>
        <v>170501.585</v>
      </c>
      <c r="G43" s="1770">
        <f>$F43*IFERROR(INDEX(Lists!$AD:$AD,MATCH($E43,Lists!$AC:$AC,0)),1)</f>
        <v>170501.585</v>
      </c>
    </row>
    <row r="44">
      <c r="B44" s="1531" t="str">
        <f>INDEX('REVIEW - Complete Role Mapping'!$B:$B,92)</f>
        <v>Vacant</v>
      </c>
      <c r="C44" s="1531" t="str">
        <f>INDEX('REVIEW - Complete Role Mapping'!$C:$C,92)</f>
        <v>Systems Analyst</v>
      </c>
      <c r="D44" s="1531" t="str">
        <f>INDEX('REVIEW - Complete Role Mapping'!$AK:$AK,92)</f>
        <v>Vacant</v>
      </c>
      <c r="E44" s="1548" t="inlineStr">
        <is>
          <t>Hire</t>
        </is>
      </c>
      <c r="F44" s="1770">
        <f>INDEX('REVIEW - Complete Role Mapping'!$AA:$AA,92)</f>
        <v>201585</v>
      </c>
      <c r="G44" s="1770">
        <f>$F44*IFERROR(INDEX(Lists!$AD:$AD,MATCH($E44,Lists!$AC:$AC,0)),1)</f>
        <v>201585</v>
      </c>
    </row>
    <row r="45">
      <c r="B45" s="1531" t="str">
        <f>INDEX('REVIEW - Complete Role Mapping'!$B:$B,102)</f>
        <v>Vijay Patel</v>
      </c>
      <c r="C45" s="1531" t="str">
        <f>INDEX('REVIEW - Complete Role Mapping'!$C:$C,102)</f>
        <v>Systems Analyst</v>
      </c>
      <c r="D45" s="1531" t="str">
        <f>INDEX('REVIEW - Complete Role Mapping'!$AK:$AK,102)</f>
        <v>Filled</v>
      </c>
      <c r="E45" s="1548" t="inlineStr">
        <is>
          <t>Filled</t>
        </is>
      </c>
      <c r="F45" s="1770">
        <f>INDEX('REVIEW - Complete Role Mapping'!$AA:$AA,102)</f>
        <v>193575</v>
      </c>
      <c r="G45" s="1770">
        <f>$F45*IFERROR(INDEX(Lists!$AD:$AD,MATCH($E45,Lists!$AC:$AC,0)),1)</f>
        <v>193575</v>
      </c>
    </row>
    <row r="46">
      <c r="B46" s="1531" t="str">
        <f>INDEX('REVIEW - Complete Role Mapping'!$B:$B,106)</f>
        <v>Zhan Zhang</v>
      </c>
      <c r="C46" s="1531" t="str">
        <f>INDEX('REVIEW - Complete Role Mapping'!$C:$C,106)</f>
        <v>Solution Architect</v>
      </c>
      <c r="D46" s="1531" t="str">
        <f>INDEX('REVIEW - Complete Role Mapping'!$AK:$AK,106)</f>
        <v>Filled</v>
      </c>
      <c r="E46" s="1548" t="inlineStr">
        <is>
          <t>Filled</t>
        </is>
      </c>
      <c r="F46" s="1770">
        <f>INDEX('REVIEW - Complete Role Mapping'!$AA:$AA,106)</f>
        <v>243637.5</v>
      </c>
      <c r="G46" s="1770">
        <f>$F46*IFERROR(INDEX(Lists!$AD:$AD,MATCH($E46,Lists!$AC:$AC,0)),1)</f>
        <v>243637.5</v>
      </c>
    </row>
    <row r="47">
      <c r="B47" s="1531" t="str">
        <f>INDEX('REVIEW - Complete Role Mapping'!$B:$B,107)</f>
        <v>Zuan Zheng</v>
      </c>
      <c r="C47" s="1531" t="str">
        <f>INDEX('REVIEW - Complete Role Mapping'!$C:$C,107)</f>
        <v>Systems Analyst</v>
      </c>
      <c r="D47" s="1531" t="str">
        <f>INDEX('REVIEW - Complete Role Mapping'!$AK:$AK,107)</f>
        <v>Filled</v>
      </c>
      <c r="E47" s="1548" t="inlineStr">
        <is>
          <t>Filled</t>
        </is>
      </c>
      <c r="F47" s="1770">
        <f>INDEX('REVIEW - Complete Role Mapping'!$AA:$AA,107)</f>
        <v>239072.45</v>
      </c>
      <c r="G47" s="1770">
        <f>$F47*IFERROR(INDEX(Lists!$AD:$AD,MATCH($E47,Lists!$AC:$AC,0)),1)</f>
        <v>239072.45</v>
      </c>
    </row>
    <row r="48">
      <c r="B48" s="1530" t="inlineStr">
        <is>
          <t>AmPOS</t>
        </is>
      </c>
      <c r="C48" s="1530" t="str">
        <f>COUNTA($B$49:$B$58)&amp;IF(COUNTA($B$49:$B$58)=1," role"," roles")</f>
        <v>10 roles</v>
      </c>
      <c r="D48" s="1530" t="n"/>
      <c r="E48" s="1530" t="n"/>
      <c r="F48" s="1786">
        <f>SUM(F49:F58)</f>
        <v>2115029.718</v>
      </c>
      <c r="G48" s="1786">
        <f>SUM(G49:G58)</f>
        <v>2115029.718</v>
      </c>
    </row>
    <row r="49">
      <c r="B49" s="1531" t="str">
        <f>INDEX('REVIEW - Complete Role Mapping'!$B:$B,13)</f>
        <v>Balaji Murugan</v>
      </c>
      <c r="C49" s="1531" t="str">
        <f>INDEX('REVIEW - Complete Role Mapping'!$C:$C,13)</f>
        <v>Delivery Lead</v>
      </c>
      <c r="D49" s="1531" t="str">
        <f>INDEX('REVIEW - Complete Role Mapping'!$AK:$AK,13)</f>
        <v>Filled</v>
      </c>
      <c r="E49" s="1548" t="inlineStr">
        <is>
          <t>Filled</t>
        </is>
      </c>
      <c r="F49" s="1770">
        <f>INDEX('REVIEW - Complete Role Mapping'!$AA:$AA,13)</f>
        <v>237654.03</v>
      </c>
      <c r="G49" s="1770">
        <f>$F49*IFERROR(INDEX(Lists!$AD:$AD,MATCH($E49,Lists!$AC:$AC,0)),1)</f>
        <v>237654.03</v>
      </c>
    </row>
    <row r="50">
      <c r="B50" s="1531" t="str">
        <f>INDEX('REVIEW - Complete Role Mapping'!$B:$B,30)</f>
        <v>Irfan Zavahir</v>
      </c>
      <c r="C50" s="1531" t="str">
        <f>INDEX('REVIEW - Complete Role Mapping'!$C:$C,30)</f>
        <v>Delivery Lead</v>
      </c>
      <c r="D50" s="1531" t="str">
        <f>INDEX('REVIEW - Complete Role Mapping'!$AK:$AK,30)</f>
        <v>Filled</v>
      </c>
      <c r="E50" s="1548" t="inlineStr">
        <is>
          <t>Filled</t>
        </is>
      </c>
      <c r="F50" s="1770">
        <f>INDEX('REVIEW - Complete Role Mapping'!$AA:$AA,30)</f>
        <v>161334</v>
      </c>
      <c r="G50" s="1770">
        <f>$F50*IFERROR(INDEX(Lists!$AD:$AD,MATCH($E50,Lists!$AC:$AC,0)),1)</f>
        <v>161334</v>
      </c>
    </row>
    <row r="51">
      <c r="B51" s="1531" t="str">
        <f>INDEX('REVIEW - Complete Role Mapping'!$B:$B,37)</f>
        <v>Karthick Sathiyamoorthy</v>
      </c>
      <c r="C51" s="1531" t="str">
        <f>INDEX('REVIEW - Complete Role Mapping'!$C:$C,37)</f>
        <v>Quality Assurance</v>
      </c>
      <c r="D51" s="1531" t="str">
        <f>INDEX('REVIEW - Complete Role Mapping'!$AK:$AK,37)</f>
        <v>Filled</v>
      </c>
      <c r="E51" s="1548" t="inlineStr">
        <is>
          <t>Filled</t>
        </is>
      </c>
      <c r="F51" s="1770">
        <f>INDEX('REVIEW - Complete Role Mapping'!$AA:$AA,37)</f>
        <v>194028.9</v>
      </c>
      <c r="G51" s="1770">
        <f>$F51*IFERROR(INDEX(Lists!$AD:$AD,MATCH($E51,Lists!$AC:$AC,0)),1)</f>
        <v>194028.9</v>
      </c>
    </row>
    <row r="52">
      <c r="B52" s="1531" t="str">
        <f>INDEX('REVIEW - Complete Role Mapping'!$B:$B,39)</f>
        <v>Kate Johnstone</v>
      </c>
      <c r="C52" s="1531" t="str">
        <f>INDEX('REVIEW - Complete Role Mapping'!$C:$C,39)</f>
        <v>Program Manager POS</v>
      </c>
      <c r="D52" s="1531" t="str">
        <f>INDEX('REVIEW - Complete Role Mapping'!$AK:$AK,39)</f>
        <v>Filled</v>
      </c>
      <c r="E52" s="1548" t="inlineStr">
        <is>
          <t>Filled</t>
        </is>
      </c>
      <c r="F52" s="1770">
        <f>INDEX('REVIEW - Complete Role Mapping'!$AA:$AA,39)</f>
        <v>202026.336</v>
      </c>
      <c r="G52" s="1770">
        <f>$F52*IFERROR(INDEX(Lists!$AD:$AD,MATCH($E52,Lists!$AC:$AC,0)),1)</f>
        <v>202026.336</v>
      </c>
    </row>
    <row r="53">
      <c r="B53" s="1531" t="str">
        <f>INDEX('REVIEW - Complete Role Mapping'!$B:$B,51)</f>
        <v>Mick Standen</v>
      </c>
      <c r="C53" s="1531" t="str">
        <f>INDEX('REVIEW - Complete Role Mapping'!$C:$C,51)</f>
        <v>Systems Analyst</v>
      </c>
      <c r="D53" s="1531" t="str">
        <f>INDEX('REVIEW - Complete Role Mapping'!$AK:$AK,51)</f>
        <v>Filled</v>
      </c>
      <c r="E53" s="1548" t="inlineStr">
        <is>
          <t>Filled</t>
        </is>
      </c>
      <c r="F53" s="1770">
        <f>INDEX('REVIEW - Complete Role Mapping'!$AA:$AA,51)</f>
        <v>262647.9</v>
      </c>
      <c r="G53" s="1770">
        <f>$F53*IFERROR(INDEX(Lists!$AD:$AD,MATCH($E53,Lists!$AC:$AC,0)),1)</f>
        <v>262647.9</v>
      </c>
    </row>
    <row r="54">
      <c r="B54" s="1531" t="str">
        <f>INDEX('REVIEW - Complete Role Mapping'!$B:$B,55)</f>
        <v>Peter Nicolopoulos</v>
      </c>
      <c r="C54" s="1531" t="str">
        <f>INDEX('REVIEW - Complete Role Mapping'!$C:$C,55)</f>
        <v>Systems Analyst</v>
      </c>
      <c r="D54" s="1531" t="str">
        <f>INDEX('REVIEW - Complete Role Mapping'!$AK:$AK,55)</f>
        <v>Filled</v>
      </c>
      <c r="E54" s="1548" t="inlineStr">
        <is>
          <t>Filled</t>
        </is>
      </c>
      <c r="F54" s="1770">
        <f>INDEX('REVIEW - Complete Role Mapping'!$AA:$AA,55)</f>
        <v>147460.584</v>
      </c>
      <c r="G54" s="1770">
        <f>$F54*IFERROR(INDEX(Lists!$AD:$AD,MATCH($E54,Lists!$AC:$AC,0)),1)</f>
        <v>147460.584</v>
      </c>
    </row>
    <row r="55">
      <c r="B55" s="1531" t="str">
        <f>INDEX('REVIEW - Complete Role Mapping'!$B:$B,62)</f>
        <v>Tabitha Raharadjo</v>
      </c>
      <c r="C55" s="1531" t="str">
        <f>INDEX('REVIEW - Complete Role Mapping'!$C:$C,62)</f>
        <v>Project Coordinator</v>
      </c>
      <c r="D55" s="1531" t="str">
        <f>INDEX('REVIEW - Complete Role Mapping'!$AK:$AK,62)</f>
        <v>Filled</v>
      </c>
      <c r="E55" s="1548" t="inlineStr">
        <is>
          <t>Filled</t>
        </is>
      </c>
      <c r="F55" s="1770">
        <f>INDEX('REVIEW - Complete Role Mapping'!$AA:$AA,62)</f>
        <v>198937.068</v>
      </c>
      <c r="G55" s="1770">
        <f>$F55*IFERROR(INDEX(Lists!$AD:$AD,MATCH($E55,Lists!$AC:$AC,0)),1)</f>
        <v>198937.068</v>
      </c>
    </row>
    <row r="56">
      <c r="B56" s="1531" t="str">
        <f>INDEX('REVIEW - Complete Role Mapping'!$B:$B,380)</f>
        <v>Kevin Nelson</v>
      </c>
      <c r="C56" s="1531" t="str">
        <f>INDEX('REVIEW - Complete Role Mapping'!$C:$C,380)</f>
        <v>Delivery Lead</v>
      </c>
      <c r="D56" s="1531" t="str">
        <f>INDEX('REVIEW - Complete Role Mapping'!$AK:$AK,380)</f>
        <v>Filled</v>
      </c>
      <c r="E56" s="1548" t="inlineStr">
        <is>
          <t>Filled</t>
        </is>
      </c>
      <c r="F56" s="1770">
        <f>INDEX('REVIEW - Complete Role Mapping'!$AA:$AA,380)</f>
        <v>253142.7</v>
      </c>
      <c r="G56" s="1770">
        <f>$F56*IFERROR(INDEX(Lists!$AD:$AD,MATCH($E56,Lists!$AC:$AC,0)),1)</f>
        <v>253142.7</v>
      </c>
    </row>
    <row r="57">
      <c r="B57" s="1531" t="str">
        <f>INDEX('REVIEW - Complete Role Mapping'!$B:$B,442)</f>
        <v>Victor Beuk</v>
      </c>
      <c r="C57" s="1531" t="str">
        <f>INDEX('REVIEW - Complete Role Mapping'!$C:$C,442)</f>
        <v>Delivery Lead</v>
      </c>
      <c r="D57" s="1531" t="str">
        <f>INDEX('REVIEW - Complete Role Mapping'!$AK:$AK,442)</f>
        <v>Filled</v>
      </c>
      <c r="E57" s="1548" t="inlineStr">
        <is>
          <t>Filled</t>
        </is>
      </c>
      <c r="F57" s="1770">
        <f>INDEX('REVIEW - Complete Role Mapping'!$AA:$AA,442)</f>
        <v>247455.6</v>
      </c>
      <c r="G57" s="1770">
        <f>$F57*IFERROR(INDEX(Lists!$AD:$AD,MATCH($E57,Lists!$AC:$AC,0)),1)</f>
        <v>247455.6</v>
      </c>
    </row>
    <row r="58">
      <c r="B58" s="1531" t="str">
        <f>INDEX('REVIEW - Complete Role Mapping'!$B:$B,467)</f>
        <v>Hardik Trivedi</v>
      </c>
      <c r="C58" s="1531" t="str">
        <f>INDEX('REVIEW - Complete Role Mapping'!$C:$C,467)</f>
        <v>Snr Business Analyst</v>
      </c>
      <c r="D58" s="1531" t="str">
        <f>INDEX('REVIEW - Complete Role Mapping'!$AK:$AK,467)</f>
        <v>Filled</v>
      </c>
      <c r="E58" s="1548" t="inlineStr">
        <is>
          <t>Filled</t>
        </is>
      </c>
      <c r="F58" s="1770">
        <f>INDEX('REVIEW - Complete Role Mapping'!$AA:$AA,467)</f>
        <v>210342.6</v>
      </c>
      <c r="G58" s="1770">
        <f>$F58*IFERROR(INDEX(Lists!$AD:$AD,MATCH($E58,Lists!$AC:$AC,0)),1)</f>
        <v>210342.6</v>
      </c>
    </row>
    <row r="59">
      <c r="B59" s="1530" t="inlineStr">
        <is>
          <t>Data AU</t>
        </is>
      </c>
      <c r="C59" s="1530" t="str">
        <f>COUNTA($B$60:$B$65)&amp;IF(COUNTA($B$60:$B$65)=1," role"," roles")</f>
        <v>6 roles</v>
      </c>
      <c r="D59" s="1530" t="n"/>
      <c r="E59" s="1530" t="n"/>
      <c r="F59" s="1786">
        <f>SUM(F60:F65)</f>
        <v>1212323.75</v>
      </c>
      <c r="G59" s="1786">
        <f>SUM(G60:G65)</f>
        <v>1212323.75</v>
      </c>
    </row>
    <row r="60">
      <c r="B60" s="1531" t="str">
        <f>INDEX('REVIEW - Complete Role Mapping'!$B:$B,70)</f>
        <v>Vacant</v>
      </c>
      <c r="C60" s="1531" t="str">
        <f>INDEX('REVIEW - Complete Role Mapping'!$C:$C,70)</f>
        <v>Data Analyst</v>
      </c>
      <c r="D60" s="1531" t="str">
        <f>INDEX('REVIEW - Complete Role Mapping'!$AK:$AK,70)</f>
        <v>Vacant</v>
      </c>
      <c r="E60" s="1548" t="inlineStr">
        <is>
          <t>Hire</t>
        </is>
      </c>
      <c r="F60" s="1770">
        <f>INDEX('REVIEW - Complete Role Mapping'!$AA:$AA,70)</f>
        <v>201585</v>
      </c>
      <c r="G60" s="1770">
        <f>$F60*IFERROR(INDEX(Lists!$AD:$AD,MATCH($E60,Lists!$AC:$AC,0)),1)</f>
        <v>201585</v>
      </c>
    </row>
    <row r="61">
      <c r="B61" s="1531" t="str">
        <f>INDEX('REVIEW - Complete Role Mapping'!$B:$B,71)</f>
        <v>Vacant</v>
      </c>
      <c r="C61" s="1531" t="str">
        <f>INDEX('REVIEW - Complete Role Mapping'!$C:$C,71)</f>
        <v>Data Analyst</v>
      </c>
      <c r="D61" s="1531" t="str">
        <f>INDEX('REVIEW - Complete Role Mapping'!$AK:$AK,71)</f>
        <v>Vacant</v>
      </c>
      <c r="E61" s="1548" t="inlineStr">
        <is>
          <t>Hire</t>
        </is>
      </c>
      <c r="F61" s="1770">
        <f>INDEX('REVIEW - Complete Role Mapping'!$AA:$AA,71)</f>
        <v>231689.25</v>
      </c>
      <c r="G61" s="1770">
        <f>$F61*IFERROR(INDEX(Lists!$AD:$AD,MATCH($E61,Lists!$AC:$AC,0)),1)</f>
        <v>231689.25</v>
      </c>
    </row>
    <row r="62">
      <c r="B62" s="1531" t="str">
        <f>INDEX('REVIEW - Complete Role Mapping'!$B:$B,72)</f>
        <v>Vacant</v>
      </c>
      <c r="C62" s="1531" t="str">
        <f>INDEX('REVIEW - Complete Role Mapping'!$C:$C,72)</f>
        <v>Delivery Lead</v>
      </c>
      <c r="D62" s="1531" t="str">
        <f>INDEX('REVIEW - Complete Role Mapping'!$AK:$AK,72)</f>
        <v>Vacant</v>
      </c>
      <c r="E62" s="1548" t="inlineStr">
        <is>
          <t>Hire</t>
        </is>
      </c>
      <c r="F62" s="1770">
        <f>INDEX('REVIEW - Complete Role Mapping'!$AA:$AA,72)</f>
        <v>202853.25</v>
      </c>
      <c r="G62" s="1770">
        <f>$F62*IFERROR(INDEX(Lists!$AD:$AD,MATCH($E62,Lists!$AC:$AC,0)),1)</f>
        <v>202853.25</v>
      </c>
    </row>
    <row r="63">
      <c r="B63" s="1531" t="str">
        <f>INDEX('REVIEW - Complete Role Mapping'!$B:$B,75)</f>
        <v>Vacant</v>
      </c>
      <c r="C63" s="1531" t="str">
        <f>INDEX('REVIEW - Complete Role Mapping'!$C:$C,75)</f>
        <v>Engineer - Data</v>
      </c>
      <c r="D63" s="1531" t="str">
        <f>INDEX('REVIEW - Complete Role Mapping'!$AK:$AK,75)</f>
        <v>Vacant</v>
      </c>
      <c r="E63" s="1548" t="inlineStr">
        <is>
          <t>Hire</t>
        </is>
      </c>
      <c r="F63" s="1770">
        <f>INDEX('REVIEW - Complete Role Mapping'!$AA:$AA,75)</f>
        <v>202853.25</v>
      </c>
      <c r="G63" s="1770">
        <f>$F63*IFERROR(INDEX(Lists!$AD:$AD,MATCH($E63,Lists!$AC:$AC,0)),1)</f>
        <v>202853.25</v>
      </c>
    </row>
    <row r="64">
      <c r="B64" s="1531" t="str">
        <f>INDEX('REVIEW - Complete Role Mapping'!$B:$B,76)</f>
        <v>Vacant</v>
      </c>
      <c r="C64" s="1531" t="str">
        <f>INDEX('REVIEW - Complete Role Mapping'!$C:$C,76)</f>
        <v>Engineer - Data</v>
      </c>
      <c r="D64" s="1531" t="str">
        <f>INDEX('REVIEW - Complete Role Mapping'!$AK:$AK,76)</f>
        <v>Vacant</v>
      </c>
      <c r="E64" s="1548" t="inlineStr">
        <is>
          <t>Hire</t>
        </is>
      </c>
      <c r="F64" s="1770">
        <f>INDEX('REVIEW - Complete Role Mapping'!$AA:$AA,76)</f>
        <v>202853.25</v>
      </c>
      <c r="G64" s="1770">
        <f>$F64*IFERROR(INDEX(Lists!$AD:$AD,MATCH($E64,Lists!$AC:$AC,0)),1)</f>
        <v>202853.25</v>
      </c>
    </row>
    <row r="65">
      <c r="B65" s="1531" t="str">
        <f>INDEX('REVIEW - Complete Role Mapping'!$B:$B,77)</f>
        <v>Vacant</v>
      </c>
      <c r="C65" s="1531" t="str">
        <f>INDEX('REVIEW - Complete Role Mapping'!$C:$C,77)</f>
        <v>Engineer - Data</v>
      </c>
      <c r="D65" s="1531" t="str">
        <f>INDEX('REVIEW - Complete Role Mapping'!$AK:$AK,77)</f>
        <v>Vacant</v>
      </c>
      <c r="E65" s="1548" t="inlineStr">
        <is>
          <t>Hire</t>
        </is>
      </c>
      <c r="F65" s="1770">
        <f>INDEX('REVIEW - Complete Role Mapping'!$AA:$AA,77)</f>
        <v>170489.75</v>
      </c>
      <c r="G65" s="1770">
        <f>$F65*IFERROR(INDEX(Lists!$AD:$AD,MATCH($E65,Lists!$AC:$AC,0)),1)</f>
        <v>170489.75</v>
      </c>
    </row>
    <row r="66">
      <c r="B66" s="1530" t="inlineStr">
        <is>
          <t>Deployment</t>
        </is>
      </c>
      <c r="C66" s="1530" t="str">
        <f>COUNTA($B$67:$B$71)&amp;IF(COUNTA($B$67:$B$71)=1," role"," roles")</f>
        <v>5 roles</v>
      </c>
      <c r="D66" s="1530" t="n"/>
      <c r="E66" s="1530" t="n"/>
      <c r="F66" s="1786">
        <f>SUM(F67:F71)</f>
        <v>893835.732</v>
      </c>
      <c r="G66" s="1786">
        <f>SUM(G67:G71)</f>
        <v>893835.732</v>
      </c>
    </row>
    <row r="67">
      <c r="B67" s="1531" t="str">
        <f>INDEX('REVIEW - Complete Role Mapping'!$B:$B,8)</f>
        <v>Aniket Banerji</v>
      </c>
      <c r="C67" s="1531" t="str">
        <f>INDEX('REVIEW - Complete Role Mapping'!$C:$C,8)</f>
        <v>Deployment Lead</v>
      </c>
      <c r="D67" s="1531" t="str">
        <f>INDEX('REVIEW - Complete Role Mapping'!$AK:$AK,8)</f>
        <v>Filled</v>
      </c>
      <c r="E67" s="1548" t="inlineStr">
        <is>
          <t>Filled</t>
        </is>
      </c>
      <c r="F67" s="1770">
        <f>INDEX('REVIEW - Complete Role Mapping'!$AA:$AA,8)</f>
        <v>200250</v>
      </c>
      <c r="G67" s="1770">
        <f>$F67*IFERROR(INDEX(Lists!$AD:$AD,MATCH($E67,Lists!$AC:$AC,0)),1)</f>
        <v>200250</v>
      </c>
    </row>
    <row r="68">
      <c r="B68" s="1531" t="str">
        <f>INDEX('REVIEW - Complete Role Mapping'!$B:$B,11)</f>
        <v>Anthony Dumbrell</v>
      </c>
      <c r="C68" s="1531" t="str">
        <f>INDEX('REVIEW - Complete Role Mapping'!$C:$C,11)</f>
        <v>Technology &amp; Lab Specialist Stores</v>
      </c>
      <c r="D68" s="1531" t="str">
        <f>INDEX('REVIEW - Complete Role Mapping'!$AK:$AK,11)</f>
        <v>Filled</v>
      </c>
      <c r="E68" s="1548" t="inlineStr">
        <is>
          <t>Filled</t>
        </is>
      </c>
      <c r="F68" s="1770">
        <f>INDEX('REVIEW - Complete Role Mapping'!$AA:$AA,11)</f>
        <v>206070.6</v>
      </c>
      <c r="G68" s="1770">
        <f>$F68*IFERROR(INDEX(Lists!$AD:$AD,MATCH($E68,Lists!$AC:$AC,0)),1)</f>
        <v>206070.6</v>
      </c>
    </row>
    <row r="69">
      <c r="B69" s="1531" t="str">
        <f>INDEX('REVIEW - Complete Role Mapping'!$B:$B,22)</f>
        <v>Deepak Kubendran</v>
      </c>
      <c r="C69" s="1531" t="str">
        <f>INDEX('REVIEW - Complete Role Mapping'!$C:$C,22)</f>
        <v>Project Manager - Deployments</v>
      </c>
      <c r="D69" s="1531" t="str">
        <f>INDEX('REVIEW - Complete Role Mapping'!$AK:$AK,22)</f>
        <v>Filled</v>
      </c>
      <c r="E69" s="1548" t="inlineStr">
        <is>
          <t>Filled</t>
        </is>
      </c>
      <c r="F69" s="1770">
        <f>INDEX('REVIEW - Complete Role Mapping'!$AA:$AA,22)</f>
        <v>205483.2</v>
      </c>
      <c r="G69" s="1770">
        <f>$F69*IFERROR(INDEX(Lists!$AD:$AD,MATCH($E69,Lists!$AC:$AC,0)),1)</f>
        <v>205483.2</v>
      </c>
    </row>
    <row r="70">
      <c r="B70" s="1531" t="str">
        <f>INDEX('REVIEW - Complete Role Mapping'!$B:$B,48)</f>
        <v>Matthew Patane</v>
      </c>
      <c r="C70" s="1531" t="str">
        <f>INDEX('REVIEW - Complete Role Mapping'!$C:$C,48)</f>
        <v>Release &amp; Deployment Manager</v>
      </c>
      <c r="D70" s="1531" t="str">
        <f>INDEX('REVIEW - Complete Role Mapping'!$AK:$AK,48)</f>
        <v>Filled</v>
      </c>
      <c r="E70" s="1548" t="inlineStr">
        <is>
          <t>Filled</t>
        </is>
      </c>
      <c r="F70" s="1770">
        <f>INDEX('REVIEW - Complete Role Mapping'!$AA:$AA,48)</f>
        <v>136461.432</v>
      </c>
      <c r="G70" s="1770">
        <f>$F70*IFERROR(INDEX(Lists!$AD:$AD,MATCH($E70,Lists!$AC:$AC,0)),1)</f>
        <v>136461.432</v>
      </c>
    </row>
    <row r="71">
      <c r="B71" s="1531" t="str">
        <f>INDEX('REVIEW - Complete Role Mapping'!$B:$B,103)</f>
        <v>Violeta Trajkovski</v>
      </c>
      <c r="C71" s="1531" t="str">
        <f>INDEX('REVIEW - Complete Role Mapping'!$C:$C,103)</f>
        <v>Deployment Coordinator</v>
      </c>
      <c r="D71" s="1531" t="str">
        <f>INDEX('REVIEW - Complete Role Mapping'!$AK:$AK,103)</f>
        <v>Filled</v>
      </c>
      <c r="E71" s="1548" t="inlineStr">
        <is>
          <t>Filled</t>
        </is>
      </c>
      <c r="F71" s="1770">
        <f>INDEX('REVIEW - Complete Role Mapping'!$AA:$AA,103)</f>
        <v>145570.5</v>
      </c>
      <c r="G71" s="1770">
        <f>$F71*IFERROR(INDEX(Lists!$AD:$AD,MATCH($E71,Lists!$AC:$AC,0)),1)</f>
        <v>145570.5</v>
      </c>
    </row>
    <row r="72">
      <c r="B72" s="1530" t="inlineStr">
        <is>
          <t>EGI Retail</t>
        </is>
      </c>
      <c r="C72" s="1530" t="str">
        <f>COUNTA($B$73:$B$78)&amp;IF(COUNTA($B$73:$B$78)=1," role"," roles")</f>
        <v>6 roles</v>
      </c>
      <c r="D72" s="1530" t="n"/>
      <c r="E72" s="1530" t="n"/>
      <c r="F72" s="1786">
        <f>SUM(F73:F78)</f>
        <v>1221357.614</v>
      </c>
      <c r="G72" s="1786">
        <f>SUM(G73:G78)</f>
        <v>1221357.614</v>
      </c>
    </row>
    <row r="73">
      <c r="B73" s="1531" t="str">
        <f>INDEX('REVIEW - Complete Role Mapping'!$B:$B,4)</f>
        <v>Alex Prakhiy</v>
      </c>
      <c r="C73" s="1531" t="str">
        <f>INDEX('REVIEW - Complete Role Mapping'!$C:$C,4)</f>
        <v>Business Analyst</v>
      </c>
      <c r="D73" s="1531" t="str">
        <f>INDEX('REVIEW - Complete Role Mapping'!$AK:$AK,4)</f>
        <v>Filled</v>
      </c>
      <c r="E73" s="1548" t="inlineStr">
        <is>
          <t>Filled</t>
        </is>
      </c>
      <c r="F73" s="1770">
        <f>INDEX('REVIEW - Complete Role Mapping'!$AA:$AA,4)</f>
        <v>222000</v>
      </c>
      <c r="G73" s="1770">
        <f>$F73*IFERROR(INDEX(Lists!$AD:$AD,MATCH($E73,Lists!$AC:$AC,0)),1)</f>
        <v>222000</v>
      </c>
    </row>
    <row r="74">
      <c r="B74" s="1531" t="str">
        <f>INDEX('REVIEW - Complete Role Mapping'!$B:$B,10)</f>
        <v>Anne Pretorius</v>
      </c>
      <c r="C74" s="1531" t="str">
        <f>INDEX('REVIEW - Complete Role Mapping'!$C:$C,10)</f>
        <v>Lead Business Analyst</v>
      </c>
      <c r="D74" s="1531" t="str">
        <f>INDEX('REVIEW - Complete Role Mapping'!$AK:$AK,10)</f>
        <v>Filled</v>
      </c>
      <c r="E74" s="1548" t="inlineStr">
        <is>
          <t>Filled</t>
        </is>
      </c>
      <c r="F74" s="1770">
        <f>INDEX('REVIEW - Complete Role Mapping'!$AA:$AA,10)</f>
        <v>195610.164</v>
      </c>
      <c r="G74" s="1770">
        <f>$F74*IFERROR(INDEX(Lists!$AD:$AD,MATCH($E74,Lists!$AC:$AC,0)),1)</f>
        <v>195610.164</v>
      </c>
    </row>
    <row r="75">
      <c r="B75" s="1531" t="str">
        <f>INDEX('REVIEW - Complete Role Mapping'!$B:$B,47)</f>
        <v>Marty O'Shea</v>
      </c>
      <c r="C75" s="1531" t="str">
        <f>INDEX('REVIEW - Complete Role Mapping'!$C:$C,47)</f>
        <v>Systems Analyst</v>
      </c>
      <c r="D75" s="1531" t="str">
        <f>INDEX('REVIEW - Complete Role Mapping'!$AK:$AK,47)</f>
        <v>Filled</v>
      </c>
      <c r="E75" s="1548" t="inlineStr">
        <is>
          <t>Filled</t>
        </is>
      </c>
      <c r="F75" s="1770">
        <f>INDEX('REVIEW - Complete Role Mapping'!$AA:$AA,47)</f>
        <v>247161.9</v>
      </c>
      <c r="G75" s="1770">
        <f>$F75*IFERROR(INDEX(Lists!$AD:$AD,MATCH($E75,Lists!$AC:$AC,0)),1)</f>
        <v>247161.9</v>
      </c>
    </row>
    <row r="76">
      <c r="B76" s="1531" t="str">
        <f>INDEX('REVIEW - Complete Role Mapping'!$B:$B,52)</f>
        <v>Navneet Singh</v>
      </c>
      <c r="C76" s="1531" t="str">
        <f>INDEX('REVIEW - Complete Role Mapping'!$C:$C,52)</f>
        <v>Solution Architect</v>
      </c>
      <c r="D76" s="1531" t="str">
        <f>INDEX('REVIEW - Complete Role Mapping'!$AK:$AK,52)</f>
        <v>Filled</v>
      </c>
      <c r="E76" s="1548" t="inlineStr">
        <is>
          <t>Filled</t>
        </is>
      </c>
      <c r="F76" s="1770">
        <f>INDEX('REVIEW - Complete Role Mapping'!$AA:$AA,52)</f>
        <v>133500</v>
      </c>
      <c r="G76" s="1770">
        <f>$F76*IFERROR(INDEX(Lists!$AD:$AD,MATCH($E76,Lists!$AC:$AC,0)),1)</f>
        <v>133500</v>
      </c>
    </row>
    <row r="77">
      <c r="B77" s="1531" t="str">
        <f>INDEX('REVIEW - Complete Role Mapping'!$B:$B,60)</f>
        <v>Sendhil Vinayagam (75% EGI)</v>
      </c>
      <c r="C77" s="1531" t="str">
        <f>INDEX('REVIEW - Complete Role Mapping'!$C:$C,60)</f>
        <v>Solution Architect</v>
      </c>
      <c r="D77" s="1531" t="str">
        <f>INDEX('REVIEW - Complete Role Mapping'!$AK:$AK,60)</f>
        <v>Filled</v>
      </c>
      <c r="E77" s="1548" t="inlineStr">
        <is>
          <t>Filled</t>
        </is>
      </c>
      <c r="F77" s="1770">
        <f>INDEX('REVIEW - Complete Role Mapping'!$AA:$AA,60)</f>
        <v>267547.35</v>
      </c>
      <c r="G77" s="1770">
        <f>$F77*IFERROR(INDEX(Lists!$AD:$AD,MATCH($E77,Lists!$AC:$AC,0)),1)</f>
        <v>267547.35</v>
      </c>
    </row>
    <row r="78">
      <c r="B78" s="1531" t="str">
        <f>INDEX('REVIEW - Complete Role Mapping'!$B:$B,61)</f>
        <v>Sjoerd Van Sluijs</v>
      </c>
      <c r="C78" s="1531" t="str">
        <f>INDEX('REVIEW - Complete Role Mapping'!$C:$C,61)</f>
        <v>Senior PM PEP1, PEP18</v>
      </c>
      <c r="D78" s="1531" t="str">
        <f>INDEX('REVIEW - Complete Role Mapping'!$AK:$AK,61)</f>
        <v>Filled</v>
      </c>
      <c r="E78" s="1548" t="inlineStr">
        <is>
          <t>Filled</t>
        </is>
      </c>
      <c r="F78" s="1770">
        <f>INDEX('REVIEW - Complete Role Mapping'!$AA:$AA,61)</f>
        <v>155538.2</v>
      </c>
      <c r="G78" s="1770">
        <f>$F78*IFERROR(INDEX(Lists!$AD:$AD,MATCH($E78,Lists!$AC:$AC,0)),1)</f>
        <v>155538.2</v>
      </c>
    </row>
    <row r="79">
      <c r="B79" s="1530" t="inlineStr">
        <is>
          <t>EGI TDD</t>
        </is>
      </c>
      <c r="C79" s="1530" t="str">
        <f>COUNTA($B$80:$B$80)&amp;IF(COUNTA($B$80:$B$80)=1," role"," roles")</f>
        <v>1 role</v>
      </c>
      <c r="D79" s="1530" t="n"/>
      <c r="E79" s="1530" t="n"/>
      <c r="F79" s="1786">
        <f>SUM(F80:F80)</f>
        <v>299700</v>
      </c>
      <c r="G79" s="1786">
        <f>SUM(G80:G80)</f>
        <v>299700</v>
      </c>
    </row>
    <row r="80">
      <c r="B80" s="1531" t="str">
        <f>INDEX('REVIEW - Complete Role Mapping'!$B:$B,104)</f>
        <v>Viren Khatri</v>
      </c>
      <c r="C80" s="1531" t="str">
        <f>INDEX('REVIEW - Complete Role Mapping'!$C:$C,104)</f>
        <v>Data Migration Lead</v>
      </c>
      <c r="D80" s="1531" t="str">
        <f>INDEX('REVIEW - Complete Role Mapping'!$AK:$AK,104)</f>
        <v>Filled</v>
      </c>
      <c r="E80" s="1548" t="inlineStr">
        <is>
          <t>Filled</t>
        </is>
      </c>
      <c r="F80" s="1770">
        <f>INDEX('REVIEW - Complete Role Mapping'!$AA:$AA,104)</f>
        <v>299700</v>
      </c>
      <c r="G80" s="1770">
        <f>$F80*IFERROR(INDEX(Lists!$AD:$AD,MATCH($E80,Lists!$AC:$AC,0)),1)</f>
        <v>299700</v>
      </c>
    </row>
    <row r="81">
      <c r="B81" s="1530" t="inlineStr">
        <is>
          <t>Network &amp; QSR</t>
        </is>
      </c>
      <c r="C81" s="1530" t="str">
        <f>COUNTA($B$82:$B$87)&amp;IF(COUNTA($B$82:$B$87)=1," role"," roles")</f>
        <v>6 roles</v>
      </c>
      <c r="D81" s="1530" t="n"/>
      <c r="E81" s="1530" t="n"/>
      <c r="F81" s="1786">
        <f>SUM(F82:F87)</f>
        <v>1114031.1</v>
      </c>
      <c r="G81" s="1786">
        <f>SUM(G82:G87)</f>
        <v>1114031.1</v>
      </c>
    </row>
    <row r="82">
      <c r="B82" s="1531" t="str">
        <f>INDEX('REVIEW - Complete Role Mapping'!$B:$B,3)</f>
        <v>Adrian Lueng</v>
      </c>
      <c r="C82" s="1531" t="str">
        <f>INDEX('REVIEW - Complete Role Mapping'!$C:$C,3)</f>
        <v>Quality Assurance</v>
      </c>
      <c r="D82" s="1531" t="str">
        <f>INDEX('REVIEW - Complete Role Mapping'!$AK:$AK,3)</f>
        <v>Filled</v>
      </c>
      <c r="E82" s="1548" t="inlineStr">
        <is>
          <t>Filled</t>
        </is>
      </c>
      <c r="F82" s="1770">
        <f>INDEX('REVIEW - Complete Role Mapping'!$AA:$AA,3)</f>
        <v>157839.45</v>
      </c>
      <c r="G82" s="1770">
        <f>$F82*IFERROR(INDEX(Lists!$AD:$AD,MATCH($E82,Lists!$AC:$AC,0)),1)</f>
        <v>157839.45</v>
      </c>
    </row>
    <row r="83">
      <c r="B83" s="1531" t="str">
        <f>INDEX('REVIEW - Complete Role Mapping'!$B:$B,32)</f>
        <v>Javier Aguirre Castellanos</v>
      </c>
      <c r="C83" s="1531" t="str">
        <f>INDEX('REVIEW - Complete Role Mapping'!$C:$C,32)</f>
        <v>Solution Architect</v>
      </c>
      <c r="D83" s="1531" t="str">
        <f>INDEX('REVIEW - Complete Role Mapping'!$AK:$AK,32)</f>
        <v>Filled</v>
      </c>
      <c r="E83" s="1548" t="inlineStr">
        <is>
          <t>Filled</t>
        </is>
      </c>
      <c r="F83" s="1770">
        <f>INDEX('REVIEW - Complete Role Mapping'!$AA:$AA,32)</f>
        <v>133044</v>
      </c>
      <c r="G83" s="1770">
        <f>$F83*IFERROR(INDEX(Lists!$AD:$AD,MATCH($E83,Lists!$AC:$AC,0)),1)</f>
        <v>133044</v>
      </c>
    </row>
    <row r="84">
      <c r="B84" s="1531" t="str">
        <f>INDEX('REVIEW - Complete Role Mapping'!$B:$B,57)</f>
        <v>Santiago Hernandez Arevalo</v>
      </c>
      <c r="C84" s="1531" t="str">
        <f>INDEX('REVIEW - Complete Role Mapping'!$C:$C,57)</f>
        <v>Systems Analyst</v>
      </c>
      <c r="D84" s="1531" t="str">
        <f>INDEX('REVIEW - Complete Role Mapping'!$AK:$AK,57)</f>
        <v>Filled</v>
      </c>
      <c r="E84" s="1548" t="inlineStr">
        <is>
          <t>Filled</t>
        </is>
      </c>
      <c r="F84" s="1770">
        <f>INDEX('REVIEW - Complete Role Mapping'!$AA:$AA,57)</f>
        <v>206150.7</v>
      </c>
      <c r="G84" s="1770">
        <f>$F84*IFERROR(INDEX(Lists!$AD:$AD,MATCH($E84,Lists!$AC:$AC,0)),1)</f>
        <v>206150.7</v>
      </c>
    </row>
    <row r="85">
      <c r="B85" s="1531" t="str">
        <f>INDEX('REVIEW - Complete Role Mapping'!$B:$B,68)</f>
        <v>Vacant</v>
      </c>
      <c r="C85" s="1531" t="str">
        <f>INDEX('REVIEW - Complete Role Mapping'!$C:$C,68)</f>
        <v>Business Analyst</v>
      </c>
      <c r="D85" s="1531" t="str">
        <f>INDEX('REVIEW - Complete Role Mapping'!$AK:$AK,68)</f>
        <v>Vacant</v>
      </c>
      <c r="E85" s="1548" t="inlineStr">
        <is>
          <t>Hire</t>
        </is>
      </c>
      <c r="F85" s="1770">
        <f>INDEX('REVIEW - Complete Role Mapping'!$AA:$AA,68)</f>
        <v>202853.25</v>
      </c>
      <c r="G85" s="1770">
        <f>$F85*IFERROR(INDEX(Lists!$AD:$AD,MATCH($E85,Lists!$AC:$AC,0)),1)</f>
        <v>202853.25</v>
      </c>
    </row>
    <row r="86">
      <c r="B86" s="1531" t="str">
        <f>INDEX('REVIEW - Complete Role Mapping'!$B:$B,93)</f>
        <v>Vacant</v>
      </c>
      <c r="C86" s="1531" t="str">
        <f>INDEX('REVIEW - Complete Role Mapping'!$C:$C,93)</f>
        <v>Systems Analyst</v>
      </c>
      <c r="D86" s="1531" t="str">
        <f>INDEX('REVIEW - Complete Role Mapping'!$AK:$AK,93)</f>
        <v>Vacant</v>
      </c>
      <c r="E86" s="1548" t="inlineStr">
        <is>
          <t>Hire</t>
        </is>
      </c>
      <c r="F86" s="1770">
        <f>INDEX('REVIEW - Complete Role Mapping'!$AA:$AA,93)</f>
        <v>231689.25</v>
      </c>
      <c r="G86" s="1770">
        <f>$F86*IFERROR(INDEX(Lists!$AD:$AD,MATCH($E86,Lists!$AC:$AC,0)),1)</f>
        <v>231689.25</v>
      </c>
    </row>
    <row r="87">
      <c r="B87" s="1531" t="str">
        <f>INDEX('REVIEW - Complete Role Mapping'!$B:$B,99)</f>
        <v>Vanessa Trujillo Munoz</v>
      </c>
      <c r="C87" s="1531" t="str">
        <f>INDEX('REVIEW - Complete Role Mapping'!$C:$C,99)</f>
        <v>Delivery Lead</v>
      </c>
      <c r="D87" s="1531" t="str">
        <f>INDEX('REVIEW - Complete Role Mapping'!$AK:$AK,99)</f>
        <v>Filled</v>
      </c>
      <c r="E87" s="1548" t="inlineStr">
        <is>
          <t>Filled</t>
        </is>
      </c>
      <c r="F87" s="1770">
        <f>INDEX('REVIEW - Complete Role Mapping'!$AA:$AA,99)</f>
        <v>182454.45</v>
      </c>
      <c r="G87" s="1770">
        <f>$F87*IFERROR(INDEX(Lists!$AD:$AD,MATCH($E87,Lists!$AC:$AC,0)),1)</f>
        <v>182454.45</v>
      </c>
    </row>
    <row r="88">
      <c r="B88" s="1530" t="inlineStr">
        <is>
          <t>POS</t>
        </is>
      </c>
      <c r="C88" s="1530" t="str">
        <f>COUNTA($B$89:$B$96)&amp;IF(COUNTA($B$89:$B$96)=1," role"," roles")</f>
        <v>8 roles</v>
      </c>
      <c r="D88" s="1530" t="n"/>
      <c r="E88" s="1530" t="n"/>
      <c r="F88" s="1786">
        <f>SUM(F89:F96)</f>
        <v>1576223.685</v>
      </c>
      <c r="G88" s="1786">
        <f>SUM(G89:G96)</f>
        <v>1576223.685</v>
      </c>
    </row>
    <row r="89">
      <c r="B89" s="1531" t="str">
        <f>INDEX('REVIEW - Complete Role Mapping'!$B:$B,69)</f>
        <v>Vacant</v>
      </c>
      <c r="C89" s="1531" t="str">
        <f>INDEX('REVIEW - Complete Role Mapping'!$C:$C,69)</f>
        <v>Business Analyst</v>
      </c>
      <c r="D89" s="1531" t="str">
        <f>INDEX('REVIEW - Complete Role Mapping'!$AK:$AK,69)</f>
        <v>Vacant</v>
      </c>
      <c r="E89" s="1548" t="inlineStr">
        <is>
          <t>Hire</t>
        </is>
      </c>
      <c r="F89" s="1770">
        <f>INDEX('REVIEW - Complete Role Mapping'!$AA:$AA,69)</f>
        <v>170501.585</v>
      </c>
      <c r="G89" s="1770">
        <f>$F89*IFERROR(INDEX(Lists!$AD:$AD,MATCH($E89,Lists!$AC:$AC,0)),1)</f>
        <v>170501.585</v>
      </c>
    </row>
    <row r="90">
      <c r="B90" s="1531" t="str">
        <f>INDEX('REVIEW - Complete Role Mapping'!$B:$B,81)</f>
        <v>Vacant</v>
      </c>
      <c r="C90" s="1531" t="str">
        <f>INDEX('REVIEW - Complete Role Mapping'!$C:$C,81)</f>
        <v>Engineer Integration</v>
      </c>
      <c r="D90" s="1531" t="str">
        <f>INDEX('REVIEW - Complete Role Mapping'!$AK:$AK,81)</f>
        <v>Vacant</v>
      </c>
      <c r="E90" s="1548" t="inlineStr">
        <is>
          <t>Hire</t>
        </is>
      </c>
      <c r="F90" s="1770">
        <f>INDEX('REVIEW - Complete Role Mapping'!$AA:$AA,81)</f>
        <v>231689.25</v>
      </c>
      <c r="G90" s="1770">
        <f>$F90*IFERROR(INDEX(Lists!$AD:$AD,MATCH($E90,Lists!$AC:$AC,0)),1)</f>
        <v>231689.25</v>
      </c>
    </row>
    <row r="91">
      <c r="B91" s="1531" t="str">
        <f>INDEX('REVIEW - Complete Role Mapping'!$B:$B,83)</f>
        <v>Vacant</v>
      </c>
      <c r="C91" s="1531" t="str">
        <f>INDEX('REVIEW - Complete Role Mapping'!$C:$C,83)</f>
        <v>Lead Quality Assurance</v>
      </c>
      <c r="D91" s="1531" t="str">
        <f>INDEX('REVIEW - Complete Role Mapping'!$AK:$AK,83)</f>
        <v>Vacant</v>
      </c>
      <c r="E91" s="1548" t="inlineStr">
        <is>
          <t>Hire</t>
        </is>
      </c>
      <c r="F91" s="1770">
        <f>INDEX('REVIEW - Complete Role Mapping'!$AA:$AA,83)</f>
        <v>224493.6</v>
      </c>
      <c r="G91" s="1770">
        <f>$F91*IFERROR(INDEX(Lists!$AD:$AD,MATCH($E91,Lists!$AC:$AC,0)),1)</f>
        <v>224493.6</v>
      </c>
    </row>
    <row r="92">
      <c r="B92" s="1531" t="str">
        <f>INDEX('REVIEW - Complete Role Mapping'!$B:$B,86)</f>
        <v>Vacant</v>
      </c>
      <c r="C92" s="1531" t="str">
        <f>INDEX('REVIEW - Complete Role Mapping'!$C:$C,86)</f>
        <v>Quality Assurance</v>
      </c>
      <c r="D92" s="1531" t="str">
        <f>INDEX('REVIEW - Complete Role Mapping'!$AK:$AK,86)</f>
        <v>Vacant</v>
      </c>
      <c r="E92" s="1548" t="inlineStr">
        <is>
          <t>Hire</t>
        </is>
      </c>
      <c r="F92" s="1770">
        <f>INDEX('REVIEW - Complete Role Mapping'!$AA:$AA,86)</f>
        <v>170489.75</v>
      </c>
      <c r="G92" s="1770">
        <f>$F92*IFERROR(INDEX(Lists!$AD:$AD,MATCH($E92,Lists!$AC:$AC,0)),1)</f>
        <v>170489.75</v>
      </c>
    </row>
    <row r="93">
      <c r="B93" s="1531" t="str">
        <f>INDEX('REVIEW - Complete Role Mapping'!$B:$B,87)</f>
        <v>Vacant</v>
      </c>
      <c r="C93" s="1531" t="str">
        <f>INDEX('REVIEW - Complete Role Mapping'!$C:$C,87)</f>
        <v>Quality Assurance</v>
      </c>
      <c r="D93" s="1531" t="str">
        <f>INDEX('REVIEW - Complete Role Mapping'!$AK:$AK,87)</f>
        <v>Vacant</v>
      </c>
      <c r="E93" s="1548" t="inlineStr">
        <is>
          <t>Hire</t>
        </is>
      </c>
      <c r="F93" s="1770">
        <f>INDEX('REVIEW - Complete Role Mapping'!$AA:$AA,87)</f>
        <v>170489.75</v>
      </c>
      <c r="G93" s="1770">
        <f>$F93*IFERROR(INDEX(Lists!$AD:$AD,MATCH($E93,Lists!$AC:$AC,0)),1)</f>
        <v>170489.75</v>
      </c>
    </row>
    <row r="94">
      <c r="B94" s="1531" t="str">
        <f>INDEX('REVIEW - Complete Role Mapping'!$B:$B,88)</f>
        <v>Vacant</v>
      </c>
      <c r="C94" s="1531" t="str">
        <f>INDEX('REVIEW - Complete Role Mapping'!$C:$C,88)</f>
        <v>Quality Assurance</v>
      </c>
      <c r="D94" s="1531" t="str">
        <f>INDEX('REVIEW - Complete Role Mapping'!$AK:$AK,88)</f>
        <v>Vacant</v>
      </c>
      <c r="E94" s="1548" t="inlineStr">
        <is>
          <t>Hire</t>
        </is>
      </c>
      <c r="F94" s="1770">
        <f>INDEX('REVIEW - Complete Role Mapping'!$AA:$AA,88)</f>
        <v>202853.25</v>
      </c>
      <c r="G94" s="1770">
        <f>$F94*IFERROR(INDEX(Lists!$AD:$AD,MATCH($E94,Lists!$AC:$AC,0)),1)</f>
        <v>202853.25</v>
      </c>
    </row>
    <row r="95">
      <c r="B95" s="1531" t="str">
        <f>INDEX('REVIEW - Complete Role Mapping'!$B:$B,90)</f>
        <v>Vacant</v>
      </c>
      <c r="C95" s="1531" t="str">
        <f>INDEX('REVIEW - Complete Role Mapping'!$C:$C,90)</f>
        <v>Release &amp; Environments Manager</v>
      </c>
      <c r="D95" s="1531" t="str">
        <f>INDEX('REVIEW - Complete Role Mapping'!$AK:$AK,90)</f>
        <v>Vacant</v>
      </c>
      <c r="E95" s="1548" t="inlineStr">
        <is>
          <t>Hire</t>
        </is>
      </c>
      <c r="F95" s="1770">
        <f>INDEX('REVIEW - Complete Role Mapping'!$AA:$AA,90)</f>
        <v>202853.25</v>
      </c>
      <c r="G95" s="1770">
        <f>$F95*IFERROR(INDEX(Lists!$AD:$AD,MATCH($E95,Lists!$AC:$AC,0)),1)</f>
        <v>202853.25</v>
      </c>
    </row>
    <row r="96">
      <c r="B96" s="1531" t="str">
        <f>INDEX('REVIEW - Complete Role Mapping'!$B:$B,95)</f>
        <v>Vacant</v>
      </c>
      <c r="C96" s="1531" t="str">
        <f>INDEX('REVIEW - Complete Role Mapping'!$C:$C,95)</f>
        <v>Systems Analyst</v>
      </c>
      <c r="D96" s="1531" t="str">
        <f>INDEX('REVIEW - Complete Role Mapping'!$AK:$AK,95)</f>
        <v>Vacant</v>
      </c>
      <c r="E96" s="1548" t="inlineStr">
        <is>
          <t>Hire</t>
        </is>
      </c>
      <c r="F96" s="1770">
        <f>INDEX('REVIEW - Complete Role Mapping'!$AA:$AA,95)</f>
        <v>202853.25</v>
      </c>
      <c r="G96" s="1770">
        <f>$F96*IFERROR(INDEX(Lists!$AD:$AD,MATCH($E96,Lists!$AC:$AC,0)),1)</f>
        <v>202853.25</v>
      </c>
    </row>
    <row r="97">
      <c r="B97" s="1530" t="inlineStr">
        <is>
          <t>Payments</t>
        </is>
      </c>
      <c r="C97" s="1530" t="str">
        <f>COUNTA($B$98:$B$101)&amp;IF(COUNTA($B$98:$B$101)=1," role"," roles")</f>
        <v>4 roles</v>
      </c>
      <c r="D97" s="1530" t="n"/>
      <c r="E97" s="1530" t="n"/>
      <c r="F97" s="1786">
        <f>SUM(F98:F101)</f>
        <v>789428.585</v>
      </c>
      <c r="G97" s="1786">
        <f>SUM(G98:G101)</f>
        <v>789428.585</v>
      </c>
    </row>
    <row r="98">
      <c r="B98" s="1531" t="str">
        <f>INDEX('REVIEW - Complete Role Mapping'!$B:$B,14)</f>
        <v>Beenu Murali</v>
      </c>
      <c r="C98" s="1531" t="str">
        <f>INDEX('REVIEW - Complete Role Mapping'!$C:$C,14)</f>
        <v>Quality Assurance</v>
      </c>
      <c r="D98" s="1531" t="str">
        <f>INDEX('REVIEW - Complete Role Mapping'!$AK:$AK,14)</f>
        <v>Filled</v>
      </c>
      <c r="E98" s="1548" t="inlineStr">
        <is>
          <t>Filled</t>
        </is>
      </c>
      <c r="F98" s="1770">
        <f>INDEX('REVIEW - Complete Role Mapping'!$AA:$AA,14)</f>
        <v>146083.35</v>
      </c>
      <c r="G98" s="1770">
        <f>$F98*IFERROR(INDEX(Lists!$AD:$AD,MATCH($E98,Lists!$AC:$AC,0)),1)</f>
        <v>146083.35</v>
      </c>
    </row>
    <row r="99">
      <c r="B99" s="1531" t="str">
        <f>INDEX('REVIEW - Complete Role Mapping'!$B:$B,59)</f>
        <v>Sayan Kar</v>
      </c>
      <c r="C99" s="1531" t="str">
        <f>INDEX('REVIEW - Complete Role Mapping'!$C:$C,59)</f>
        <v>Systems Analyst</v>
      </c>
      <c r="D99" s="1531" t="str">
        <f>INDEX('REVIEW - Complete Role Mapping'!$AK:$AK,59)</f>
        <v>Filled</v>
      </c>
      <c r="E99" s="1548" t="inlineStr">
        <is>
          <t>Filled</t>
        </is>
      </c>
      <c r="F99" s="1770">
        <f>INDEX('REVIEW - Complete Role Mapping'!$AA:$AA,59)</f>
        <v>259243.65</v>
      </c>
      <c r="G99" s="1770">
        <f>$F99*IFERROR(INDEX(Lists!$AD:$AD,MATCH($E99,Lists!$AC:$AC,0)),1)</f>
        <v>259243.65</v>
      </c>
    </row>
    <row r="100">
      <c r="B100" s="1531" t="str">
        <f>INDEX('REVIEW - Complete Role Mapping'!$B:$B,94)</f>
        <v>Vacant</v>
      </c>
      <c r="C100" s="1531" t="str">
        <f>INDEX('REVIEW - Complete Role Mapping'!$C:$C,94)</f>
        <v>Systems Analyst</v>
      </c>
      <c r="D100" s="1531" t="str">
        <f>INDEX('REVIEW - Complete Role Mapping'!$AK:$AK,94)</f>
        <v>Vacant</v>
      </c>
      <c r="E100" s="1548" t="inlineStr">
        <is>
          <t>Hire</t>
        </is>
      </c>
      <c r="F100" s="1770">
        <f>INDEX('REVIEW - Complete Role Mapping'!$AA:$AA,94)</f>
        <v>170501.585</v>
      </c>
      <c r="G100" s="1770">
        <f>$F100*IFERROR(INDEX(Lists!$AD:$AD,MATCH($E100,Lists!$AC:$AC,0)),1)</f>
        <v>170501.585</v>
      </c>
    </row>
    <row r="101">
      <c r="B101" s="1531" t="str">
        <f>INDEX('REVIEW - Complete Role Mapping'!$B:$B,101)</f>
        <v>Venkat Kedharanathan</v>
      </c>
      <c r="C101" s="1531" t="str">
        <f>INDEX('REVIEW - Complete Role Mapping'!$C:$C,101)</f>
        <v>Senior Business Analyst</v>
      </c>
      <c r="D101" s="1531" t="str">
        <f>INDEX('REVIEW - Complete Role Mapping'!$AK:$AK,101)</f>
        <v>Filled</v>
      </c>
      <c r="E101" s="1548" t="inlineStr">
        <is>
          <t>Filled</t>
        </is>
      </c>
      <c r="F101" s="1770">
        <f>INDEX('REVIEW - Complete Role Mapping'!$AA:$AA,101)</f>
        <v>213600</v>
      </c>
      <c r="G101" s="1770">
        <f>$F101*IFERROR(INDEX(Lists!$AD:$AD,MATCH($E101,Lists!$AC:$AC,0)),1)</f>
        <v>213600</v>
      </c>
    </row>
    <row r="102">
      <c r="B102" s="1530" t="inlineStr">
        <is>
          <t>Store Operations</t>
        </is>
      </c>
      <c r="C102" s="1530" t="str">
        <f>COUNTA($B$103:$B$110)&amp;IF(COUNTA($B$103:$B$110)=1," role"," roles")</f>
        <v>8 roles</v>
      </c>
      <c r="D102" s="1530" t="n"/>
      <c r="E102" s="1530" t="n"/>
      <c r="F102" s="1786">
        <f>SUM(F103:F110)</f>
        <v>1429759.453</v>
      </c>
      <c r="G102" s="1786">
        <f>SUM(G103:G110)</f>
        <v>1429759.453</v>
      </c>
    </row>
    <row r="103">
      <c r="B103" s="1531" t="str">
        <f>INDEX('REVIEW - Complete Role Mapping'!$B:$B,7)</f>
        <v>Andrew Whitford</v>
      </c>
      <c r="C103" s="1531" t="str">
        <f>INDEX('REVIEW - Complete Role Mapping'!$C:$C,7)</f>
        <v>Field Systems Operations Lead - WA</v>
      </c>
      <c r="D103" s="1531" t="str">
        <f>INDEX('REVIEW - Complete Role Mapping'!$AK:$AK,7)</f>
        <v>Filled</v>
      </c>
      <c r="E103" s="1548" t="inlineStr">
        <is>
          <t>Filled</t>
        </is>
      </c>
      <c r="F103" s="1770">
        <f>INDEX('REVIEW - Complete Role Mapping'!$AA:$AA,7)</f>
        <v>164033.1</v>
      </c>
      <c r="G103" s="1770">
        <f>$F103*IFERROR(INDEX(Lists!$AD:$AD,MATCH($E103,Lists!$AC:$AC,0)),1)</f>
        <v>164033.1</v>
      </c>
    </row>
    <row r="104">
      <c r="B104" s="1531" t="str">
        <f>INDEX('REVIEW - Complete Role Mapping'!$B:$B,24)</f>
        <v>Ephraim Adan</v>
      </c>
      <c r="C104" s="1531" t="str">
        <f>INDEX('REVIEW - Complete Role Mapping'!$C:$C,24)</f>
        <v>Manager - AU Retail Operations</v>
      </c>
      <c r="D104" s="1531" t="str">
        <f>INDEX('REVIEW - Complete Role Mapping'!$AK:$AK,24)</f>
        <v>Filled</v>
      </c>
      <c r="E104" s="1548" t="inlineStr">
        <is>
          <t>Filled</t>
        </is>
      </c>
      <c r="F104" s="1770">
        <f>INDEX('REVIEW - Complete Role Mapping'!$AA:$AA,24)</f>
        <v>77707.84</v>
      </c>
      <c r="G104" s="1770">
        <f>$F104*IFERROR(INDEX(Lists!$AD:$AD,MATCH($E104,Lists!$AC:$AC,0)),1)</f>
        <v>77707.84</v>
      </c>
    </row>
    <row r="105">
      <c r="B105" s="1531" t="str">
        <f>INDEX('REVIEW - Complete Role Mapping'!$B:$B,27)</f>
        <v>Geoff Goddard</v>
      </c>
      <c r="C105" s="1531" t="str">
        <f>INDEX('REVIEW - Complete Role Mapping'!$C:$C,27)</f>
        <v>Field Systems Operations Lead - VIC</v>
      </c>
      <c r="D105" s="1531" t="str">
        <f>INDEX('REVIEW - Complete Role Mapping'!$AK:$AK,27)</f>
        <v>Filled</v>
      </c>
      <c r="E105" s="1548" t="inlineStr">
        <is>
          <t>Filled</t>
        </is>
      </c>
      <c r="F105" s="1770">
        <f>INDEX('REVIEW - Complete Role Mapping'!$AA:$AA,27)</f>
        <v>167360.05</v>
      </c>
      <c r="G105" s="1770">
        <f>$F105*IFERROR(INDEX(Lists!$AD:$AD,MATCH($E105,Lists!$AC:$AC,0)),1)</f>
        <v>167360.05</v>
      </c>
    </row>
    <row r="106">
      <c r="B106" s="1531" t="str">
        <f>INDEX('REVIEW - Complete Role Mapping'!$B:$B,28)</f>
        <v>Gerald Aguas</v>
      </c>
      <c r="C106" s="1531" t="str">
        <f>INDEX('REVIEW - Complete Role Mapping'!$C:$C,28)</f>
        <v>Field Systems Operations Lead - NSW</v>
      </c>
      <c r="D106" s="1531" t="str">
        <f>INDEX('REVIEW - Complete Role Mapping'!$AK:$AK,28)</f>
        <v>Filled</v>
      </c>
      <c r="E106" s="1548" t="inlineStr">
        <is>
          <t>Filled</t>
        </is>
      </c>
      <c r="F106" s="1770">
        <f>INDEX('REVIEW - Complete Role Mapping'!$AA:$AA,28)</f>
        <v>190155.852</v>
      </c>
      <c r="G106" s="1770">
        <f>$F106*IFERROR(INDEX(Lists!$AD:$AD,MATCH($E106,Lists!$AC:$AC,0)),1)</f>
        <v>190155.852</v>
      </c>
    </row>
    <row r="107">
      <c r="B107" s="1531" t="str">
        <f>INDEX('REVIEW - Complete Role Mapping'!$B:$B,38)</f>
        <v>Karthikeyan Kuppan</v>
      </c>
      <c r="C107" s="1531" t="str">
        <f>INDEX('REVIEW - Complete Role Mapping'!$C:$C,38)</f>
        <v>Lead - AU Retail Operations</v>
      </c>
      <c r="D107" s="1531" t="str">
        <f>INDEX('REVIEW - Complete Role Mapping'!$AK:$AK,38)</f>
        <v>Filled</v>
      </c>
      <c r="E107" s="1548" t="inlineStr">
        <is>
          <t>Filled</t>
        </is>
      </c>
      <c r="F107" s="1770">
        <f>INDEX('REVIEW - Complete Role Mapping'!$AA:$AA,38)</f>
        <v>242933.676</v>
      </c>
      <c r="G107" s="1770">
        <f>$F107*IFERROR(INDEX(Lists!$AD:$AD,MATCH($E107,Lists!$AC:$AC,0)),1)</f>
        <v>242933.676</v>
      </c>
    </row>
    <row r="108">
      <c r="B108" s="1531" t="str">
        <f>INDEX('REVIEW - Complete Role Mapping'!$B:$B,54)</f>
        <v>Patrick Ericson Nario</v>
      </c>
      <c r="C108" s="1531" t="str">
        <f>INDEX('REVIEW - Complete Role Mapping'!$C:$C,54)</f>
        <v>Support Analyst - Field Operations</v>
      </c>
      <c r="D108" s="1531" t="str">
        <f>INDEX('REVIEW - Complete Role Mapping'!$AK:$AK,54)</f>
        <v>Filled</v>
      </c>
      <c r="E108" s="1548" t="inlineStr">
        <is>
          <t>Filled</t>
        </is>
      </c>
      <c r="F108" s="1770">
        <f>INDEX('REVIEW - Complete Role Mapping'!$AA:$AA,54)</f>
        <v>214214.1</v>
      </c>
      <c r="G108" s="1770">
        <f>$F108*IFERROR(INDEX(Lists!$AD:$AD,MATCH($E108,Lists!$AC:$AC,0)),1)</f>
        <v>214214.1</v>
      </c>
    </row>
    <row r="109">
      <c r="B109" s="1531" t="str">
        <f>INDEX('REVIEW - Complete Role Mapping'!$B:$B,66)</f>
        <v>Tuan Edwards</v>
      </c>
      <c r="C109" s="1531" t="str">
        <f>INDEX('REVIEW - Complete Role Mapping'!$C:$C,66)</f>
        <v>Field Systems Operations Lead - QLD</v>
      </c>
      <c r="D109" s="1531" t="str">
        <f>INDEX('REVIEW - Complete Role Mapping'!$AK:$AK,66)</f>
        <v>Filled</v>
      </c>
      <c r="E109" s="1548" t="inlineStr">
        <is>
          <t>Filled</t>
        </is>
      </c>
      <c r="F109" s="1770">
        <f>INDEX('REVIEW - Complete Role Mapping'!$AA:$AA,66)</f>
        <v>202853.25</v>
      </c>
      <c r="G109" s="1770">
        <f>$F109*IFERROR(INDEX(Lists!$AD:$AD,MATCH($E109,Lists!$AC:$AC,0)),1)</f>
        <v>202853.25</v>
      </c>
    </row>
    <row r="110">
      <c r="B110" s="1531" t="str">
        <f>INDEX('REVIEW - Complete Role Mapping'!$B:$B,91)</f>
        <v>Vacant</v>
      </c>
      <c r="C110" s="1531" t="str">
        <f>INDEX('REVIEW - Complete Role Mapping'!$C:$C,91)</f>
        <v>Support Analyst -Retail</v>
      </c>
      <c r="D110" s="1531" t="str">
        <f>INDEX('REVIEW - Complete Role Mapping'!$AK:$AK,91)</f>
        <v>Vacant</v>
      </c>
      <c r="E110" s="1548" t="inlineStr">
        <is>
          <t>Hire</t>
        </is>
      </c>
      <c r="F110" s="1770">
        <f>INDEX('REVIEW - Complete Role Mapping'!$AA:$AA,91)</f>
        <v>170501.585</v>
      </c>
      <c r="G110" s="1770">
        <f>$F110*IFERROR(INDEX(Lists!$AD:$AD,MATCH($E110,Lists!$AC:$AC,0)),1)</f>
        <v>170501.585</v>
      </c>
    </row>
    <row r="111">
      <c r="B111" s="1530" t="inlineStr">
        <is>
          <t>Head of Technology</t>
        </is>
      </c>
      <c r="C111" s="1530" t="str">
        <f>COUNTA($B$112:$B$112)&amp;IF(COUNTA($B$112:$B$112)=1," role"," roles")</f>
        <v>1 role</v>
      </c>
      <c r="D111" s="1530" t="n"/>
      <c r="E111" s="1530" t="n"/>
      <c r="F111" s="1786">
        <f>SUM(F112:F112)</f>
        <v>186032.25</v>
      </c>
      <c r="G111" s="1786">
        <f>SUM(G112:G112)</f>
        <v>186032.25</v>
      </c>
    </row>
    <row r="112">
      <c r="B112" s="1531" t="str">
        <f>INDEX('REVIEW - Complete Role Mapping'!$B:$B,42)</f>
        <v>Madan Murthy</v>
      </c>
      <c r="C112" s="1531" t="str">
        <f>INDEX('REVIEW - Complete Role Mapping'!$C:$C,42)</f>
        <v>Head of Technology, AU Retail</v>
      </c>
      <c r="D112" s="1531" t="str">
        <f>INDEX('REVIEW - Complete Role Mapping'!$AK:$AK,42)</f>
        <v>Filled</v>
      </c>
      <c r="E112" s="1548" t="inlineStr">
        <is>
          <t>Filled</t>
        </is>
      </c>
      <c r="F112" s="1770">
        <f>INDEX('REVIEW - Complete Role Mapping'!$AA:$AA,42)</f>
        <v>186032.25</v>
      </c>
      <c r="G112" s="1770">
        <f>$F112*IFERROR(INDEX(Lists!$AD:$AD,MATCH($E112,Lists!$AC:$AC,0)),1)</f>
        <v>186032.25</v>
      </c>
    </row>
    <row r="113">
      <c r="B113" s="1530" t="inlineStr">
        <is>
          <t>Delivery Manager</t>
        </is>
      </c>
      <c r="C113" s="1530" t="str">
        <f>COUNTA($B$114:$B$114)&amp;IF(COUNTA($B$114:$B$114)=1," role"," roles")</f>
        <v>1 role</v>
      </c>
      <c r="D113" s="1530" t="n"/>
      <c r="E113" s="1530" t="n"/>
      <c r="F113" s="1786">
        <f>SUM(F114:F114)</f>
        <v>302937.35</v>
      </c>
      <c r="G113" s="1786">
        <f>SUM(G114:G114)</f>
        <v>302937.35</v>
      </c>
    </row>
    <row r="114">
      <c r="B114" s="1531" t="str">
        <f>INDEX('REVIEW - Complete Role Mapping'!$B:$B,97)</f>
        <v>Vanessa Allen</v>
      </c>
      <c r="C114" s="1531" t="str">
        <f>INDEX('REVIEW - Complete Role Mapping'!$C:$C,97)</f>
        <v>Delivery Manager</v>
      </c>
      <c r="D114" s="1531" t="str">
        <f>INDEX('REVIEW - Complete Role Mapping'!$AK:$AK,97)</f>
        <v>Filled</v>
      </c>
      <c r="E114" s="1548" t="inlineStr">
        <is>
          <t>Filled</t>
        </is>
      </c>
      <c r="F114" s="1770">
        <f>INDEX('REVIEW - Complete Role Mapping'!$AA:$AA,97)</f>
        <v>302937.35</v>
      </c>
      <c r="G114" s="1770">
        <f>$F114*IFERROR(INDEX(Lists!$AD:$AD,MATCH($E114,Lists!$AC:$AC,0)),1)</f>
        <v>302937.35</v>
      </c>
    </row>
    <row r="115">
      <c r="B115" s="1530" t="inlineStr">
        <is>
          <t>Technology Manager</t>
        </is>
      </c>
      <c r="C115" s="1530" t="str">
        <f>COUNTA($B$116:$B$118)&amp;IF(COUNTA($B$116:$B$118)=1," role"," roles")</f>
        <v>3 roles</v>
      </c>
      <c r="D115" s="1530" t="n"/>
      <c r="E115" s="1530" t="n"/>
      <c r="F115" s="1786">
        <f>SUM(F116:F118)</f>
        <v>766646.363</v>
      </c>
      <c r="G115" s="1786">
        <f>SUM(G116:G118)</f>
        <v>766646.363</v>
      </c>
    </row>
    <row r="116">
      <c r="B116" s="1531" t="str">
        <f>INDEX('REVIEW - Complete Role Mapping'!$B:$B,64)</f>
        <v>Tracy Lee Reaper</v>
      </c>
      <c r="C116" s="1531" t="str">
        <f>INDEX('REVIEW - Complete Role Mapping'!$C:$C,64)</f>
        <v>Technology Manager, Merchandising &amp; WFM</v>
      </c>
      <c r="D116" s="1531" t="str">
        <f>INDEX('REVIEW - Complete Role Mapping'!$AK:$AK,64)</f>
        <v>Filled</v>
      </c>
      <c r="E116" s="1548" t="inlineStr">
        <is>
          <t>Filled</t>
        </is>
      </c>
      <c r="F116" s="1770">
        <f>INDEX('REVIEW - Complete Role Mapping'!$AA:$AA,64)</f>
        <v>224341.488</v>
      </c>
      <c r="G116" s="1770">
        <f>$F116*IFERROR(INDEX(Lists!$AD:$AD,MATCH($E116,Lists!$AC:$AC,0)),1)</f>
        <v>224341.488</v>
      </c>
    </row>
    <row r="117">
      <c r="B117" s="1531" t="str">
        <f>INDEX('REVIEW - Complete Role Mapping'!$B:$B,96)</f>
        <v>Vaishnavi Viswanathan</v>
      </c>
      <c r="C117" s="1531" t="str">
        <f>INDEX('REVIEW - Complete Role Mapping'!$C:$C,96)</f>
        <v>Technology Manager, Store Platform</v>
      </c>
      <c r="D117" s="1531" t="str">
        <f>INDEX('REVIEW - Complete Role Mapping'!$AK:$AK,96)</f>
        <v>Filled</v>
      </c>
      <c r="E117" s="1548" t="inlineStr">
        <is>
          <t>Filled</t>
        </is>
      </c>
      <c r="F117" s="1770">
        <f>INDEX('REVIEW - Complete Role Mapping'!$AA:$AA,96)</f>
        <v>257754.875</v>
      </c>
      <c r="G117" s="1770">
        <f>$F117*IFERROR(INDEX(Lists!$AD:$AD,MATCH($E117,Lists!$AC:$AC,0)),1)</f>
        <v>257754.875</v>
      </c>
    </row>
    <row r="118">
      <c r="B118" s="1531" t="str">
        <f>INDEX('REVIEW - Complete Role Mapping'!$B:$B,100)</f>
        <v>Vedran Jukic</v>
      </c>
      <c r="C118" s="1531" t="str">
        <f>INDEX('REVIEW - Complete Role Mapping'!$C:$C,100)</f>
        <v>Technology Manager, Retail</v>
      </c>
      <c r="D118" s="1531" t="str">
        <f>INDEX('REVIEW - Complete Role Mapping'!$AK:$AK,100)</f>
        <v>Filled</v>
      </c>
      <c r="E118" s="1548" t="inlineStr">
        <is>
          <t>Filled</t>
        </is>
      </c>
      <c r="F118" s="1770">
        <f>INDEX('REVIEW - Complete Role Mapping'!$AA:$AA,100)</f>
        <v>284550</v>
      </c>
      <c r="G118" s="1770">
        <f>$F118*IFERROR(INDEX(Lists!$AD:$AD,MATCH($E118,Lists!$AC:$AC,0)),1)</f>
        <v>284550</v>
      </c>
    </row>
  </sheetData>
  <dataValidations count="1">
    <dataValidation sqref="E37 E38 E39 E40 E41 E42 E43 E44 E45 E46 E47 E49 E50 E51 E52 E53 E54 E55 E56 E57 E58 E60 E61 E62 E63 E64 E65 E67 E68 E69 E70 E71 E73 E74 E75 E76 E77 E78 E80 E82 E83 E84 E85 E86 E87 E89 E90 E91 E92 E93 E94 E95 E96 E98 E99 E100 E101 E103 E104 E105 E106 E107 E108 E109 E110 E112 E114 E116 E117 E11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Q128"/>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COUNTA($B$35:$B$48)</f>
        <v>14</v>
      </c>
      <c r="G8" s="1770">
        <f>COUNTIFS($D$35:$D$48,"Filled")</f>
        <v>14</v>
      </c>
      <c r="H8" s="1770">
        <f>COUNTIFS($D$35:$D$48,"Vacant")</f>
        <v>0</v>
      </c>
      <c r="I8" s="1770">
        <f>COUNTIFS($D$35:$D$48,"Vacant",$E$35:$E$48,"Hire")</f>
        <v>0</v>
      </c>
      <c r="J8" s="1770">
        <f>COUNTIFS($E$35:$E$48,"Offshore")</f>
        <v>0</v>
      </c>
      <c r="K8" s="1770">
        <f>COUNTIFS($E$35:$E$48,"Hold")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SUM($G$35:$G$48)/1000000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COUNTA($B$50:$B$58)</f>
        <v>9</v>
      </c>
      <c r="G9" s="1770">
        <f>COUNTIFS($D$50:$D$58,"Filled")</f>
        <v>3</v>
      </c>
      <c r="H9" s="1770">
        <f>COUNTIFS($D$50:$D$58,"Vacant")</f>
        <v>6</v>
      </c>
      <c r="I9" s="1770">
        <f>COUNTIFS($D$50:$D$58,"Vacant",$E$50:$E$58,"Hire")</f>
        <v>6</v>
      </c>
      <c r="J9" s="1770">
        <f>COUNTIFS($E$50:$E$58,"Offshore")</f>
        <v>0</v>
      </c>
      <c r="K9" s="1770">
        <f>COUNTIFS($E$50:$E$58,"Hold")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SUM($G$50:$G$58)/1000000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COUNTA($B$60:$B$68)</f>
        <v>9</v>
      </c>
      <c r="G10" s="1770">
        <f>COUNTIFS($D$60:$D$68,"Filled")</f>
        <v>9</v>
      </c>
      <c r="H10" s="1770">
        <f>COUNTIFS($D$60:$D$68,"Vacant")</f>
        <v>0</v>
      </c>
      <c r="I10" s="1770">
        <f>COUNTIFS($D$60:$D$68,"Vacant",$E$60:$E$68,"Hire")</f>
        <v>0</v>
      </c>
      <c r="J10" s="1770">
        <f>COUNTIFS($E$60:$E$68,"Offshore")</f>
        <v>0</v>
      </c>
      <c r="K10" s="1770">
        <f>COUNTIFS($E$60:$E$68,"Hold")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SUM($G$60:$G$68)/1000000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COUNTA($B$70:$B$71)</f>
        <v>2</v>
      </c>
      <c r="G11" s="1770">
        <f>COUNTIFS($D$70:$D$71,"Filled")</f>
        <v>0</v>
      </c>
      <c r="H11" s="1770">
        <f>COUNTIFS($D$70:$D$71,"Vacant")</f>
        <v>2</v>
      </c>
      <c r="I11" s="1770">
        <f>COUNTIFS($D$70:$D$71,"Vacant",$E$70:$E$71,"Hire")</f>
        <v>2</v>
      </c>
      <c r="J11" s="1770">
        <f>COUNTIFS($E$70:$E$71,"Offshore")</f>
        <v>0</v>
      </c>
      <c r="K11" s="1770">
        <f>COUNTIFS($E$70:$E$71,"Hold")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SUM($G$70:$G$71)/1000000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COUNTA($B$73:$B$79)</f>
        <v>7</v>
      </c>
      <c r="G12" s="1770">
        <f>COUNTIFS($D$73:$D$79,"Filled")</f>
        <v>4</v>
      </c>
      <c r="H12" s="1770">
        <f>COUNTIFS($D$73:$D$79,"Vacant")</f>
        <v>3</v>
      </c>
      <c r="I12" s="1770">
        <f>COUNTIFS($D$73:$D$79,"Vacant",$E$73:$E$79,"Hire")</f>
        <v>3</v>
      </c>
      <c r="J12" s="1770">
        <f>COUNTIFS($E$73:$E$79,"Offshore")</f>
        <v>0</v>
      </c>
      <c r="K12" s="1770">
        <f>COUNTIFS($E$73:$E$79,"Hold")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SUM($G$73:$G$79)/1000000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COUNTA($B$98:$B$102)</f>
        <v>5</v>
      </c>
      <c r="G13" s="1770">
        <f>COUNTIFS($D$98:$D$102,"Filled")</f>
        <v>5</v>
      </c>
      <c r="H13" s="1770">
        <f>COUNTIFS($D$98:$D$102,"Vacant")</f>
        <v>0</v>
      </c>
      <c r="I13" s="1770">
        <f>COUNTIFS($D$98:$D$102,"Vacant",$E$98:$E$102,"Hire")</f>
        <v>0</v>
      </c>
      <c r="J13" s="1770">
        <f>COUNTIFS($E$98:$E$102,"Offshore")</f>
        <v>0</v>
      </c>
      <c r="K13" s="1770">
        <f>COUNTIFS($E$98:$E$102,"Hold")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SUM($G$98:$G$102)/1000000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COUNTA($B$104:$B$117)</f>
        <v>14</v>
      </c>
      <c r="G14" s="1770">
        <f>COUNTIFS($D$104:$D$117,"Filled")</f>
        <v>14</v>
      </c>
      <c r="H14" s="1770">
        <f>COUNTIFS($D$104:$D$117,"Vacant")</f>
        <v>0</v>
      </c>
      <c r="I14" s="1770">
        <f>COUNTIFS($D$104:$D$117,"Vacant",$E$104:$E$117,"Hire")</f>
        <v>0</v>
      </c>
      <c r="J14" s="1770">
        <f>COUNTIFS($E$104:$E$117,"Offshore")</f>
        <v>0</v>
      </c>
      <c r="K14" s="1770">
        <f>COUNTIFS($E$104:$E$117,"Hold")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SUM($G$104:$G$117)/1000000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SUM(M8:M14)</f>
        <v>12.06</v>
      </c>
      <c r="N15" s="1771">
        <f>SUM(N8:N14)</f>
        <v>12.097508946</v>
      </c>
      <c r="O15" s="1771">
        <f>IF(N($M15)=0,"-",ROUND($N15-$M15,6))</f>
        <v>0.037509</v>
      </c>
      <c r="P15" s="1771">
        <f>SUM(P8:P14)</f>
        <v>12.097508946</v>
      </c>
      <c r="Q15" s="1771">
        <f>IF(N($M15)=0,"-",ROUND($P15-$M15,6))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COUNTA($B$81:$B$90)</f>
        <v>10</v>
      </c>
      <c r="G17" s="1770">
        <f>COUNTIFS($D$81:$D$90,"Filled")</f>
        <v>10</v>
      </c>
      <c r="H17" s="1770">
        <f>COUNTIFS($D$81:$D$90,"Vacant")</f>
        <v>0</v>
      </c>
      <c r="I17" s="1770">
        <f>COUNTIFS($D$81:$D$90,"Vacant",$E$81:$E$90,"Hire")</f>
        <v>0</v>
      </c>
      <c r="J17" s="1770">
        <f>COUNTIFS($E$81:$E$90,"Offshore")</f>
        <v>0</v>
      </c>
      <c r="K17" s="1770">
        <f>COUNTIFS($E$81:$E$90,"Hold")</f>
        <v>0</v>
      </c>
      <c r="L17" s="1770">
        <f>$F17-$K17</f>
        <v>10</v>
      </c>
      <c r="M17" s="1769">
        <f>$N17</f>
        <v>2.208135308</v>
      </c>
      <c r="N17" s="1769">
        <f>SUMIFS('REVIEW - Complete Role Mapping'!$AA$2:$AA$528,'REVIEW - Complete Role Mapping'!$AJ$2:$AJ$528,$C$3,'REVIEW - Complete Role Mapping'!$AT$2:$AT$528,$B17)/1000000</f>
        <v>2.208135308</v>
      </c>
      <c r="O17" s="1769">
        <f>IFERROR(ROUND($N17-$M17,6),"-")</f>
        <v>0</v>
      </c>
      <c r="P17" s="1769">
        <f>SUM($G$81:$G$90)/1000000</f>
        <v>2.208135308</v>
      </c>
      <c r="Q17" s="1769">
        <f>IFERROR(ROUND($P17-$M17,6),"-")</f>
        <v>0</v>
      </c>
    </row>
    <row r="18">
      <c r="B18" s="1535" t="inlineStr">
        <is>
          <t>Directly funded programmes and platforms total</t>
        </is>
      </c>
      <c r="C18" s="1535" t="n"/>
      <c r="D18" s="1535" t="n"/>
      <c r="E18" s="1784">
        <f>SUM(E17:E17)</f>
        <v>0</v>
      </c>
      <c r="F18" s="1772">
        <f>SUM(F17:F17)</f>
        <v>10</v>
      </c>
      <c r="G18" s="1772">
        <f>SUM(G17:G17)</f>
        <v>10</v>
      </c>
      <c r="H18" s="1772">
        <f>SUM(H17:H17)</f>
        <v>0</v>
      </c>
      <c r="I18" s="1772">
        <f>SUM(I17:I17)</f>
        <v>0</v>
      </c>
      <c r="J18" s="1772">
        <f>SUM(J17:J17)</f>
        <v>0</v>
      </c>
      <c r="K18" s="1772">
        <f>SUM(K17:K17)</f>
        <v>0</v>
      </c>
      <c r="L18" s="1772">
        <f>SUM(L17:L17)</f>
        <v>10</v>
      </c>
      <c r="M18" s="1771">
        <f>SUM(M17:M17)</f>
        <v>2.208135308</v>
      </c>
      <c r="N18" s="1771">
        <f>SUM(N17:N17)</f>
        <v>2.208135308</v>
      </c>
      <c r="O18" s="1771">
        <f>IF(N($M18)=0,"-",ROUND($N18-$M18,6))</f>
        <v>0</v>
      </c>
      <c r="P18" s="1771">
        <f>SUM(P17:P17)</f>
        <v>2.208135308</v>
      </c>
      <c r="Q18" s="1771">
        <f>IF(N($M18)=0,"-",ROUND($P18-$M18,6))</f>
        <v>0</v>
      </c>
    </row>
    <row r="19">
      <c r="B19" s="1530" t="inlineStr">
        <is>
          <t>Groups with no archetype and no funded figure</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Leadership</t>
        </is>
      </c>
      <c r="C20" s="1531" t="str">
        <f>IFERROR(INDEX('1.2 Customer'!$C$29:$C$56,MATCH($B20,'1.2 Customer'!$B$29:$B$56,0)),"Not on the 1.x tab")</f>
        <v>Not on the 1.x tab</v>
      </c>
      <c r="D20" s="1531" t="str">
        <f>IFERROR(IF(INDEX('1.2 Customer'!$D$29:$D$56,MATCH($B20,'1.2 Customer'!$B$29:$B$56,0))="","-",INDEX('1.2 Customer'!$D$29:$D$56,MATCH($B20,'1.2 Customer'!$B$29:$B$56,0))),"-")</f>
        <v>-</v>
      </c>
      <c r="E20" s="1783" t="str">
        <f>"-"</f>
        <v>-</v>
      </c>
      <c r="F20" s="1770">
        <f>COUNTA($B$92:$B$96)</f>
        <v>5</v>
      </c>
      <c r="G20" s="1770">
        <f>COUNTIFS($D$92:$D$96,"Filled")</f>
        <v>4</v>
      </c>
      <c r="H20" s="1770">
        <f>COUNTIFS($D$92:$D$96,"Vacant")</f>
        <v>1</v>
      </c>
      <c r="I20" s="1770">
        <f>COUNTIFS($D$92:$D$96,"Vacant",$E$92:$E$96,"Hire")</f>
        <v>1</v>
      </c>
      <c r="J20" s="1770">
        <f>COUNTIFS($E$92:$E$96,"Offshore")</f>
        <v>0</v>
      </c>
      <c r="K20" s="1770">
        <f>COUNTIFS($E$92:$E$96,"Hold")</f>
        <v>0</v>
      </c>
      <c r="L20" s="1770">
        <f>$F20-$K20</f>
        <v>5</v>
      </c>
      <c r="M20" s="1769" t="str">
        <f>IFERROR(INDEX('1.2 Customer'!$H$29:$H$56,MATCH($B20,'1.2 Customer'!$B$29:$B$56,0)),"-")</f>
        <v>-</v>
      </c>
      <c r="N20" s="1769">
        <f>SUMIFS('REVIEW - Complete Role Mapping'!$AA$2:$AA$528,'REVIEW - Complete Role Mapping'!$AJ$2:$AJ$528,$C$3,'REVIEW - Complete Role Mapping'!$AT$2:$AT$528,$B20)/1000000</f>
        <v>1.048250048</v>
      </c>
      <c r="O20" s="1769" t="str">
        <f>IFERROR(ROUND($N20-$M20,6),"-")</f>
        <v>-</v>
      </c>
      <c r="P20" s="1769">
        <f>SUM($G$92:$G$96)/1000000</f>
        <v>1.048250048</v>
      </c>
      <c r="Q20" s="1769" t="str">
        <f>IFERROR(ROUND($P20-$M20,6),"-")</f>
        <v>-</v>
      </c>
    </row>
    <row r="21">
      <c r="B21" s="1535" t="inlineStr">
        <is>
          <t>Groups with no archetype and no funded figure total</t>
        </is>
      </c>
      <c r="C21" s="1535" t="n"/>
      <c r="D21" s="1535" t="n"/>
      <c r="E21" s="1784">
        <f>SUM(E20:E20)</f>
        <v>0</v>
      </c>
      <c r="F21" s="1772">
        <f>SUM(F20:F20)</f>
        <v>5</v>
      </c>
      <c r="G21" s="1772">
        <f>SUM(G20:G20)</f>
        <v>4</v>
      </c>
      <c r="H21" s="1772">
        <f>SUM(H20:H20)</f>
        <v>1</v>
      </c>
      <c r="I21" s="1772">
        <f>SUM(I20:I20)</f>
        <v>1</v>
      </c>
      <c r="J21" s="1772">
        <f>SUM(J20:J20)</f>
        <v>0</v>
      </c>
      <c r="K21" s="1772">
        <f>SUM(K20:K20)</f>
        <v>0</v>
      </c>
      <c r="L21" s="1772">
        <f>SUM(L20:L20)</f>
        <v>5</v>
      </c>
      <c r="M21" s="1771">
        <f>SUM(M20:M20)</f>
        <v>0</v>
      </c>
      <c r="N21" s="1771">
        <f>SUM(N20:N20)</f>
        <v>1.048250048</v>
      </c>
      <c r="O21" s="1771" t="str">
        <f>IF(N($M21)=0,"-",ROUND($N21-$M21,6))</f>
        <v>-</v>
      </c>
      <c r="P21" s="1771">
        <f>SUM(P20:P20)</f>
        <v>1.048250048</v>
      </c>
      <c r="Q21" s="1771" t="str">
        <f>IF(N($M21)=0,"-",ROUND($P21-$M21,6))</f>
        <v>-</v>
      </c>
    </row>
    <row r="22">
      <c r="B22" s="1530" t="inlineStr">
        <is>
          <t>Overhead roles</t>
        </is>
      </c>
      <c r="C22" s="1530" t="n"/>
      <c r="D22" s="1530" t="n"/>
      <c r="E22" s="1530" t="n"/>
      <c r="F22" s="1530" t="n"/>
      <c r="G22" s="1530" t="n"/>
      <c r="H22" s="1530" t="n"/>
      <c r="I22" s="1530" t="n"/>
      <c r="J22" s="1530" t="n"/>
      <c r="K22" s="1530" t="n"/>
      <c r="L22" s="1530" t="n"/>
      <c r="M22" s="1530" t="n"/>
      <c r="N22" s="1530" t="n"/>
      <c r="O22" s="1530" t="n"/>
      <c r="P22" s="1530" t="n"/>
      <c r="Q22" s="1530" t="n"/>
    </row>
    <row r="23">
      <c r="B23" s="1531" t="inlineStr">
        <is>
          <t>Head of Technology</t>
        </is>
      </c>
      <c r="C23" s="1531" t="str">
        <f>"-"</f>
        <v>-</v>
      </c>
      <c r="D23" s="1531" t="str">
        <f>"-"</f>
        <v>-</v>
      </c>
      <c r="E23" s="1540" t="str">
        <f>"-"</f>
        <v>-</v>
      </c>
      <c r="F23" s="1770">
        <f>COUNTA($B$119:$B$120)</f>
        <v>2</v>
      </c>
      <c r="G23" s="1770">
        <f>COUNTIFS($D$119:$D$120,"Filled")</f>
        <v>2</v>
      </c>
      <c r="H23" s="1770">
        <f>COUNTIFS($D$119:$D$120,"Vacant")</f>
        <v>0</v>
      </c>
      <c r="I23" s="1770">
        <f>COUNTIFS($D$119:$D$120,"Vacant",$E$119:$E$120,"Hire")</f>
        <v>0</v>
      </c>
      <c r="J23" s="1770">
        <f>COUNTIFS($E$119:$E$120,"Offshore")</f>
        <v>0</v>
      </c>
      <c r="K23" s="1770">
        <f>COUNTIFS($E$119:$E$120,"Hold")</f>
        <v>0</v>
      </c>
      <c r="L23" s="1770">
        <f>$F23-$K23</f>
        <v>2</v>
      </c>
      <c r="M23" s="1540" t="str">
        <f>"-"</f>
        <v>-</v>
      </c>
      <c r="N23" s="1769">
        <f>SUMIFS('REVIEW - Complete Role Mapping'!$AA$2:$AA$528,'REVIEW - Complete Role Mapping'!$AJ$2:$AJ$528,$C$3,'REVIEW - Complete Role Mapping'!$AT$2:$AT$528,$B23)/1000000</f>
        <v>0.5360151</v>
      </c>
      <c r="O23" s="1540" t="str">
        <f>"-"</f>
        <v>-</v>
      </c>
      <c r="P23" s="1769">
        <f>SUM($G$119:$G$120)/1000000</f>
        <v>0.5360151</v>
      </c>
      <c r="Q23" s="1540" t="str">
        <f>"-"</f>
        <v>-</v>
      </c>
    </row>
    <row r="24">
      <c r="B24" s="1531" t="inlineStr">
        <is>
          <t>Delivery Manager</t>
        </is>
      </c>
      <c r="C24" s="1531" t="str">
        <f>"-"</f>
        <v>-</v>
      </c>
      <c r="D24" s="1531" t="str">
        <f>"-"</f>
        <v>-</v>
      </c>
      <c r="E24" s="1540" t="str">
        <f>"-"</f>
        <v>-</v>
      </c>
      <c r="F24" s="1770">
        <f>COUNTA($B$122:$B$123)</f>
        <v>2</v>
      </c>
      <c r="G24" s="1770">
        <f>COUNTIFS($D$122:$D$123,"Filled")</f>
        <v>2</v>
      </c>
      <c r="H24" s="1770">
        <f>COUNTIFS($D$122:$D$123,"Vacant")</f>
        <v>0</v>
      </c>
      <c r="I24" s="1770">
        <f>COUNTIFS($D$122:$D$123,"Vacant",$E$122:$E$123,"Hire")</f>
        <v>0</v>
      </c>
      <c r="J24" s="1770">
        <f>COUNTIFS($E$122:$E$123,"Offshore")</f>
        <v>0</v>
      </c>
      <c r="K24" s="1770">
        <f>COUNTIFS($E$122:$E$123,"Hold")</f>
        <v>0</v>
      </c>
      <c r="L24" s="1770">
        <f>$F24-$K24</f>
        <v>2</v>
      </c>
      <c r="M24" s="1540" t="str">
        <f>"-"</f>
        <v>-</v>
      </c>
      <c r="N24" s="1769">
        <f>SUMIFS('REVIEW - Complete Role Mapping'!$AA$2:$AA$528,'REVIEW - Complete Role Mapping'!$AJ$2:$AJ$528,$C$3,'REVIEW - Complete Role Mapping'!$AT$2:$AT$528,$B24)/1000000</f>
        <v>0.4208721</v>
      </c>
      <c r="O24" s="1540" t="str">
        <f>"-"</f>
        <v>-</v>
      </c>
      <c r="P24" s="1769">
        <f>SUM($G$122:$G$123)/1000000</f>
        <v>0.4208721</v>
      </c>
      <c r="Q24" s="1540" t="str">
        <f>"-"</f>
        <v>-</v>
      </c>
    </row>
    <row r="25">
      <c r="B25" s="1531" t="inlineStr">
        <is>
          <t>Technology Manager</t>
        </is>
      </c>
      <c r="C25" s="1531" t="str">
        <f>"-"</f>
        <v>-</v>
      </c>
      <c r="D25" s="1531" t="str">
        <f>"-"</f>
        <v>-</v>
      </c>
      <c r="E25" s="1540" t="str">
        <f>"-"</f>
        <v>-</v>
      </c>
      <c r="F25" s="1770">
        <f>COUNTA($B$125:$B$128)</f>
        <v>4</v>
      </c>
      <c r="G25" s="1770">
        <f>COUNTIFS($D$125:$D$128,"Filled")</f>
        <v>3</v>
      </c>
      <c r="H25" s="1770">
        <f>COUNTIFS($D$125:$D$128,"Vacant")</f>
        <v>1</v>
      </c>
      <c r="I25" s="1770">
        <f>COUNTIFS($D$125:$D$128,"Vacant",$E$125:$E$128,"Hire")</f>
        <v>1</v>
      </c>
      <c r="J25" s="1770">
        <f>COUNTIFS($E$125:$E$128,"Offshore")</f>
        <v>0</v>
      </c>
      <c r="K25" s="1770">
        <f>COUNTIFS($E$125:$E$128,"Hold")</f>
        <v>0</v>
      </c>
      <c r="L25" s="1770">
        <f>$F25-$K25</f>
        <v>4</v>
      </c>
      <c r="M25" s="1540" t="str">
        <f>"-"</f>
        <v>-</v>
      </c>
      <c r="N25" s="1769">
        <f>SUMIFS('REVIEW - Complete Role Mapping'!$AA$2:$AA$528,'REVIEW - Complete Role Mapping'!$AJ$2:$AJ$528,$C$3,'REVIEW - Complete Role Mapping'!$AT$2:$AT$528,$B25)/1000000</f>
        <v>0.816085638</v>
      </c>
      <c r="O25" s="1540" t="str">
        <f>"-"</f>
        <v>-</v>
      </c>
      <c r="P25" s="1769">
        <f>SUM($G$125:$G$128)/1000000</f>
        <v>0.816085638</v>
      </c>
      <c r="Q25" s="1540" t="str">
        <f>"-"</f>
        <v>-</v>
      </c>
    </row>
    <row r="26">
      <c r="B26" s="1535" t="inlineStr">
        <is>
          <t>Overhead roles total</t>
        </is>
      </c>
      <c r="C26" s="1535" t="n"/>
      <c r="D26" s="1535" t="n"/>
      <c r="E26" s="1784">
        <f>SUM(E23:E25)</f>
        <v>0</v>
      </c>
      <c r="F26" s="1772">
        <f>SUM(F23:F25)</f>
        <v>8</v>
      </c>
      <c r="G26" s="1772">
        <f>SUM(G23:G25)</f>
        <v>7</v>
      </c>
      <c r="H26" s="1772">
        <f>SUM(H23:H25)</f>
        <v>1</v>
      </c>
      <c r="I26" s="1772">
        <f>SUM(I23:I25)</f>
        <v>1</v>
      </c>
      <c r="J26" s="1772">
        <f>SUM(J23:J25)</f>
        <v>0</v>
      </c>
      <c r="K26" s="1772">
        <f>SUM(K23:K25)</f>
        <v>0</v>
      </c>
      <c r="L26" s="1772">
        <f>SUM(L23:L25)</f>
        <v>8</v>
      </c>
      <c r="M26" s="1771">
        <f>SUM(M23:M25)</f>
        <v>0</v>
      </c>
      <c r="N26" s="1771">
        <f>SUM(N23:N25)</f>
        <v>1.772972838</v>
      </c>
      <c r="O26" s="1771" t="str">
        <f>IF(N($M26)=0,"-",ROUND($N26-$M26,6))</f>
        <v>-</v>
      </c>
      <c r="P26" s="1771">
        <f>SUM(P23:P25)</f>
        <v>1.772972838</v>
      </c>
      <c r="Q26" s="1771" t="str">
        <f>IF(N($M26)=0,"-",ROUND($P26-$M26,6))</f>
        <v>-</v>
      </c>
    </row>
    <row r="27">
      <c r="B27" s="1541" t="inlineStr">
        <is>
          <t>Total portfolio</t>
        </is>
      </c>
      <c r="C27" s="1541" t="n"/>
      <c r="D27" s="1541" t="n"/>
      <c r="E27" s="1785">
        <f>N(E15)+N(E18)+N(E21)+N(E26)</f>
        <v>57</v>
      </c>
      <c r="F27" s="1774">
        <f>N(F15)+N(F18)+N(F21)+N(F26)</f>
        <v>83</v>
      </c>
      <c r="G27" s="1774">
        <f>N(G15)+N(G18)+N(G21)+N(G26)</f>
        <v>70</v>
      </c>
      <c r="H27" s="1774">
        <f>N(H15)+N(H18)+N(H21)+N(H26)</f>
        <v>13</v>
      </c>
      <c r="I27" s="1774">
        <f>N(I15)+N(I18)+N(I21)+N(I26)</f>
        <v>13</v>
      </c>
      <c r="J27" s="1774">
        <f>N(J15)+N(J18)+N(J21)+N(J26)</f>
        <v>0</v>
      </c>
      <c r="K27" s="1774">
        <f>N(K15)+N(K18)+N(K21)+N(K26)</f>
        <v>0</v>
      </c>
      <c r="L27" s="1774">
        <f>N(L15)+N(L18)+N(L21)+N(L26)</f>
        <v>83</v>
      </c>
      <c r="M27" s="1773" t="str">
        <f>"-"</f>
        <v>-</v>
      </c>
      <c r="N27" s="1773">
        <f>N(N15)+N(N18)+N(N21)+N(N26)</f>
        <v>17.12686714</v>
      </c>
      <c r="O27" s="1773" t="str">
        <f>"-"</f>
        <v>-</v>
      </c>
      <c r="P27" s="1773">
        <f>N(P15)+N(P18)+N(P21)+N(P26)</f>
        <v>17.12686714</v>
      </c>
      <c r="Q27" s="1773" t="str">
        <f>"-"</f>
        <v>-</v>
      </c>
    </row>
    <row r="28"/>
    <row r="29">
      <c r="B29" s="1526" t="inlineStr">
        <is>
          <t>Control - roles against the ledger, must be 0</t>
        </is>
      </c>
      <c r="F29" s="1778">
        <f>$F$27-COUNTIFS('REVIEW - Complete Role Mapping'!$AJ$2:$AJ$528,$C$3)</f>
        <v>0</v>
      </c>
    </row>
    <row r="30">
      <c r="B30" s="1526" t="inlineStr">
        <is>
          <t>Control - cost against the ledger ($m), must be 0</t>
        </is>
      </c>
      <c r="N30" s="1779">
        <f>ROUND($N$27-SUMIFS('REVIEW - Complete Role Mapping'!$AA$2:$AA$528,'REVIEW - Complete Role Mapping'!$AJ$2:$AJ$528,$C$3)/1000000,6)</f>
        <v>0</v>
      </c>
    </row>
    <row r="31"/>
    <row r="32" ht="19" customHeight="1" s="866">
      <c r="B32" s="1527" t="inlineStr">
        <is>
          <t>Customer FTE</t>
        </is>
      </c>
      <c r="C32" s="1528" t="n"/>
      <c r="D32" s="1528" t="n"/>
      <c r="E32" s="1528" t="n"/>
      <c r="F32" s="1528" t="n"/>
      <c r="G32" s="1528" t="n"/>
    </row>
    <row r="33" ht="34" customHeight="1" s="866">
      <c r="B33" s="1529" t="inlineStr">
        <is>
          <t>Name</t>
        </is>
      </c>
      <c r="C33" s="1529" t="inlineStr">
        <is>
          <t>Role</t>
        </is>
      </c>
      <c r="D33" s="1529" t="inlineStr">
        <is>
          <t>Status</t>
        </is>
      </c>
      <c r="E33" s="1529" t="inlineStr">
        <is>
          <t>Vacancy lever</t>
        </is>
      </c>
      <c r="F33" s="1529" t="inlineStr">
        <is>
          <t>Role cost ($)</t>
        </is>
      </c>
      <c r="G33" s="1529" t="inlineStr">
        <is>
          <t>Cost after decision ($)</t>
        </is>
      </c>
    </row>
    <row r="34">
      <c r="B34" s="1530" t="inlineStr">
        <is>
          <t>Ampol App</t>
        </is>
      </c>
      <c r="C34" s="1530" t="str">
        <f>COUNTA($B$35:$B$48)&amp;IF(COUNTA($B$35:$B$48)=1," role"," roles")</f>
        <v>14 roles</v>
      </c>
      <c r="D34" s="1530" t="n"/>
      <c r="E34" s="1530" t="n"/>
      <c r="F34" s="1786">
        <f>SUM(F35:F48)</f>
        <v>3360592.33</v>
      </c>
      <c r="G34" s="1786">
        <f>SUM(G35:G48)</f>
        <v>3360592.33</v>
      </c>
    </row>
    <row r="35">
      <c r="B35" s="1531" t="str">
        <f>INDEX('REVIEW - Complete Role Mapping'!$B:$B,112)</f>
        <v>Alisha Allport</v>
      </c>
      <c r="C35" s="1531" t="str">
        <f>INDEX('REVIEW - Complete Role Mapping'!$C:$C,112)</f>
        <v>Principal Experience Designer</v>
      </c>
      <c r="D35" s="1531" t="str">
        <f>INDEX('REVIEW - Complete Role Mapping'!$AK:$AK,112)</f>
        <v>Filled</v>
      </c>
      <c r="E35" s="1548" t="inlineStr">
        <is>
          <t>Filled</t>
        </is>
      </c>
      <c r="F35" s="1770">
        <f>INDEX('REVIEW - Complete Role Mapping'!$AA:$AA,112)</f>
        <v>146464.7</v>
      </c>
      <c r="G35" s="1770">
        <f>$F35*IFERROR(INDEX(Lists!$AD:$AD,MATCH($E35,Lists!$AC:$AC,0)),1)</f>
        <v>146464.7</v>
      </c>
    </row>
    <row r="36">
      <c r="B36" s="1531" t="str">
        <f>INDEX('REVIEW - Complete Role Mapping'!$B:$B,116)</f>
        <v>Annabel Phu</v>
      </c>
      <c r="C36" s="1531" t="str">
        <f>INDEX('REVIEW - Complete Role Mapping'!$C:$C,116)</f>
        <v>Engineer - Mobile</v>
      </c>
      <c r="D36" s="1531" t="str">
        <f>INDEX('REVIEW - Complete Role Mapping'!$AK:$AK,116)</f>
        <v>Filled</v>
      </c>
      <c r="E36" s="1548" t="inlineStr">
        <is>
          <t>Filled</t>
        </is>
      </c>
      <c r="F36" s="1770">
        <f>INDEX('REVIEW - Complete Role Mapping'!$AA:$AA,116)</f>
        <v>266400</v>
      </c>
      <c r="G36" s="1770">
        <f>$F36*IFERROR(INDEX(Lists!$AD:$AD,MATCH($E36,Lists!$AC:$AC,0)),1)</f>
        <v>266400</v>
      </c>
    </row>
    <row r="37">
      <c r="B37" s="1531" t="str">
        <f>INDEX('REVIEW - Complete Role Mapping'!$B:$B,119)</f>
        <v>Anup Antony</v>
      </c>
      <c r="C37" s="1531" t="str">
        <f>INDEX('REVIEW - Complete Role Mapping'!$C:$C,119)</f>
        <v>Engineer - BE</v>
      </c>
      <c r="D37" s="1531" t="str">
        <f>INDEX('REVIEW - Complete Role Mapping'!$AK:$AK,119)</f>
        <v>Filled</v>
      </c>
      <c r="E37" s="1548" t="inlineStr">
        <is>
          <t>Filled</t>
        </is>
      </c>
      <c r="F37" s="1770">
        <f>INDEX('REVIEW - Complete Role Mapping'!$AA:$AA,119)</f>
        <v>255300</v>
      </c>
      <c r="G37" s="1770">
        <f>$F37*IFERROR(INDEX(Lists!$AD:$AD,MATCH($E37,Lists!$AC:$AC,0)),1)</f>
        <v>255300</v>
      </c>
    </row>
    <row r="38">
      <c r="B38" s="1531" t="str">
        <f>INDEX('REVIEW - Complete Role Mapping'!$B:$B,122)</f>
        <v>Binumon Mathai</v>
      </c>
      <c r="C38" s="1531" t="str">
        <f>INDEX('REVIEW - Complete Role Mapping'!$C:$C,122)</f>
        <v>Senior Quality Assurance</v>
      </c>
      <c r="D38" s="1531" t="str">
        <f>INDEX('REVIEW - Complete Role Mapping'!$AK:$AK,122)</f>
        <v>Filled</v>
      </c>
      <c r="E38" s="1548" t="inlineStr">
        <is>
          <t>Filled</t>
        </is>
      </c>
      <c r="F38" s="1770">
        <f>INDEX('REVIEW - Complete Role Mapping'!$AA:$AA,122)</f>
        <v>223776</v>
      </c>
      <c r="G38" s="1770">
        <f>$F38*IFERROR(INDEX(Lists!$AD:$AD,MATCH($E38,Lists!$AC:$AC,0)),1)</f>
        <v>223776</v>
      </c>
    </row>
    <row r="39">
      <c r="B39" s="1531" t="str">
        <f>INDEX('REVIEW - Complete Role Mapping'!$B:$B,132)</f>
        <v>Edwin Justin</v>
      </c>
      <c r="C39" s="1531" t="str">
        <f>INDEX('REVIEW - Complete Role Mapping'!$C:$C,132)</f>
        <v>Senior Engineer - BE</v>
      </c>
      <c r="D39" s="1531" t="str">
        <f>INDEX('REVIEW - Complete Role Mapping'!$AK:$AK,132)</f>
        <v>Filled</v>
      </c>
      <c r="E39" s="1548" t="inlineStr">
        <is>
          <t>Filled</t>
        </is>
      </c>
      <c r="F39" s="1770">
        <f>INDEX('REVIEW - Complete Role Mapping'!$AA:$AA,132)</f>
        <v>194789.85</v>
      </c>
      <c r="G39" s="1770">
        <f>$F39*IFERROR(INDEX(Lists!$AD:$AD,MATCH($E39,Lists!$AC:$AC,0)),1)</f>
        <v>194789.85</v>
      </c>
    </row>
    <row r="40">
      <c r="B40" s="1531" t="str">
        <f>INDEX('REVIEW - Complete Role Mapping'!$B:$B,134)</f>
        <v>Ethan Laffan</v>
      </c>
      <c r="C40" s="1531" t="str">
        <f>INDEX('REVIEW - Complete Role Mapping'!$C:$C,134)</f>
        <v>Associate Experience Designer</v>
      </c>
      <c r="D40" s="1531" t="str">
        <f>INDEX('REVIEW - Complete Role Mapping'!$AK:$AK,134)</f>
        <v>Filled</v>
      </c>
      <c r="E40" s="1548" t="inlineStr">
        <is>
          <t>Filled</t>
        </is>
      </c>
      <c r="F40" s="1770">
        <f>INDEX('REVIEW - Complete Role Mapping'!$AA:$AA,134)</f>
        <v>201585</v>
      </c>
      <c r="G40" s="1770">
        <f>$F40*IFERROR(INDEX(Lists!$AD:$AD,MATCH($E40,Lists!$AC:$AC,0)),1)</f>
        <v>201585</v>
      </c>
    </row>
    <row r="41">
      <c r="B41" s="1531" t="str">
        <f>INDEX('REVIEW - Complete Role Mapping'!$B:$B,145)</f>
        <v>Khalid Mahmud</v>
      </c>
      <c r="C41" s="1531" t="str">
        <f>INDEX('REVIEW - Complete Role Mapping'!$C:$C,145)</f>
        <v>Lead Engineer - BE</v>
      </c>
      <c r="D41" s="1531" t="str">
        <f>INDEX('REVIEW - Complete Role Mapping'!$AK:$AK,145)</f>
        <v>Filled</v>
      </c>
      <c r="E41" s="1548" t="inlineStr">
        <is>
          <t>Filled</t>
        </is>
      </c>
      <c r="F41" s="1770">
        <f>INDEX('REVIEW - Complete Role Mapping'!$AA:$AA,145)</f>
        <v>266400</v>
      </c>
      <c r="G41" s="1770">
        <f>$F41*IFERROR(INDEX(Lists!$AD:$AD,MATCH($E41,Lists!$AC:$AC,0)),1)</f>
        <v>266400</v>
      </c>
    </row>
    <row r="42">
      <c r="B42" s="1531" t="str">
        <f>INDEX('REVIEW - Complete Role Mapping'!$B:$B,149)</f>
        <v>Maria Salman</v>
      </c>
      <c r="C42" s="1531" t="str">
        <f>INDEX('REVIEW - Complete Role Mapping'!$C:$C,149)</f>
        <v>Experience Designer</v>
      </c>
      <c r="D42" s="1531" t="str">
        <f>INDEX('REVIEW - Complete Role Mapping'!$AK:$AK,149)</f>
        <v>Filled</v>
      </c>
      <c r="E42" s="1548" t="inlineStr">
        <is>
          <t>Filled</t>
        </is>
      </c>
      <c r="F42" s="1770">
        <f>INDEX('REVIEW - Complete Role Mapping'!$AA:$AA,149)</f>
        <v>240834.48</v>
      </c>
      <c r="G42" s="1770">
        <f>$F42*IFERROR(INDEX(Lists!$AD:$AD,MATCH($E42,Lists!$AC:$AC,0)),1)</f>
        <v>240834.48</v>
      </c>
    </row>
    <row r="43">
      <c r="B43" s="1531" t="str">
        <f>INDEX('REVIEW - Complete Role Mapping'!$B:$B,154)</f>
        <v>Penny Pennisi</v>
      </c>
      <c r="C43" s="1531" t="str">
        <f>INDEX('REVIEW - Complete Role Mapping'!$C:$C,154)</f>
        <v>Delivery Lead</v>
      </c>
      <c r="D43" s="1531" t="str">
        <f>INDEX('REVIEW - Complete Role Mapping'!$AK:$AK,154)</f>
        <v>Filled</v>
      </c>
      <c r="E43" s="1548" t="inlineStr">
        <is>
          <t>Filled</t>
        </is>
      </c>
      <c r="F43" s="1770">
        <f>INDEX('REVIEW - Complete Role Mapping'!$AA:$AA,154)</f>
        <v>299700</v>
      </c>
      <c r="G43" s="1770">
        <f>$F43*IFERROR(INDEX(Lists!$AD:$AD,MATCH($E43,Lists!$AC:$AC,0)),1)</f>
        <v>299700</v>
      </c>
    </row>
    <row r="44">
      <c r="B44" s="1531" t="str">
        <f>INDEX('REVIEW - Complete Role Mapping'!$B:$B,155)</f>
        <v>Peter Lee</v>
      </c>
      <c r="C44" s="1531" t="str">
        <f>INDEX('REVIEW - Complete Role Mapping'!$C:$C,155)</f>
        <v>Snr Business Analyst</v>
      </c>
      <c r="D44" s="1531" t="str">
        <f>INDEX('REVIEW - Complete Role Mapping'!$AK:$AK,155)</f>
        <v>Filled</v>
      </c>
      <c r="E44" s="1548" t="inlineStr">
        <is>
          <t>Filled</t>
        </is>
      </c>
      <c r="F44" s="1770">
        <f>INDEX('REVIEW - Complete Role Mapping'!$AA:$AA,155)</f>
        <v>243984.6</v>
      </c>
      <c r="G44" s="1770">
        <f>$F44*IFERROR(INDEX(Lists!$AD:$AD,MATCH($E44,Lists!$AC:$AC,0)),1)</f>
        <v>243984.6</v>
      </c>
    </row>
    <row r="45">
      <c r="B45" s="1531" t="str">
        <f>INDEX('REVIEW - Complete Role Mapping'!$B:$B,156)</f>
        <v>Phillip Kewley</v>
      </c>
      <c r="C45" s="1531" t="str">
        <f>INDEX('REVIEW - Complete Role Mapping'!$C:$C,156)</f>
        <v>Quality Assurance</v>
      </c>
      <c r="D45" s="1531" t="str">
        <f>INDEX('REVIEW - Complete Role Mapping'!$AK:$AK,156)</f>
        <v>Filled</v>
      </c>
      <c r="E45" s="1548" t="inlineStr">
        <is>
          <t>Filled</t>
        </is>
      </c>
      <c r="F45" s="1770">
        <f>INDEX('REVIEW - Complete Role Mapping'!$AA:$AA,156)</f>
        <v>213600</v>
      </c>
      <c r="G45" s="1770">
        <f>$F45*IFERROR(INDEX(Lists!$AD:$AD,MATCH($E45,Lists!$AC:$AC,0)),1)</f>
        <v>213600</v>
      </c>
    </row>
    <row r="46">
      <c r="B46" s="1531" t="str">
        <f>INDEX('REVIEW - Complete Role Mapping'!$B:$B,157)</f>
        <v>Raj Ganesan</v>
      </c>
      <c r="C46" s="1531" t="str">
        <f>INDEX('REVIEW - Complete Role Mapping'!$C:$C,157)</f>
        <v>Engineer - Mobile (ios)</v>
      </c>
      <c r="D46" s="1531" t="str">
        <f>INDEX('REVIEW - Complete Role Mapping'!$AK:$AK,157)</f>
        <v>Filled</v>
      </c>
      <c r="E46" s="1548" t="inlineStr">
        <is>
          <t>Filled</t>
        </is>
      </c>
      <c r="F46" s="1770">
        <f>INDEX('REVIEW - Complete Role Mapping'!$AA:$AA,157)</f>
        <v>230880</v>
      </c>
      <c r="G46" s="1770">
        <f>$F46*IFERROR(INDEX(Lists!$AD:$AD,MATCH($E46,Lists!$AC:$AC,0)),1)</f>
        <v>230880</v>
      </c>
    </row>
    <row r="47">
      <c r="B47" s="1531" t="str">
        <f>INDEX('REVIEW - Complete Role Mapping'!$B:$B,166)</f>
        <v>Sheetal Karkera</v>
      </c>
      <c r="C47" s="1531" t="str">
        <f>INDEX('REVIEW - Complete Role Mapping'!$C:$C,166)</f>
        <v>Lead Engineer - Mobile</v>
      </c>
      <c r="D47" s="1531" t="str">
        <f>INDEX('REVIEW - Complete Role Mapping'!$AK:$AK,166)</f>
        <v>Filled</v>
      </c>
      <c r="E47" s="1548" t="inlineStr">
        <is>
          <t>Filled</t>
        </is>
      </c>
      <c r="F47" s="1770">
        <f>INDEX('REVIEW - Complete Role Mapping'!$AA:$AA,166)</f>
        <v>301067.45</v>
      </c>
      <c r="G47" s="1770">
        <f>$F47*IFERROR(INDEX(Lists!$AD:$AD,MATCH($E47,Lists!$AC:$AC,0)),1)</f>
        <v>301067.45</v>
      </c>
    </row>
    <row r="48">
      <c r="B48" s="1531" t="str">
        <f>INDEX('REVIEW - Complete Role Mapping'!$B:$B,173)</f>
        <v>Toby Clark</v>
      </c>
      <c r="C48" s="1531" t="str">
        <f>INDEX('REVIEW - Complete Role Mapping'!$C:$C,173)</f>
        <v>Engineer - Mobile (iOS)</v>
      </c>
      <c r="D48" s="1531" t="str">
        <f>INDEX('REVIEW - Complete Role Mapping'!$AK:$AK,173)</f>
        <v>Filled</v>
      </c>
      <c r="E48" s="1548" t="inlineStr">
        <is>
          <t>Filled</t>
        </is>
      </c>
      <c r="F48" s="1770">
        <f>INDEX('REVIEW - Complete Role Mapping'!$AA:$AA,173)</f>
        <v>275810.25</v>
      </c>
      <c r="G48" s="1770">
        <f>$F48*IFERROR(INDEX(Lists!$AD:$AD,MATCH($E48,Lists!$AC:$AC,0)),1)</f>
        <v>275810.25</v>
      </c>
    </row>
    <row r="49">
      <c r="B49" s="1530" t="inlineStr">
        <is>
          <t>Ampol Loyalty &amp; Martech</t>
        </is>
      </c>
      <c r="C49" s="1530" t="str">
        <f>COUNTA($B$50:$B$58)&amp;IF(COUNTA($B$50:$B$58)=1," role"," roles")</f>
        <v>9 roles</v>
      </c>
      <c r="D49" s="1530" t="n"/>
      <c r="E49" s="1530" t="n"/>
      <c r="F49" s="1786">
        <f>SUM(F50:F58)</f>
        <v>1331225.988</v>
      </c>
      <c r="G49" s="1786">
        <f>SUM(G50:G58)</f>
        <v>1331225.988</v>
      </c>
    </row>
    <row r="50">
      <c r="B50" s="1531" t="str">
        <f>INDEX('REVIEW - Complete Role Mapping'!$B:$B,114)</f>
        <v>Angela Gilbert</v>
      </c>
      <c r="C50" s="1531" t="str">
        <f>INDEX('REVIEW - Complete Role Mapping'!$C:$C,114)</f>
        <v>Martech Lead - Dynamics</v>
      </c>
      <c r="D50" s="1531" t="str">
        <f>INDEX('REVIEW - Complete Role Mapping'!$AK:$AK,114)</f>
        <v>Filled</v>
      </c>
      <c r="E50" s="1548" t="inlineStr">
        <is>
          <t>Filled</t>
        </is>
      </c>
      <c r="F50" s="1770">
        <f>INDEX('REVIEW - Complete Role Mapping'!$AA:$AA,114)</f>
        <v>200250</v>
      </c>
      <c r="G50" s="1770">
        <f>$F50*IFERROR(INDEX(Lists!$AD:$AD,MATCH($E50,Lists!$AC:$AC,0)),1)</f>
        <v>200250</v>
      </c>
    </row>
    <row r="51">
      <c r="B51" s="1531" t="str">
        <f>INDEX('REVIEW - Complete Role Mapping'!$B:$B,137)</f>
        <v>Jawad Hassan</v>
      </c>
      <c r="C51" s="1531" t="str">
        <f>INDEX('REVIEW - Complete Role Mapping'!$C:$C,137)</f>
        <v>Engineer Data (Snowflake)</v>
      </c>
      <c r="D51" s="1531" t="str">
        <f>INDEX('REVIEW - Complete Role Mapping'!$AK:$AK,137)</f>
        <v>Filled</v>
      </c>
      <c r="E51" s="1548" t="inlineStr">
        <is>
          <t>Filled</t>
        </is>
      </c>
      <c r="F51" s="1770">
        <f>INDEX('REVIEW - Complete Role Mapping'!$AA:$AA,137)</f>
        <v>202853.25</v>
      </c>
      <c r="G51" s="1770">
        <f>$F51*IFERROR(INDEX(Lists!$AD:$AD,MATCH($E51,Lists!$AC:$AC,0)),1)</f>
        <v>202853.25</v>
      </c>
    </row>
    <row r="52">
      <c r="B52" s="1531" t="str">
        <f>INDEX('REVIEW - Complete Role Mapping'!$B:$B,138)</f>
        <v>Jeremy Xu</v>
      </c>
      <c r="C52" s="1531" t="str">
        <f>INDEX('REVIEW - Complete Role Mapping'!$C:$C,138)</f>
        <v>Data Analyst</v>
      </c>
      <c r="D52" s="1531" t="str">
        <f>INDEX('REVIEW - Complete Role Mapping'!$AK:$AK,138)</f>
        <v>Filled</v>
      </c>
      <c r="E52" s="1548" t="inlineStr">
        <is>
          <t>Filled</t>
        </is>
      </c>
      <c r="F52" s="1770">
        <f>INDEX('REVIEW - Complete Role Mapping'!$AA:$AA,138)</f>
        <v>202853.25</v>
      </c>
      <c r="G52" s="1770">
        <f>$F52*IFERROR(INDEX(Lists!$AD:$AD,MATCH($E52,Lists!$AC:$AC,0)),1)</f>
        <v>202853.25</v>
      </c>
    </row>
    <row r="53">
      <c r="B53" s="1531" t="str">
        <f>INDEX('REVIEW - Complete Role Mapping'!$B:$B,178)</f>
        <v>Vacant</v>
      </c>
      <c r="C53" s="1531" t="str">
        <f>INDEX('REVIEW - Complete Role Mapping'!$C:$C,178)</f>
        <v>Engineer, Software</v>
      </c>
      <c r="D53" s="1531" t="str">
        <f>INDEX('REVIEW - Complete Role Mapping'!$AK:$AK,178)</f>
        <v>Vacant</v>
      </c>
      <c r="E53" s="1548" t="inlineStr">
        <is>
          <t>Hire</t>
        </is>
      </c>
      <c r="F53" s="1770">
        <f>INDEX('REVIEW - Complete Role Mapping'!$AA:$AA,178)</f>
        <v>155676</v>
      </c>
      <c r="G53" s="1770">
        <f>$F53*IFERROR(INDEX(Lists!$AD:$AD,MATCH($E53,Lists!$AC:$AC,0)),1)</f>
        <v>155676</v>
      </c>
    </row>
    <row r="54">
      <c r="B54" s="1531" t="str">
        <f>INDEX('REVIEW - Complete Role Mapping'!$B:$B,179)</f>
        <v>Vacant</v>
      </c>
      <c r="C54" s="1531" t="str">
        <f>INDEX('REVIEW - Complete Role Mapping'!$C:$C,179)</f>
        <v>Snr Engineer, Data</v>
      </c>
      <c r="D54" s="1531" t="str">
        <f>INDEX('REVIEW - Complete Role Mapping'!$AK:$AK,179)</f>
        <v>Vacant</v>
      </c>
      <c r="E54" s="1548" t="inlineStr">
        <is>
          <t>Hire</t>
        </is>
      </c>
      <c r="F54" s="1770">
        <f>INDEX('REVIEW - Complete Role Mapping'!$AA:$AA,179)</f>
        <v>174743.46</v>
      </c>
      <c r="G54" s="1770">
        <f>$F54*IFERROR(INDEX(Lists!$AD:$AD,MATCH($E54,Lists!$AC:$AC,0)),1)</f>
        <v>174743.46</v>
      </c>
    </row>
    <row r="55">
      <c r="B55" s="1531" t="str">
        <f>INDEX('REVIEW - Complete Role Mapping'!$B:$B,180)</f>
        <v>Vacant</v>
      </c>
      <c r="C55" s="1531" t="str">
        <f>INDEX('REVIEW - Complete Role Mapping'!$C:$C,180)</f>
        <v>Solution Architect</v>
      </c>
      <c r="D55" s="1531" t="str">
        <f>INDEX('REVIEW - Complete Role Mapping'!$AK:$AK,180)</f>
        <v>Vacant</v>
      </c>
      <c r="E55" s="1548" t="inlineStr">
        <is>
          <t>Hire</t>
        </is>
      </c>
      <c r="F55" s="1770">
        <f>INDEX('REVIEW - Complete Role Mapping'!$AA:$AA,180)</f>
        <v>75457.8</v>
      </c>
      <c r="G55" s="1770">
        <f>$F55*IFERROR(INDEX(Lists!$AD:$AD,MATCH($E55,Lists!$AC:$AC,0)),1)</f>
        <v>75457.8</v>
      </c>
    </row>
    <row r="56">
      <c r="B56" s="1531" t="str">
        <f>INDEX('REVIEW - Complete Role Mapping'!$B:$B,181)</f>
        <v>Vacant</v>
      </c>
      <c r="C56" s="1531" t="str">
        <f>INDEX('REVIEW - Complete Role Mapping'!$C:$C,181)</f>
        <v>Data Analyst</v>
      </c>
      <c r="D56" s="1531" t="str">
        <f>INDEX('REVIEW - Complete Role Mapping'!$AK:$AK,181)</f>
        <v>Vacant</v>
      </c>
      <c r="E56" s="1548" t="inlineStr">
        <is>
          <t>Hire</t>
        </is>
      </c>
      <c r="F56" s="1770">
        <f>INDEX('REVIEW - Complete Role Mapping'!$AA:$AA,181)</f>
        <v>75457.8</v>
      </c>
      <c r="G56" s="1770">
        <f>$F56*IFERROR(INDEX(Lists!$AD:$AD,MATCH($E56,Lists!$AC:$AC,0)),1)</f>
        <v>75457.8</v>
      </c>
    </row>
    <row r="57">
      <c r="B57" s="1531" t="str">
        <f>INDEX('REVIEW - Complete Role Mapping'!$B:$B,185)</f>
        <v>Vacant</v>
      </c>
      <c r="C57" s="1531" t="str">
        <f>INDEX('REVIEW - Complete Role Mapping'!$C:$C,185)</f>
        <v>QA / Tester / Mid</v>
      </c>
      <c r="D57" s="1531" t="str">
        <f>INDEX('REVIEW - Complete Role Mapping'!$AK:$AK,185)</f>
        <v>Vacant</v>
      </c>
      <c r="E57" s="1548" t="inlineStr">
        <is>
          <t>Hire</t>
        </is>
      </c>
      <c r="F57" s="1770">
        <f>INDEX('REVIEW - Complete Role Mapping'!$AA:$AA,185)</f>
        <v>95579.88</v>
      </c>
      <c r="G57" s="1770">
        <f>$F57*IFERROR(INDEX(Lists!$AD:$AD,MATCH($E57,Lists!$AC:$AC,0)),1)</f>
        <v>95579.88</v>
      </c>
    </row>
    <row r="58">
      <c r="B58" s="1531" t="str">
        <f>INDEX('REVIEW - Complete Role Mapping'!$B:$B,186)</f>
        <v>Vacant</v>
      </c>
      <c r="C58" s="1531" t="str">
        <f>INDEX('REVIEW - Complete Role Mapping'!$C:$C,186)</f>
        <v>Systems Analyst / Mid</v>
      </c>
      <c r="D58" s="1531" t="str">
        <f>INDEX('REVIEW - Complete Role Mapping'!$AK:$AK,186)</f>
        <v>Vacant</v>
      </c>
      <c r="E58" s="1548" t="inlineStr">
        <is>
          <t>Hire</t>
        </is>
      </c>
      <c r="F58" s="1770">
        <f>INDEX('REVIEW - Complete Role Mapping'!$AA:$AA,186)</f>
        <v>148354.548</v>
      </c>
      <c r="G58" s="1770">
        <f>$F58*IFERROR(INDEX(Lists!$AD:$AD,MATCH($E58,Lists!$AC:$AC,0)),1)</f>
        <v>148354.548</v>
      </c>
    </row>
    <row r="59">
      <c r="B59" s="1530" t="inlineStr">
        <is>
          <t>Ampol Web</t>
        </is>
      </c>
      <c r="C59" s="1530" t="str">
        <f>COUNTA($B$60:$B$68)&amp;IF(COUNTA($B$60:$B$68)=1," role"," roles")</f>
        <v>9 roles</v>
      </c>
      <c r="D59" s="1530" t="n"/>
      <c r="E59" s="1530" t="n"/>
      <c r="F59" s="1786">
        <f>SUM(F60:F68)</f>
        <v>1761719.2</v>
      </c>
      <c r="G59" s="1786">
        <f>SUM(G60:G68)</f>
        <v>1761719.2</v>
      </c>
    </row>
    <row r="60">
      <c r="B60" s="1531" t="str">
        <f>INDEX('REVIEW - Complete Role Mapping'!$B:$B,108)</f>
        <v>Aaron Lu</v>
      </c>
      <c r="C60" s="1531" t="str">
        <f>INDEX('REVIEW - Complete Role Mapping'!$C:$C,108)</f>
        <v>Engineer - BE</v>
      </c>
      <c r="D60" s="1531" t="str">
        <f>INDEX('REVIEW - Complete Role Mapping'!$AK:$AK,108)</f>
        <v>Filled</v>
      </c>
      <c r="E60" s="1548" t="inlineStr">
        <is>
          <t>Filled</t>
        </is>
      </c>
      <c r="F60" s="1770">
        <f>INDEX('REVIEW - Complete Role Mapping'!$AA:$AA,108)</f>
        <v>235333.8</v>
      </c>
      <c r="G60" s="1770">
        <f>$F60*IFERROR(INDEX(Lists!$AD:$AD,MATCH($E60,Lists!$AC:$AC,0)),1)</f>
        <v>235333.8</v>
      </c>
    </row>
    <row r="61">
      <c r="B61" s="1531" t="str">
        <f>INDEX('REVIEW - Complete Role Mapping'!$B:$B,120)</f>
        <v>Ashwini Gaikwad</v>
      </c>
      <c r="C61" s="1531" t="str">
        <f>INDEX('REVIEW - Complete Role Mapping'!$C:$C,120)</f>
        <v>Quality Assurance</v>
      </c>
      <c r="D61" s="1531" t="str">
        <f>INDEX('REVIEW - Complete Role Mapping'!$AK:$AK,120)</f>
        <v>Filled</v>
      </c>
      <c r="E61" s="1548" t="inlineStr">
        <is>
          <t>Filled</t>
        </is>
      </c>
      <c r="F61" s="1770">
        <f>INDEX('REVIEW - Complete Role Mapping'!$AA:$AA,120)</f>
        <v>168677.25</v>
      </c>
      <c r="G61" s="1770">
        <f>$F61*IFERROR(INDEX(Lists!$AD:$AD,MATCH($E61,Lists!$AC:$AC,0)),1)</f>
        <v>168677.25</v>
      </c>
    </row>
    <row r="62">
      <c r="B62" s="1531" t="str">
        <f>INDEX('REVIEW - Complete Role Mapping'!$B:$B,128)</f>
        <v>Darwin Morales</v>
      </c>
      <c r="C62" s="1531" t="str">
        <f>INDEX('REVIEW - Complete Role Mapping'!$C:$C,128)</f>
        <v>Snr Engineer - FE</v>
      </c>
      <c r="D62" s="1531" t="str">
        <f>INDEX('REVIEW - Complete Role Mapping'!$AK:$AK,128)</f>
        <v>Filled</v>
      </c>
      <c r="E62" s="1548" t="inlineStr">
        <is>
          <t>Filled</t>
        </is>
      </c>
      <c r="F62" s="1770">
        <f>INDEX('REVIEW - Complete Role Mapping'!$AA:$AA,128)</f>
        <v>243090.15</v>
      </c>
      <c r="G62" s="1770">
        <f>$F62*IFERROR(INDEX(Lists!$AD:$AD,MATCH($E62,Lists!$AC:$AC,0)),1)</f>
        <v>243090.15</v>
      </c>
    </row>
    <row r="63">
      <c r="B63" s="1531" t="str">
        <f>INDEX('REVIEW - Complete Role Mapping'!$B:$B,136)</f>
        <v>Jasper Na</v>
      </c>
      <c r="C63" s="1531" t="str">
        <f>INDEX('REVIEW - Complete Role Mapping'!$C:$C,136)</f>
        <v>Associate Engineer - BE</v>
      </c>
      <c r="D63" s="1531" t="str">
        <f>INDEX('REVIEW - Complete Role Mapping'!$AK:$AK,136)</f>
        <v>Filled</v>
      </c>
      <c r="E63" s="1548" t="inlineStr">
        <is>
          <t>Filled</t>
        </is>
      </c>
      <c r="F63" s="1770">
        <f>INDEX('REVIEW - Complete Role Mapping'!$AA:$AA,136)</f>
        <v>170489.75</v>
      </c>
      <c r="G63" s="1770">
        <f>$F63*IFERROR(INDEX(Lists!$AD:$AD,MATCH($E63,Lists!$AC:$AC,0)),1)</f>
        <v>170489.75</v>
      </c>
    </row>
    <row r="64">
      <c r="B64" s="1531" t="str">
        <f>INDEX('REVIEW - Complete Role Mapping'!$B:$B,140)</f>
        <v>Jin Zhong</v>
      </c>
      <c r="C64" s="1531" t="str">
        <f>INDEX('REVIEW - Complete Role Mapping'!$C:$C,140)</f>
        <v>Lead Engineer - BE</v>
      </c>
      <c r="D64" s="1531" t="str">
        <f>INDEX('REVIEW - Complete Role Mapping'!$AK:$AK,140)</f>
        <v>Filled</v>
      </c>
      <c r="E64" s="1548" t="inlineStr">
        <is>
          <t>Filled</t>
        </is>
      </c>
      <c r="F64" s="1770">
        <f>INDEX('REVIEW - Complete Role Mapping'!$AA:$AA,140)</f>
        <v>202853.25</v>
      </c>
      <c r="G64" s="1770">
        <f>$F64*IFERROR(INDEX(Lists!$AD:$AD,MATCH($E64,Lists!$AC:$AC,0)),1)</f>
        <v>202853.25</v>
      </c>
    </row>
    <row r="65">
      <c r="B65" s="1531" t="str">
        <f>INDEX('REVIEW - Complete Role Mapping'!$B:$B,141)</f>
        <v>Jordan Askwith</v>
      </c>
      <c r="C65" s="1531" t="str">
        <f>INDEX('REVIEW - Complete Role Mapping'!$C:$C,141)</f>
        <v>Solution Architect</v>
      </c>
      <c r="D65" s="1531" t="str">
        <f>INDEX('REVIEW - Complete Role Mapping'!$AK:$AK,141)</f>
        <v>Filled</v>
      </c>
      <c r="E65" s="1548" t="inlineStr">
        <is>
          <t>Filled</t>
        </is>
      </c>
      <c r="F65" s="1770">
        <f>INDEX('REVIEW - Complete Role Mapping'!$AA:$AA,141)</f>
        <v>202853.25</v>
      </c>
      <c r="G65" s="1770">
        <f>$F65*IFERROR(INDEX(Lists!$AD:$AD,MATCH($E65,Lists!$AC:$AC,0)),1)</f>
        <v>202853.25</v>
      </c>
    </row>
    <row r="66">
      <c r="B66" s="1531" t="str">
        <f>INDEX('REVIEW - Complete Role Mapping'!$B:$B,148)</f>
        <v>Lily Fong</v>
      </c>
      <c r="C66" s="1531" t="str">
        <f>INDEX('REVIEW - Complete Role Mapping'!$C:$C,148)</f>
        <v>Snr Business Analyst</v>
      </c>
      <c r="D66" s="1531" t="str">
        <f>INDEX('REVIEW - Complete Role Mapping'!$AK:$AK,148)</f>
        <v>Filled</v>
      </c>
      <c r="E66" s="1548" t="inlineStr">
        <is>
          <t>Filled</t>
        </is>
      </c>
      <c r="F66" s="1770">
        <f>INDEX('REVIEW - Complete Role Mapping'!$AA:$AA,148)</f>
        <v>170489.75</v>
      </c>
      <c r="G66" s="1770">
        <f>$F66*IFERROR(INDEX(Lists!$AD:$AD,MATCH($E66,Lists!$AC:$AC,0)),1)</f>
        <v>170489.75</v>
      </c>
    </row>
    <row r="67">
      <c r="B67" s="1531" t="str">
        <f>INDEX('REVIEW - Complete Role Mapping'!$B:$B,163)</f>
        <v>Saugata Acharya</v>
      </c>
      <c r="C67" s="1531" t="str">
        <f>INDEX('REVIEW - Complete Role Mapping'!$C:$C,163)</f>
        <v>Delivery Lead</v>
      </c>
      <c r="D67" s="1531" t="str">
        <f>INDEX('REVIEW - Complete Role Mapping'!$AK:$AK,163)</f>
        <v>Filled</v>
      </c>
      <c r="E67" s="1548" t="inlineStr">
        <is>
          <t>Filled</t>
        </is>
      </c>
      <c r="F67" s="1770">
        <f>INDEX('REVIEW - Complete Role Mapping'!$AA:$AA,163)</f>
        <v>217914</v>
      </c>
      <c r="G67" s="1770">
        <f>$F67*IFERROR(INDEX(Lists!$AD:$AD,MATCH($E67,Lists!$AC:$AC,0)),1)</f>
        <v>217914</v>
      </c>
    </row>
    <row r="68">
      <c r="B68" s="1531" t="str">
        <f>INDEX('REVIEW - Complete Role Mapping'!$B:$B,190)</f>
        <v>Zohan Sim</v>
      </c>
      <c r="C68" s="1531" t="str">
        <f>INDEX('REVIEW - Complete Role Mapping'!$C:$C,190)</f>
        <v>Engineer - BE</v>
      </c>
      <c r="D68" s="1531" t="str">
        <f>INDEX('REVIEW - Complete Role Mapping'!$AK:$AK,190)</f>
        <v>Filled</v>
      </c>
      <c r="E68" s="1548" t="inlineStr">
        <is>
          <t>Filled</t>
        </is>
      </c>
      <c r="F68" s="1770">
        <f>INDEX('REVIEW - Complete Role Mapping'!$AA:$AA,190)</f>
        <v>150018</v>
      </c>
      <c r="G68" s="1770">
        <f>$F68*IFERROR(INDEX(Lists!$AD:$AD,MATCH($E68,Lists!$AC:$AC,0)),1)</f>
        <v>150018</v>
      </c>
    </row>
    <row r="69">
      <c r="B69" s="1530" t="inlineStr">
        <is>
          <t>Customer AI</t>
        </is>
      </c>
      <c r="C69" s="1530" t="str">
        <f>COUNTA($B$70:$B$71)&amp;IF(COUNTA($B$70:$B$71)=1," role"," roles")</f>
        <v>2 roles</v>
      </c>
      <c r="D69" s="1530" t="n"/>
      <c r="E69" s="1530" t="n"/>
      <c r="F69" s="1786">
        <f>SUM(F70:F71)</f>
        <v>171037.68</v>
      </c>
      <c r="G69" s="1786">
        <f>SUM(G70:G71)</f>
        <v>171037.68</v>
      </c>
    </row>
    <row r="70">
      <c r="B70" s="1531" t="str">
        <f>INDEX('REVIEW - Complete Role Mapping'!$B:$B,174)</f>
        <v>Vacant</v>
      </c>
      <c r="C70" s="1531" t="str">
        <f>INDEX('REVIEW - Complete Role Mapping'!$C:$C,174)</f>
        <v>AI Engineer - Front End</v>
      </c>
      <c r="D70" s="1531" t="str">
        <f>INDEX('REVIEW - Complete Role Mapping'!$AK:$AK,174)</f>
        <v>Vacant</v>
      </c>
      <c r="E70" s="1548" t="inlineStr">
        <is>
          <t>Hire</t>
        </is>
      </c>
      <c r="F70" s="1770">
        <f>INDEX('REVIEW - Complete Role Mapping'!$AA:$AA,174)</f>
        <v>85518.84</v>
      </c>
      <c r="G70" s="1770">
        <f>$F70*IFERROR(INDEX(Lists!$AD:$AD,MATCH($E70,Lists!$AC:$AC,0)),1)</f>
        <v>85518.84</v>
      </c>
    </row>
    <row r="71">
      <c r="B71" s="1531" t="str">
        <f>INDEX('REVIEW - Complete Role Mapping'!$B:$B,175)</f>
        <v>Vacant</v>
      </c>
      <c r="C71" s="1531" t="str">
        <f>INDEX('REVIEW - Complete Role Mapping'!$C:$C,175)</f>
        <v>AI Engineer - Full Stack </v>
      </c>
      <c r="D71" s="1531" t="str">
        <f>INDEX('REVIEW - Complete Role Mapping'!$AK:$AK,175)</f>
        <v>Vacant</v>
      </c>
      <c r="E71" s="1548" t="inlineStr">
        <is>
          <t>Hire</t>
        </is>
      </c>
      <c r="F71" s="1770">
        <f>INDEX('REVIEW - Complete Role Mapping'!$AA:$AA,175)</f>
        <v>85518.84</v>
      </c>
      <c r="G71" s="1770">
        <f>$F71*IFERROR(INDEX(Lists!$AD:$AD,MATCH($E71,Lists!$AC:$AC,0)),1)</f>
        <v>85518.84</v>
      </c>
    </row>
    <row r="72">
      <c r="B72" s="1530" t="inlineStr">
        <is>
          <t>Digital Operations</t>
        </is>
      </c>
      <c r="C72" s="1530" t="str">
        <f>COUNTA($B$73:$B$79)&amp;IF(COUNTA($B$73:$B$79)=1," role"," roles")</f>
        <v>7 roles</v>
      </c>
      <c r="D72" s="1530" t="n"/>
      <c r="E72" s="1530" t="n"/>
      <c r="F72" s="1786">
        <f>SUM(F73:F79)</f>
        <v>1303645.928</v>
      </c>
      <c r="G72" s="1786">
        <f>SUM(G73:G79)</f>
        <v>1303645.928</v>
      </c>
    </row>
    <row r="73">
      <c r="B73" s="1531" t="str">
        <f>INDEX('REVIEW - Complete Role Mapping'!$B:$B,127)</f>
        <v>Daniel Arban</v>
      </c>
      <c r="C73" s="1531" t="str">
        <f>INDEX('REVIEW - Complete Role Mapping'!$C:$C,127)</f>
        <v>Service Delivery Lead</v>
      </c>
      <c r="D73" s="1531" t="str">
        <f>INDEX('REVIEW - Complete Role Mapping'!$AK:$AK,127)</f>
        <v>Filled</v>
      </c>
      <c r="E73" s="1548" t="inlineStr">
        <is>
          <t>Filled</t>
        </is>
      </c>
      <c r="F73" s="1770">
        <f>INDEX('REVIEW - Complete Role Mapping'!$AA:$AA,127)</f>
        <v>248640</v>
      </c>
      <c r="G73" s="1770">
        <f>$F73*IFERROR(INDEX(Lists!$AD:$AD,MATCH($E73,Lists!$AC:$AC,0)),1)</f>
        <v>248640</v>
      </c>
    </row>
    <row r="74">
      <c r="B74" s="1531" t="str">
        <f>INDEX('REVIEW - Complete Role Mapping'!$B:$B,133)</f>
        <v>Emile Violi</v>
      </c>
      <c r="C74" s="1531" t="str">
        <f>INDEX('REVIEW - Complete Role Mapping'!$C:$C,133)</f>
        <v>Engineer - BE</v>
      </c>
      <c r="D74" s="1531" t="str">
        <f>INDEX('REVIEW - Complete Role Mapping'!$AK:$AK,133)</f>
        <v>Filled</v>
      </c>
      <c r="E74" s="1548" t="inlineStr">
        <is>
          <t>Filled</t>
        </is>
      </c>
      <c r="F74" s="1770">
        <f>INDEX('REVIEW - Complete Role Mapping'!$AA:$AA,133)</f>
        <v>154465.188</v>
      </c>
      <c r="G74" s="1770">
        <f>$F74*IFERROR(INDEX(Lists!$AD:$AD,MATCH($E74,Lists!$AC:$AC,0)),1)</f>
        <v>154465.188</v>
      </c>
    </row>
    <row r="75">
      <c r="B75" s="1531" t="str">
        <f>INDEX('REVIEW - Complete Role Mapping'!$B:$B,150)</f>
        <v>Mark Wilson</v>
      </c>
      <c r="C75" s="1531" t="str">
        <f>INDEX('REVIEW - Complete Role Mapping'!$C:$C,150)</f>
        <v>Digital Support Manager (AU)</v>
      </c>
      <c r="D75" s="1531" t="str">
        <f>INDEX('REVIEW - Complete Role Mapping'!$AK:$AK,150)</f>
        <v>Filled</v>
      </c>
      <c r="E75" s="1548" t="inlineStr">
        <is>
          <t>Filled</t>
        </is>
      </c>
      <c r="F75" s="1770">
        <f>INDEX('REVIEW - Complete Role Mapping'!$AA:$AA,150)</f>
        <v>218926.65</v>
      </c>
      <c r="G75" s="1770">
        <f>$F75*IFERROR(INDEX(Lists!$AD:$AD,MATCH($E75,Lists!$AC:$AC,0)),1)</f>
        <v>218926.65</v>
      </c>
    </row>
    <row r="76">
      <c r="B76" s="1531" t="str">
        <f>INDEX('REVIEW - Complete Role Mapping'!$B:$B,169)</f>
        <v>Shreema Das</v>
      </c>
      <c r="C76" s="1531" t="str">
        <f>INDEX('REVIEW - Complete Role Mapping'!$C:$C,169)</f>
        <v>Solution Architect</v>
      </c>
      <c r="D76" s="1531" t="str">
        <f>INDEX('REVIEW - Complete Role Mapping'!$AK:$AK,169)</f>
        <v>Filled</v>
      </c>
      <c r="E76" s="1548" t="inlineStr">
        <is>
          <t>Filled</t>
        </is>
      </c>
      <c r="F76" s="1770">
        <f>INDEX('REVIEW - Complete Role Mapping'!$AA:$AA,169)</f>
        <v>275810.25</v>
      </c>
      <c r="G76" s="1770">
        <f>$F76*IFERROR(INDEX(Lists!$AD:$AD,MATCH($E76,Lists!$AC:$AC,0)),1)</f>
        <v>275810.25</v>
      </c>
    </row>
    <row r="77">
      <c r="B77" s="1531" t="str">
        <f>INDEX('REVIEW - Complete Role Mapping'!$B:$B,182)</f>
        <v>Vacant</v>
      </c>
      <c r="C77" s="1531" t="str">
        <f>INDEX('REVIEW - Complete Role Mapping'!$C:$C,182)</f>
        <v>.NET Back End Developer / Mid</v>
      </c>
      <c r="D77" s="1531" t="str">
        <f>INDEX('REVIEW - Complete Role Mapping'!$AK:$AK,182)</f>
        <v>Vacant</v>
      </c>
      <c r="E77" s="1548" t="inlineStr">
        <is>
          <t>Hire</t>
        </is>
      </c>
      <c r="F77" s="1770">
        <f>INDEX('REVIEW - Complete Role Mapping'!$AA:$AA,182)</f>
        <v>106519.664</v>
      </c>
      <c r="G77" s="1770">
        <f>$F77*IFERROR(INDEX(Lists!$AD:$AD,MATCH($E77,Lists!$AC:$AC,0)),1)</f>
        <v>106519.664</v>
      </c>
    </row>
    <row r="78">
      <c r="B78" s="1531" t="str">
        <f>INDEX('REVIEW - Complete Role Mapping'!$B:$B,183)</f>
        <v>Vacant</v>
      </c>
      <c r="C78" s="1531" t="str">
        <f>INDEX('REVIEW - Complete Role Mapping'!$C:$C,183)</f>
        <v>.NET Back End Developer / Mid</v>
      </c>
      <c r="D78" s="1531" t="str">
        <f>INDEX('REVIEW - Complete Role Mapping'!$AK:$AK,183)</f>
        <v>Vacant</v>
      </c>
      <c r="E78" s="1548" t="inlineStr">
        <is>
          <t>Hire</t>
        </is>
      </c>
      <c r="F78" s="1770">
        <f>INDEX('REVIEW - Complete Role Mapping'!$AA:$AA,183)</f>
        <v>105043.248</v>
      </c>
      <c r="G78" s="1770">
        <f>$F78*IFERROR(INDEX(Lists!$AD:$AD,MATCH($E78,Lists!$AC:$AC,0)),1)</f>
        <v>105043.248</v>
      </c>
    </row>
    <row r="79">
      <c r="B79" s="1531" t="str">
        <f>INDEX('REVIEW - Complete Role Mapping'!$B:$B,184)</f>
        <v>Vacant</v>
      </c>
      <c r="C79" s="1531" t="str">
        <f>INDEX('REVIEW - Complete Role Mapping'!$C:$C,184)</f>
        <v>QA / Tester / Mid</v>
      </c>
      <c r="D79" s="1531" t="str">
        <f>INDEX('REVIEW - Complete Role Mapping'!$AK:$AK,184)</f>
        <v>Vacant</v>
      </c>
      <c r="E79" s="1548" t="inlineStr">
        <is>
          <t>Hire</t>
        </is>
      </c>
      <c r="F79" s="1770">
        <f>INDEX('REVIEW - Complete Role Mapping'!$AA:$AA,184)</f>
        <v>194240.928</v>
      </c>
      <c r="G79" s="1770">
        <f>$F79*IFERROR(INDEX(Lists!$AD:$AD,MATCH($E79,Lists!$AC:$AC,0)),1)</f>
        <v>194240.928</v>
      </c>
    </row>
    <row r="80">
      <c r="B80" s="1530" t="inlineStr">
        <is>
          <t>EGI Customer</t>
        </is>
      </c>
      <c r="C80" s="1530" t="str">
        <f>COUNTA($B$81:$B$90)&amp;IF(COUNTA($B$81:$B$90)=1," role"," roles")</f>
        <v>10 roles</v>
      </c>
      <c r="D80" s="1530" t="n"/>
      <c r="E80" s="1530" t="n"/>
      <c r="F80" s="1786">
        <f>SUM(F81:F90)</f>
        <v>2208135.308</v>
      </c>
      <c r="G80" s="1786">
        <f>SUM(G81:G90)</f>
        <v>2208135.308</v>
      </c>
    </row>
    <row r="81">
      <c r="B81" s="1531" t="str">
        <f>INDEX('REVIEW - Complete Role Mapping'!$B:$B,111)</f>
        <v>Alan Peng</v>
      </c>
      <c r="C81" s="1531" t="str">
        <f>INDEX('REVIEW - Complete Role Mapping'!$C:$C,111)</f>
        <v>Delivery Lead</v>
      </c>
      <c r="D81" s="1531" t="str">
        <f>INDEX('REVIEW - Complete Role Mapping'!$AK:$AK,111)</f>
        <v>Filled</v>
      </c>
      <c r="E81" s="1548" t="inlineStr">
        <is>
          <t>Filled</t>
        </is>
      </c>
      <c r="F81" s="1770">
        <f>INDEX('REVIEW - Complete Role Mapping'!$AA:$AA,111)</f>
        <v>216043.05</v>
      </c>
      <c r="G81" s="1770">
        <f>$F81*IFERROR(INDEX(Lists!$AD:$AD,MATCH($E81,Lists!$AC:$AC,0)),1)</f>
        <v>216043.05</v>
      </c>
    </row>
    <row r="82">
      <c r="B82" s="1531" t="str">
        <f>INDEX('REVIEW - Complete Role Mapping'!$B:$B,115)</f>
        <v>Angie Ng</v>
      </c>
      <c r="C82" s="1531" t="str">
        <f>INDEX('REVIEW - Complete Role Mapping'!$C:$C,115)</f>
        <v>Snr Engineer - BE</v>
      </c>
      <c r="D82" s="1531" t="str">
        <f>INDEX('REVIEW - Complete Role Mapping'!$AK:$AK,115)</f>
        <v>Filled</v>
      </c>
      <c r="E82" s="1548" t="inlineStr">
        <is>
          <t>Filled</t>
        </is>
      </c>
      <c r="F82" s="1770">
        <f>INDEX('REVIEW - Complete Role Mapping'!$AA:$AA,115)</f>
        <v>254958.3</v>
      </c>
      <c r="G82" s="1770">
        <f>$F82*IFERROR(INDEX(Lists!$AD:$AD,MATCH($E82,Lists!$AC:$AC,0)),1)</f>
        <v>254958.3</v>
      </c>
    </row>
    <row r="83">
      <c r="B83" s="1531" t="str">
        <f>INDEX('REVIEW - Complete Role Mapping'!$B:$B,129)</f>
        <v>Dasha Fothergill</v>
      </c>
      <c r="C83" s="1531" t="str">
        <f>INDEX('REVIEW - Complete Role Mapping'!$C:$C,129)</f>
        <v>Data Analyst</v>
      </c>
      <c r="D83" s="1531" t="str">
        <f>INDEX('REVIEW - Complete Role Mapping'!$AK:$AK,129)</f>
        <v>Filled</v>
      </c>
      <c r="E83" s="1548" t="inlineStr">
        <is>
          <t>Filled</t>
        </is>
      </c>
      <c r="F83" s="1770">
        <f>INDEX('REVIEW - Complete Role Mapping'!$AA:$AA,129)</f>
        <v>188492.4</v>
      </c>
      <c r="G83" s="1770">
        <f>$F83*IFERROR(INDEX(Lists!$AD:$AD,MATCH($E83,Lists!$AC:$AC,0)),1)</f>
        <v>188492.4</v>
      </c>
    </row>
    <row r="84">
      <c r="B84" s="1531" t="str">
        <f>INDEX('REVIEW - Complete Role Mapping'!$B:$B,158)</f>
        <v>Ramez Haider</v>
      </c>
      <c r="C84" s="1531" t="str">
        <f>INDEX('REVIEW - Complete Role Mapping'!$C:$C,158)</f>
        <v>Solution Architect</v>
      </c>
      <c r="D84" s="1531" t="str">
        <f>INDEX('REVIEW - Complete Role Mapping'!$AK:$AK,158)</f>
        <v>Filled</v>
      </c>
      <c r="E84" s="1548" t="inlineStr">
        <is>
          <t>Filled</t>
        </is>
      </c>
      <c r="F84" s="1770">
        <f>INDEX('REVIEW - Complete Role Mapping'!$AA:$AA,158)</f>
        <v>247530</v>
      </c>
      <c r="G84" s="1770">
        <f>$F84*IFERROR(INDEX(Lists!$AD:$AD,MATCH($E84,Lists!$AC:$AC,0)),1)</f>
        <v>247530</v>
      </c>
    </row>
    <row r="85">
      <c r="B85" s="1531" t="str">
        <f>INDEX('REVIEW - Complete Role Mapping'!$B:$B,159)</f>
        <v>Rishabh Bhatia</v>
      </c>
      <c r="C85" s="1531" t="str">
        <f>INDEX('REVIEW - Complete Role Mapping'!$C:$C,159)</f>
        <v>Engineer - Mobile (Android)</v>
      </c>
      <c r="D85" s="1531" t="str">
        <f>INDEX('REVIEW - Complete Role Mapping'!$AK:$AK,159)</f>
        <v>Filled</v>
      </c>
      <c r="E85" s="1548" t="inlineStr">
        <is>
          <t>Filled</t>
        </is>
      </c>
      <c r="F85" s="1770">
        <f>INDEX('REVIEW - Complete Role Mapping'!$AA:$AA,159)</f>
        <v>136760</v>
      </c>
      <c r="G85" s="1770">
        <f>$F85*IFERROR(INDEX(Lists!$AD:$AD,MATCH($E85,Lists!$AC:$AC,0)),1)</f>
        <v>136760</v>
      </c>
    </row>
    <row r="86">
      <c r="B86" s="1531" t="str">
        <f>INDEX('REVIEW - Complete Role Mapping'!$B:$B,160)</f>
        <v>Rob Jadrjevic</v>
      </c>
      <c r="C86" s="1531" t="str">
        <f>INDEX('REVIEW - Complete Role Mapping'!$C:$C,160)</f>
        <v>Engineer - BE</v>
      </c>
      <c r="D86" s="1531" t="str">
        <f>INDEX('REVIEW - Complete Role Mapping'!$AK:$AK,160)</f>
        <v>Filled</v>
      </c>
      <c r="E86" s="1548" t="inlineStr">
        <is>
          <t>Filled</t>
        </is>
      </c>
      <c r="F86" s="1770">
        <f>INDEX('REVIEW - Complete Role Mapping'!$AA:$AA,160)</f>
        <v>202853.25</v>
      </c>
      <c r="G86" s="1770">
        <f>$F86*IFERROR(INDEX(Lists!$AD:$AD,MATCH($E86,Lists!$AC:$AC,0)),1)</f>
        <v>202853.25</v>
      </c>
    </row>
    <row r="87">
      <c r="B87" s="1531" t="str">
        <f>INDEX('REVIEW - Complete Role Mapping'!$B:$B,161)</f>
        <v>Safiq Iqbal</v>
      </c>
      <c r="C87" s="1531" t="str">
        <f>INDEX('REVIEW - Complete Role Mapping'!$C:$C,161)</f>
        <v>Principal Engineer</v>
      </c>
      <c r="D87" s="1531" t="str">
        <f>INDEX('REVIEW - Complete Role Mapping'!$AK:$AK,161)</f>
        <v>Filled</v>
      </c>
      <c r="E87" s="1548" t="inlineStr">
        <is>
          <t>Filled</t>
        </is>
      </c>
      <c r="F87" s="1770">
        <f>INDEX('REVIEW - Complete Role Mapping'!$AA:$AA,161)</f>
        <v>213600</v>
      </c>
      <c r="G87" s="1770">
        <f>$F87*IFERROR(INDEX(Lists!$AD:$AD,MATCH($E87,Lists!$AC:$AC,0)),1)</f>
        <v>213600</v>
      </c>
    </row>
    <row r="88">
      <c r="B88" s="1531" t="str">
        <f>INDEX('REVIEW - Complete Role Mapping'!$B:$B,170)</f>
        <v>Sri Balan Raj</v>
      </c>
      <c r="C88" s="1531" t="str">
        <f>INDEX('REVIEW - Complete Role Mapping'!$C:$C,170)</f>
        <v>Business Analyst</v>
      </c>
      <c r="D88" s="1531" t="str">
        <f>INDEX('REVIEW - Complete Role Mapping'!$AK:$AK,170)</f>
        <v>Filled</v>
      </c>
      <c r="E88" s="1548" t="inlineStr">
        <is>
          <t>Filled</t>
        </is>
      </c>
      <c r="F88" s="1770">
        <f>INDEX('REVIEW - Complete Role Mapping'!$AA:$AA,170)</f>
        <v>275810.25</v>
      </c>
      <c r="G88" s="1770">
        <f>$F88*IFERROR(INDEX(Lists!$AD:$AD,MATCH($E88,Lists!$AC:$AC,0)),1)</f>
        <v>275810.25</v>
      </c>
    </row>
    <row r="89">
      <c r="B89" s="1531" t="str">
        <f>INDEX('REVIEW - Complete Role Mapping'!$B:$B,171)</f>
        <v>Swapnil Pithwa</v>
      </c>
      <c r="C89" s="1531" t="str">
        <f>INDEX('REVIEW - Complete Role Mapping'!$C:$C,171)</f>
        <v>Engineer - BE</v>
      </c>
      <c r="D89" s="1531" t="str">
        <f>INDEX('REVIEW - Complete Role Mapping'!$AK:$AK,171)</f>
        <v>Filled</v>
      </c>
      <c r="E89" s="1548" t="inlineStr">
        <is>
          <t>Filled</t>
        </is>
      </c>
      <c r="F89" s="1770">
        <f>INDEX('REVIEW - Complete Role Mapping'!$AA:$AA,171)</f>
        <v>275810.25</v>
      </c>
      <c r="G89" s="1770">
        <f>$F89*IFERROR(INDEX(Lists!$AD:$AD,MATCH($E89,Lists!$AC:$AC,0)),1)</f>
        <v>275810.25</v>
      </c>
    </row>
    <row r="90">
      <c r="B90" s="1531" t="str">
        <f>INDEX('REVIEW - Complete Role Mapping'!$B:$B,187)</f>
        <v>Waheed Malek</v>
      </c>
      <c r="C90" s="1531" t="str">
        <f>INDEX('REVIEW - Complete Role Mapping'!$C:$C,187)</f>
        <v>Quality Assurance</v>
      </c>
      <c r="D90" s="1531" t="str">
        <f>INDEX('REVIEW - Complete Role Mapping'!$AK:$AK,187)</f>
        <v>Filled</v>
      </c>
      <c r="E90" s="1548" t="inlineStr">
        <is>
          <t>Filled</t>
        </is>
      </c>
      <c r="F90" s="1770">
        <f>INDEX('REVIEW - Complete Role Mapping'!$AA:$AA,187)</f>
        <v>196277.808</v>
      </c>
      <c r="G90" s="1770">
        <f>$F90*IFERROR(INDEX(Lists!$AD:$AD,MATCH($E90,Lists!$AC:$AC,0)),1)</f>
        <v>196277.808</v>
      </c>
    </row>
    <row r="91">
      <c r="B91" s="1530" t="inlineStr">
        <is>
          <t>Leadership</t>
        </is>
      </c>
      <c r="C91" s="1530" t="str">
        <f>COUNTA($B$92:$B$96)&amp;IF(COUNTA($B$92:$B$96)=1," role"," roles")</f>
        <v>5 roles</v>
      </c>
      <c r="D91" s="1530" t="n"/>
      <c r="E91" s="1530" t="n"/>
      <c r="F91" s="1786">
        <f>SUM(F92:F96)</f>
        <v>1048250.048</v>
      </c>
      <c r="G91" s="1786">
        <f>SUM(G92:G96)</f>
        <v>1048250.048</v>
      </c>
    </row>
    <row r="92">
      <c r="B92" s="1531" t="str">
        <f>INDEX('REVIEW - Complete Role Mapping'!$B:$B,109)</f>
        <v>Abhilash Reddy</v>
      </c>
      <c r="C92" s="1531" t="str">
        <f>INDEX('REVIEW - Complete Role Mapping'!$C:$C,109)</f>
        <v>Project Manager</v>
      </c>
      <c r="D92" s="1531" t="str">
        <f>INDEX('REVIEW - Complete Role Mapping'!$AK:$AK,109)</f>
        <v>Filled</v>
      </c>
      <c r="E92" s="1548" t="inlineStr">
        <is>
          <t>Filled</t>
        </is>
      </c>
      <c r="F92" s="1770">
        <f>INDEX('REVIEW - Complete Role Mapping'!$AA:$AA,109)</f>
        <v>266400</v>
      </c>
      <c r="G92" s="1770">
        <f>$F92*IFERROR(INDEX(Lists!$AD:$AD,MATCH($E92,Lists!$AC:$AC,0)),1)</f>
        <v>266400</v>
      </c>
    </row>
    <row r="93">
      <c r="B93" s="1531" t="str">
        <f>INDEX('REVIEW - Complete Role Mapping'!$B:$B,123)</f>
        <v>Byron Thornhill</v>
      </c>
      <c r="C93" s="1531" t="str">
        <f>INDEX('REVIEW - Complete Role Mapping'!$C:$C,123)</f>
        <v>Design Manager</v>
      </c>
      <c r="D93" s="1531" t="str">
        <f>INDEX('REVIEW - Complete Role Mapping'!$AK:$AK,123)</f>
        <v>Filled</v>
      </c>
      <c r="E93" s="1548" t="inlineStr">
        <is>
          <t>Filled</t>
        </is>
      </c>
      <c r="F93" s="1770">
        <f>INDEX('REVIEW - Complete Role Mapping'!$AA:$AA,123)</f>
        <v>157668.5</v>
      </c>
      <c r="G93" s="1770">
        <f>$F93*IFERROR(INDEX(Lists!$AD:$AD,MATCH($E93,Lists!$AC:$AC,0)),1)</f>
        <v>157668.5</v>
      </c>
    </row>
    <row r="94">
      <c r="B94" s="1531" t="str">
        <f>INDEX('REVIEW - Complete Role Mapping'!$B:$B,126)</f>
        <v>Christian Lazano</v>
      </c>
      <c r="C94" s="1531" t="str">
        <f>INDEX('REVIEW - Complete Role Mapping'!$C:$C,126)</f>
        <v>Business Analyst</v>
      </c>
      <c r="D94" s="1531" t="str">
        <f>INDEX('REVIEW - Complete Role Mapping'!$AK:$AK,126)</f>
        <v>Filled</v>
      </c>
      <c r="E94" s="1548" t="inlineStr">
        <is>
          <t>Filled</t>
        </is>
      </c>
      <c r="F94" s="1770">
        <f>INDEX('REVIEW - Complete Role Mapping'!$AA:$AA,126)</f>
        <v>266400</v>
      </c>
      <c r="G94" s="1770">
        <f>$F94*IFERROR(INDEX(Lists!$AD:$AD,MATCH($E94,Lists!$AC:$AC,0)),1)</f>
        <v>266400</v>
      </c>
    </row>
    <row r="95">
      <c r="B95" s="1531" t="str">
        <f>INDEX('REVIEW - Complete Role Mapping'!$B:$B,131)</f>
        <v>Ed Tacey</v>
      </c>
      <c r="C95" s="1531" t="str">
        <f>INDEX('REVIEW - Complete Role Mapping'!$C:$C,131)</f>
        <v>AI Enablement Lead</v>
      </c>
      <c r="D95" s="1531" t="str">
        <f>INDEX('REVIEW - Complete Role Mapping'!$AK:$AK,131)</f>
        <v>Filled</v>
      </c>
      <c r="E95" s="1548" t="inlineStr">
        <is>
          <t>Filled</t>
        </is>
      </c>
      <c r="F95" s="1770">
        <f>INDEX('REVIEW - Complete Role Mapping'!$AA:$AA,131)</f>
        <v>194184.348</v>
      </c>
      <c r="G95" s="1770">
        <f>$F95*IFERROR(INDEX(Lists!$AD:$AD,MATCH($E95,Lists!$AC:$AC,0)),1)</f>
        <v>194184.348</v>
      </c>
    </row>
    <row r="96">
      <c r="B96" s="1531" t="str">
        <f>INDEX('REVIEW - Complete Role Mapping'!$B:$B,177)</f>
        <v>Vacant</v>
      </c>
      <c r="C96" s="1531" t="str">
        <f>INDEX('REVIEW - Complete Role Mapping'!$C:$C,177)</f>
        <v>Program Manager</v>
      </c>
      <c r="D96" s="1531" t="str">
        <f>INDEX('REVIEW - Complete Role Mapping'!$AK:$AK,177)</f>
        <v>Vacant</v>
      </c>
      <c r="E96" s="1548" t="inlineStr">
        <is>
          <t>Hire</t>
        </is>
      </c>
      <c r="F96" s="1770">
        <f>INDEX('REVIEW - Complete Role Mapping'!$AA:$AA,177)</f>
        <v>163597.2</v>
      </c>
      <c r="G96" s="1770">
        <f>$F96*IFERROR(INDEX(Lists!$AD:$AD,MATCH($E96,Lists!$AC:$AC,0)),1)</f>
        <v>163597.2</v>
      </c>
    </row>
    <row r="97">
      <c r="B97" s="1530" t="inlineStr">
        <is>
          <t>Z App and Web</t>
        </is>
      </c>
      <c r="C97" s="1530" t="str">
        <f>COUNTA($B$98:$B$102)&amp;IF(COUNTA($B$98:$B$102)=1," role"," roles")</f>
        <v>5 roles</v>
      </c>
      <c r="D97" s="1530" t="n"/>
      <c r="E97" s="1530" t="n"/>
      <c r="F97" s="1786">
        <f>SUM(F98:F102)</f>
        <v>1223286.048</v>
      </c>
      <c r="G97" s="1786">
        <f>SUM(G98:G102)</f>
        <v>1223286.048</v>
      </c>
    </row>
    <row r="98">
      <c r="B98" s="1531" t="str">
        <f>INDEX('REVIEW - Complete Role Mapping'!$B:$B,118)</f>
        <v>Ants Jackson</v>
      </c>
      <c r="C98" s="1531" t="str">
        <f>INDEX('REVIEW - Complete Role Mapping'!$C:$C,118)</f>
        <v>Experience Designer</v>
      </c>
      <c r="D98" s="1531" t="str">
        <f>INDEX('REVIEW - Complete Role Mapping'!$AK:$AK,118)</f>
        <v>Filled</v>
      </c>
      <c r="E98" s="1548" t="inlineStr">
        <is>
          <t>Filled</t>
        </is>
      </c>
      <c r="F98" s="1770">
        <f>INDEX('REVIEW - Complete Role Mapping'!$AA:$AA,118)</f>
        <v>220275</v>
      </c>
      <c r="G98" s="1770">
        <f>$F98*IFERROR(INDEX(Lists!$AD:$AD,MATCH($E98,Lists!$AC:$AC,0)),1)</f>
        <v>220275</v>
      </c>
    </row>
    <row r="99">
      <c r="B99" s="1531" t="str">
        <f>INDEX('REVIEW - Complete Role Mapping'!$B:$B,135)</f>
        <v>James Nicolle</v>
      </c>
      <c r="C99" s="1531" t="str">
        <f>INDEX('REVIEW - Complete Role Mapping'!$C:$C,135)</f>
        <v>Delivery Lead</v>
      </c>
      <c r="D99" s="1531" t="str">
        <f>INDEX('REVIEW - Complete Role Mapping'!$AK:$AK,135)</f>
        <v>Filled</v>
      </c>
      <c r="E99" s="1548" t="inlineStr">
        <is>
          <t>Filled</t>
        </is>
      </c>
      <c r="F99" s="1770">
        <f>INDEX('REVIEW - Complete Role Mapping'!$AA:$AA,135)</f>
        <v>202853.25</v>
      </c>
      <c r="G99" s="1770">
        <f>$F99*IFERROR(INDEX(Lists!$AD:$AD,MATCH($E99,Lists!$AC:$AC,0)),1)</f>
        <v>202853.25</v>
      </c>
    </row>
    <row r="100">
      <c r="B100" s="1531" t="str">
        <f>INDEX('REVIEW - Complete Role Mapping'!$B:$B,162)</f>
        <v>Sam Turnball</v>
      </c>
      <c r="C100" s="1531" t="str">
        <f>INDEX('REVIEW - Complete Role Mapping'!$C:$C,162)</f>
        <v>Associate Experience Designer</v>
      </c>
      <c r="D100" s="1531" t="str">
        <f>INDEX('REVIEW - Complete Role Mapping'!$AK:$AK,162)</f>
        <v>Filled</v>
      </c>
      <c r="E100" s="1548" t="inlineStr">
        <is>
          <t>Filled</t>
        </is>
      </c>
      <c r="F100" s="1770">
        <f>INDEX('REVIEW - Complete Role Mapping'!$AA:$AA,162)</f>
        <v>301148.976</v>
      </c>
      <c r="G100" s="1770">
        <f>$F100*IFERROR(INDEX(Lists!$AD:$AD,MATCH($E100,Lists!$AC:$AC,0)),1)</f>
        <v>301148.976</v>
      </c>
    </row>
    <row r="101">
      <c r="B101" s="1531" t="str">
        <f>INDEX('REVIEW - Complete Role Mapping'!$B:$B,165)</f>
        <v>Shane Abrahams</v>
      </c>
      <c r="C101" s="1531" t="str">
        <f>INDEX('REVIEW - Complete Role Mapping'!$C:$C,165)</f>
        <v>Digital Support Manager - NZ</v>
      </c>
      <c r="D101" s="1531" t="str">
        <f>INDEX('REVIEW - Complete Role Mapping'!$AK:$AK,165)</f>
        <v>Filled</v>
      </c>
      <c r="E101" s="1548" t="inlineStr">
        <is>
          <t>Filled</t>
        </is>
      </c>
      <c r="F101" s="1770">
        <f>INDEX('REVIEW - Complete Role Mapping'!$AA:$AA,165)</f>
        <v>223198.572</v>
      </c>
      <c r="G101" s="1770">
        <f>$F101*IFERROR(INDEX(Lists!$AD:$AD,MATCH($E101,Lists!$AC:$AC,0)),1)</f>
        <v>223198.572</v>
      </c>
    </row>
    <row r="102">
      <c r="B102" s="1531" t="str">
        <f>INDEX('REVIEW - Complete Role Mapping'!$B:$B,172)</f>
        <v>Tim Corin</v>
      </c>
      <c r="C102" s="1531" t="str">
        <f>INDEX('REVIEW - Complete Role Mapping'!$C:$C,172)</f>
        <v>Experience Designer</v>
      </c>
      <c r="D102" s="1531" t="str">
        <f>INDEX('REVIEW - Complete Role Mapping'!$AK:$AK,172)</f>
        <v>Filled</v>
      </c>
      <c r="E102" s="1548" t="inlineStr">
        <is>
          <t>Filled</t>
        </is>
      </c>
      <c r="F102" s="1770">
        <f>INDEX('REVIEW - Complete Role Mapping'!$AA:$AA,172)</f>
        <v>275810.25</v>
      </c>
      <c r="G102" s="1770">
        <f>$F102*IFERROR(INDEX(Lists!$AD:$AD,MATCH($E102,Lists!$AC:$AC,0)),1)</f>
        <v>275810.25</v>
      </c>
    </row>
    <row r="103">
      <c r="B103" s="1530" t="inlineStr">
        <is>
          <t>Z Loyalty &amp; Martech</t>
        </is>
      </c>
      <c r="C103" s="1530" t="str">
        <f>COUNTA($B$104:$B$117)&amp;IF(COUNTA($B$104:$B$117)=1," role"," roles")</f>
        <v>14 roles</v>
      </c>
      <c r="D103" s="1530" t="n"/>
      <c r="E103" s="1530" t="n"/>
      <c r="F103" s="1786">
        <f>SUM(F104:F117)</f>
        <v>2946001.772</v>
      </c>
      <c r="G103" s="1786">
        <f>SUM(G104:G117)</f>
        <v>2946001.772</v>
      </c>
    </row>
    <row r="104">
      <c r="B104" s="1531" t="str">
        <f>INDEX('REVIEW - Complete Role Mapping'!$B:$B,117)</f>
        <v>Anthony Gen</v>
      </c>
      <c r="C104" s="1531" t="str">
        <f>INDEX('REVIEW - Complete Role Mapping'!$C:$C,117)</f>
        <v>Data Analyst</v>
      </c>
      <c r="D104" s="1531" t="str">
        <f>INDEX('REVIEW - Complete Role Mapping'!$AK:$AK,117)</f>
        <v>Filled</v>
      </c>
      <c r="E104" s="1548" t="inlineStr">
        <is>
          <t>Filled</t>
        </is>
      </c>
      <c r="F104" s="1770">
        <f>INDEX('REVIEW - Complete Role Mapping'!$AA:$AA,117)</f>
        <v>179198.4</v>
      </c>
      <c r="G104" s="1770">
        <f>$F104*IFERROR(INDEX(Lists!$AD:$AD,MATCH($E104,Lists!$AC:$AC,0)),1)</f>
        <v>179198.4</v>
      </c>
    </row>
    <row r="105">
      <c r="B105" s="1531" t="str">
        <f>INDEX('REVIEW - Complete Role Mapping'!$B:$B,121)</f>
        <v>Bharat Talreja</v>
      </c>
      <c r="C105" s="1531" t="str">
        <f>INDEX('REVIEW - Complete Role Mapping'!$C:$C,121)</f>
        <v>Marketing Technology Lead</v>
      </c>
      <c r="D105" s="1531" t="str">
        <f>INDEX('REVIEW - Complete Role Mapping'!$AK:$AK,121)</f>
        <v>Filled</v>
      </c>
      <c r="E105" s="1548" t="inlineStr">
        <is>
          <t>Filled</t>
        </is>
      </c>
      <c r="F105" s="1770">
        <f>INDEX('REVIEW - Complete Role Mapping'!$AA:$AA,121)</f>
        <v>266400</v>
      </c>
      <c r="G105" s="1770">
        <f>$F105*IFERROR(INDEX(Lists!$AD:$AD,MATCH($E105,Lists!$AC:$AC,0)),1)</f>
        <v>266400</v>
      </c>
    </row>
    <row r="106">
      <c r="B106" s="1531" t="str">
        <f>INDEX('REVIEW - Complete Role Mapping'!$B:$B,124)</f>
        <v>Carianne Monast</v>
      </c>
      <c r="C106" s="1531" t="str">
        <f>INDEX('REVIEW - Complete Role Mapping'!$C:$C,124)</f>
        <v>Martech Specialist</v>
      </c>
      <c r="D106" s="1531" t="str">
        <f>INDEX('REVIEW - Complete Role Mapping'!$AK:$AK,124)</f>
        <v>Filled</v>
      </c>
      <c r="E106" s="1548" t="inlineStr">
        <is>
          <t>Filled</t>
        </is>
      </c>
      <c r="F106" s="1770">
        <f>INDEX('REVIEW - Complete Role Mapping'!$AA:$AA,124)</f>
        <v>207352.2</v>
      </c>
      <c r="G106" s="1770">
        <f>$F106*IFERROR(INDEX(Lists!$AD:$AD,MATCH($E106,Lists!$AC:$AC,0)),1)</f>
        <v>207352.2</v>
      </c>
    </row>
    <row r="107">
      <c r="B107" s="1531" t="str">
        <f>INDEX('REVIEW - Complete Role Mapping'!$B:$B,125)</f>
        <v>Celia Voysey</v>
      </c>
      <c r="C107" s="1531" t="str">
        <f>INDEX('REVIEW - Complete Role Mapping'!$C:$C,125)</f>
        <v>Delivery Lead</v>
      </c>
      <c r="D107" s="1531" t="str">
        <f>INDEX('REVIEW - Complete Role Mapping'!$AK:$AK,125)</f>
        <v>Filled</v>
      </c>
      <c r="E107" s="1548" t="inlineStr">
        <is>
          <t>Filled</t>
        </is>
      </c>
      <c r="F107" s="1770">
        <f>INDEX('REVIEW - Complete Role Mapping'!$AA:$AA,125)</f>
        <v>240300</v>
      </c>
      <c r="G107" s="1770">
        <f>$F107*IFERROR(INDEX(Lists!$AD:$AD,MATCH($E107,Lists!$AC:$AC,0)),1)</f>
        <v>240300</v>
      </c>
    </row>
    <row r="108">
      <c r="B108" s="1531" t="str">
        <f>INDEX('REVIEW - Complete Role Mapping'!$B:$B,130)</f>
        <v>Denise Esguerra</v>
      </c>
      <c r="C108" s="1531" t="str">
        <f>INDEX('REVIEW - Complete Role Mapping'!$C:$C,130)</f>
        <v>Martech Specialist</v>
      </c>
      <c r="D108" s="1531" t="str">
        <f>INDEX('REVIEW - Complete Role Mapping'!$AK:$AK,130)</f>
        <v>Filled</v>
      </c>
      <c r="E108" s="1548" t="inlineStr">
        <is>
          <t>Filled</t>
        </is>
      </c>
      <c r="F108" s="1770">
        <f>INDEX('REVIEW - Complete Role Mapping'!$AA:$AA,130)</f>
        <v>177525</v>
      </c>
      <c r="G108" s="1770">
        <f>$F108*IFERROR(INDEX(Lists!$AD:$AD,MATCH($E108,Lists!$AC:$AC,0)),1)</f>
        <v>177525</v>
      </c>
    </row>
    <row r="109">
      <c r="B109" s="1531" t="str">
        <f>INDEX('REVIEW - Complete Role Mapping'!$B:$B,142)</f>
        <v>Jordan Kettles</v>
      </c>
      <c r="C109" s="1531" t="str">
        <f>INDEX('REVIEW - Complete Role Mapping'!$C:$C,142)</f>
        <v>Engineer, Sotware</v>
      </c>
      <c r="D109" s="1531" t="str">
        <f>INDEX('REVIEW - Complete Role Mapping'!$AK:$AK,142)</f>
        <v>Filled</v>
      </c>
      <c r="E109" s="1548" t="inlineStr">
        <is>
          <t>Filled</t>
        </is>
      </c>
      <c r="F109" s="1770">
        <f>INDEX('REVIEW - Complete Role Mapping'!$AA:$AA,142)</f>
        <v>165860.95</v>
      </c>
      <c r="G109" s="1770">
        <f>$F109*IFERROR(INDEX(Lists!$AD:$AD,MATCH($E109,Lists!$AC:$AC,0)),1)</f>
        <v>165860.95</v>
      </c>
    </row>
    <row r="110">
      <c r="B110" s="1531" t="str">
        <f>INDEX('REVIEW - Complete Role Mapping'!$B:$B,143)</f>
        <v>Kaye Javier</v>
      </c>
      <c r="C110" s="1531" t="str">
        <f>INDEX('REVIEW - Complete Role Mapping'!$C:$C,143)</f>
        <v>QA Analyst</v>
      </c>
      <c r="D110" s="1531" t="str">
        <f>INDEX('REVIEW - Complete Role Mapping'!$AK:$AK,143)</f>
        <v>Filled</v>
      </c>
      <c r="E110" s="1548" t="inlineStr">
        <is>
          <t>Filled</t>
        </is>
      </c>
      <c r="F110" s="1770">
        <f>INDEX('REVIEW - Complete Role Mapping'!$AA:$AA,143)</f>
        <v>214587.9</v>
      </c>
      <c r="G110" s="1770">
        <f>$F110*IFERROR(INDEX(Lists!$AD:$AD,MATCH($E110,Lists!$AC:$AC,0)),1)</f>
        <v>214587.9</v>
      </c>
    </row>
    <row r="111">
      <c r="B111" s="1531" t="str">
        <f>INDEX('REVIEW - Complete Role Mapping'!$B:$B,144)</f>
        <v>Kellie Gathergood</v>
      </c>
      <c r="C111" s="1531" t="str">
        <f>INDEX('REVIEW - Complete Role Mapping'!$C:$C,144)</f>
        <v>Lead Quality Assurance</v>
      </c>
      <c r="D111" s="1531" t="str">
        <f>INDEX('REVIEW - Complete Role Mapping'!$AK:$AK,144)</f>
        <v>Filled</v>
      </c>
      <c r="E111" s="1548" t="inlineStr">
        <is>
          <t>Filled</t>
        </is>
      </c>
      <c r="F111" s="1770">
        <f>INDEX('REVIEW - Complete Role Mapping'!$AA:$AA,144)</f>
        <v>257788.5</v>
      </c>
      <c r="G111" s="1770">
        <f>$F111*IFERROR(INDEX(Lists!$AD:$AD,MATCH($E111,Lists!$AC:$AC,0)),1)</f>
        <v>257788.5</v>
      </c>
    </row>
    <row r="112">
      <c r="B112" s="1531" t="str">
        <f>INDEX('REVIEW - Complete Role Mapping'!$B:$B,146)</f>
        <v>Kishore Ganesan</v>
      </c>
      <c r="C112" s="1531" t="str">
        <f>INDEX('REVIEW - Complete Role Mapping'!$C:$C,146)</f>
        <v>Intermediate Quality Assurance</v>
      </c>
      <c r="D112" s="1531" t="str">
        <f>INDEX('REVIEW - Complete Role Mapping'!$AK:$AK,146)</f>
        <v>Filled</v>
      </c>
      <c r="E112" s="1548" t="inlineStr">
        <is>
          <t>Filled</t>
        </is>
      </c>
      <c r="F112" s="1770">
        <f>INDEX('REVIEW - Complete Role Mapping'!$AA:$AA,146)</f>
        <v>202853.25</v>
      </c>
      <c r="G112" s="1770">
        <f>$F112*IFERROR(INDEX(Lists!$AD:$AD,MATCH($E112,Lists!$AC:$AC,0)),1)</f>
        <v>202853.25</v>
      </c>
    </row>
    <row r="113">
      <c r="B113" s="1531" t="str">
        <f>INDEX('REVIEW - Complete Role Mapping'!$B:$B,151)</f>
        <v>Megan Rodgers</v>
      </c>
      <c r="C113" s="1531" t="str">
        <f>INDEX('REVIEW - Complete Role Mapping'!$C:$C,151)</f>
        <v>Business Analyst</v>
      </c>
      <c r="D113" s="1531" t="str">
        <f>INDEX('REVIEW - Complete Role Mapping'!$AK:$AK,151)</f>
        <v>Filled</v>
      </c>
      <c r="E113" s="1548" t="inlineStr">
        <is>
          <t>Filled</t>
        </is>
      </c>
      <c r="F113" s="1770">
        <f>INDEX('REVIEW - Complete Role Mapping'!$AA:$AA,151)</f>
        <v>138702</v>
      </c>
      <c r="G113" s="1770">
        <f>$F113*IFERROR(INDEX(Lists!$AD:$AD,MATCH($E113,Lists!$AC:$AC,0)),1)</f>
        <v>138702</v>
      </c>
    </row>
    <row r="114">
      <c r="B114" s="1531" t="str">
        <f>INDEX('REVIEW - Complete Role Mapping'!$B:$B,153)</f>
        <v>Nimi Rose</v>
      </c>
      <c r="C114" s="1531" t="str">
        <f>INDEX('REVIEW - Complete Role Mapping'!$C:$C,153)</f>
        <v>Marketing Technology Lead</v>
      </c>
      <c r="D114" s="1531" t="str">
        <f>INDEX('REVIEW - Complete Role Mapping'!$AK:$AK,153)</f>
        <v>Filled</v>
      </c>
      <c r="E114" s="1548" t="inlineStr">
        <is>
          <t>Filled</t>
        </is>
      </c>
      <c r="F114" s="1770">
        <f>INDEX('REVIEW - Complete Role Mapping'!$AA:$AA,153)</f>
        <v>197993.85</v>
      </c>
      <c r="G114" s="1770">
        <f>$F114*IFERROR(INDEX(Lists!$AD:$AD,MATCH($E114,Lists!$AC:$AC,0)),1)</f>
        <v>197993.85</v>
      </c>
    </row>
    <row r="115">
      <c r="B115" s="1531" t="str">
        <f>INDEX('REVIEW - Complete Role Mapping'!$B:$B,164)</f>
        <v>Scott Cullen</v>
      </c>
      <c r="C115" s="1531" t="str">
        <f>INDEX('REVIEW - Complete Role Mapping'!$C:$C,164)</f>
        <v>Engineer, Dev Ops</v>
      </c>
      <c r="D115" s="1531" t="str">
        <f>INDEX('REVIEW - Complete Role Mapping'!$AK:$AK,164)</f>
        <v>Filled</v>
      </c>
      <c r="E115" s="1548" t="inlineStr">
        <is>
          <t>Filled</t>
        </is>
      </c>
      <c r="F115" s="1770">
        <f>INDEX('REVIEW - Complete Role Mapping'!$AA:$AA,164)</f>
        <v>220275</v>
      </c>
      <c r="G115" s="1770">
        <f>$F115*IFERROR(INDEX(Lists!$AD:$AD,MATCH($E115,Lists!$AC:$AC,0)),1)</f>
        <v>220275</v>
      </c>
    </row>
    <row r="116">
      <c r="B116" s="1531" t="str">
        <f>INDEX('REVIEW - Complete Role Mapping'!$B:$B,167)</f>
        <v>Shinal Chamberlain</v>
      </c>
      <c r="C116" s="1531" t="str">
        <f>INDEX('REVIEW - Complete Role Mapping'!$C:$C,167)</f>
        <v>Business Analyst</v>
      </c>
      <c r="D116" s="1531" t="str">
        <f>INDEX('REVIEW - Complete Role Mapping'!$AK:$AK,167)</f>
        <v>Filled</v>
      </c>
      <c r="E116" s="1548" t="inlineStr">
        <is>
          <t>Filled</t>
        </is>
      </c>
      <c r="F116" s="1770">
        <f>INDEX('REVIEW - Complete Role Mapping'!$AA:$AA,167)</f>
        <v>274311.472</v>
      </c>
      <c r="G116" s="1770">
        <f>$F116*IFERROR(INDEX(Lists!$AD:$AD,MATCH($E116,Lists!$AC:$AC,0)),1)</f>
        <v>274311.472</v>
      </c>
    </row>
    <row r="117">
      <c r="B117" s="1531" t="str">
        <f>INDEX('REVIEW - Complete Role Mapping'!$B:$B,188)</f>
        <v>Yash Thakkar</v>
      </c>
      <c r="C117" s="1531" t="str">
        <f>INDEX('REVIEW - Complete Role Mapping'!$C:$C,188)</f>
        <v>Martech Specialist</v>
      </c>
      <c r="D117" s="1531" t="str">
        <f>INDEX('REVIEW - Complete Role Mapping'!$AK:$AK,188)</f>
        <v>Filled</v>
      </c>
      <c r="E117" s="1548" t="inlineStr">
        <is>
          <t>Filled</t>
        </is>
      </c>
      <c r="F117" s="1770">
        <f>INDEX('REVIEW - Complete Role Mapping'!$AA:$AA,188)</f>
        <v>202853.25</v>
      </c>
      <c r="G117" s="1770">
        <f>$F117*IFERROR(INDEX(Lists!$AD:$AD,MATCH($E117,Lists!$AC:$AC,0)),1)</f>
        <v>202853.25</v>
      </c>
    </row>
    <row r="118">
      <c r="B118" s="1530" t="inlineStr">
        <is>
          <t>Head of Technology</t>
        </is>
      </c>
      <c r="C118" s="1530" t="str">
        <f>COUNTA($B$119:$B$120)&amp;IF(COUNTA($B$119:$B$120)=1," role"," roles")</f>
        <v>2 roles</v>
      </c>
      <c r="D118" s="1530" t="n"/>
      <c r="E118" s="1530" t="n"/>
      <c r="F118" s="1786">
        <f>SUM(F119:F120)</f>
        <v>536015.1</v>
      </c>
      <c r="G118" s="1786">
        <f>SUM(G119:G120)</f>
        <v>536015.1</v>
      </c>
    </row>
    <row r="119">
      <c r="B119" s="1531" t="str">
        <f>INDEX('REVIEW - Complete Role Mapping'!$B:$B,113)</f>
        <v>Andy Stewart</v>
      </c>
      <c r="C119" s="1531" t="str">
        <f>INDEX('REVIEW - Complete Role Mapping'!$C:$C,113)</f>
        <v>Head of Technology, Loyalty &amp; Martech</v>
      </c>
      <c r="D119" s="1531" t="str">
        <f>INDEX('REVIEW - Complete Role Mapping'!$AK:$AK,113)</f>
        <v>Filled</v>
      </c>
      <c r="E119" s="1548" t="inlineStr">
        <is>
          <t>Filled</t>
        </is>
      </c>
      <c r="F119" s="1770">
        <f>INDEX('REVIEW - Complete Role Mapping'!$AA:$AA,113)</f>
        <v>260204.85</v>
      </c>
      <c r="G119" s="1770">
        <f>$F119*IFERROR(INDEX(Lists!$AD:$AD,MATCH($E119,Lists!$AC:$AC,0)),1)</f>
        <v>260204.85</v>
      </c>
    </row>
    <row r="120">
      <c r="B120" s="1531" t="str">
        <f>INDEX('REVIEW - Complete Role Mapping'!$B:$B,168)</f>
        <v>Shona Paul</v>
      </c>
      <c r="C120" s="1531" t="str">
        <f>INDEX('REVIEW - Complete Role Mapping'!$C:$C,168)</f>
        <v>Head of Technology - Digital</v>
      </c>
      <c r="D120" s="1531" t="str">
        <f>INDEX('REVIEW - Complete Role Mapping'!$AK:$AK,168)</f>
        <v>Filled</v>
      </c>
      <c r="E120" s="1548" t="inlineStr">
        <is>
          <t>Filled</t>
        </is>
      </c>
      <c r="F120" s="1770">
        <f>INDEX('REVIEW - Complete Role Mapping'!$AA:$AA,168)</f>
        <v>275810.25</v>
      </c>
      <c r="G120" s="1770">
        <f>$F120*IFERROR(INDEX(Lists!$AD:$AD,MATCH($E120,Lists!$AC:$AC,0)),1)</f>
        <v>275810.25</v>
      </c>
    </row>
    <row r="121">
      <c r="B121" s="1530" t="inlineStr">
        <is>
          <t>Delivery Manager</t>
        </is>
      </c>
      <c r="C121" s="1530" t="str">
        <f>COUNTA($B$122:$B$123)&amp;IF(COUNTA($B$122:$B$123)=1," role"," roles")</f>
        <v>2 roles</v>
      </c>
      <c r="D121" s="1530" t="n"/>
      <c r="E121" s="1530" t="n"/>
      <c r="F121" s="1786">
        <f>SUM(F122:F123)</f>
        <v>420872.1</v>
      </c>
      <c r="G121" s="1786">
        <f>SUM(G122:G123)</f>
        <v>420872.1</v>
      </c>
    </row>
    <row r="122">
      <c r="B122" s="1531" t="str">
        <f>INDEX('REVIEW - Complete Role Mapping'!$B:$B,110)</f>
        <v>Adriel Jeyanandhan</v>
      </c>
      <c r="C122" s="1531" t="str">
        <f>INDEX('REVIEW - Complete Role Mapping'!$C:$C,110)</f>
        <v>Delivery Manager</v>
      </c>
      <c r="D122" s="1531" t="str">
        <f>INDEX('REVIEW - Complete Role Mapping'!$AK:$AK,110)</f>
        <v>Filled</v>
      </c>
      <c r="E122" s="1548" t="inlineStr">
        <is>
          <t>Filled</t>
        </is>
      </c>
      <c r="F122" s="1770">
        <f>INDEX('REVIEW - Complete Role Mapping'!$AA:$AA,110)</f>
        <v>218018.85</v>
      </c>
      <c r="G122" s="1770">
        <f>$F122*IFERROR(INDEX(Lists!$AD:$AD,MATCH($E122,Lists!$AC:$AC,0)),1)</f>
        <v>218018.85</v>
      </c>
    </row>
    <row r="123">
      <c r="B123" s="1531" t="str">
        <f>INDEX('REVIEW - Complete Role Mapping'!$B:$B,139)</f>
        <v>Jill Martin</v>
      </c>
      <c r="C123" s="1531" t="str">
        <f>INDEX('REVIEW - Complete Role Mapping'!$C:$C,139)</f>
        <v>Delivery Manager</v>
      </c>
      <c r="D123" s="1531" t="str">
        <f>INDEX('REVIEW - Complete Role Mapping'!$AK:$AK,139)</f>
        <v>Filled</v>
      </c>
      <c r="E123" s="1548" t="inlineStr">
        <is>
          <t>Filled</t>
        </is>
      </c>
      <c r="F123" s="1770">
        <f>INDEX('REVIEW - Complete Role Mapping'!$AA:$AA,139)</f>
        <v>202853.25</v>
      </c>
      <c r="G123" s="1770">
        <f>$F123*IFERROR(INDEX(Lists!$AD:$AD,MATCH($E123,Lists!$AC:$AC,0)),1)</f>
        <v>202853.25</v>
      </c>
    </row>
    <row r="124">
      <c r="B124" s="1530" t="inlineStr">
        <is>
          <t>Technology Manager</t>
        </is>
      </c>
      <c r="C124" s="1530" t="str">
        <f>COUNTA($B$125:$B$128)&amp;IF(COUNTA($B$125:$B$128)=1," role"," roles")</f>
        <v>4 roles</v>
      </c>
      <c r="D124" s="1530" t="n"/>
      <c r="E124" s="1530" t="n"/>
      <c r="F124" s="1786">
        <f>SUM(F125:F128)</f>
        <v>816085.638</v>
      </c>
      <c r="G124" s="1786">
        <f>SUM(G125:G128)</f>
        <v>816085.638</v>
      </c>
    </row>
    <row r="125">
      <c r="B125" s="1531" t="str">
        <f>INDEX('REVIEW - Complete Role Mapping'!$B:$B,147)</f>
        <v>Kris Hamilton</v>
      </c>
      <c r="C125" s="1531" t="str">
        <f>INDEX('REVIEW - Complete Role Mapping'!$C:$C,147)</f>
        <v>Technology Manager - Loyalty &amp; Martech</v>
      </c>
      <c r="D125" s="1531" t="str">
        <f>INDEX('REVIEW - Complete Role Mapping'!$AK:$AK,147)</f>
        <v>Filled</v>
      </c>
      <c r="E125" s="1548" t="inlineStr">
        <is>
          <t>Filled</t>
        </is>
      </c>
      <c r="F125" s="1770">
        <f>INDEX('REVIEW - Complete Role Mapping'!$AA:$AA,147)</f>
        <v>202853.25</v>
      </c>
      <c r="G125" s="1770">
        <f>$F125*IFERROR(INDEX(Lists!$AD:$AD,MATCH($E125,Lists!$AC:$AC,0)),1)</f>
        <v>202853.25</v>
      </c>
    </row>
    <row r="126">
      <c r="B126" s="1531" t="str">
        <f>INDEX('REVIEW - Complete Role Mapping'!$B:$B,152)</f>
        <v>Mitesh Shah</v>
      </c>
      <c r="C126" s="1531" t="str">
        <f>INDEX('REVIEW - Complete Role Mapping'!$C:$C,152)</f>
        <v>Technology Manager - Digital</v>
      </c>
      <c r="D126" s="1531" t="str">
        <f>INDEX('REVIEW - Complete Role Mapping'!$AK:$AK,152)</f>
        <v>Filled</v>
      </c>
      <c r="E126" s="1548" t="inlineStr">
        <is>
          <t>Filled</t>
        </is>
      </c>
      <c r="F126" s="1770">
        <f>INDEX('REVIEW - Complete Role Mapping'!$AA:$AA,152)</f>
        <v>223946.25</v>
      </c>
      <c r="G126" s="1770">
        <f>$F126*IFERROR(INDEX(Lists!$AD:$AD,MATCH($E126,Lists!$AC:$AC,0)),1)</f>
        <v>223946.25</v>
      </c>
    </row>
    <row r="127">
      <c r="B127" s="1531" t="str">
        <f>INDEX('REVIEW - Complete Role Mapping'!$B:$B,176)</f>
        <v>Vacant</v>
      </c>
      <c r="C127" s="1531" t="str">
        <f>INDEX('REVIEW - Complete Role Mapping'!$C:$C,176)</f>
        <v>Technology Manager, Engineering</v>
      </c>
      <c r="D127" s="1531" t="str">
        <f>INDEX('REVIEW - Complete Role Mapping'!$AK:$AK,176)</f>
        <v>Vacant</v>
      </c>
      <c r="E127" s="1548" t="inlineStr">
        <is>
          <t>Hire</t>
        </is>
      </c>
      <c r="F127" s="1770">
        <f>INDEX('REVIEW - Complete Role Mapping'!$AA:$AA,176)</f>
        <v>186432.888</v>
      </c>
      <c r="G127" s="1770">
        <f>$F127*IFERROR(INDEX(Lists!$AD:$AD,MATCH($E127,Lists!$AC:$AC,0)),1)</f>
        <v>186432.888</v>
      </c>
    </row>
    <row r="128">
      <c r="B128" s="1531" t="str">
        <f>INDEX('REVIEW - Complete Role Mapping'!$B:$B,189)</f>
        <v>Zoe Udy</v>
      </c>
      <c r="C128" s="1531" t="str">
        <f>INDEX('REVIEW - Complete Role Mapping'!$C:$C,189)</f>
        <v>Technology Manager - Data &amp; Engineering</v>
      </c>
      <c r="D128" s="1531" t="str">
        <f>INDEX('REVIEW - Complete Role Mapping'!$AK:$AK,189)</f>
        <v>Filled</v>
      </c>
      <c r="E128" s="1548" t="inlineStr">
        <is>
          <t>Filled</t>
        </is>
      </c>
      <c r="F128" s="1770">
        <f>INDEX('REVIEW - Complete Role Mapping'!$AA:$AA,189)</f>
        <v>202853.25</v>
      </c>
      <c r="G128" s="1770">
        <f>$F128*IFERROR(INDEX(Lists!$AD:$AD,MATCH($E128,Lists!$AC:$AC,0)),1)</f>
        <v>202853.25</v>
      </c>
    </row>
  </sheetData>
  <autoFilter ref="B24:G108">
    <sortState ref="B25:G108">
      <sortCondition ref="A25:A108" customList=""/>
    </sortState>
  </autoFilter>
  <dataValidations count="1">
    <dataValidation sqref="E35 E36 E37 E38 E39 E40 E41 E42 E43 E44 E45 E46 E47 E48 E50 E51 E52 E53 E54 E55 E56 E57 E58 E60 E61 E62 E63 E64 E65 E66 E67 E68 E70 E71 E73 E74 E75 E76 E77 E78 E79 E81 E82 E83 E84 E85 E86 E87 E88 E89 E90 E92 E93 E94 E95 E96 E98 E99 E100 E101 E102 E104 E105 E106 E107 E108 E109 E110 E111 E112 E113 E114 E115 E116 E117 E119 E120 E122 E123 E125 E126 E127 E12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Q6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COUNTA($B$30:$B$38)</f>
        <v>9</v>
      </c>
      <c r="G8" s="1770">
        <f>COUNTIFS($D$30:$D$38,"Filled")</f>
        <v>3</v>
      </c>
      <c r="H8" s="1770">
        <f>COUNTIFS($D$30:$D$38,"Vacant")</f>
        <v>6</v>
      </c>
      <c r="I8" s="1770">
        <f>COUNTIFS($D$30:$D$38,"Vacant",$E$30:$E$38,"Hire")</f>
        <v>6</v>
      </c>
      <c r="J8" s="1770">
        <f>COUNTIFS($E$30:$E$38,"Offshore")</f>
        <v>0</v>
      </c>
      <c r="K8" s="1770">
        <f>COUNTIFS($E$30:$E$38,"Hold")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SUM($G$30:$G$38)/1000000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COUNTA($B$40:$B$43)</f>
        <v>4</v>
      </c>
      <c r="G9" s="1770">
        <f>COUNTIFS($D$40:$D$43,"Filled")</f>
        <v>4</v>
      </c>
      <c r="H9" s="1770">
        <f>COUNTIFS($D$40:$D$43,"Vacant")</f>
        <v>0</v>
      </c>
      <c r="I9" s="1770">
        <f>COUNTIFS($D$40:$D$43,"Vacant",$E$40:$E$43,"Hire")</f>
        <v>0</v>
      </c>
      <c r="J9" s="1770">
        <f>COUNTIFS($E$40:$E$43,"Offshore")</f>
        <v>0</v>
      </c>
      <c r="K9" s="1770">
        <f>COUNTIFS($E$40:$E$43,"Hold")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SUM($G$40:$G$43)/1000000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COUNTA($B$45:$B$56)</f>
        <v>12</v>
      </c>
      <c r="G10" s="1770">
        <f>COUNTIFS($D$45:$D$56,"Filled")</f>
        <v>9</v>
      </c>
      <c r="H10" s="1770">
        <f>COUNTIFS($D$45:$D$56,"Vacant")</f>
        <v>3</v>
      </c>
      <c r="I10" s="1770">
        <f>COUNTIFS($D$45:$D$56,"Vacant",$E$45:$E$56,"Hire")</f>
        <v>3</v>
      </c>
      <c r="J10" s="1770">
        <f>COUNTIFS($E$45:$E$56,"Offshore")</f>
        <v>0</v>
      </c>
      <c r="K10" s="1770">
        <f>COUNTIFS($E$45:$E$56,"Hold")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SUM($G$45:$G$56)/1000000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SUM(M8:M10)</f>
        <v>4.3</v>
      </c>
      <c r="N11" s="1771">
        <f>SUM(N8:N10)</f>
        <v>5.357369326</v>
      </c>
      <c r="O11" s="1771">
        <f>IF(N($M11)=0,"-",ROUND($N11-$M11,6))</f>
        <v>1.057369</v>
      </c>
      <c r="P11" s="1771">
        <f>SUM(P8:P10)</f>
        <v>5.357369326</v>
      </c>
      <c r="Q11" s="1771">
        <f>IF(N($M11)=0,"-",ROUND($P11-$M11,6))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COUNTA($B$58:$B$58)</f>
        <v>1</v>
      </c>
      <c r="G19" s="1770">
        <f>COUNTIFS($D$58:$D$58,"Filled")</f>
        <v>1</v>
      </c>
      <c r="H19" s="1770">
        <f>COUNTIFS($D$58:$D$58,"Vacant")</f>
        <v>0</v>
      </c>
      <c r="I19" s="1770">
        <f>COUNTIFS($D$58:$D$58,"Vacant",$E$58:$E$58,"Hire")</f>
        <v>0</v>
      </c>
      <c r="J19" s="1770">
        <f>COUNTIFS($E$58:$E$58,"Offshore")</f>
        <v>0</v>
      </c>
      <c r="K19" s="1770">
        <f>COUNTIFS($E$58:$E$58,"Hold")</f>
        <v>0</v>
      </c>
      <c r="L19" s="1770">
        <f>$F19-$K19</f>
        <v>1</v>
      </c>
      <c r="M19" s="1540" t="str">
        <f>"-"</f>
        <v>-</v>
      </c>
      <c r="N19" s="1769">
        <f>SUMIFS('REVIEW - Complete Role Mapping'!$AA$2:$AA$528,'REVIEW - Complete Role Mapping'!$AJ$2:$AJ$528,$C$3,'REVIEW - Complete Role Mapping'!$AT$2:$AT$528,$B19)/1000000</f>
        <v>0.4097557</v>
      </c>
      <c r="O19" s="1540" t="str">
        <f>"-"</f>
        <v>-</v>
      </c>
      <c r="P19" s="1769">
        <f>SUM($G$58:$G$58)/1000000</f>
        <v>0.4097557</v>
      </c>
      <c r="Q19" s="1540" t="str">
        <f>"-"</f>
        <v>-</v>
      </c>
    </row>
    <row r="20">
      <c r="B20" s="1531" t="inlineStr">
        <is>
          <t>Technology Manager</t>
        </is>
      </c>
      <c r="C20" s="1531" t="str">
        <f>"-"</f>
        <v>-</v>
      </c>
      <c r="D20" s="1531" t="str">
        <f>"-"</f>
        <v>-</v>
      </c>
      <c r="E20" s="1540" t="str">
        <f>"-"</f>
        <v>-</v>
      </c>
      <c r="F20" s="1770">
        <f>COUNTA($B$60:$B$61)</f>
        <v>2</v>
      </c>
      <c r="G20" s="1770">
        <f>COUNTIFS($D$60:$D$61,"Filled")</f>
        <v>2</v>
      </c>
      <c r="H20" s="1770">
        <f>COUNTIFS($D$60:$D$61,"Vacant")</f>
        <v>0</v>
      </c>
      <c r="I20" s="1770">
        <f>COUNTIFS($D$60:$D$61,"Vacant",$E$60:$E$61,"Hire")</f>
        <v>0</v>
      </c>
      <c r="J20" s="1770">
        <f>COUNTIFS($E$60:$E$61,"Offshore")</f>
        <v>0</v>
      </c>
      <c r="K20" s="1770">
        <f>COUNTIFS($E$60:$E$61,"Hold")</f>
        <v>0</v>
      </c>
      <c r="L20" s="1770">
        <f>$F20-$K20</f>
        <v>2</v>
      </c>
      <c r="M20" s="1540" t="str">
        <f>"-"</f>
        <v>-</v>
      </c>
      <c r="N20" s="1769">
        <f>SUMIFS('REVIEW - Complete Role Mapping'!$AA$2:$AA$528,'REVIEW - Complete Role Mapping'!$AJ$2:$AJ$528,$C$3,'REVIEW - Complete Role Mapping'!$AT$2:$AT$528,$B20)/1000000</f>
        <v>0.65127875</v>
      </c>
      <c r="O20" s="1540" t="str">
        <f>"-"</f>
        <v>-</v>
      </c>
      <c r="P20" s="1769">
        <f>SUM($G$60:$G$61)/1000000</f>
        <v>0.65127875</v>
      </c>
      <c r="Q20" s="1540" t="str">
        <f>"-"</f>
        <v>-</v>
      </c>
    </row>
    <row r="21">
      <c r="B21" s="1535" t="inlineStr">
        <is>
          <t>Overhead roles total</t>
        </is>
      </c>
      <c r="C21" s="1535" t="n"/>
      <c r="D21" s="1535" t="n"/>
      <c r="E21" s="1784">
        <f>SUM(E19:E20)</f>
        <v>0</v>
      </c>
      <c r="F21" s="1772">
        <f>SUM(F19:F20)</f>
        <v>3</v>
      </c>
      <c r="G21" s="1772">
        <f>SUM(G19:G20)</f>
        <v>3</v>
      </c>
      <c r="H21" s="1772">
        <f>SUM(H19:H20)</f>
        <v>0</v>
      </c>
      <c r="I21" s="1772">
        <f>SUM(I19:I20)</f>
        <v>0</v>
      </c>
      <c r="J21" s="1772">
        <f>SUM(J19:J20)</f>
        <v>0</v>
      </c>
      <c r="K21" s="1772">
        <f>SUM(K19:K20)</f>
        <v>0</v>
      </c>
      <c r="L21" s="1772">
        <f>SUM(L19:L20)</f>
        <v>3</v>
      </c>
      <c r="M21" s="1771">
        <f>SUM(M19:M20)</f>
        <v>0</v>
      </c>
      <c r="N21" s="1771">
        <f>SUM(N19:N20)</f>
        <v>1.06103445</v>
      </c>
      <c r="O21" s="1771" t="str">
        <f>IF(N($M21)=0,"-",ROUND($N21-$M21,6))</f>
        <v>-</v>
      </c>
      <c r="P21" s="1771">
        <f>SUM(P19:P20)</f>
        <v>1.06103445</v>
      </c>
      <c r="Q21" s="1771" t="str">
        <f>IF(N($M21)=0,"-",ROUND($P21-$M21,6))</f>
        <v>-</v>
      </c>
    </row>
    <row r="22">
      <c r="B22" s="1541" t="inlineStr">
        <is>
          <t>Total portfolio</t>
        </is>
      </c>
      <c r="C22" s="1541" t="n"/>
      <c r="D22" s="1541" t="n"/>
      <c r="E22" s="1785">
        <f>N(E11)+N(E14)+N(E17)+N(E21)</f>
        <v>19</v>
      </c>
      <c r="F22" s="1774">
        <f>N(F11)+N(F14)+N(F17)+N(F21)</f>
        <v>28</v>
      </c>
      <c r="G22" s="1774">
        <f>N(G11)+N(G14)+N(G17)+N(G21)</f>
        <v>19</v>
      </c>
      <c r="H22" s="1774">
        <f>N(H11)+N(H14)+N(H17)+N(H21)</f>
        <v>9</v>
      </c>
      <c r="I22" s="1774">
        <f>N(I11)+N(I14)+N(I17)+N(I21)</f>
        <v>9</v>
      </c>
      <c r="J22" s="1774">
        <f>N(J11)+N(J14)+N(J17)+N(J21)</f>
        <v>0</v>
      </c>
      <c r="K22" s="1774">
        <f>N(K11)+N(K14)+N(K17)+N(K21)</f>
        <v>0</v>
      </c>
      <c r="L22" s="1774">
        <f>N(L11)+N(L14)+N(L17)+N(L21)</f>
        <v>28</v>
      </c>
      <c r="M22" s="1773" t="str">
        <f>"-"</f>
        <v>-</v>
      </c>
      <c r="N22" s="1773">
        <f>N(N11)+N(N14)+N(N17)+N(N21)</f>
        <v>6.418403776</v>
      </c>
      <c r="O22" s="1773" t="str">
        <f>"-"</f>
        <v>-</v>
      </c>
      <c r="P22" s="1773">
        <f>N(P11)+N(P14)+N(P17)+N(P21)</f>
        <v>6.418403776</v>
      </c>
      <c r="Q22" s="1773" t="str">
        <f>"-"</f>
        <v>-</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Enterprise Data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Data Platforms</t>
        </is>
      </c>
      <c r="C29" s="1530" t="str">
        <f>COUNTA($B$30:$B$38)&amp;IF(COUNTA($B$30:$B$38)=1," role"," roles")</f>
        <v>9 roles</v>
      </c>
      <c r="D29" s="1530" t="n"/>
      <c r="E29" s="1530" t="n"/>
      <c r="F29" s="1786">
        <f>SUM(F30:F38)</f>
        <v>1786160.296</v>
      </c>
      <c r="G29" s="1786">
        <f>SUM(G30:G38)</f>
        <v>1786160.296</v>
      </c>
    </row>
    <row r="30">
      <c r="B30" s="1531" t="str">
        <f>INDEX('REVIEW - Complete Role Mapping'!$B:$B,284)</f>
        <v>Dinesh Chandrasekaran</v>
      </c>
      <c r="C30" s="1531" t="str">
        <f>INDEX('REVIEW - Complete Role Mapping'!$C:$C,284)</f>
        <v>Lead Engineer (Snowflake)</v>
      </c>
      <c r="D30" s="1531" t="str">
        <f>INDEX('REVIEW - Complete Role Mapping'!$AK:$AK,284)</f>
        <v>Filled</v>
      </c>
      <c r="E30" s="1548" t="inlineStr">
        <is>
          <t>Filled</t>
        </is>
      </c>
      <c r="F30" s="1770">
        <f>INDEX('REVIEW - Complete Role Mapping'!$AA:$AA,284)</f>
        <v>243984.6</v>
      </c>
      <c r="G30" s="1770">
        <f>$F30*IFERROR(INDEX(Lists!$AD:$AD,MATCH($E30,Lists!$AC:$AC,0)),1)</f>
        <v>243984.6</v>
      </c>
    </row>
    <row r="31">
      <c r="B31" s="1531" t="str">
        <f>INDEX('REVIEW - Complete Role Mapping'!$B:$B,307)</f>
        <v>Roozbeh Shahbazirad</v>
      </c>
      <c r="C31" s="1531" t="str">
        <f>INDEX('REVIEW - Complete Role Mapping'!$C:$C,307)</f>
        <v>Lead Engineer</v>
      </c>
      <c r="D31" s="1531" t="str">
        <f>INDEX('REVIEW - Complete Role Mapping'!$AK:$AK,307)</f>
        <v>Filled</v>
      </c>
      <c r="E31" s="1548" t="inlineStr">
        <is>
          <t>Filled</t>
        </is>
      </c>
      <c r="F31" s="1770">
        <f>INDEX('REVIEW - Complete Role Mapping'!$AA:$AA,307)</f>
        <v>204006.636</v>
      </c>
      <c r="G31" s="1770">
        <f>$F31*IFERROR(INDEX(Lists!$AD:$AD,MATCH($E31,Lists!$AC:$AC,0)),1)</f>
        <v>204006.636</v>
      </c>
    </row>
    <row r="32">
      <c r="B32" s="1531" t="str">
        <f>INDEX('REVIEW - Complete Role Mapping'!$B:$B,312)</f>
        <v>Tim Snedden</v>
      </c>
      <c r="C32" s="1531" t="str">
        <f>INDEX('REVIEW - Complete Role Mapping'!$C:$C,312)</f>
        <v>Delivery Lead</v>
      </c>
      <c r="D32" s="1531" t="str">
        <f>INDEX('REVIEW - Complete Role Mapping'!$AK:$AK,312)</f>
        <v>Filled</v>
      </c>
      <c r="E32" s="1548" t="inlineStr">
        <is>
          <t>Filled</t>
        </is>
      </c>
      <c r="F32" s="1770">
        <f>INDEX('REVIEW - Complete Role Mapping'!$AA:$AA,312)</f>
        <v>185776.56</v>
      </c>
      <c r="G32" s="1770">
        <f>$F32*IFERROR(INDEX(Lists!$AD:$AD,MATCH($E32,Lists!$AC:$AC,0)),1)</f>
        <v>185776.56</v>
      </c>
    </row>
    <row r="33">
      <c r="B33" s="1531" t="str">
        <f>INDEX('REVIEW - Complete Role Mapping'!$B:$B,314)</f>
        <v>Vacant</v>
      </c>
      <c r="C33" s="1531" t="str">
        <f>INDEX('REVIEW - Complete Role Mapping'!$C:$C,314)</f>
        <v>Engineer Data  </v>
      </c>
      <c r="D33" s="1531" t="str">
        <f>INDEX('REVIEW - Complete Role Mapping'!$AK:$AK,314)</f>
        <v>Vacant</v>
      </c>
      <c r="E33" s="1548" t="inlineStr">
        <is>
          <t>Hire</t>
        </is>
      </c>
      <c r="F33" s="1770">
        <f>INDEX('REVIEW - Complete Role Mapping'!$AA:$AA,314)</f>
        <v>202853.25</v>
      </c>
      <c r="G33" s="1770">
        <f>$F33*IFERROR(INDEX(Lists!$AD:$AD,MATCH($E33,Lists!$AC:$AC,0)),1)</f>
        <v>202853.25</v>
      </c>
    </row>
    <row r="34">
      <c r="B34" s="1531" t="str">
        <f>INDEX('REVIEW - Complete Role Mapping'!$B:$B,315)</f>
        <v>Vacant</v>
      </c>
      <c r="C34" s="1531" t="str">
        <f>INDEX('REVIEW - Complete Role Mapping'!$C:$C,315)</f>
        <v>Quality Assurance</v>
      </c>
      <c r="D34" s="1531" t="str">
        <f>INDEX('REVIEW - Complete Role Mapping'!$AK:$AK,315)</f>
        <v>Vacant</v>
      </c>
      <c r="E34" s="1548" t="inlineStr">
        <is>
          <t>Hire</t>
        </is>
      </c>
      <c r="F34" s="1770">
        <f>INDEX('REVIEW - Complete Role Mapping'!$AA:$AA,315)</f>
        <v>170489.75</v>
      </c>
      <c r="G34" s="1770">
        <f>$F34*IFERROR(INDEX(Lists!$AD:$AD,MATCH($E34,Lists!$AC:$AC,0)),1)</f>
        <v>170489.75</v>
      </c>
    </row>
    <row r="35">
      <c r="B35" s="1531" t="str">
        <f>INDEX('REVIEW - Complete Role Mapping'!$B:$B,316)</f>
        <v>Vacant</v>
      </c>
      <c r="C35" s="1531" t="str">
        <f>INDEX('REVIEW - Complete Role Mapping'!$C:$C,316)</f>
        <v>Engineer - DevOps</v>
      </c>
      <c r="D35" s="1531" t="str">
        <f>INDEX('REVIEW - Complete Role Mapping'!$AK:$AK,316)</f>
        <v>Vacant</v>
      </c>
      <c r="E35" s="1548" t="inlineStr">
        <is>
          <t>Hire</t>
        </is>
      </c>
      <c r="F35" s="1770">
        <f>INDEX('REVIEW - Complete Role Mapping'!$AA:$AA,316)</f>
        <v>202853.25</v>
      </c>
      <c r="G35" s="1770">
        <f>$F35*IFERROR(INDEX(Lists!$AD:$AD,MATCH($E35,Lists!$AC:$AC,0)),1)</f>
        <v>202853.25</v>
      </c>
    </row>
    <row r="36">
      <c r="B36" s="1531" t="str">
        <f>INDEX('REVIEW - Complete Role Mapping'!$B:$B,317)</f>
        <v>Vacant</v>
      </c>
      <c r="C36" s="1531" t="str">
        <f>INDEX('REVIEW - Complete Role Mapping'!$C:$C,317)</f>
        <v>Business Analyst</v>
      </c>
      <c r="D36" s="1531" t="str">
        <f>INDEX('REVIEW - Complete Role Mapping'!$AK:$AK,317)</f>
        <v>Vacant</v>
      </c>
      <c r="E36" s="1548" t="inlineStr">
        <is>
          <t>Hire</t>
        </is>
      </c>
      <c r="F36" s="1770">
        <f>INDEX('REVIEW - Complete Role Mapping'!$AA:$AA,317)</f>
        <v>202853.25</v>
      </c>
      <c r="G36" s="1770">
        <f>$F36*IFERROR(INDEX(Lists!$AD:$AD,MATCH($E36,Lists!$AC:$AC,0)),1)</f>
        <v>202853.25</v>
      </c>
    </row>
    <row r="37">
      <c r="B37" s="1531" t="str">
        <f>INDEX('REVIEW - Complete Role Mapping'!$B:$B,319)</f>
        <v>Vacant</v>
      </c>
      <c r="C37" s="1531" t="str">
        <f>INDEX('REVIEW - Complete Role Mapping'!$C:$C,319)</f>
        <v>Engineer - Data</v>
      </c>
      <c r="D37" s="1531" t="str">
        <f>INDEX('REVIEW - Complete Role Mapping'!$AK:$AK,319)</f>
        <v>Vacant</v>
      </c>
      <c r="E37" s="1548" t="inlineStr">
        <is>
          <t>Hire</t>
        </is>
      </c>
      <c r="F37" s="1770">
        <f>INDEX('REVIEW - Complete Role Mapping'!$AA:$AA,319)</f>
        <v>202853.25</v>
      </c>
      <c r="G37" s="1770">
        <f>$F37*IFERROR(INDEX(Lists!$AD:$AD,MATCH($E37,Lists!$AC:$AC,0)),1)</f>
        <v>202853.25</v>
      </c>
    </row>
    <row r="38">
      <c r="B38" s="1531" t="str">
        <f>INDEX('REVIEW - Complete Role Mapping'!$B:$B,320)</f>
        <v>Vacant</v>
      </c>
      <c r="C38" s="1531" t="str">
        <f>INDEX('REVIEW - Complete Role Mapping'!$C:$C,320)</f>
        <v>Quality Assurance</v>
      </c>
      <c r="D38" s="1531" t="str">
        <f>INDEX('REVIEW - Complete Role Mapping'!$AK:$AK,320)</f>
        <v>Vacant</v>
      </c>
      <c r="E38" s="1548" t="inlineStr">
        <is>
          <t>Hire</t>
        </is>
      </c>
      <c r="F38" s="1770">
        <f>INDEX('REVIEW - Complete Role Mapping'!$AA:$AA,320)</f>
        <v>170489.75</v>
      </c>
      <c r="G38" s="1770">
        <f>$F38*IFERROR(INDEX(Lists!$AD:$AD,MATCH($E38,Lists!$AC:$AC,0)),1)</f>
        <v>170489.75</v>
      </c>
    </row>
    <row r="39">
      <c r="B39" s="1530" t="inlineStr">
        <is>
          <t>Data Science</t>
        </is>
      </c>
      <c r="C39" s="1530" t="str">
        <f>COUNTA($B$40:$B$43)&amp;IF(COUNTA($B$40:$B$43)=1," role"," roles")</f>
        <v>4 roles</v>
      </c>
      <c r="D39" s="1530" t="n"/>
      <c r="E39" s="1530" t="n"/>
      <c r="F39" s="1786">
        <f>SUM(F40:F43)</f>
        <v>806397.33</v>
      </c>
      <c r="G39" s="1786">
        <f>SUM(G40:G43)</f>
        <v>806397.33</v>
      </c>
    </row>
    <row r="40">
      <c r="B40" s="1531" t="str">
        <f>INDEX('REVIEW - Complete Role Mapping'!$B:$B,281)</f>
        <v>Carol Kuang</v>
      </c>
      <c r="C40" s="1531" t="str">
        <f>INDEX('REVIEW - Complete Role Mapping'!$C:$C,281)</f>
        <v>Senior Data Scientist</v>
      </c>
      <c r="D40" s="1531" t="str">
        <f>INDEX('REVIEW - Complete Role Mapping'!$AK:$AK,281)</f>
        <v>Filled</v>
      </c>
      <c r="E40" s="1548" t="inlineStr">
        <is>
          <t>Filled</t>
        </is>
      </c>
      <c r="F40" s="1770">
        <f>INDEX('REVIEW - Complete Role Mapping'!$AA:$AA,281)</f>
        <v>184871.28</v>
      </c>
      <c r="G40" s="1770">
        <f>$F40*IFERROR(INDEX(Lists!$AD:$AD,MATCH($E40,Lists!$AC:$AC,0)),1)</f>
        <v>184871.28</v>
      </c>
    </row>
    <row r="41">
      <c r="B41" s="1531" t="str">
        <f>INDEX('REVIEW - Complete Role Mapping'!$B:$B,295)</f>
        <v>Om Singh</v>
      </c>
      <c r="C41" s="1531" t="str">
        <f>INDEX('REVIEW - Complete Role Mapping'!$C:$C,295)</f>
        <v>Data Scientist</v>
      </c>
      <c r="D41" s="1531" t="str">
        <f>INDEX('REVIEW - Complete Role Mapping'!$AK:$AK,295)</f>
        <v>Filled</v>
      </c>
      <c r="E41" s="1548" t="inlineStr">
        <is>
          <t>Filled</t>
        </is>
      </c>
      <c r="F41" s="1770">
        <f>INDEX('REVIEW - Complete Role Mapping'!$AA:$AA,295)</f>
        <v>181470</v>
      </c>
      <c r="G41" s="1770">
        <f>$F41*IFERROR(INDEX(Lists!$AD:$AD,MATCH($E41,Lists!$AC:$AC,0)),1)</f>
        <v>181470</v>
      </c>
    </row>
    <row r="42">
      <c r="B42" s="1531" t="str">
        <f>INDEX('REVIEW - Complete Role Mapping'!$B:$B,296)</f>
        <v>Prashant Tataskar</v>
      </c>
      <c r="C42" s="1531" t="str">
        <f>INDEX('REVIEW - Complete Role Mapping'!$C:$C,296)</f>
        <v>Data Scientist</v>
      </c>
      <c r="D42" s="1531" t="str">
        <f>INDEX('REVIEW - Complete Role Mapping'!$AK:$AK,296)</f>
        <v>Filled</v>
      </c>
      <c r="E42" s="1548" t="inlineStr">
        <is>
          <t>Filled</t>
        </is>
      </c>
      <c r="F42" s="1770">
        <f>INDEX('REVIEW - Complete Role Mapping'!$AA:$AA,296)</f>
        <v>208473.6</v>
      </c>
      <c r="G42" s="1770">
        <f>$F42*IFERROR(INDEX(Lists!$AD:$AD,MATCH($E42,Lists!$AC:$AC,0)),1)</f>
        <v>208473.6</v>
      </c>
    </row>
    <row r="43">
      <c r="B43" s="1531" t="str">
        <f>INDEX('REVIEW - Complete Role Mapping'!$B:$B,332)</f>
        <v>Yu Chen</v>
      </c>
      <c r="C43" s="1531" t="str">
        <f>INDEX('REVIEW - Complete Role Mapping'!$C:$C,332)</f>
        <v>Senior Data Scientist</v>
      </c>
      <c r="D43" s="1531" t="str">
        <f>INDEX('REVIEW - Complete Role Mapping'!$AK:$AK,332)</f>
        <v>Filled</v>
      </c>
      <c r="E43" s="1548" t="inlineStr">
        <is>
          <t>Filled</t>
        </is>
      </c>
      <c r="F43" s="1770">
        <f>INDEX('REVIEW - Complete Role Mapping'!$AA:$AA,332)</f>
        <v>231582.45</v>
      </c>
      <c r="G43" s="1770">
        <f>$F43*IFERROR(INDEX(Lists!$AD:$AD,MATCH($E43,Lists!$AC:$AC,0)),1)</f>
        <v>231582.45</v>
      </c>
    </row>
    <row r="44">
      <c r="B44" s="1530" t="inlineStr">
        <is>
          <t>Reporting &amp; Analytics</t>
        </is>
      </c>
      <c r="C44" s="1530" t="str">
        <f>COUNTA($B$45:$B$56)&amp;IF(COUNTA($B$45:$B$56)=1," role"," roles")</f>
        <v>12 roles</v>
      </c>
      <c r="D44" s="1530" t="n"/>
      <c r="E44" s="1530" t="n"/>
      <c r="F44" s="1786">
        <f>SUM(F45:F56)</f>
        <v>2764811.7</v>
      </c>
      <c r="G44" s="1786">
        <f>SUM(G45:G56)</f>
        <v>2764811.7</v>
      </c>
    </row>
    <row r="45">
      <c r="B45" s="1531" t="str">
        <f>INDEX('REVIEW - Complete Role Mapping'!$B:$B,279)</f>
        <v>Abdul Ghaffar</v>
      </c>
      <c r="C45" s="1531" t="str">
        <f>INDEX('REVIEW - Complete Role Mapping'!$C:$C,279)</f>
        <v>Applications Specialist - Demand Planning</v>
      </c>
      <c r="D45" s="1531" t="str">
        <f>INDEX('REVIEW - Complete Role Mapping'!$AK:$AK,279)</f>
        <v>Filled</v>
      </c>
      <c r="E45" s="1548" t="inlineStr">
        <is>
          <t>Filled</t>
        </is>
      </c>
      <c r="F45" s="1770">
        <f>INDEX('REVIEW - Complete Role Mapping'!$AA:$AA,279)</f>
        <v>240300</v>
      </c>
      <c r="G45" s="1770">
        <f>$F45*IFERROR(INDEX(Lists!$AD:$AD,MATCH($E45,Lists!$AC:$AC,0)),1)</f>
        <v>240300</v>
      </c>
    </row>
    <row r="46">
      <c r="B46" s="1531" t="str">
        <f>INDEX('REVIEW - Complete Role Mapping'!$B:$B,280)</f>
        <v>Bobby Mason</v>
      </c>
      <c r="C46" s="1531" t="str">
        <f>INDEX('REVIEW - Complete Role Mapping'!$C:$C,280)</f>
        <v>Reporting Analyst</v>
      </c>
      <c r="D46" s="1531" t="str">
        <f>INDEX('REVIEW - Complete Role Mapping'!$AK:$AK,280)</f>
        <v>Filled</v>
      </c>
      <c r="E46" s="1548" t="inlineStr">
        <is>
          <t>Filled</t>
        </is>
      </c>
      <c r="F46" s="1770">
        <f>INDEX('REVIEW - Complete Role Mapping'!$AA:$AA,280)</f>
        <v>222357.6</v>
      </c>
      <c r="G46" s="1770">
        <f>$F46*IFERROR(INDEX(Lists!$AD:$AD,MATCH($E46,Lists!$AC:$AC,0)),1)</f>
        <v>222357.6</v>
      </c>
    </row>
    <row r="47">
      <c r="B47" s="1531" t="str">
        <f>INDEX('REVIEW - Complete Role Mapping'!$B:$B,290)</f>
        <v>Kina Birkby</v>
      </c>
      <c r="C47" s="1531" t="str">
        <f>INDEX('REVIEW - Complete Role Mapping'!$C:$C,290)</f>
        <v>Delivery Lead</v>
      </c>
      <c r="D47" s="1531" t="str">
        <f>INDEX('REVIEW - Complete Role Mapping'!$AK:$AK,290)</f>
        <v>Filled</v>
      </c>
      <c r="E47" s="1548" t="inlineStr">
        <is>
          <t>Filled</t>
        </is>
      </c>
      <c r="F47" s="1770">
        <f>INDEX('REVIEW - Complete Role Mapping'!$AA:$AA,290)</f>
        <v>263235.3</v>
      </c>
      <c r="G47" s="1770">
        <f>$F47*IFERROR(INDEX(Lists!$AD:$AD,MATCH($E47,Lists!$AC:$AC,0)),1)</f>
        <v>263235.3</v>
      </c>
    </row>
    <row r="48">
      <c r="B48" s="1531" t="str">
        <f>INDEX('REVIEW - Complete Role Mapping'!$B:$B,297)</f>
        <v>Prashanth Krishnankutty</v>
      </c>
      <c r="C48" s="1531" t="str">
        <f>INDEX('REVIEW - Complete Role Mapping'!$C:$C,297)</f>
        <v>Lead Reporting &amp; Insights</v>
      </c>
      <c r="D48" s="1531" t="str">
        <f>INDEX('REVIEW - Complete Role Mapping'!$AK:$AK,297)</f>
        <v>Filled</v>
      </c>
      <c r="E48" s="1548" t="inlineStr">
        <is>
          <t>Filled</t>
        </is>
      </c>
      <c r="F48" s="1770">
        <f>INDEX('REVIEW - Complete Role Mapping'!$AA:$AA,297)</f>
        <v>255372.15</v>
      </c>
      <c r="G48" s="1770">
        <f>$F48*IFERROR(INDEX(Lists!$AD:$AD,MATCH($E48,Lists!$AC:$AC,0)),1)</f>
        <v>255372.15</v>
      </c>
    </row>
    <row r="49">
      <c r="B49" s="1531" t="str">
        <f>INDEX('REVIEW - Complete Role Mapping'!$B:$B,298)</f>
        <v>Rakshit Kaul</v>
      </c>
      <c r="C49" s="1531" t="str">
        <f>INDEX('REVIEW - Complete Role Mapping'!$C:$C,298)</f>
        <v>Applications Specialist</v>
      </c>
      <c r="D49" s="1531" t="str">
        <f>INDEX('REVIEW - Complete Role Mapping'!$AK:$AK,298)</f>
        <v>Filled</v>
      </c>
      <c r="E49" s="1548" t="inlineStr">
        <is>
          <t>Filled</t>
        </is>
      </c>
      <c r="F49" s="1770">
        <f>INDEX('REVIEW - Complete Role Mapping'!$AA:$AA,298)</f>
        <v>237763.5</v>
      </c>
      <c r="G49" s="1770">
        <f>$F49*IFERROR(INDEX(Lists!$AD:$AD,MATCH($E49,Lists!$AC:$AC,0)),1)</f>
        <v>237763.5</v>
      </c>
    </row>
    <row r="50">
      <c r="B50" s="1531" t="str">
        <f>INDEX('REVIEW - Complete Role Mapping'!$B:$B,308)</f>
        <v>Sai Konka</v>
      </c>
      <c r="C50" s="1531" t="str">
        <f>INDEX('REVIEW - Complete Role Mapping'!$C:$C,308)</f>
        <v>Application &amp; Analytics Manager</v>
      </c>
      <c r="D50" s="1531" t="str">
        <f>INDEX('REVIEW - Complete Role Mapping'!$AK:$AK,308)</f>
        <v>Filled</v>
      </c>
      <c r="E50" s="1548" t="inlineStr">
        <is>
          <t>Filled</t>
        </is>
      </c>
      <c r="F50" s="1770">
        <f>INDEX('REVIEW - Complete Role Mapping'!$AA:$AA,308)</f>
        <v>263635.8</v>
      </c>
      <c r="G50" s="1770">
        <f>$F50*IFERROR(INDEX(Lists!$AD:$AD,MATCH($E50,Lists!$AC:$AC,0)),1)</f>
        <v>263635.8</v>
      </c>
    </row>
    <row r="51">
      <c r="B51" s="1531" t="str">
        <f>INDEX('REVIEW - Complete Role Mapping'!$B:$B,310)</f>
        <v>Steve Murray</v>
      </c>
      <c r="C51" s="1531" t="str">
        <f>INDEX('REVIEW - Complete Role Mapping'!$C:$C,310)</f>
        <v>Applications Specialist</v>
      </c>
      <c r="D51" s="1531" t="str">
        <f>INDEX('REVIEW - Complete Role Mapping'!$AK:$AK,310)</f>
        <v>Filled</v>
      </c>
      <c r="E51" s="1548" t="inlineStr">
        <is>
          <t>Filled</t>
        </is>
      </c>
      <c r="F51" s="1770">
        <f>INDEX('REVIEW - Complete Role Mapping'!$AA:$AA,310)</f>
        <v>242970</v>
      </c>
      <c r="G51" s="1770">
        <f>$F51*IFERROR(INDEX(Lists!$AD:$AD,MATCH($E51,Lists!$AC:$AC,0)),1)</f>
        <v>242970</v>
      </c>
    </row>
    <row r="52">
      <c r="B52" s="1531" t="str">
        <f>INDEX('REVIEW - Complete Role Mapping'!$B:$B,311)</f>
        <v>Sumathi Manikkampichai</v>
      </c>
      <c r="C52" s="1531" t="str">
        <f>INDEX('REVIEW - Complete Role Mapping'!$C:$C,311)</f>
        <v>Data Architect</v>
      </c>
      <c r="D52" s="1531" t="str">
        <f>INDEX('REVIEW - Complete Role Mapping'!$AK:$AK,311)</f>
        <v>Filled</v>
      </c>
      <c r="E52" s="1548" t="inlineStr">
        <is>
          <t>Filled</t>
        </is>
      </c>
      <c r="F52" s="1770">
        <f>INDEX('REVIEW - Complete Role Mapping'!$AA:$AA,311)</f>
        <v>250993.35</v>
      </c>
      <c r="G52" s="1770">
        <f>$F52*IFERROR(INDEX(Lists!$AD:$AD,MATCH($E52,Lists!$AC:$AC,0)),1)</f>
        <v>250993.35</v>
      </c>
    </row>
    <row r="53">
      <c r="B53" s="1531" t="str">
        <f>INDEX('REVIEW - Complete Role Mapping'!$B:$B,318)</f>
        <v>Vacant</v>
      </c>
      <c r="C53" s="1531" t="str">
        <f>INDEX('REVIEW - Complete Role Mapping'!$C:$C,318)</f>
        <v>Business Analyst</v>
      </c>
      <c r="D53" s="1531" t="str">
        <f>INDEX('REVIEW - Complete Role Mapping'!$AK:$AK,318)</f>
        <v>Vacant</v>
      </c>
      <c r="E53" s="1548" t="inlineStr">
        <is>
          <t>Hire</t>
        </is>
      </c>
      <c r="F53" s="1770">
        <f>INDEX('REVIEW - Complete Role Mapping'!$AA:$AA,318)</f>
        <v>202853.25</v>
      </c>
      <c r="G53" s="1770">
        <f>$F53*IFERROR(INDEX(Lists!$AD:$AD,MATCH($E53,Lists!$AC:$AC,0)),1)</f>
        <v>202853.25</v>
      </c>
    </row>
    <row r="54">
      <c r="B54" s="1531" t="str">
        <f>INDEX('REVIEW - Complete Role Mapping'!$B:$B,329)</f>
        <v>Vacant</v>
      </c>
      <c r="C54" s="1531" t="str">
        <f>INDEX('REVIEW - Complete Role Mapping'!$C:$C,329)</f>
        <v>Applications Specialist - Strategic Programs</v>
      </c>
      <c r="D54" s="1531" t="str">
        <f>INDEX('REVIEW - Complete Role Mapping'!$AK:$AK,329)</f>
        <v>Vacant</v>
      </c>
      <c r="E54" s="1548" t="inlineStr">
        <is>
          <t>Hire</t>
        </is>
      </c>
      <c r="F54" s="1770">
        <f>INDEX('REVIEW - Complete Role Mapping'!$AA:$AA,329)</f>
        <v>202853.25</v>
      </c>
      <c r="G54" s="1770">
        <f>$F54*IFERROR(INDEX(Lists!$AD:$AD,MATCH($E54,Lists!$AC:$AC,0)),1)</f>
        <v>202853.25</v>
      </c>
    </row>
    <row r="55">
      <c r="B55" s="1531" t="str">
        <f>INDEX('REVIEW - Complete Role Mapping'!$B:$B,330)</f>
        <v>Vacant</v>
      </c>
      <c r="C55" s="1531" t="str">
        <f>INDEX('REVIEW - Complete Role Mapping'!$C:$C,330)</f>
        <v>Reporting analysts - Strategic Programs</v>
      </c>
      <c r="D55" s="1531" t="str">
        <f>INDEX('REVIEW - Complete Role Mapping'!$AK:$AK,330)</f>
        <v>Vacant</v>
      </c>
      <c r="E55" s="1548" t="inlineStr">
        <is>
          <t>Hire</t>
        </is>
      </c>
      <c r="F55" s="1770">
        <f>INDEX('REVIEW - Complete Role Mapping'!$AA:$AA,330)</f>
        <v>202853.25</v>
      </c>
      <c r="G55" s="1770">
        <f>$F55*IFERROR(INDEX(Lists!$AD:$AD,MATCH($E55,Lists!$AC:$AC,0)),1)</f>
        <v>202853.25</v>
      </c>
    </row>
    <row r="56">
      <c r="B56" s="1531" t="str">
        <f>INDEX('REVIEW - Complete Role Mapping'!$B:$B,331)</f>
        <v>Vincent Lu</v>
      </c>
      <c r="C56" s="1531" t="str">
        <f>INDEX('REVIEW - Complete Role Mapping'!$C:$C,331)</f>
        <v>Reporting Analyst</v>
      </c>
      <c r="D56" s="1531" t="str">
        <f>INDEX('REVIEW - Complete Role Mapping'!$AK:$AK,331)</f>
        <v>Filled</v>
      </c>
      <c r="E56" s="1548" t="inlineStr">
        <is>
          <t>Filled</t>
        </is>
      </c>
      <c r="F56" s="1770">
        <f>INDEX('REVIEW - Complete Role Mapping'!$AA:$AA,331)</f>
        <v>179624.25</v>
      </c>
      <c r="G56" s="1770">
        <f>$F56*IFERROR(INDEX(Lists!$AD:$AD,MATCH($E56,Lists!$AC:$AC,0)),1)</f>
        <v>179624.25</v>
      </c>
    </row>
    <row r="57">
      <c r="B57" s="1530" t="inlineStr">
        <is>
          <t>Head of Technology</t>
        </is>
      </c>
      <c r="C57" s="1530" t="str">
        <f>COUNTA($B$58:$B$58)&amp;IF(COUNTA($B$58:$B$58)=1," role"," roles")</f>
        <v>1 role</v>
      </c>
      <c r="D57" s="1530" t="n"/>
      <c r="E57" s="1530" t="n"/>
      <c r="F57" s="1786">
        <f>SUM(F58:F58)</f>
        <v>409755.7</v>
      </c>
      <c r="G57" s="1786">
        <f>SUM(G58:G58)</f>
        <v>409755.7</v>
      </c>
    </row>
    <row r="58">
      <c r="B58" s="1531" t="str">
        <f>INDEX('REVIEW - Complete Role Mapping'!$B:$B,285)</f>
        <v>James Holgate</v>
      </c>
      <c r="C58" s="1531" t="str">
        <f>INDEX('REVIEW - Complete Role Mapping'!$C:$C,285)</f>
        <v>Head of Technology,  Group Data</v>
      </c>
      <c r="D58" s="1531" t="str">
        <f>INDEX('REVIEW - Complete Role Mapping'!$AK:$AK,285)</f>
        <v>Filled</v>
      </c>
      <c r="E58" s="1548" t="inlineStr">
        <is>
          <t>Filled</t>
        </is>
      </c>
      <c r="F58" s="1770">
        <f>INDEX('REVIEW - Complete Role Mapping'!$AA:$AA,285)</f>
        <v>409755.7</v>
      </c>
      <c r="G58" s="1770">
        <f>$F58*IFERROR(INDEX(Lists!$AD:$AD,MATCH($E58,Lists!$AC:$AC,0)),1)</f>
        <v>409755.7</v>
      </c>
    </row>
    <row r="59">
      <c r="B59" s="1530" t="inlineStr">
        <is>
          <t>Technology Manager</t>
        </is>
      </c>
      <c r="C59" s="1530" t="str">
        <f>COUNTA($B$60:$B$61)&amp;IF(COUNTA($B$60:$B$61)=1," role"," roles")</f>
        <v>2 roles</v>
      </c>
      <c r="D59" s="1530" t="n"/>
      <c r="E59" s="1530" t="n"/>
      <c r="F59" s="1786">
        <f>SUM(F60:F61)</f>
        <v>651278.75</v>
      </c>
      <c r="G59" s="1786">
        <f>SUM(G60:G61)</f>
        <v>651278.75</v>
      </c>
    </row>
    <row r="60">
      <c r="B60" s="1531" t="str">
        <f>INDEX('REVIEW - Complete Role Mapping'!$B:$B,286)</f>
        <v>Jason Gleason</v>
      </c>
      <c r="C60" s="1531" t="str">
        <f>INDEX('REVIEW - Complete Role Mapping'!$C:$C,286)</f>
        <v>Technology Manager, Data Engineering &amp; Platforms</v>
      </c>
      <c r="D60" s="1531" t="str">
        <f>INDEX('REVIEW - Complete Role Mapping'!$AK:$AK,286)</f>
        <v>Filled</v>
      </c>
      <c r="E60" s="1548" t="inlineStr">
        <is>
          <t>Filled</t>
        </is>
      </c>
      <c r="F60" s="1770">
        <f>INDEX('REVIEW - Complete Role Mapping'!$AA:$AA,286)</f>
        <v>320862</v>
      </c>
      <c r="G60" s="1770">
        <f>$F60*IFERROR(INDEX(Lists!$AD:$AD,MATCH($E60,Lists!$AC:$AC,0)),1)</f>
        <v>320862</v>
      </c>
    </row>
    <row r="61">
      <c r="B61" s="1531" t="str">
        <f>INDEX('REVIEW - Complete Role Mapping'!$B:$B,289)</f>
        <v>Jonathan Robinson</v>
      </c>
      <c r="C61" s="1531" t="str">
        <f>INDEX('REVIEW - Complete Role Mapping'!$C:$C,289)</f>
        <v>Technology Manager  Data Science</v>
      </c>
      <c r="D61" s="1531" t="str">
        <f>INDEX('REVIEW - Complete Role Mapping'!$AK:$AK,289)</f>
        <v>Filled</v>
      </c>
      <c r="E61" s="1548" t="inlineStr">
        <is>
          <t>Filled</t>
        </is>
      </c>
      <c r="F61" s="1770">
        <f>INDEX('REVIEW - Complete Role Mapping'!$AA:$AA,289)</f>
        <v>330416.75</v>
      </c>
      <c r="G61" s="1770">
        <f>$F61*IFERROR(INDEX(Lists!$AD:$AD,MATCH($E61,Lists!$AC:$AC,0)),1)</f>
        <v>330416.75</v>
      </c>
    </row>
  </sheetData>
  <dataValidations count="1">
    <dataValidation sqref="E30 E31 E32 E33 E34 E35 E36 E37 E38 E40 E41 E42 E43 E45 E46 E47 E48 E49 E50 E51 E52 E53 E54 E55 E56 E58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Q84"/>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COUNTA($B$32:$B$43)</f>
        <v>12</v>
      </c>
      <c r="G8" s="1770">
        <f>COUNTIFS($D$32:$D$43,"Filled")</f>
        <v>11</v>
      </c>
      <c r="H8" s="1770">
        <f>COUNTIFS($D$32:$D$43,"Vacant")</f>
        <v>1</v>
      </c>
      <c r="I8" s="1770">
        <f>COUNTIFS($D$32:$D$43,"Vacant",$E$32:$E$43,"Hire")</f>
        <v>1</v>
      </c>
      <c r="J8" s="1770">
        <f>COUNTIFS($E$32:$E$43,"Offshore")</f>
        <v>0</v>
      </c>
      <c r="K8" s="1770">
        <f>COUNTIFS($E$32:$E$43,"Hold")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SUM($G$32:$G$43)/1000000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COUNTA($B$45:$B$52)</f>
        <v>8</v>
      </c>
      <c r="G9" s="1770">
        <f>COUNTIFS($D$45:$D$52,"Filled")</f>
        <v>4</v>
      </c>
      <c r="H9" s="1770">
        <f>COUNTIFS($D$45:$D$52,"Vacant")</f>
        <v>4</v>
      </c>
      <c r="I9" s="1770">
        <f>COUNTIFS($D$45:$D$52,"Vacant",$E$45:$E$52,"Hire")</f>
        <v>4</v>
      </c>
      <c r="J9" s="1770">
        <f>COUNTIFS($E$45:$E$52,"Offshore")</f>
        <v>0</v>
      </c>
      <c r="K9" s="1770">
        <f>COUNTIFS($E$45:$E$52,"Hold")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SUM($G$45:$G$52)/1000000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COUNTA($B$59:$B$68)</f>
        <v>10</v>
      </c>
      <c r="G10" s="1770">
        <f>COUNTIFS($D$59:$D$68,"Filled")</f>
        <v>8</v>
      </c>
      <c r="H10" s="1770">
        <f>COUNTIFS($D$59:$D$68,"Vacant")</f>
        <v>2</v>
      </c>
      <c r="I10" s="1770">
        <f>COUNTIFS($D$59:$D$68,"Vacant",$E$59:$E$68,"Hire")</f>
        <v>2</v>
      </c>
      <c r="J10" s="1770">
        <f>COUNTIFS($E$59:$E$68,"Offshore")</f>
        <v>0</v>
      </c>
      <c r="K10" s="1770">
        <f>COUNTIFS($E$59:$E$68,"Hold")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1.984987746</v>
      </c>
      <c r="O10" s="1769">
        <f>IFERROR(ROUND($N10-$M10,6),"-")</f>
        <v>-0.115012</v>
      </c>
      <c r="P10" s="1769">
        <f>SUM($G$59:$G$68)/1000000</f>
        <v>1.984987746</v>
      </c>
      <c r="Q10" s="1769">
        <f>IFERROR(ROUND($P10-$M10,6),"-")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COUNTA($B$70:$B$75)</f>
        <v>6</v>
      </c>
      <c r="G11" s="1770">
        <f>COUNTIFS($D$70:$D$75,"Filled")</f>
        <v>4</v>
      </c>
      <c r="H11" s="1770">
        <f>COUNTIFS($D$70:$D$75,"Vacant")</f>
        <v>2</v>
      </c>
      <c r="I11" s="1770">
        <f>COUNTIFS($D$70:$D$75,"Vacant",$E$70:$E$75,"Hire")</f>
        <v>2</v>
      </c>
      <c r="J11" s="1770">
        <f>COUNTIFS($E$70:$E$75,"Offshore")</f>
        <v>0</v>
      </c>
      <c r="K11" s="1770">
        <f>COUNTIFS($E$70:$E$75,"Hold")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SUM($G$70:$G$75)/1000000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SUM(M8:M11)</f>
        <v>5.7</v>
      </c>
      <c r="N12" s="1771">
        <f>SUM(N8:N11)</f>
        <v>7.5106297224</v>
      </c>
      <c r="O12" s="1771">
        <f>IF(N($M12)=0,"-",ROUND($N12-$M12,6))</f>
        <v>1.81063</v>
      </c>
      <c r="P12" s="1771">
        <f>SUM(P8:P11)</f>
        <v>7.5106297224</v>
      </c>
      <c r="Q12" s="1771">
        <f>IF(N($M12)=0,"-",ROUND($P12-$M12,6))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COUNTA($B$54:$B$57)</f>
        <v>4</v>
      </c>
      <c r="G14" s="1770">
        <f>COUNTIFS($D$54:$D$57,"Filled")</f>
        <v>4</v>
      </c>
      <c r="H14" s="1770">
        <f>COUNTIFS($D$54:$D$57,"Vacant")</f>
        <v>0</v>
      </c>
      <c r="I14" s="1770">
        <f>COUNTIFS($D$54:$D$57,"Vacant",$E$54:$E$57,"Hire")</f>
        <v>0</v>
      </c>
      <c r="J14" s="1770">
        <f>COUNTIFS($E$54:$E$57,"Offshore")</f>
        <v>0</v>
      </c>
      <c r="K14" s="1770">
        <f>COUNTIFS($E$54:$E$57,"Hold")</f>
        <v>0</v>
      </c>
      <c r="L14" s="1770">
        <f>$F14-$K14</f>
        <v>4</v>
      </c>
      <c r="M14" s="1769">
        <f>$N14</f>
        <v>1.02484851</v>
      </c>
      <c r="N14" s="1769">
        <f>SUMIFS('REVIEW - Complete Role Mapping'!$AA$2:$AA$528,'REVIEW - Complete Role Mapping'!$AJ$2:$AJ$528,$C$3,'REVIEW - Complete Role Mapping'!$AT$2:$AT$528,$B14)/1000000</f>
        <v>1.02484851</v>
      </c>
      <c r="O14" s="1769">
        <f>IFERROR(ROUND($N14-$M14,6),"-")</f>
        <v>0</v>
      </c>
      <c r="P14" s="1769">
        <f>SUM($G$54:$G$57)/1000000</f>
        <v>1.02484851</v>
      </c>
      <c r="Q14" s="1769">
        <f>IFERROR(ROUND($P14-$M14,6),"-")</f>
        <v>0</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f>SUM(M14:M14)</f>
        <v>1.02484851</v>
      </c>
      <c r="N15" s="1771">
        <f>SUM(N14:N14)</f>
        <v>1.02484851</v>
      </c>
      <c r="O15" s="1771">
        <f>IF(N($M15)=0,"-",ROUND($N15-$M15,6))</f>
        <v>0</v>
      </c>
      <c r="P15" s="1771">
        <f>SUM(P14:P14)</f>
        <v>1.02484851</v>
      </c>
      <c r="Q15" s="1771">
        <f>IF(N($M15)=0,"-",ROUND($P15-$M15,6))</f>
        <v>0</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f>SUM(M17:M17)</f>
        <v>0</v>
      </c>
      <c r="N18" s="1771">
        <f>SUM(N17:N17)</f>
        <v>0</v>
      </c>
      <c r="O18" s="1771" t="str">
        <f>IF(N($M18)=0,"-",ROUND($N18-$M18,6))</f>
        <v>-</v>
      </c>
      <c r="P18" s="1771">
        <f>SUM(P17:P17)</f>
        <v>0</v>
      </c>
      <c r="Q18" s="1771" t="str">
        <f>IF(N($M18)=0,"-",ROUND($P18-$M18,6))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COUNTA($B$77:$B$77)</f>
        <v>1</v>
      </c>
      <c r="G20" s="1770">
        <f>COUNTIFS($D$77:$D$77,"Filled")</f>
        <v>0</v>
      </c>
      <c r="H20" s="1770">
        <f>COUNTIFS($D$77:$D$77,"Vacant")</f>
        <v>1</v>
      </c>
      <c r="I20" s="1770">
        <f>COUNTIFS($D$77:$D$77,"Vacant",$E$77:$E$77,"Hire")</f>
        <v>1</v>
      </c>
      <c r="J20" s="1770">
        <f>COUNTIFS($E$77:$E$77,"Offshore")</f>
        <v>0</v>
      </c>
      <c r="K20" s="1770">
        <f>COUNTIFS($E$77:$E$77,"Hold")</f>
        <v>0</v>
      </c>
      <c r="L20" s="1770">
        <f>$F20-$K20</f>
        <v>1</v>
      </c>
      <c r="M20" s="1540" t="str">
        <f>"-"</f>
        <v>-</v>
      </c>
      <c r="N20" s="1769">
        <f>SUMIFS('REVIEW - Complete Role Mapping'!$AA$2:$AA$528,'REVIEW - Complete Role Mapping'!$AJ$2:$AJ$528,$C$3,'REVIEW - Complete Role Mapping'!$AT$2:$AT$528,$B20)/1000000</f>
        <v>0.33302025</v>
      </c>
      <c r="O20" s="1540" t="str">
        <f>"-"</f>
        <v>-</v>
      </c>
      <c r="P20" s="1769">
        <f>SUM($G$77:$G$77)/1000000</f>
        <v>0.33302025</v>
      </c>
      <c r="Q20" s="1540" t="str">
        <f>"-"</f>
        <v>-</v>
      </c>
    </row>
    <row r="21">
      <c r="B21" s="1531" t="inlineStr">
        <is>
          <t>Delivery Manager</t>
        </is>
      </c>
      <c r="C21" s="1531" t="str">
        <f>"-"</f>
        <v>-</v>
      </c>
      <c r="D21" s="1531" t="str">
        <f>"-"</f>
        <v>-</v>
      </c>
      <c r="E21" s="1540" t="str">
        <f>"-"</f>
        <v>-</v>
      </c>
      <c r="F21" s="1770">
        <f>COUNTA($B$79:$B$79)</f>
        <v>1</v>
      </c>
      <c r="G21" s="1770">
        <f>COUNTIFS($D$79:$D$79,"Filled")</f>
        <v>0</v>
      </c>
      <c r="H21" s="1770">
        <f>COUNTIFS($D$79:$D$79,"Vacant")</f>
        <v>1</v>
      </c>
      <c r="I21" s="1770">
        <f>COUNTIFS($D$79:$D$79,"Vacant",$E$79:$E$79,"Hire")</f>
        <v>1</v>
      </c>
      <c r="J21" s="1770">
        <f>COUNTIFS($E$79:$E$79,"Offshore")</f>
        <v>0</v>
      </c>
      <c r="K21" s="1770">
        <f>COUNTIFS($E$79:$E$79,"Hold")</f>
        <v>0</v>
      </c>
      <c r="L21" s="1770">
        <f>$F21-$K21</f>
        <v>1</v>
      </c>
      <c r="M21" s="1540" t="str">
        <f>"-"</f>
        <v>-</v>
      </c>
      <c r="N21" s="1769">
        <f>SUMIFS('REVIEW - Complete Role Mapping'!$AA$2:$AA$528,'REVIEW - Complete Role Mapping'!$AJ$2:$AJ$528,$C$3,'REVIEW - Complete Role Mapping'!$AT$2:$AT$528,$B21)/1000000</f>
        <v>0.27581025</v>
      </c>
      <c r="O21" s="1540" t="str">
        <f>"-"</f>
        <v>-</v>
      </c>
      <c r="P21" s="1769">
        <f>SUM($G$79:$G$79)/1000000</f>
        <v>0.27581025</v>
      </c>
      <c r="Q21" s="1540" t="str">
        <f>"-"</f>
        <v>-</v>
      </c>
    </row>
    <row r="22">
      <c r="B22" s="1531" t="inlineStr">
        <is>
          <t>Technology Manager</t>
        </is>
      </c>
      <c r="C22" s="1531" t="str">
        <f>"-"</f>
        <v>-</v>
      </c>
      <c r="D22" s="1531" t="str">
        <f>"-"</f>
        <v>-</v>
      </c>
      <c r="E22" s="1540" t="str">
        <f>"-"</f>
        <v>-</v>
      </c>
      <c r="F22" s="1770">
        <f>COUNTA($B$81:$B$84)</f>
        <v>4</v>
      </c>
      <c r="G22" s="1770">
        <f>COUNTIFS($D$81:$D$84,"Filled")</f>
        <v>1</v>
      </c>
      <c r="H22" s="1770">
        <f>COUNTIFS($D$81:$D$84,"Vacant")</f>
        <v>3</v>
      </c>
      <c r="I22" s="1770">
        <f>COUNTIFS($D$81:$D$84,"Vacant",$E$81:$E$84,"Hire")</f>
        <v>3</v>
      </c>
      <c r="J22" s="1770">
        <f>COUNTIFS($E$81:$E$84,"Offshore")</f>
        <v>0</v>
      </c>
      <c r="K22" s="1770">
        <f>COUNTIFS($E$81:$E$84,"Hold")</f>
        <v>0</v>
      </c>
      <c r="L22" s="1770">
        <f>$F22-$K22</f>
        <v>4</v>
      </c>
      <c r="M22" s="1540" t="str">
        <f>"-"</f>
        <v>-</v>
      </c>
      <c r="N22" s="1769">
        <f>SUMIFS('REVIEW - Complete Role Mapping'!$AA$2:$AA$528,'REVIEW - Complete Role Mapping'!$AJ$2:$AJ$528,$C$3,'REVIEW - Complete Role Mapping'!$AT$2:$AT$528,$B22)/1000000</f>
        <v>1.05666075</v>
      </c>
      <c r="O22" s="1540" t="str">
        <f>"-"</f>
        <v>-</v>
      </c>
      <c r="P22" s="1769">
        <f>SUM($G$81:$G$84)/1000000</f>
        <v>1.05666075</v>
      </c>
      <c r="Q22" s="1540" t="str">
        <f>"-"</f>
        <v>-</v>
      </c>
    </row>
    <row r="23">
      <c r="B23" s="1535" t="inlineStr">
        <is>
          <t>Overhead roles total</t>
        </is>
      </c>
      <c r="C23" s="1535" t="n"/>
      <c r="D23" s="1535" t="n"/>
      <c r="E23" s="1784">
        <f>SUM(E20:E22)</f>
        <v>0</v>
      </c>
      <c r="F23" s="1772">
        <f>SUM(F20:F22)</f>
        <v>6</v>
      </c>
      <c r="G23" s="1772">
        <f>SUM(G20:G22)</f>
        <v>1</v>
      </c>
      <c r="H23" s="1772">
        <f>SUM(H20:H22)</f>
        <v>5</v>
      </c>
      <c r="I23" s="1772">
        <f>SUM(I20:I22)</f>
        <v>5</v>
      </c>
      <c r="J23" s="1772">
        <f>SUM(J20:J22)</f>
        <v>0</v>
      </c>
      <c r="K23" s="1772">
        <f>SUM(K20:K22)</f>
        <v>0</v>
      </c>
      <c r="L23" s="1772">
        <f>SUM(L20:L22)</f>
        <v>6</v>
      </c>
      <c r="M23" s="1771">
        <f>SUM(M20:M22)</f>
        <v>0</v>
      </c>
      <c r="N23" s="1771">
        <f>SUM(N20:N22)</f>
        <v>1.66549125</v>
      </c>
      <c r="O23" s="1771" t="str">
        <f>IF(N($M23)=0,"-",ROUND($N23-$M23,6))</f>
        <v>-</v>
      </c>
      <c r="P23" s="1771">
        <f>SUM(P20:P22)</f>
        <v>1.66549125</v>
      </c>
      <c r="Q23" s="1771" t="str">
        <f>IF(N($M23)=0,"-",ROUND($P23-$M23,6))</f>
        <v>-</v>
      </c>
    </row>
    <row r="24">
      <c r="B24" s="1541" t="inlineStr">
        <is>
          <t>Total portfolio</t>
        </is>
      </c>
      <c r="C24" s="1541" t="n"/>
      <c r="D24" s="1541" t="n"/>
      <c r="E24" s="1785">
        <f>N(E12)+N(E15)+N(E18)+N(E23)</f>
        <v>25.5</v>
      </c>
      <c r="F24" s="1774">
        <f>N(F12)+N(F15)+N(F18)+N(F23)</f>
        <v>46</v>
      </c>
      <c r="G24" s="1774">
        <f>N(G12)+N(G15)+N(G18)+N(G23)</f>
        <v>32</v>
      </c>
      <c r="H24" s="1774">
        <f>N(H12)+N(H15)+N(H18)+N(H23)</f>
        <v>14</v>
      </c>
      <c r="I24" s="1774">
        <f>N(I12)+N(I15)+N(I18)+N(I23)</f>
        <v>14</v>
      </c>
      <c r="J24" s="1774">
        <f>N(J12)+N(J15)+N(J18)+N(J23)</f>
        <v>0</v>
      </c>
      <c r="K24" s="1774">
        <f>N(K12)+N(K15)+N(K18)+N(K23)</f>
        <v>0</v>
      </c>
      <c r="L24" s="1774">
        <f>N(L12)+N(L15)+N(L18)+N(L23)</f>
        <v>46</v>
      </c>
      <c r="M24" s="1773" t="str">
        <f>"-"</f>
        <v>-</v>
      </c>
      <c r="N24" s="1773">
        <f>N(N12)+N(N15)+N(N18)+N(N23)</f>
        <v>10.2009694824</v>
      </c>
      <c r="O24" s="1773" t="str">
        <f>"-"</f>
        <v>-</v>
      </c>
      <c r="P24" s="1773">
        <f>N(P12)+N(P15)+N(P18)+N(P23)</f>
        <v>10.2009694824</v>
      </c>
      <c r="Q24" s="1773" t="str">
        <f>"-"</f>
        <v>-</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TDD Group Functions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Cloud, Network &amp; Infra Ops</t>
        </is>
      </c>
      <c r="C31" s="1530" t="str">
        <f>COUNTA($B$32:$B$43)&amp;IF(COUNTA($B$32:$B$43)=1," role"," roles")</f>
        <v>12 roles</v>
      </c>
      <c r="D31" s="1530" t="n"/>
      <c r="E31" s="1530" t="n"/>
      <c r="F31" s="1786">
        <f>SUM(F32:F43)</f>
        <v>2826720.9564</v>
      </c>
      <c r="G31" s="1786">
        <f>SUM(G32:G43)</f>
        <v>2826720.9564</v>
      </c>
    </row>
    <row r="32">
      <c r="B32" s="1531" t="str">
        <f>INDEX('REVIEW - Complete Role Mapping'!$B:$B,468)</f>
        <v>C K Lau</v>
      </c>
      <c r="C32" s="1531" t="str">
        <f>INDEX('REVIEW - Complete Role Mapping'!$C:$C,468)</f>
        <v>Delivery Lead (Cloud &amp; Network)</v>
      </c>
      <c r="D32" s="1531" t="str">
        <f>INDEX('REVIEW - Complete Role Mapping'!$AK:$AK,468)</f>
        <v>Filled</v>
      </c>
      <c r="E32" s="1548" t="inlineStr">
        <is>
          <t>Filled</t>
        </is>
      </c>
      <c r="F32" s="1770">
        <f>INDEX('REVIEW - Complete Role Mapping'!$AA:$AA,468)</f>
        <v>249164.4</v>
      </c>
      <c r="G32" s="1770">
        <f>$F32*IFERROR(INDEX(Lists!$AD:$AD,MATCH($E32,Lists!$AC:$AC,0)),1)</f>
        <v>249164.4</v>
      </c>
    </row>
    <row r="33">
      <c r="B33" s="1531" t="str">
        <f>INDEX('REVIEW - Complete Role Mapping'!$B:$B,469)</f>
        <v>Fan Zhang</v>
      </c>
      <c r="C33" s="1531" t="str">
        <f>INDEX('REVIEW - Complete Role Mapping'!$C:$C,469)</f>
        <v>Infrastructure Engineer</v>
      </c>
      <c r="D33" s="1531" t="str">
        <f>INDEX('REVIEW - Complete Role Mapping'!$AK:$AK,469)</f>
        <v>Filled</v>
      </c>
      <c r="E33" s="1548" t="inlineStr">
        <is>
          <t>Filled</t>
        </is>
      </c>
      <c r="F33" s="1770">
        <f>INDEX('REVIEW - Complete Role Mapping'!$AA:$AA,469)</f>
        <v>133812.3564</v>
      </c>
      <c r="G33" s="1770">
        <f>$F33*IFERROR(INDEX(Lists!$AD:$AD,MATCH($E33,Lists!$AC:$AC,0)),1)</f>
        <v>133812.3564</v>
      </c>
    </row>
    <row r="34">
      <c r="B34" s="1531" t="str">
        <f>INDEX('REVIEW - Complete Role Mapping'!$B:$B,470)</f>
        <v>Jason Satoso</v>
      </c>
      <c r="C34" s="1531" t="str">
        <f>INDEX('REVIEW - Complete Role Mapping'!$C:$C,470)</f>
        <v>Cloud Operations Engineer</v>
      </c>
      <c r="D34" s="1531" t="str">
        <f>INDEX('REVIEW - Complete Role Mapping'!$AK:$AK,470)</f>
        <v>Filled</v>
      </c>
      <c r="E34" s="1548" t="inlineStr">
        <is>
          <t>Filled</t>
        </is>
      </c>
      <c r="F34" s="1770">
        <f>INDEX('REVIEW - Complete Role Mapping'!$AA:$AA,470)</f>
        <v>206190.75</v>
      </c>
      <c r="G34" s="1770">
        <f>$F34*IFERROR(INDEX(Lists!$AD:$AD,MATCH($E34,Lists!$AC:$AC,0)),1)</f>
        <v>206190.75</v>
      </c>
    </row>
    <row r="35">
      <c r="B35" s="1531" t="str">
        <f>INDEX('REVIEW - Complete Role Mapping'!$B:$B,471)</f>
        <v>John McCormack</v>
      </c>
      <c r="C35" s="1531" t="str">
        <f>INDEX('REVIEW - Complete Role Mapping'!$C:$C,471)</f>
        <v>Manager - Infrastructure Operations</v>
      </c>
      <c r="D35" s="1531" t="str">
        <f>INDEX('REVIEW - Complete Role Mapping'!$AK:$AK,471)</f>
        <v>Filled</v>
      </c>
      <c r="E35" s="1548" t="inlineStr">
        <is>
          <t>Filled</t>
        </is>
      </c>
      <c r="F35" s="1770">
        <f>INDEX('REVIEW - Complete Role Mapping'!$AA:$AA,471)</f>
        <v>246494.4</v>
      </c>
      <c r="G35" s="1770">
        <f>$F35*IFERROR(INDEX(Lists!$AD:$AD,MATCH($E35,Lists!$AC:$AC,0)),1)</f>
        <v>246494.4</v>
      </c>
    </row>
    <row r="36">
      <c r="B36" s="1531" t="str">
        <f>INDEX('REVIEW - Complete Role Mapping'!$B:$B,472)</f>
        <v>Muhammad Abubaker</v>
      </c>
      <c r="C36" s="1531" t="str">
        <f>INDEX('REVIEW - Complete Role Mapping'!$C:$C,472)</f>
        <v>Network Operations Engineer</v>
      </c>
      <c r="D36" s="1531" t="str">
        <f>INDEX('REVIEW - Complete Role Mapping'!$AK:$AK,472)</f>
        <v>Filled</v>
      </c>
      <c r="E36" s="1548" t="inlineStr">
        <is>
          <t>Filled</t>
        </is>
      </c>
      <c r="F36" s="1770">
        <f>INDEX('REVIEW - Complete Role Mapping'!$AA:$AA,472)</f>
        <v>217658.4</v>
      </c>
      <c r="G36" s="1770">
        <f>$F36*IFERROR(INDEX(Lists!$AD:$AD,MATCH($E36,Lists!$AC:$AC,0)),1)</f>
        <v>217658.4</v>
      </c>
    </row>
    <row r="37">
      <c r="B37" s="1531" t="str">
        <f>INDEX('REVIEW - Complete Role Mapping'!$B:$B,473)</f>
        <v>Ring fenced selection</v>
      </c>
      <c r="C37" s="1531" t="str">
        <f>INDEX('REVIEW - Complete Role Mapping'!$C:$C,473)</f>
        <v>Cloud Solutions Architect</v>
      </c>
      <c r="D37" s="1531" t="str">
        <f>INDEX('REVIEW - Complete Role Mapping'!$AK:$AK,473)</f>
        <v>Filled</v>
      </c>
      <c r="E37" s="1548" t="inlineStr">
        <is>
          <t>Filled</t>
        </is>
      </c>
      <c r="F37" s="1770">
        <f>INDEX('REVIEW - Complete Role Mapping'!$AA:$AA,473)</f>
        <v>267000</v>
      </c>
      <c r="G37" s="1770">
        <f>$F37*IFERROR(INDEX(Lists!$AD:$AD,MATCH($E37,Lists!$AC:$AC,0)),1)</f>
        <v>267000</v>
      </c>
    </row>
    <row r="38">
      <c r="B38" s="1531" t="str">
        <f>INDEX('REVIEW - Complete Role Mapping'!$B:$B,474)</f>
        <v>Ring fenced selection</v>
      </c>
      <c r="C38" s="1531" t="str">
        <f>INDEX('REVIEW - Complete Role Mapping'!$C:$C,474)</f>
        <v>Cloud Solutions Architect</v>
      </c>
      <c r="D38" s="1531" t="str">
        <f>INDEX('REVIEW - Complete Role Mapping'!$AK:$AK,474)</f>
        <v>Filled</v>
      </c>
      <c r="E38" s="1548" t="inlineStr">
        <is>
          <t>Filled</t>
        </is>
      </c>
      <c r="F38" s="1770">
        <f>INDEX('REVIEW - Complete Role Mapping'!$AA:$AA,474)</f>
        <v>267000</v>
      </c>
      <c r="G38" s="1770">
        <f>$F38*IFERROR(INDEX(Lists!$AD:$AD,MATCH($E38,Lists!$AC:$AC,0)),1)</f>
        <v>267000</v>
      </c>
    </row>
    <row r="39">
      <c r="B39" s="1531" t="str">
        <f>INDEX('REVIEW - Complete Role Mapping'!$B:$B,475)</f>
        <v>Ring fenced selection</v>
      </c>
      <c r="C39" s="1531" t="str">
        <f>INDEX('REVIEW - Complete Role Mapping'!$C:$C,475)</f>
        <v>Cloud Solutions Architect</v>
      </c>
      <c r="D39" s="1531" t="str">
        <f>INDEX('REVIEW - Complete Role Mapping'!$AK:$AK,475)</f>
        <v>Filled</v>
      </c>
      <c r="E39" s="1548" t="inlineStr">
        <is>
          <t>Filled</t>
        </is>
      </c>
      <c r="F39" s="1770">
        <f>INDEX('REVIEW - Complete Role Mapping'!$AA:$AA,475)</f>
        <v>267000</v>
      </c>
      <c r="G39" s="1770">
        <f>$F39*IFERROR(INDEX(Lists!$AD:$AD,MATCH($E39,Lists!$AC:$AC,0)),1)</f>
        <v>267000</v>
      </c>
    </row>
    <row r="40">
      <c r="B40" s="1531" t="str">
        <f>INDEX('REVIEW - Complete Role Mapping'!$B:$B,476)</f>
        <v>Ring fenced selection</v>
      </c>
      <c r="C40" s="1531" t="str">
        <f>INDEX('REVIEW - Complete Role Mapping'!$C:$C,476)</f>
        <v>Cloud Solutions Architect</v>
      </c>
      <c r="D40" s="1531" t="str">
        <f>INDEX('REVIEW - Complete Role Mapping'!$AK:$AK,476)</f>
        <v>Filled</v>
      </c>
      <c r="E40" s="1548" t="inlineStr">
        <is>
          <t>Filled</t>
        </is>
      </c>
      <c r="F40" s="1770">
        <f>INDEX('REVIEW - Complete Role Mapping'!$AA:$AA,476)</f>
        <v>267000</v>
      </c>
      <c r="G40" s="1770">
        <f>$F40*IFERROR(INDEX(Lists!$AD:$AD,MATCH($E40,Lists!$AC:$AC,0)),1)</f>
        <v>267000</v>
      </c>
    </row>
    <row r="41">
      <c r="B41" s="1531" t="str">
        <f>INDEX('REVIEW - Complete Role Mapping'!$B:$B,477)</f>
        <v>Satish Chowdhary</v>
      </c>
      <c r="C41" s="1531" t="str">
        <f>INDEX('REVIEW - Complete Role Mapping'!$C:$C,477)</f>
        <v>Nework Architect</v>
      </c>
      <c r="D41" s="1531" t="str">
        <f>INDEX('REVIEW - Complete Role Mapping'!$AK:$AK,477)</f>
        <v>Filled</v>
      </c>
      <c r="E41" s="1548" t="inlineStr">
        <is>
          <t>Filled</t>
        </is>
      </c>
      <c r="F41" s="1770">
        <f>INDEX('REVIEW - Complete Role Mapping'!$AA:$AA,477)</f>
        <v>259123.5</v>
      </c>
      <c r="G41" s="1770">
        <f>$F41*IFERROR(INDEX(Lists!$AD:$AD,MATCH($E41,Lists!$AC:$AC,0)),1)</f>
        <v>259123.5</v>
      </c>
    </row>
    <row r="42">
      <c r="B42" s="1531" t="str">
        <f>INDEX('REVIEW - Complete Role Mapping'!$B:$B,478)</f>
        <v>Steven Yong</v>
      </c>
      <c r="C42" s="1531" t="str">
        <f>INDEX('REVIEW - Complete Role Mapping'!$C:$C,478)</f>
        <v>Nework Architect</v>
      </c>
      <c r="D42" s="1531" t="str">
        <f>INDEX('REVIEW - Complete Role Mapping'!$AK:$AK,478)</f>
        <v>Filled</v>
      </c>
      <c r="E42" s="1548" t="inlineStr">
        <is>
          <t>Filled</t>
        </is>
      </c>
      <c r="F42" s="1770">
        <f>INDEX('REVIEW - Complete Role Mapping'!$AA:$AA,478)</f>
        <v>243423.9</v>
      </c>
      <c r="G42" s="1770">
        <f>$F42*IFERROR(INDEX(Lists!$AD:$AD,MATCH($E42,Lists!$AC:$AC,0)),1)</f>
        <v>243423.9</v>
      </c>
    </row>
    <row r="43">
      <c r="B43" s="1531" t="str">
        <f>INDEX('REVIEW - Complete Role Mapping'!$B:$B,513)</f>
        <v>Vacant</v>
      </c>
      <c r="C43" s="1531" t="str">
        <f>INDEX('REVIEW - Complete Role Mapping'!$C:$C,513)</f>
        <v>Infrastructure Operations Lead</v>
      </c>
      <c r="D43" s="1531" t="str">
        <f>INDEX('REVIEW - Complete Role Mapping'!$AK:$AK,513)</f>
        <v>Vacant</v>
      </c>
      <c r="E43" s="1548" t="inlineStr">
        <is>
          <t>Hire</t>
        </is>
      </c>
      <c r="F43" s="1770">
        <f>INDEX('REVIEW - Complete Role Mapping'!$AA:$AA,513)</f>
        <v>202853.25</v>
      </c>
      <c r="G43" s="1770">
        <f>$F43*IFERROR(INDEX(Lists!$AD:$AD,MATCH($E43,Lists!$AC:$AC,0)),1)</f>
        <v>202853.25</v>
      </c>
    </row>
    <row r="44">
      <c r="B44" s="1530" t="inlineStr">
        <is>
          <t>DevOps &amp; QE</t>
        </is>
      </c>
      <c r="C44" s="1530" t="str">
        <f>COUNTA($B$45:$B$52)&amp;IF(COUNTA($B$45:$B$52)=1," role"," roles")</f>
        <v>8 roles</v>
      </c>
      <c r="D44" s="1530" t="n"/>
      <c r="E44" s="1530" t="n"/>
      <c r="F44" s="1786">
        <f>SUM(F45:F52)</f>
        <v>1581591.798</v>
      </c>
      <c r="G44" s="1786">
        <f>SUM(G45:G52)</f>
        <v>1581591.798</v>
      </c>
    </row>
    <row r="45">
      <c r="B45" s="1531" t="str">
        <f>INDEX('REVIEW - Complete Role Mapping'!$B:$B,479)</f>
        <v>Lucas Wang</v>
      </c>
      <c r="C45" s="1531" t="str">
        <f>INDEX('REVIEW - Complete Role Mapping'!$C:$C,479)</f>
        <v>Senior Engineer (Automation Test)</v>
      </c>
      <c r="D45" s="1531" t="str">
        <f>INDEX('REVIEW - Complete Role Mapping'!$AK:$AK,479)</f>
        <v>Filled</v>
      </c>
      <c r="E45" s="1548" t="inlineStr">
        <is>
          <t>Filled</t>
        </is>
      </c>
      <c r="F45" s="1770">
        <f>INDEX('REVIEW - Complete Role Mapping'!$AA:$AA,479)</f>
        <v>194522.85</v>
      </c>
      <c r="G45" s="1770">
        <f>$F45*IFERROR(INDEX(Lists!$AD:$AD,MATCH($E45,Lists!$AC:$AC,0)),1)</f>
        <v>194522.85</v>
      </c>
    </row>
    <row r="46">
      <c r="B46" s="1531" t="str">
        <f>INDEX('REVIEW - Complete Role Mapping'!$B:$B,480)</f>
        <v>Luke Hamer</v>
      </c>
      <c r="C46" s="1531" t="str">
        <f>INDEX('REVIEW - Complete Role Mapping'!$C:$C,480)</f>
        <v>Lead Engineer - Devops</v>
      </c>
      <c r="D46" s="1531" t="str">
        <f>INDEX('REVIEW - Complete Role Mapping'!$AK:$AK,480)</f>
        <v>Filled</v>
      </c>
      <c r="E46" s="1548" t="inlineStr">
        <is>
          <t>Filled</t>
        </is>
      </c>
      <c r="F46" s="1770">
        <f>INDEX('REVIEW - Complete Role Mapping'!$AA:$AA,480)</f>
        <v>183060.72</v>
      </c>
      <c r="G46" s="1770">
        <f>$F46*IFERROR(INDEX(Lists!$AD:$AD,MATCH($E46,Lists!$AC:$AC,0)),1)</f>
        <v>183060.72</v>
      </c>
    </row>
    <row r="47">
      <c r="B47" s="1531" t="str">
        <f>INDEX('REVIEW - Complete Role Mapping'!$B:$B,481)</f>
        <v>Mike Lealamanu</v>
      </c>
      <c r="C47" s="1531" t="str">
        <f>INDEX('REVIEW - Complete Role Mapping'!$C:$C,481)</f>
        <v>Quality Assurance</v>
      </c>
      <c r="D47" s="1531" t="str">
        <f>INDEX('REVIEW - Complete Role Mapping'!$AK:$AK,481)</f>
        <v>Filled</v>
      </c>
      <c r="E47" s="1548" t="inlineStr">
        <is>
          <t>Filled</t>
        </is>
      </c>
      <c r="F47" s="1770">
        <f>INDEX('REVIEW - Complete Role Mapping'!$AA:$AA,481)</f>
        <v>133983.228</v>
      </c>
      <c r="G47" s="1770">
        <f>$F47*IFERROR(INDEX(Lists!$AD:$AD,MATCH($E47,Lists!$AC:$AC,0)),1)</f>
        <v>133983.228</v>
      </c>
    </row>
    <row r="48">
      <c r="B48" s="1531" t="str">
        <f>INDEX('REVIEW - Complete Role Mapping'!$B:$B,482)</f>
        <v>Sunny Arya</v>
      </c>
      <c r="C48" s="1531" t="str">
        <f>INDEX('REVIEW - Complete Role Mapping'!$C:$C,482)</f>
        <v>Lead Engineer, Devops</v>
      </c>
      <c r="D48" s="1531" t="str">
        <f>INDEX('REVIEW - Complete Role Mapping'!$AK:$AK,482)</f>
        <v>Filled</v>
      </c>
      <c r="E48" s="1548" t="inlineStr">
        <is>
          <t>Filled</t>
        </is>
      </c>
      <c r="F48" s="1770">
        <f>INDEX('REVIEW - Complete Role Mapping'!$AA:$AA,482)</f>
        <v>200940</v>
      </c>
      <c r="G48" s="1770">
        <f>$F48*IFERROR(INDEX(Lists!$AD:$AD,MATCH($E48,Lists!$AC:$AC,0)),1)</f>
        <v>200940</v>
      </c>
    </row>
    <row r="49">
      <c r="B49" s="1531" t="str">
        <f>INDEX('REVIEW - Complete Role Mapping'!$B:$B,515)</f>
        <v>Vacant</v>
      </c>
      <c r="C49" s="1531" t="str">
        <f>INDEX('REVIEW - Complete Role Mapping'!$C:$C,515)</f>
        <v>Senior Engineer (Automation Test)</v>
      </c>
      <c r="D49" s="1531" t="str">
        <f>INDEX('REVIEW - Complete Role Mapping'!$AK:$AK,515)</f>
        <v>Vacant</v>
      </c>
      <c r="E49" s="1548" t="inlineStr">
        <is>
          <t>Hire</t>
        </is>
      </c>
      <c r="F49" s="1770">
        <f>INDEX('REVIEW - Complete Role Mapping'!$AA:$AA,515)</f>
        <v>202853.25</v>
      </c>
      <c r="G49" s="1770">
        <f>$F49*IFERROR(INDEX(Lists!$AD:$AD,MATCH($E49,Lists!$AC:$AC,0)),1)</f>
        <v>202853.25</v>
      </c>
    </row>
    <row r="50">
      <c r="B50" s="1531" t="str">
        <f>INDEX('REVIEW - Complete Role Mapping'!$B:$B,520)</f>
        <v>Vacant</v>
      </c>
      <c r="C50" s="1531" t="str">
        <f>INDEX('REVIEW - Complete Role Mapping'!$C:$C,520)</f>
        <v>Environments and Test Data Manager</v>
      </c>
      <c r="D50" s="1531" t="str">
        <f>INDEX('REVIEW - Complete Role Mapping'!$AK:$AK,520)</f>
        <v>Vacant</v>
      </c>
      <c r="E50" s="1548" t="inlineStr">
        <is>
          <t>Hire</t>
        </is>
      </c>
      <c r="F50" s="1770">
        <f>INDEX('REVIEW - Complete Role Mapping'!$AA:$AA,520)</f>
        <v>202853.25</v>
      </c>
      <c r="G50" s="1770">
        <f>$F50*IFERROR(INDEX(Lists!$AD:$AD,MATCH($E50,Lists!$AC:$AC,0)),1)</f>
        <v>202853.25</v>
      </c>
    </row>
    <row r="51">
      <c r="B51" s="1531" t="str">
        <f>INDEX('REVIEW - Complete Role Mapping'!$B:$B,521)</f>
        <v>Vacant</v>
      </c>
      <c r="C51" s="1531" t="str">
        <f>INDEX('REVIEW - Complete Role Mapping'!$C:$C,521)</f>
        <v>Lead Engineer (Automation Test)</v>
      </c>
      <c r="D51" s="1531" t="str">
        <f>INDEX('REVIEW - Complete Role Mapping'!$AK:$AK,521)</f>
        <v>Vacant</v>
      </c>
      <c r="E51" s="1548" t="inlineStr">
        <is>
          <t>Hire</t>
        </is>
      </c>
      <c r="F51" s="1770">
        <f>INDEX('REVIEW - Complete Role Mapping'!$AA:$AA,521)</f>
        <v>231689.25</v>
      </c>
      <c r="G51" s="1770">
        <f>$F51*IFERROR(INDEX(Lists!$AD:$AD,MATCH($E51,Lists!$AC:$AC,0)),1)</f>
        <v>231689.25</v>
      </c>
    </row>
    <row r="52">
      <c r="B52" s="1531" t="str">
        <f>INDEX('REVIEW - Complete Role Mapping'!$B:$B,522)</f>
        <v>Vacant</v>
      </c>
      <c r="C52" s="1531" t="str">
        <f>INDEX('REVIEW - Complete Role Mapping'!$C:$C,522)</f>
        <v>Lead Engineer Software</v>
      </c>
      <c r="D52" s="1531" t="str">
        <f>INDEX('REVIEW - Complete Role Mapping'!$AK:$AK,522)</f>
        <v>Vacant</v>
      </c>
      <c r="E52" s="1548" t="inlineStr">
        <is>
          <t>Hire</t>
        </is>
      </c>
      <c r="F52" s="1770">
        <f>INDEX('REVIEW - Complete Role Mapping'!$AA:$AA,522)</f>
        <v>231689.25</v>
      </c>
      <c r="G52" s="1770">
        <f>$F52*IFERROR(INDEX(Lists!$AD:$AD,MATCH($E52,Lists!$AC:$AC,0)),1)</f>
        <v>231689.25</v>
      </c>
    </row>
    <row r="53">
      <c r="B53" s="1530" t="inlineStr">
        <is>
          <t>EGI TDD</t>
        </is>
      </c>
      <c r="C53" s="1530" t="str">
        <f>COUNTA($B$54:$B$57)&amp;IF(COUNTA($B$54:$B$57)=1," role"," roles")</f>
        <v>4 roles</v>
      </c>
      <c r="D53" s="1530" t="n"/>
      <c r="E53" s="1530" t="n"/>
      <c r="F53" s="1786">
        <f>SUM(F54:F57)</f>
        <v>1024848.51</v>
      </c>
      <c r="G53" s="1786">
        <f>SUM(G54:G57)</f>
        <v>1024848.51</v>
      </c>
    </row>
    <row r="54">
      <c r="B54" s="1531" t="str">
        <f>INDEX('REVIEW - Complete Role Mapping'!$B:$B,449)</f>
        <v>Anjali Patra</v>
      </c>
      <c r="C54" s="1531" t="str">
        <f>INDEX('REVIEW - Complete Role Mapping'!$C:$C,449)</f>
        <v>Delivery Lead - EGI</v>
      </c>
      <c r="D54" s="1531" t="str">
        <f>INDEX('REVIEW - Complete Role Mapping'!$AK:$AK,449)</f>
        <v>Filled</v>
      </c>
      <c r="E54" s="1548" t="inlineStr">
        <is>
          <t>Filled</t>
        </is>
      </c>
      <c r="F54" s="1770">
        <f>INDEX('REVIEW - Complete Role Mapping'!$AA:$AA,449)</f>
        <v>210996.75</v>
      </c>
      <c r="G54" s="1770">
        <f>$F54*IFERROR(INDEX(Lists!$AD:$AD,MATCH($E54,Lists!$AC:$AC,0)),1)</f>
        <v>210996.75</v>
      </c>
    </row>
    <row r="55">
      <c r="B55" s="1531" t="str">
        <f>INDEX('REVIEW - Complete Role Mapping'!$B:$B,450)</f>
        <v>Arun Tahlan</v>
      </c>
      <c r="C55" s="1531" t="str">
        <f>INDEX('REVIEW - Complete Role Mapping'!$C:$C,450)</f>
        <v>Integration Architect (C) - Boomi</v>
      </c>
      <c r="D55" s="1531" t="str">
        <f>INDEX('REVIEW - Complete Role Mapping'!$AK:$AK,450)</f>
        <v>Filled</v>
      </c>
      <c r="E55" s="1548" t="inlineStr">
        <is>
          <t>Filled</t>
        </is>
      </c>
      <c r="F55" s="1770">
        <f>INDEX('REVIEW - Complete Role Mapping'!$AA:$AA,450)</f>
        <v>348096</v>
      </c>
      <c r="G55" s="1770">
        <f>$F55*IFERROR(INDEX(Lists!$AD:$AD,MATCH($E55,Lists!$AC:$AC,0)),1)</f>
        <v>348096</v>
      </c>
    </row>
    <row r="56">
      <c r="B56" s="1531" t="str">
        <f>INDEX('REVIEW - Complete Role Mapping'!$B:$B,451)</f>
        <v>Shobhit Mittal</v>
      </c>
      <c r="C56" s="1531" t="str">
        <f>INDEX('REVIEW - Complete Role Mapping'!$C:$C,451)</f>
        <v>Lead Engineer - Automation Test</v>
      </c>
      <c r="D56" s="1531" t="str">
        <f>INDEX('REVIEW - Complete Role Mapping'!$AK:$AK,451)</f>
        <v>Filled</v>
      </c>
      <c r="E56" s="1548" t="inlineStr">
        <is>
          <t>Filled</t>
        </is>
      </c>
      <c r="F56" s="1770">
        <f>INDEX('REVIEW - Complete Role Mapping'!$AA:$AA,451)</f>
        <v>199355.76</v>
      </c>
      <c r="G56" s="1770">
        <f>$F56*IFERROR(INDEX(Lists!$AD:$AD,MATCH($E56,Lists!$AC:$AC,0)),1)</f>
        <v>199355.76</v>
      </c>
    </row>
    <row r="57">
      <c r="B57" s="1531" t="str">
        <f>INDEX('REVIEW - Complete Role Mapping'!$B:$B,452)</f>
        <v>Kris Thornley</v>
      </c>
      <c r="C57" s="1531" t="str">
        <f>INDEX('REVIEW - Complete Role Mapping'!$C:$C,452)</f>
        <v>Integration Architect (C)</v>
      </c>
      <c r="D57" s="1531" t="str">
        <f>INDEX('REVIEW - Complete Role Mapping'!$AK:$AK,452)</f>
        <v>Filled</v>
      </c>
      <c r="E57" s="1548" t="inlineStr">
        <is>
          <t>Filled</t>
        </is>
      </c>
      <c r="F57" s="1770">
        <f>INDEX('REVIEW - Complete Role Mapping'!$AA:$AA,452)</f>
        <v>266400</v>
      </c>
      <c r="G57" s="1770">
        <f>$F57*IFERROR(INDEX(Lists!$AD:$AD,MATCH($E57,Lists!$AC:$AC,0)),1)</f>
        <v>266400</v>
      </c>
    </row>
    <row r="58">
      <c r="B58" s="1530" t="inlineStr">
        <is>
          <t>Integration &amp; Process Automation</t>
        </is>
      </c>
      <c r="C58" s="1530" t="str">
        <f>COUNTA($B$59:$B$68)&amp;IF(COUNTA($B$59:$B$68)=1," role"," roles")</f>
        <v>10 roles</v>
      </c>
      <c r="D58" s="1530" t="n"/>
      <c r="E58" s="1530" t="n"/>
      <c r="F58" s="1786">
        <f>SUM(F59:F68)</f>
        <v>1984987.746</v>
      </c>
      <c r="G58" s="1786">
        <f>SUM(G59:G68)</f>
        <v>1984987.746</v>
      </c>
    </row>
    <row r="59">
      <c r="B59" s="1531" t="str">
        <f>INDEX('REVIEW - Complete Role Mapping'!$B:$B,483)</f>
        <v>Archana Chetiwal</v>
      </c>
      <c r="C59" s="1531" t="str">
        <f>INDEX('REVIEW - Complete Role Mapping'!$C:$C,483)</f>
        <v>Snr Engineer</v>
      </c>
      <c r="D59" s="1531" t="str">
        <f>INDEX('REVIEW - Complete Role Mapping'!$AK:$AK,483)</f>
        <v>Filled</v>
      </c>
      <c r="E59" s="1548" t="inlineStr">
        <is>
          <t>Filled</t>
        </is>
      </c>
      <c r="F59" s="1770">
        <f>INDEX('REVIEW - Complete Role Mapping'!$AA:$AA,483)</f>
        <v>186900</v>
      </c>
      <c r="G59" s="1770">
        <f>$F59*IFERROR(INDEX(Lists!$AD:$AD,MATCH($E59,Lists!$AC:$AC,0)),1)</f>
        <v>186900</v>
      </c>
    </row>
    <row r="60">
      <c r="B60" s="1531" t="str">
        <f>INDEX('REVIEW - Complete Role Mapping'!$B:$B,484)</f>
        <v>Bala Thiruvadi</v>
      </c>
      <c r="C60" s="1531" t="str">
        <f>INDEX('REVIEW - Complete Role Mapping'!$C:$C,484)</f>
        <v>Integration Architect - Boomi</v>
      </c>
      <c r="D60" s="1531" t="str">
        <f>INDEX('REVIEW - Complete Role Mapping'!$AK:$AK,484)</f>
        <v>Filled</v>
      </c>
      <c r="E60" s="1548" t="inlineStr">
        <is>
          <t>Filled</t>
        </is>
      </c>
      <c r="F60" s="1770">
        <f>INDEX('REVIEW - Complete Role Mapping'!$AA:$AA,484)</f>
        <v>271902.12</v>
      </c>
      <c r="G60" s="1770">
        <f>$F60*IFERROR(INDEX(Lists!$AD:$AD,MATCH($E60,Lists!$AC:$AC,0)),1)</f>
        <v>271902.12</v>
      </c>
    </row>
    <row r="61">
      <c r="B61" s="1531" t="str">
        <f>INDEX('REVIEW - Complete Role Mapping'!$B:$B,485)</f>
        <v>Joel Krijnen</v>
      </c>
      <c r="C61" s="1531" t="str">
        <f>INDEX('REVIEW - Complete Role Mapping'!$C:$C,485)</f>
        <v>Lead Engineer Software</v>
      </c>
      <c r="D61" s="1531" t="str">
        <f>INDEX('REVIEW - Complete Role Mapping'!$AK:$AK,485)</f>
        <v>Filled</v>
      </c>
      <c r="E61" s="1548" t="inlineStr">
        <is>
          <t>Filled</t>
        </is>
      </c>
      <c r="F61" s="1770">
        <f>INDEX('REVIEW - Complete Role Mapping'!$AA:$AA,485)</f>
        <v>178115.628</v>
      </c>
      <c r="G61" s="1770">
        <f>$F61*IFERROR(INDEX(Lists!$AD:$AD,MATCH($E61,Lists!$AC:$AC,0)),1)</f>
        <v>178115.628</v>
      </c>
    </row>
    <row r="62">
      <c r="B62" s="1531" t="str">
        <f>INDEX('REVIEW - Complete Role Mapping'!$B:$B,486)</f>
        <v>Lisa Rademakers</v>
      </c>
      <c r="C62" s="1531" t="str">
        <f>INDEX('REVIEW - Complete Role Mapping'!$C:$C,486)</f>
        <v>Delivery Lead (Integrations)</v>
      </c>
      <c r="D62" s="1531" t="str">
        <f>INDEX('REVIEW - Complete Role Mapping'!$AK:$AK,486)</f>
        <v>Filled</v>
      </c>
      <c r="E62" s="1548" t="inlineStr">
        <is>
          <t>Filled</t>
        </is>
      </c>
      <c r="F62" s="1770">
        <f>INDEX('REVIEW - Complete Role Mapping'!$AA:$AA,486)</f>
        <v>202320.552</v>
      </c>
      <c r="G62" s="1770">
        <f>$F62*IFERROR(INDEX(Lists!$AD:$AD,MATCH($E62,Lists!$AC:$AC,0)),1)</f>
        <v>202320.552</v>
      </c>
    </row>
    <row r="63">
      <c r="B63" s="1531" t="str">
        <f>INDEX('REVIEW - Complete Role Mapping'!$B:$B,487)</f>
        <v>Michael Weng</v>
      </c>
      <c r="C63" s="1531" t="str">
        <f>INDEX('REVIEW - Complete Role Mapping'!$C:$C,487)</f>
        <v>Solution Architect</v>
      </c>
      <c r="D63" s="1531" t="str">
        <f>INDEX('REVIEW - Complete Role Mapping'!$AK:$AK,487)</f>
        <v>Filled</v>
      </c>
      <c r="E63" s="1548" t="inlineStr">
        <is>
          <t>Filled</t>
        </is>
      </c>
      <c r="F63" s="1770">
        <f>INDEX('REVIEW - Complete Role Mapping'!$AA:$AA,487)</f>
        <v>216227.916</v>
      </c>
      <c r="G63" s="1770">
        <f>$F63*IFERROR(INDEX(Lists!$AD:$AD,MATCH($E63,Lists!$AC:$AC,0)),1)</f>
        <v>216227.916</v>
      </c>
    </row>
    <row r="64">
      <c r="B64" s="1531" t="str">
        <f>INDEX('REVIEW - Complete Role Mapping'!$B:$B,489)</f>
        <v>Noel Morris</v>
      </c>
      <c r="C64" s="1531" t="str">
        <f>INDEX('REVIEW - Complete Role Mapping'!$C:$C,489)</f>
        <v>Snr Engineer</v>
      </c>
      <c r="D64" s="1531" t="str">
        <f>INDEX('REVIEW - Complete Role Mapping'!$AK:$AK,489)</f>
        <v>Filled</v>
      </c>
      <c r="E64" s="1548" t="inlineStr">
        <is>
          <t>Filled</t>
        </is>
      </c>
      <c r="F64" s="1770">
        <f>INDEX('REVIEW - Complete Role Mapping'!$AA:$AA,489)</f>
        <v>139607.28</v>
      </c>
      <c r="G64" s="1770">
        <f>$F64*IFERROR(INDEX(Lists!$AD:$AD,MATCH($E64,Lists!$AC:$AC,0)),1)</f>
        <v>139607.28</v>
      </c>
    </row>
    <row r="65">
      <c r="B65" s="1531" t="str">
        <f>INDEX('REVIEW - Complete Role Mapping'!$B:$B,490)</f>
        <v>Thandava Krishna Kakarala</v>
      </c>
      <c r="C65" s="1531" t="str">
        <f>INDEX('REVIEW - Complete Role Mapping'!$C:$C,490)</f>
        <v>Snr Engineer - Boomi</v>
      </c>
      <c r="D65" s="1531" t="str">
        <f>INDEX('REVIEW - Complete Role Mapping'!$AK:$AK,490)</f>
        <v>Filled</v>
      </c>
      <c r="E65" s="1548" t="inlineStr">
        <is>
          <t>Filled</t>
        </is>
      </c>
      <c r="F65" s="1770">
        <f>INDEX('REVIEW - Complete Role Mapping'!$AA:$AA,490)</f>
        <v>186900</v>
      </c>
      <c r="G65" s="1770">
        <f>$F65*IFERROR(INDEX(Lists!$AD:$AD,MATCH($E65,Lists!$AC:$AC,0)),1)</f>
        <v>186900</v>
      </c>
    </row>
    <row r="66">
      <c r="B66" s="1531" t="str">
        <f>INDEX('REVIEW - Complete Role Mapping'!$B:$B,491)</f>
        <v>Nidhi Aggarwal</v>
      </c>
      <c r="C66" s="1531" t="str">
        <f>INDEX('REVIEW - Complete Role Mapping'!$C:$C,491)</f>
        <v>Snr Engineer - Boomi</v>
      </c>
      <c r="D66" s="1531" t="str">
        <f>INDEX('REVIEW - Complete Role Mapping'!$AK:$AK,491)</f>
        <v>Filled</v>
      </c>
      <c r="E66" s="1548" t="inlineStr">
        <is>
          <t>Filled</t>
        </is>
      </c>
      <c r="F66" s="1770">
        <f>INDEX('REVIEW - Complete Role Mapping'!$AA:$AA,491)</f>
        <v>169740</v>
      </c>
      <c r="G66" s="1770">
        <f>$F66*IFERROR(INDEX(Lists!$AD:$AD,MATCH($E66,Lists!$AC:$AC,0)),1)</f>
        <v>169740</v>
      </c>
    </row>
    <row r="67">
      <c r="B67" s="1531" t="str">
        <f>INDEX('REVIEW - Complete Role Mapping'!$B:$B,514)</f>
        <v>Vacant</v>
      </c>
      <c r="C67" s="1531" t="str">
        <f>INDEX('REVIEW - Complete Role Mapping'!$C:$C,514)</f>
        <v>RPA Lead</v>
      </c>
      <c r="D67" s="1531" t="str">
        <f>INDEX('REVIEW - Complete Role Mapping'!$AK:$AK,514)</f>
        <v>Vacant</v>
      </c>
      <c r="E67" s="1548" t="inlineStr">
        <is>
          <t>Hire</t>
        </is>
      </c>
      <c r="F67" s="1770">
        <f>INDEX('REVIEW - Complete Role Mapping'!$AA:$AA,514)</f>
        <v>231689.25</v>
      </c>
      <c r="G67" s="1770">
        <f>$F67*IFERROR(INDEX(Lists!$AD:$AD,MATCH($E67,Lists!$AC:$AC,0)),1)</f>
        <v>231689.25</v>
      </c>
    </row>
    <row r="68">
      <c r="B68" s="1531" t="str">
        <f>INDEX('REVIEW - Complete Role Mapping'!$B:$B,516)</f>
        <v>Vacant</v>
      </c>
      <c r="C68" s="1531" t="str">
        <f>INDEX('REVIEW - Complete Role Mapping'!$C:$C,516)</f>
        <v>Business Analyst (Integrations)</v>
      </c>
      <c r="D68" s="1531" t="str">
        <f>INDEX('REVIEW - Complete Role Mapping'!$AK:$AK,516)</f>
        <v>Vacant</v>
      </c>
      <c r="E68" s="1548" t="inlineStr">
        <is>
          <t>Hire</t>
        </is>
      </c>
      <c r="F68" s="1770">
        <f>INDEX('REVIEW - Complete Role Mapping'!$AA:$AA,516)</f>
        <v>201585</v>
      </c>
      <c r="G68" s="1770">
        <f>$F68*IFERROR(INDEX(Lists!$AD:$AD,MATCH($E68,Lists!$AC:$AC,0)),1)</f>
        <v>201585</v>
      </c>
    </row>
    <row r="69">
      <c r="B69" s="1530" t="inlineStr">
        <is>
          <t>Workplace &amp; Enterprise Tooling</t>
        </is>
      </c>
      <c r="C69" s="1530" t="str">
        <f>COUNTA($B$70:$B$75)&amp;IF(COUNTA($B$70:$B$75)=1," role"," roles")</f>
        <v>6 roles</v>
      </c>
      <c r="D69" s="1530" t="n"/>
      <c r="E69" s="1530" t="n"/>
      <c r="F69" s="1786">
        <f>SUM(F70:F75)</f>
        <v>1117329.222</v>
      </c>
      <c r="G69" s="1786">
        <f>SUM(G70:G75)</f>
        <v>1117329.222</v>
      </c>
    </row>
    <row r="70">
      <c r="B70" s="1531" t="str">
        <f>INDEX('REVIEW - Complete Role Mapping'!$B:$B,492)</f>
        <v>Billie Connolly</v>
      </c>
      <c r="C70" s="1531" t="str">
        <f>INDEX('REVIEW - Complete Role Mapping'!$C:$C,492)</f>
        <v>Engineer - Modern Workplaces</v>
      </c>
      <c r="D70" s="1531" t="str">
        <f>INDEX('REVIEW - Complete Role Mapping'!$AK:$AK,492)</f>
        <v>Filled</v>
      </c>
      <c r="E70" s="1548" t="inlineStr">
        <is>
          <t>Filled</t>
        </is>
      </c>
      <c r="F70" s="1770">
        <f>INDEX('REVIEW - Complete Role Mapping'!$AA:$AA,492)</f>
        <v>135906.948</v>
      </c>
      <c r="G70" s="1770">
        <f>$F70*IFERROR(INDEX(Lists!$AD:$AD,MATCH($E70,Lists!$AC:$AC,0)),1)</f>
        <v>135906.948</v>
      </c>
    </row>
    <row r="71">
      <c r="B71" s="1531" t="str">
        <f>INDEX('REVIEW - Complete Role Mapping'!$B:$B,493)</f>
        <v>Ken Thomson</v>
      </c>
      <c r="C71" s="1531" t="str">
        <f>INDEX('REVIEW - Complete Role Mapping'!$C:$C,493)</f>
        <v>Servicenow Platform Specialist</v>
      </c>
      <c r="D71" s="1531" t="str">
        <f>INDEX('REVIEW - Complete Role Mapping'!$AK:$AK,493)</f>
        <v>Filled</v>
      </c>
      <c r="E71" s="1548" t="inlineStr">
        <is>
          <t>Filled</t>
        </is>
      </c>
      <c r="F71" s="1770">
        <f>INDEX('REVIEW - Complete Role Mapping'!$AA:$AA,493)</f>
        <v>220875.75</v>
      </c>
      <c r="G71" s="1770">
        <f>$F71*IFERROR(INDEX(Lists!$AD:$AD,MATCH($E71,Lists!$AC:$AC,0)),1)</f>
        <v>220875.75</v>
      </c>
    </row>
    <row r="72">
      <c r="B72" s="1531" t="str">
        <f>INDEX('REVIEW - Complete Role Mapping'!$B:$B,494)</f>
        <v>Nicholas McKay</v>
      </c>
      <c r="C72" s="1531" t="str">
        <f>INDEX('REVIEW - Complete Role Mapping'!$C:$C,494)</f>
        <v>Workplace Tooling Specialist</v>
      </c>
      <c r="D72" s="1531" t="str">
        <f>INDEX('REVIEW - Complete Role Mapping'!$AK:$AK,494)</f>
        <v>Filled</v>
      </c>
      <c r="E72" s="1548" t="inlineStr">
        <is>
          <t>Filled</t>
        </is>
      </c>
      <c r="F72" s="1770">
        <f>INDEX('REVIEW - Complete Role Mapping'!$AA:$AA,494)</f>
        <v>212438.55</v>
      </c>
      <c r="G72" s="1770">
        <f>$F72*IFERROR(INDEX(Lists!$AD:$AD,MATCH($E72,Lists!$AC:$AC,0)),1)</f>
        <v>212438.55</v>
      </c>
    </row>
    <row r="73">
      <c r="B73" s="1531" t="str">
        <f>INDEX('REVIEW - Complete Role Mapping'!$B:$B,517)</f>
        <v>Vacant</v>
      </c>
      <c r="C73" s="1531" t="str">
        <f>INDEX('REVIEW - Complete Role Mapping'!$C:$C,517)</f>
        <v>Business Analyst (Workplace &amp; Enterprise Tooling)</v>
      </c>
      <c r="D73" s="1531" t="str">
        <f>INDEX('REVIEW - Complete Role Mapping'!$AK:$AK,517)</f>
        <v>Vacant</v>
      </c>
      <c r="E73" s="1548" t="inlineStr">
        <is>
          <t>Hire</t>
        </is>
      </c>
      <c r="F73" s="1770">
        <f>INDEX('REVIEW - Complete Role Mapping'!$AA:$AA,517)</f>
        <v>201585</v>
      </c>
      <c r="G73" s="1770">
        <f>$F73*IFERROR(INDEX(Lists!$AD:$AD,MATCH($E73,Lists!$AC:$AC,0)),1)</f>
        <v>201585</v>
      </c>
    </row>
    <row r="74">
      <c r="B74" s="1531" t="str">
        <f>INDEX('REVIEW - Complete Role Mapping'!$B:$B,519)</f>
        <v>Vacant</v>
      </c>
      <c r="C74" s="1531" t="str">
        <f>INDEX('REVIEW - Complete Role Mapping'!$C:$C,519)</f>
        <v>Enterprise Systems Specialist</v>
      </c>
      <c r="D74" s="1531" t="str">
        <f>INDEX('REVIEW - Complete Role Mapping'!$AK:$AK,519)</f>
        <v>Vacant</v>
      </c>
      <c r="E74" s="1548" t="inlineStr">
        <is>
          <t>Hire</t>
        </is>
      </c>
      <c r="F74" s="1770">
        <f>INDEX('REVIEW - Complete Role Mapping'!$AA:$AA,519)</f>
        <v>202853.25</v>
      </c>
      <c r="G74" s="1770">
        <f>$F74*IFERROR(INDEX(Lists!$AD:$AD,MATCH($E74,Lists!$AC:$AC,0)),1)</f>
        <v>202853.25</v>
      </c>
    </row>
    <row r="75">
      <c r="B75" s="1531" t="str">
        <f>INDEX('REVIEW - Complete Role Mapping'!$B:$B,527)</f>
        <v>Rob Struthers</v>
      </c>
      <c r="C75" s="1531" t="str">
        <f>INDEX('REVIEW - Complete Role Mapping'!$C:$C,527)</f>
        <v>Engineer - Modern Workplaces</v>
      </c>
      <c r="D75" s="1531" t="str">
        <f>INDEX('REVIEW - Complete Role Mapping'!$AK:$AK,527)</f>
        <v>Filled</v>
      </c>
      <c r="E75" s="1548" t="inlineStr">
        <is>
          <t>Filled</t>
        </is>
      </c>
      <c r="F75" s="1770">
        <f>INDEX('REVIEW - Complete Role Mapping'!$AA:$AA,527)</f>
        <v>143669.724</v>
      </c>
      <c r="G75" s="1770">
        <f>$F75*IFERROR(INDEX(Lists!$AD:$AD,MATCH($E75,Lists!$AC:$AC,0)),1)</f>
        <v>143669.724</v>
      </c>
    </row>
    <row r="76">
      <c r="B76" s="1530" t="inlineStr">
        <is>
          <t>Head of Technology</t>
        </is>
      </c>
      <c r="C76" s="1530" t="str">
        <f>COUNTA($B$77:$B$77)&amp;IF(COUNTA($B$77:$B$77)=1," role"," roles")</f>
        <v>1 role</v>
      </c>
      <c r="D76" s="1530" t="n"/>
      <c r="E76" s="1530" t="n"/>
      <c r="F76" s="1786">
        <f>SUM(F77:F77)</f>
        <v>333020.25</v>
      </c>
      <c r="G76" s="1786">
        <f>SUM(G77:G77)</f>
        <v>333020.25</v>
      </c>
    </row>
    <row r="77">
      <c r="B77" s="1531" t="str">
        <f>INDEX('REVIEW - Complete Role Mapping'!$B:$B,512)</f>
        <v>Vacant</v>
      </c>
      <c r="C77" s="1531" t="str">
        <f>INDEX('REVIEW - Complete Role Mapping'!$C:$C,512)</f>
        <v>Head of Technology - TDD &amp; Engineering Capability Lead</v>
      </c>
      <c r="D77" s="1531" t="str">
        <f>INDEX('REVIEW - Complete Role Mapping'!$AK:$AK,512)</f>
        <v>Vacant</v>
      </c>
      <c r="E77" s="1548" t="inlineStr">
        <is>
          <t>Hire</t>
        </is>
      </c>
      <c r="F77" s="1770">
        <f>INDEX('REVIEW - Complete Role Mapping'!$AA:$AA,512)</f>
        <v>333020.25</v>
      </c>
      <c r="G77" s="1770">
        <f>$F77*IFERROR(INDEX(Lists!$AD:$AD,MATCH($E77,Lists!$AC:$AC,0)),1)</f>
        <v>333020.25</v>
      </c>
    </row>
    <row r="78">
      <c r="B78" s="1530" t="inlineStr">
        <is>
          <t>Delivery Manager</t>
        </is>
      </c>
      <c r="C78" s="1530" t="str">
        <f>COUNTA($B$79:$B$79)&amp;IF(COUNTA($B$79:$B$79)=1," role"," roles")</f>
        <v>1 role</v>
      </c>
      <c r="D78" s="1530" t="n"/>
      <c r="E78" s="1530" t="n"/>
      <c r="F78" s="1786">
        <f>SUM(F79:F79)</f>
        <v>275810.25</v>
      </c>
      <c r="G78" s="1786">
        <f>SUM(G79:G79)</f>
        <v>275810.25</v>
      </c>
    </row>
    <row r="79">
      <c r="B79" s="1531" t="str">
        <f>INDEX('REVIEW - Complete Role Mapping'!$B:$B,518)</f>
        <v>Vacant</v>
      </c>
      <c r="C79" s="1531" t="str">
        <f>INDEX('REVIEW - Complete Role Mapping'!$C:$C,518)</f>
        <v>Delivery Manager</v>
      </c>
      <c r="D79" s="1531" t="str">
        <f>INDEX('REVIEW - Complete Role Mapping'!$AK:$AK,518)</f>
        <v>Vacant</v>
      </c>
      <c r="E79" s="1548" t="inlineStr">
        <is>
          <t>Hire</t>
        </is>
      </c>
      <c r="F79" s="1770">
        <f>INDEX('REVIEW - Complete Role Mapping'!$AA:$AA,518)</f>
        <v>275810.25</v>
      </c>
      <c r="G79" s="1770">
        <f>$F79*IFERROR(INDEX(Lists!$AD:$AD,MATCH($E79,Lists!$AC:$AC,0)),1)</f>
        <v>275810.25</v>
      </c>
    </row>
    <row r="80">
      <c r="B80" s="1530" t="inlineStr">
        <is>
          <t>Technology Manager</t>
        </is>
      </c>
      <c r="C80" s="1530" t="str">
        <f>COUNTA($B$81:$B$84)&amp;IF(COUNTA($B$81:$B$84)=1," role"," roles")</f>
        <v>4 roles</v>
      </c>
      <c r="D80" s="1530" t="n"/>
      <c r="E80" s="1530" t="n"/>
      <c r="F80" s="1786">
        <f>SUM(F81:F84)</f>
        <v>1056660.75</v>
      </c>
      <c r="G80" s="1786">
        <f>SUM(G81:G84)</f>
        <v>1056660.75</v>
      </c>
    </row>
    <row r="81">
      <c r="B81" s="1531" t="str">
        <f>INDEX('REVIEW - Complete Role Mapping'!$B:$B,488)</f>
        <v>Mike Seales</v>
      </c>
      <c r="C81" s="1531" t="str">
        <f>INDEX('REVIEW - Complete Role Mapping'!$C:$C,488)</f>
        <v>Technology Manager, Integration &amp; Process Automation</v>
      </c>
      <c r="D81" s="1531" t="str">
        <f>INDEX('REVIEW - Complete Role Mapping'!$AK:$AK,488)</f>
        <v>Filled</v>
      </c>
      <c r="E81" s="1548" t="inlineStr">
        <is>
          <t>Filled</t>
        </is>
      </c>
      <c r="F81" s="1770">
        <f>INDEX('REVIEW - Complete Role Mapping'!$AA:$AA,488)</f>
        <v>229230</v>
      </c>
      <c r="G81" s="1770">
        <f>$F81*IFERROR(INDEX(Lists!$AD:$AD,MATCH($E81,Lists!$AC:$AC,0)),1)</f>
        <v>229230</v>
      </c>
    </row>
    <row r="82">
      <c r="B82" s="1531" t="str">
        <f>INDEX('REVIEW - Complete Role Mapping'!$B:$B,523)</f>
        <v>Vacant</v>
      </c>
      <c r="C82" s="1531" t="str">
        <f>INDEX('REVIEW - Complete Role Mapping'!$C:$C,523)</f>
        <v>Technology Manager - Cloud, Network and Infrastructure Operations</v>
      </c>
      <c r="D82" s="1531" t="str">
        <f>INDEX('REVIEW - Complete Role Mapping'!$AK:$AK,523)</f>
        <v>Vacant</v>
      </c>
      <c r="E82" s="1548" t="inlineStr">
        <is>
          <t>Hire</t>
        </is>
      </c>
      <c r="F82" s="1770">
        <f>INDEX('REVIEW - Complete Role Mapping'!$AA:$AA,523)</f>
        <v>275810.25</v>
      </c>
      <c r="G82" s="1770">
        <f>$F82*IFERROR(INDEX(Lists!$AD:$AD,MATCH($E82,Lists!$AC:$AC,0)),1)</f>
        <v>275810.25</v>
      </c>
    </row>
    <row r="83">
      <c r="B83" s="1531" t="str">
        <f>INDEX('REVIEW - Complete Role Mapping'!$B:$B,524)</f>
        <v>Vacant</v>
      </c>
      <c r="C83" s="1531" t="str">
        <f>INDEX('REVIEW - Complete Role Mapping'!$C:$C,524)</f>
        <v>Technology Manager - DevOps and Quality Engineering</v>
      </c>
      <c r="D83" s="1531" t="str">
        <f>INDEX('REVIEW - Complete Role Mapping'!$AK:$AK,524)</f>
        <v>Vacant</v>
      </c>
      <c r="E83" s="1548" t="inlineStr">
        <is>
          <t>Hire</t>
        </is>
      </c>
      <c r="F83" s="1770">
        <f>INDEX('REVIEW - Complete Role Mapping'!$AA:$AA,524)</f>
        <v>275810.25</v>
      </c>
      <c r="G83" s="1770">
        <f>$F83*IFERROR(INDEX(Lists!$AD:$AD,MATCH($E83,Lists!$AC:$AC,0)),1)</f>
        <v>275810.25</v>
      </c>
    </row>
    <row r="84">
      <c r="B84" s="1531" t="str">
        <f>INDEX('REVIEW - Complete Role Mapping'!$B:$B,525)</f>
        <v>Vacant</v>
      </c>
      <c r="C84" s="1531" t="str">
        <f>INDEX('REVIEW - Complete Role Mapping'!$C:$C,525)</f>
        <v>Technology Manager, Enterprise Tooling</v>
      </c>
      <c r="D84" s="1531" t="str">
        <f>INDEX('REVIEW - Complete Role Mapping'!$AK:$AK,525)</f>
        <v>Vacant</v>
      </c>
      <c r="E84" s="1548" t="inlineStr">
        <is>
          <t>Hire</t>
        </is>
      </c>
      <c r="F84" s="1770">
        <f>INDEX('REVIEW - Complete Role Mapping'!$AA:$AA,525)</f>
        <v>275810.25</v>
      </c>
      <c r="G84" s="1770">
        <f>$F84*IFERROR(INDEX(Lists!$AD:$AD,MATCH($E84,Lists!$AC:$AC,0)),1)</f>
        <v>275810.25</v>
      </c>
    </row>
  </sheetData>
  <dataValidations count="1">
    <dataValidation sqref="E32 E33 E34 E35 E36 E37 E38 E39 E40 E41 E42 E43 E45 E46 E47 E48 E49 E50 E51 E52 E54 E55 E56 E57 E59 E60 E61 E62 E63 E64 E65 E66 E67 E68 E70 E71 E72 E73 E74 E75 E77 E79 E81 E82 E83 E8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Q52"/>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COUNTA($B$32:$B$39)</f>
        <v>8</v>
      </c>
      <c r="G8" s="1770">
        <f>COUNTIFS($D$32:$D$39,"Filled")</f>
        <v>5</v>
      </c>
      <c r="H8" s="1770">
        <f>COUNTIFS($D$32:$D$39,"Vacant")</f>
        <v>3</v>
      </c>
      <c r="I8" s="1770">
        <f>COUNTIFS($D$32:$D$39,"Vacant",$E$32:$E$39,"Hire")</f>
        <v>3</v>
      </c>
      <c r="J8" s="1770">
        <f>COUNTIFS($E$32:$E$39,"Offshore")</f>
        <v>0</v>
      </c>
      <c r="K8" s="1770">
        <f>COUNTIFS($E$32:$E$39,"Hold")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SUM($G$32:$G$39)/1000000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COUNTA($B$41:$B$46)</f>
        <v>6</v>
      </c>
      <c r="G9" s="1770">
        <f>COUNTIFS($D$41:$D$46,"Filled")</f>
        <v>1</v>
      </c>
      <c r="H9" s="1770">
        <f>COUNTIFS($D$41:$D$46,"Vacant")</f>
        <v>5</v>
      </c>
      <c r="I9" s="1770">
        <f>COUNTIFS($D$41:$D$46,"Vacant",$E$41:$E$46,"Hire")</f>
        <v>5</v>
      </c>
      <c r="J9" s="1770">
        <f>COUNTIFS($E$41:$E$46,"Offshore")</f>
        <v>0</v>
      </c>
      <c r="K9" s="1770">
        <f>COUNTIFS($E$41:$E$46,"Hold")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SUM($G$41:$G$46)/1000000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SUM(M8:M9)</f>
        <v>3.5</v>
      </c>
      <c r="N10" s="1771">
        <f>SUM(N8:N9)</f>
        <v>3.02960608</v>
      </c>
      <c r="O10" s="1771">
        <f>IF(N($M10)=0,"-",ROUND($N10-$M10,6))</f>
        <v>-0.470394</v>
      </c>
      <c r="P10" s="1771">
        <f>SUM(P8:P9)</f>
        <v>3.02960608</v>
      </c>
      <c r="Q10" s="1771">
        <f>IF(N($M10)=0,"-",ROUND($P10-$M10,6))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COUNTA($B$30:$B$30)</f>
        <v>1</v>
      </c>
      <c r="G12" s="1770">
        <f>COUNTIFS($D$30:$D$30,"Filled")</f>
        <v>1</v>
      </c>
      <c r="H12" s="1770">
        <f>COUNTIFS($D$30:$D$30,"Vacant")</f>
        <v>0</v>
      </c>
      <c r="I12" s="1770">
        <f>COUNTIFS($D$30:$D$30,"Vacant",$E$30:$E$30,"Hire")</f>
        <v>0</v>
      </c>
      <c r="J12" s="1770">
        <f>COUNTIFS($E$30:$E$30,"Offshore")</f>
        <v>0</v>
      </c>
      <c r="K12" s="1770">
        <f>COUNTIFS($E$30:$E$30,"Hold")</f>
        <v>0</v>
      </c>
      <c r="L12" s="1770">
        <f>$F12-$K12</f>
        <v>1</v>
      </c>
      <c r="M12" s="1769">
        <f>$N12</f>
        <v>0.238965</v>
      </c>
      <c r="N12" s="1769">
        <f>SUMIFS('REVIEW - Complete Role Mapping'!$AA$2:$AA$528,'REVIEW - Complete Role Mapping'!$AJ$2:$AJ$528,$C$3,'REVIEW - Complete Role Mapping'!$AT$2:$AT$528,$B12)/1000000</f>
        <v>0.238965</v>
      </c>
      <c r="O12" s="1769">
        <f>IFERROR(ROUND($N12-$M12,6),"-")</f>
        <v>0</v>
      </c>
      <c r="P12" s="1769">
        <f>SUM($G$30:$G$30)/1000000</f>
        <v>0.238965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0.238965</v>
      </c>
      <c r="N13" s="1771">
        <f>SUM(N12:N12)</f>
        <v>0.238965</v>
      </c>
      <c r="O13" s="1771">
        <f>IF(N($M13)=0,"-",ROUND($N13-$M13,6))</f>
        <v>0</v>
      </c>
      <c r="P13" s="1771">
        <f>SUM(P12:P12)</f>
        <v>0.238965</v>
      </c>
      <c r="Q13" s="1771">
        <f>IF(N($M13)=0,"-",ROUND($P13-$M13,6))</f>
        <v>0</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f>SUM(M15:M15)</f>
        <v>0</v>
      </c>
      <c r="N16" s="1771">
        <f>SUM(N15:N15)</f>
        <v>0</v>
      </c>
      <c r="O16" s="1771" t="str">
        <f>IF(N($M16)=0,"-",ROUND($N16-$M16,6))</f>
        <v>-</v>
      </c>
      <c r="P16" s="1771">
        <f>SUM(P15:P15)</f>
        <v>0</v>
      </c>
      <c r="Q16" s="1771" t="str">
        <f>IF(N($M16)=0,"-",ROUND($P16-$M16,6))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Head of Technology</t>
        </is>
      </c>
      <c r="C18" s="1531" t="str">
        <f>"-"</f>
        <v>-</v>
      </c>
      <c r="D18" s="1531" t="str">
        <f>"-"</f>
        <v>-</v>
      </c>
      <c r="E18" s="1540" t="str">
        <f>"-"</f>
        <v>-</v>
      </c>
      <c r="F18" s="1770">
        <f>COUNTA($B$48:$B$48)</f>
        <v>1</v>
      </c>
      <c r="G18" s="1770">
        <f>COUNTIFS($D$48:$D$48,"Filled")</f>
        <v>1</v>
      </c>
      <c r="H18" s="1770">
        <f>COUNTIFS($D$48:$D$48,"Vacant")</f>
        <v>0</v>
      </c>
      <c r="I18" s="1770">
        <f>COUNTIFS($D$48:$D$48,"Vacant",$E$48:$E$48,"Hire")</f>
        <v>0</v>
      </c>
      <c r="J18" s="1770">
        <f>COUNTIFS($E$48:$E$48,"Offshore")</f>
        <v>0</v>
      </c>
      <c r="K18" s="1770">
        <f>COUNTIFS($E$48:$E$48,"Hold")</f>
        <v>0</v>
      </c>
      <c r="L18" s="1770">
        <f>$F18-$K18</f>
        <v>1</v>
      </c>
      <c r="M18" s="1540" t="str">
        <f>"-"</f>
        <v>-</v>
      </c>
      <c r="N18" s="1769">
        <f>SUMIFS('REVIEW - Complete Role Mapping'!$AA$2:$AA$528,'REVIEW - Complete Role Mapping'!$AJ$2:$AJ$528,$C$3,'REVIEW - Complete Role Mapping'!$AT$2:$AT$528,$B18)/1000000</f>
        <v>0.3642493</v>
      </c>
      <c r="O18" s="1540" t="str">
        <f>"-"</f>
        <v>-</v>
      </c>
      <c r="P18" s="1769">
        <f>SUM($G$48:$G$48)/1000000</f>
        <v>0.3642493</v>
      </c>
      <c r="Q18" s="1540" t="str">
        <f>"-"</f>
        <v>-</v>
      </c>
    </row>
    <row r="19">
      <c r="B19" s="1531" t="inlineStr">
        <is>
          <t>Delivery Manager</t>
        </is>
      </c>
      <c r="C19" s="1531" t="str">
        <f>"-"</f>
        <v>-</v>
      </c>
      <c r="D19" s="1531" t="str">
        <f>"-"</f>
        <v>-</v>
      </c>
      <c r="E19" s="1540" t="str">
        <f>"-"</f>
        <v>-</v>
      </c>
      <c r="F19" s="1770">
        <f>COUNTA($B$50:$B$50)</f>
        <v>1</v>
      </c>
      <c r="G19" s="1770">
        <f>COUNTIFS($D$50:$D$50,"Filled")</f>
        <v>0</v>
      </c>
      <c r="H19" s="1770">
        <f>COUNTIFS($D$50:$D$50,"Vacant")</f>
        <v>1</v>
      </c>
      <c r="I19" s="1770">
        <f>COUNTIFS($D$50:$D$50,"Vacant",$E$50:$E$50,"Hire")</f>
        <v>1</v>
      </c>
      <c r="J19" s="1770">
        <f>COUNTIFS($E$50:$E$50,"Offshore")</f>
        <v>0</v>
      </c>
      <c r="K19" s="1770">
        <f>COUNTIFS($E$50:$E$50,"Hold")</f>
        <v>0</v>
      </c>
      <c r="L19" s="1770">
        <f>$F19-$K19</f>
        <v>1</v>
      </c>
      <c r="M19" s="1540" t="str">
        <f>"-"</f>
        <v>-</v>
      </c>
      <c r="N19" s="1769">
        <f>SUMIFS('REVIEW - Complete Role Mapping'!$AA$2:$AA$528,'REVIEW - Complete Role Mapping'!$AJ$2:$AJ$528,$C$3,'REVIEW - Complete Role Mapping'!$AT$2:$AT$528,$B19)/1000000</f>
        <v>0.27581025</v>
      </c>
      <c r="O19" s="1540" t="str">
        <f>"-"</f>
        <v>-</v>
      </c>
      <c r="P19" s="1769">
        <f>SUM($G$50:$G$50)/1000000</f>
        <v>0.27581025</v>
      </c>
      <c r="Q19" s="1540" t="str">
        <f>"-"</f>
        <v>-</v>
      </c>
    </row>
    <row r="20">
      <c r="B20" s="1531" t="inlineStr">
        <is>
          <t>Technology Manager</t>
        </is>
      </c>
      <c r="C20" s="1531" t="str">
        <f>"-"</f>
        <v>-</v>
      </c>
      <c r="D20" s="1531" t="str">
        <f>"-"</f>
        <v>-</v>
      </c>
      <c r="E20" s="1540" t="str">
        <f>"-"</f>
        <v>-</v>
      </c>
      <c r="F20" s="1770">
        <f>COUNTA($B$52:$B$52)</f>
        <v>1</v>
      </c>
      <c r="G20" s="1770">
        <f>COUNTIFS($D$52:$D$52,"Filled")</f>
        <v>0</v>
      </c>
      <c r="H20" s="1770">
        <f>COUNTIFS($D$52:$D$52,"Vacant")</f>
        <v>1</v>
      </c>
      <c r="I20" s="1770">
        <f>COUNTIFS($D$52:$D$52,"Vacant",$E$52:$E$52,"Hire")</f>
        <v>1</v>
      </c>
      <c r="J20" s="1770">
        <f>COUNTIFS($E$52:$E$52,"Offshore")</f>
        <v>0</v>
      </c>
      <c r="K20" s="1770">
        <f>COUNTIFS($E$52:$E$52,"Hold")</f>
        <v>0</v>
      </c>
      <c r="L20" s="1770">
        <f>$F20-$K20</f>
        <v>1</v>
      </c>
      <c r="M20" s="1540" t="str">
        <f>"-"</f>
        <v>-</v>
      </c>
      <c r="N20" s="1769">
        <f>SUMIFS('REVIEW - Complete Role Mapping'!$AA$2:$AA$528,'REVIEW - Complete Role Mapping'!$AJ$2:$AJ$528,$C$3,'REVIEW - Complete Role Mapping'!$AT$2:$AT$528,$B20)/1000000</f>
        <v>0.27581025</v>
      </c>
      <c r="O20" s="1540" t="str">
        <f>"-"</f>
        <v>-</v>
      </c>
      <c r="P20" s="1769">
        <f>SUM($G$52:$G$52)/1000000</f>
        <v>0.27581025</v>
      </c>
      <c r="Q20" s="1540" t="str">
        <f>"-"</f>
        <v>-</v>
      </c>
    </row>
    <row r="21">
      <c r="B21" s="1535" t="inlineStr">
        <is>
          <t>Overhead roles total</t>
        </is>
      </c>
      <c r="C21" s="1535" t="n"/>
      <c r="D21" s="1535" t="n"/>
      <c r="E21" s="1784">
        <f>SUM(E18:E20)</f>
        <v>0</v>
      </c>
      <c r="F21" s="1772">
        <f>SUM(F18:F20)</f>
        <v>3</v>
      </c>
      <c r="G21" s="1772">
        <f>SUM(G18:G20)</f>
        <v>1</v>
      </c>
      <c r="H21" s="1772">
        <f>SUM(H18:H20)</f>
        <v>2</v>
      </c>
      <c r="I21" s="1772">
        <f>SUM(I18:I20)</f>
        <v>2</v>
      </c>
      <c r="J21" s="1772">
        <f>SUM(J18:J20)</f>
        <v>0</v>
      </c>
      <c r="K21" s="1772">
        <f>SUM(K18:K20)</f>
        <v>0</v>
      </c>
      <c r="L21" s="1772">
        <f>SUM(L18:L20)</f>
        <v>3</v>
      </c>
      <c r="M21" s="1771">
        <f>SUM(M18:M20)</f>
        <v>0</v>
      </c>
      <c r="N21" s="1771">
        <f>SUM(N18:N20)</f>
        <v>0.9158698</v>
      </c>
      <c r="O21" s="1771" t="str">
        <f>IF(N($M21)=0,"-",ROUND($N21-$M21,6))</f>
        <v>-</v>
      </c>
      <c r="P21" s="1771">
        <f>SUM(P18:P20)</f>
        <v>0.9158698</v>
      </c>
      <c r="Q21" s="1771" t="str">
        <f>IF(N($M21)=0,"-",ROUND($P21-$M21,6))</f>
        <v>-</v>
      </c>
    </row>
    <row r="22">
      <c r="B22" s="1541" t="inlineStr">
        <is>
          <t>Total portfolio</t>
        </is>
      </c>
      <c r="C22" s="1541" t="n"/>
      <c r="D22" s="1541" t="n"/>
      <c r="E22" s="1785">
        <f>N(E10)+N(E13)+N(E16)+N(E21)</f>
        <v>15</v>
      </c>
      <c r="F22" s="1774">
        <f>N(F10)+N(F13)+N(F16)+N(F21)</f>
        <v>18</v>
      </c>
      <c r="G22" s="1774">
        <f>N(G10)+N(G13)+N(G16)+N(G21)</f>
        <v>8</v>
      </c>
      <c r="H22" s="1774">
        <f>N(H10)+N(H13)+N(H16)+N(H21)</f>
        <v>10</v>
      </c>
      <c r="I22" s="1774">
        <f>N(I10)+N(I13)+N(I16)+N(I21)</f>
        <v>10</v>
      </c>
      <c r="J22" s="1774">
        <f>N(J10)+N(J13)+N(J16)+N(J21)</f>
        <v>0</v>
      </c>
      <c r="K22" s="1774">
        <f>N(K10)+N(K13)+N(K16)+N(K21)</f>
        <v>0</v>
      </c>
      <c r="L22" s="1774">
        <f>N(L10)+N(L13)+N(L16)+N(L21)</f>
        <v>18</v>
      </c>
      <c r="M22" s="1773" t="str">
        <f>"-"</f>
        <v>-</v>
      </c>
      <c r="N22" s="1773">
        <f>N(N10)+N(N13)+N(N16)+N(N21)</f>
        <v>4.18444088</v>
      </c>
      <c r="O22" s="1773" t="str">
        <f>"-"</f>
        <v>-</v>
      </c>
      <c r="P22" s="1773">
        <f>N(P10)+N(P13)+N(P16)+N(P21)</f>
        <v>4.18444088</v>
      </c>
      <c r="Q22" s="1773" t="str">
        <f>"-"</f>
        <v>-</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P&amp;C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EGI P&amp;C</t>
        </is>
      </c>
      <c r="C29" s="1530" t="str">
        <f>COUNTA($B$30:$B$30)&amp;IF(COUNTA($B$30:$B$30)=1," role"," roles")</f>
        <v>1 role</v>
      </c>
      <c r="D29" s="1530" t="n"/>
      <c r="E29" s="1530" t="n"/>
      <c r="F29" s="1786">
        <f>SUM(F30:F30)</f>
        <v>238965</v>
      </c>
      <c r="G29" s="1786">
        <f>SUM(G30:G30)</f>
        <v>238965</v>
      </c>
    </row>
    <row r="30">
      <c r="B30" s="1531" t="str">
        <f>INDEX('REVIEW - Complete Role Mapping'!$B:$B,448)</f>
        <v>Vikram Chhahira</v>
      </c>
      <c r="C30" s="1531" t="str">
        <f>INDEX('REVIEW - Complete Role Mapping'!$C:$C,448)</f>
        <v>Delivery Lead, EGI</v>
      </c>
      <c r="D30" s="1531" t="str">
        <f>INDEX('REVIEW - Complete Role Mapping'!$AK:$AK,448)</f>
        <v>Filled</v>
      </c>
      <c r="E30" s="1548" t="inlineStr">
        <is>
          <t>Filled</t>
        </is>
      </c>
      <c r="F30" s="1770">
        <f>INDEX('REVIEW - Complete Role Mapping'!$AA:$AA,448)</f>
        <v>238965</v>
      </c>
      <c r="G30" s="1770">
        <f>$F30*IFERROR(INDEX(Lists!$AD:$AD,MATCH($E30,Lists!$AC:$AC,0)),1)</f>
        <v>238965</v>
      </c>
    </row>
    <row r="31">
      <c r="B31" s="1530" t="inlineStr">
        <is>
          <t>P&amp;C</t>
        </is>
      </c>
      <c r="C31" s="1530" t="str">
        <f>COUNTA($B$32:$B$39)&amp;IF(COUNTA($B$32:$B$39)=1," role"," roles")</f>
        <v>8 roles</v>
      </c>
      <c r="D31" s="1530" t="n"/>
      <c r="E31" s="1530" t="n"/>
      <c r="F31" s="1786">
        <f>SUM(F32:F39)</f>
        <v>1765517.93</v>
      </c>
      <c r="G31" s="1786">
        <f>SUM(G32:G39)</f>
        <v>1765517.93</v>
      </c>
    </row>
    <row r="32">
      <c r="B32" s="1531" t="str">
        <f>INDEX('REVIEW - Complete Role Mapping'!$B:$B,460)</f>
        <v>Grace Hadiwijaya</v>
      </c>
      <c r="C32" s="1531" t="str">
        <f>INDEX('REVIEW - Complete Role Mapping'!$C:$C,460)</f>
        <v>Lead P&amp;C Platforms</v>
      </c>
      <c r="D32" s="1531" t="str">
        <f>INDEX('REVIEW - Complete Role Mapping'!$AK:$AK,460)</f>
        <v>Filled</v>
      </c>
      <c r="E32" s="1548" t="inlineStr">
        <is>
          <t>Filled</t>
        </is>
      </c>
      <c r="F32" s="1770">
        <f>INDEX('REVIEW - Complete Role Mapping'!$AA:$AA,460)</f>
        <v>237963.75</v>
      </c>
      <c r="G32" s="1770">
        <f>$F32*IFERROR(INDEX(Lists!$AD:$AD,MATCH($E32,Lists!$AC:$AC,0)),1)</f>
        <v>237963.75</v>
      </c>
    </row>
    <row r="33">
      <c r="B33" s="1531" t="str">
        <f>INDEX('REVIEW - Complete Role Mapping'!$B:$B,461)</f>
        <v>Maadhu Suresh</v>
      </c>
      <c r="C33" s="1531" t="str">
        <f>INDEX('REVIEW - Complete Role Mapping'!$C:$C,461)</f>
        <v>Solution Architect</v>
      </c>
      <c r="D33" s="1531" t="str">
        <f>INDEX('REVIEW - Complete Role Mapping'!$AK:$AK,461)</f>
        <v>Filled</v>
      </c>
      <c r="E33" s="1548" t="inlineStr">
        <is>
          <t>Filled</t>
        </is>
      </c>
      <c r="F33" s="1770">
        <f>INDEX('REVIEW - Complete Role Mapping'!$AA:$AA,461)</f>
        <v>272340</v>
      </c>
      <c r="G33" s="1770">
        <f>$F33*IFERROR(INDEX(Lists!$AD:$AD,MATCH($E33,Lists!$AC:$AC,0)),1)</f>
        <v>272340</v>
      </c>
    </row>
    <row r="34">
      <c r="B34" s="1531" t="str">
        <f>INDEX('REVIEW - Complete Role Mapping'!$B:$B,462)</f>
        <v>Michael Pollock</v>
      </c>
      <c r="C34" s="1531" t="str">
        <f>INDEX('REVIEW - Complete Role Mapping'!$C:$C,462)</f>
        <v>Lead Business Analyst</v>
      </c>
      <c r="D34" s="1531" t="str">
        <f>INDEX('REVIEW - Complete Role Mapping'!$AK:$AK,462)</f>
        <v>Filled</v>
      </c>
      <c r="E34" s="1548" t="inlineStr">
        <is>
          <t>Filled</t>
        </is>
      </c>
      <c r="F34" s="1770">
        <f>INDEX('REVIEW - Complete Role Mapping'!$AA:$AA,462)</f>
        <v>193358.28</v>
      </c>
      <c r="G34" s="1770">
        <f>$F34*IFERROR(INDEX(Lists!$AD:$AD,MATCH($E34,Lists!$AC:$AC,0)),1)</f>
        <v>193358.28</v>
      </c>
    </row>
    <row r="35">
      <c r="B35" s="1531" t="str">
        <f>INDEX('REVIEW - Complete Role Mapping'!$B:$B,463)</f>
        <v>Prerna Sharma</v>
      </c>
      <c r="C35" s="1531" t="str">
        <f>INDEX('REVIEW - Complete Role Mapping'!$C:$C,463)</f>
        <v>SAP HR Specialist</v>
      </c>
      <c r="D35" s="1531" t="str">
        <f>INDEX('REVIEW - Complete Role Mapping'!$AK:$AK,463)</f>
        <v>Filled</v>
      </c>
      <c r="E35" s="1548" t="inlineStr">
        <is>
          <t>Filled</t>
        </is>
      </c>
      <c r="F35" s="1770">
        <f>INDEX('REVIEW - Complete Role Mapping'!$AA:$AA,463)</f>
        <v>234172.35</v>
      </c>
      <c r="G35" s="1770">
        <f>$F35*IFERROR(INDEX(Lists!$AD:$AD,MATCH($E35,Lists!$AC:$AC,0)),1)</f>
        <v>234172.35</v>
      </c>
    </row>
    <row r="36">
      <c r="B36" s="1531" t="str">
        <f>INDEX('REVIEW - Complete Role Mapping'!$B:$B,464)</f>
        <v>Thai Pung</v>
      </c>
      <c r="C36" s="1531" t="str">
        <f>INDEX('REVIEW - Complete Role Mapping'!$C:$C,464)</f>
        <v>Delivery Lead - (P&amp;C)</v>
      </c>
      <c r="D36" s="1531" t="str">
        <f>INDEX('REVIEW - Complete Role Mapping'!$AK:$AK,464)</f>
        <v>Filled</v>
      </c>
      <c r="E36" s="1548" t="inlineStr">
        <is>
          <t>Filled</t>
        </is>
      </c>
      <c r="F36" s="1770">
        <f>INDEX('REVIEW - Complete Role Mapping'!$AA:$AA,464)</f>
        <v>251487.3</v>
      </c>
      <c r="G36" s="1770">
        <f>$F36*IFERROR(INDEX(Lists!$AD:$AD,MATCH($E36,Lists!$AC:$AC,0)),1)</f>
        <v>251487.3</v>
      </c>
    </row>
    <row r="37">
      <c r="B37" s="1531" t="str">
        <f>INDEX('REVIEW - Complete Role Mapping'!$B:$B,504)</f>
        <v>Vacant</v>
      </c>
      <c r="C37" s="1531" t="str">
        <f>INDEX('REVIEW - Complete Role Mapping'!$C:$C,504)</f>
        <v>Engineer</v>
      </c>
      <c r="D37" s="1531" t="str">
        <f>INDEX('REVIEW - Complete Role Mapping'!$AK:$AK,504)</f>
        <v>Vacant</v>
      </c>
      <c r="E37" s="1548" t="inlineStr">
        <is>
          <t>Hire</t>
        </is>
      </c>
      <c r="F37" s="1770">
        <f>INDEX('REVIEW - Complete Role Mapping'!$AA:$AA,504)</f>
        <v>202853.25</v>
      </c>
      <c r="G37" s="1770">
        <f>$F37*IFERROR(INDEX(Lists!$AD:$AD,MATCH($E37,Lists!$AC:$AC,0)),1)</f>
        <v>202853.25</v>
      </c>
    </row>
    <row r="38">
      <c r="B38" s="1531" t="str">
        <f>INDEX('REVIEW - Complete Role Mapping'!$B:$B,505)</f>
        <v>Vacant</v>
      </c>
      <c r="C38" s="1531" t="str">
        <f>INDEX('REVIEW - Complete Role Mapping'!$C:$C,505)</f>
        <v>Engineer</v>
      </c>
      <c r="D38" s="1531" t="str">
        <f>INDEX('REVIEW - Complete Role Mapping'!$AK:$AK,505)</f>
        <v>Vacant</v>
      </c>
      <c r="E38" s="1548" t="inlineStr">
        <is>
          <t>Hire</t>
        </is>
      </c>
      <c r="F38" s="1770">
        <f>INDEX('REVIEW - Complete Role Mapping'!$AA:$AA,505)</f>
        <v>202853.25</v>
      </c>
      <c r="G38" s="1770">
        <f>$F38*IFERROR(INDEX(Lists!$AD:$AD,MATCH($E38,Lists!$AC:$AC,0)),1)</f>
        <v>202853.25</v>
      </c>
    </row>
    <row r="39">
      <c r="B39" s="1531" t="str">
        <f>INDEX('REVIEW - Complete Role Mapping'!$B:$B,507)</f>
        <v>Vacant</v>
      </c>
      <c r="C39" s="1531" t="str">
        <f>INDEX('REVIEW - Complete Role Mapping'!$C:$C,507)</f>
        <v>Quality Assurance</v>
      </c>
      <c r="D39" s="1531" t="str">
        <f>INDEX('REVIEW - Complete Role Mapping'!$AK:$AK,507)</f>
        <v>Vacant</v>
      </c>
      <c r="E39" s="1548" t="inlineStr">
        <is>
          <t>Hire</t>
        </is>
      </c>
      <c r="F39" s="1770">
        <f>INDEX('REVIEW - Complete Role Mapping'!$AA:$AA,507)</f>
        <v>170489.75</v>
      </c>
      <c r="G39" s="1770">
        <f>$F39*IFERROR(INDEX(Lists!$AD:$AD,MATCH($E39,Lists!$AC:$AC,0)),1)</f>
        <v>170489.75</v>
      </c>
    </row>
    <row r="40">
      <c r="B40" s="1530" t="inlineStr">
        <is>
          <t>P&amp;C RTA</t>
        </is>
      </c>
      <c r="C40" s="1530" t="str">
        <f>COUNTA($B$41:$B$46)&amp;IF(COUNTA($B$41:$B$46)=1," role"," roles")</f>
        <v>6 roles</v>
      </c>
      <c r="D40" s="1530" t="n"/>
      <c r="E40" s="1530" t="n"/>
      <c r="F40" s="1786">
        <f>SUM(F41:F46)</f>
        <v>1264088.15</v>
      </c>
      <c r="G40" s="1786">
        <f>SUM(G41:G46)</f>
        <v>1264088.15</v>
      </c>
    </row>
    <row r="41">
      <c r="B41" s="1531" t="str">
        <f>INDEX('REVIEW - Complete Role Mapping'!$B:$B,465)</f>
        <v>Kurniaty Widjaya</v>
      </c>
      <c r="C41" s="1531" t="str">
        <f>INDEX('REVIEW - Complete Role Mapping'!$C:$C,465)</f>
        <v>ERP HR Pay Functional Lead</v>
      </c>
      <c r="D41" s="1531" t="str">
        <f>INDEX('REVIEW - Complete Role Mapping'!$AK:$AK,465)</f>
        <v>Filled</v>
      </c>
      <c r="E41" s="1548" t="inlineStr">
        <is>
          <t>Filled</t>
        </is>
      </c>
      <c r="F41" s="1770">
        <f>INDEX('REVIEW - Complete Role Mapping'!$AA:$AA,465)</f>
        <v>277500</v>
      </c>
      <c r="G41" s="1770">
        <f>$F41*IFERROR(INDEX(Lists!$AD:$AD,MATCH($E41,Lists!$AC:$AC,0)),1)</f>
        <v>277500</v>
      </c>
    </row>
    <row r="42">
      <c r="B42" s="1531" t="str">
        <f>INDEX('REVIEW - Complete Role Mapping'!$B:$B,502)</f>
        <v>Vacant</v>
      </c>
      <c r="C42" s="1531" t="str">
        <f>INDEX('REVIEW - Complete Role Mapping'!$C:$C,502)</f>
        <v>Business Analyst (P&amp;C RTA)</v>
      </c>
      <c r="D42" s="1531" t="str">
        <f>INDEX('REVIEW - Complete Role Mapping'!$AK:$AK,502)</f>
        <v>Vacant</v>
      </c>
      <c r="E42" s="1548" t="inlineStr">
        <is>
          <t>Hire</t>
        </is>
      </c>
      <c r="F42" s="1770">
        <f>INDEX('REVIEW - Complete Role Mapping'!$AA:$AA,502)</f>
        <v>201585</v>
      </c>
      <c r="G42" s="1770">
        <f>$F42*IFERROR(INDEX(Lists!$AD:$AD,MATCH($E42,Lists!$AC:$AC,0)),1)</f>
        <v>201585</v>
      </c>
    </row>
    <row r="43">
      <c r="B43" s="1531" t="str">
        <f>INDEX('REVIEW - Complete Role Mapping'!$B:$B,503)</f>
        <v>Vacant</v>
      </c>
      <c r="C43" s="1531" t="str">
        <f>INDEX('REVIEW - Complete Role Mapping'!$C:$C,503)</f>
        <v>Delivery Lead (RTA)</v>
      </c>
      <c r="D43" s="1531" t="str">
        <f>INDEX('REVIEW - Complete Role Mapping'!$AK:$AK,503)</f>
        <v>Vacant</v>
      </c>
      <c r="E43" s="1548" t="inlineStr">
        <is>
          <t>Hire</t>
        </is>
      </c>
      <c r="F43" s="1770">
        <f>INDEX('REVIEW - Complete Role Mapping'!$AA:$AA,503)</f>
        <v>231689.25</v>
      </c>
      <c r="G43" s="1770">
        <f>$F43*IFERROR(INDEX(Lists!$AD:$AD,MATCH($E43,Lists!$AC:$AC,0)),1)</f>
        <v>231689.25</v>
      </c>
    </row>
    <row r="44">
      <c r="B44" s="1531" t="str">
        <f>INDEX('REVIEW - Complete Role Mapping'!$B:$B,506)</f>
        <v>Vacant</v>
      </c>
      <c r="C44" s="1531" t="str">
        <f>INDEX('REVIEW - Complete Role Mapping'!$C:$C,506)</f>
        <v>Engineer</v>
      </c>
      <c r="D44" s="1531" t="str">
        <f>INDEX('REVIEW - Complete Role Mapping'!$AK:$AK,506)</f>
        <v>Vacant</v>
      </c>
      <c r="E44" s="1548" t="inlineStr">
        <is>
          <t>Hire</t>
        </is>
      </c>
      <c r="F44" s="1770">
        <f>INDEX('REVIEW - Complete Role Mapping'!$AA:$AA,506)</f>
        <v>202853.25</v>
      </c>
      <c r="G44" s="1770">
        <f>$F44*IFERROR(INDEX(Lists!$AD:$AD,MATCH($E44,Lists!$AC:$AC,0)),1)</f>
        <v>202853.25</v>
      </c>
    </row>
    <row r="45">
      <c r="B45" s="1531" t="str">
        <f>INDEX('REVIEW - Complete Role Mapping'!$B:$B,508)</f>
        <v>Vacant</v>
      </c>
      <c r="C45" s="1531" t="str">
        <f>INDEX('REVIEW - Complete Role Mapping'!$C:$C,508)</f>
        <v>Quality Assurance</v>
      </c>
      <c r="D45" s="1531" t="str">
        <f>INDEX('REVIEW - Complete Role Mapping'!$AK:$AK,508)</f>
        <v>Vacant</v>
      </c>
      <c r="E45" s="1548" t="inlineStr">
        <is>
          <t>Hire</t>
        </is>
      </c>
      <c r="F45" s="1770">
        <f>INDEX('REVIEW - Complete Role Mapping'!$AA:$AA,508)</f>
        <v>170489.75</v>
      </c>
      <c r="G45" s="1770">
        <f>$F45*IFERROR(INDEX(Lists!$AD:$AD,MATCH($E45,Lists!$AC:$AC,0)),1)</f>
        <v>170489.75</v>
      </c>
    </row>
    <row r="46">
      <c r="B46" s="1531" t="str">
        <f>INDEX('REVIEW - Complete Role Mapping'!$B:$B,509)</f>
        <v>Vacant</v>
      </c>
      <c r="C46" s="1531" t="str">
        <f>INDEX('REVIEW - Complete Role Mapping'!$C:$C,509)</f>
        <v>Systems Specialist</v>
      </c>
      <c r="D46" s="1531" t="str">
        <f>INDEX('REVIEW - Complete Role Mapping'!$AK:$AK,509)</f>
        <v>Vacant</v>
      </c>
      <c r="E46" s="1548" t="inlineStr">
        <is>
          <t>Hire</t>
        </is>
      </c>
      <c r="F46" s="1770">
        <f>INDEX('REVIEW - Complete Role Mapping'!$AA:$AA,509)</f>
        <v>179970.9</v>
      </c>
      <c r="G46" s="1770">
        <f>$F46*IFERROR(INDEX(Lists!$AD:$AD,MATCH($E46,Lists!$AC:$AC,0)),1)</f>
        <v>179970.9</v>
      </c>
    </row>
    <row r="47">
      <c r="B47" s="1530" t="inlineStr">
        <is>
          <t>Head of Technology</t>
        </is>
      </c>
      <c r="C47" s="1530" t="str">
        <f>COUNTA($B$48:$B$48)&amp;IF(COUNTA($B$48:$B$48)=1," role"," roles")</f>
        <v>1 role</v>
      </c>
      <c r="D47" s="1530" t="n"/>
      <c r="E47" s="1530" t="n"/>
      <c r="F47" s="1786">
        <f>SUM(F48:F48)</f>
        <v>364249.3</v>
      </c>
      <c r="G47" s="1786">
        <f>SUM(G48:G48)</f>
        <v>364249.3</v>
      </c>
    </row>
    <row r="48">
      <c r="B48" s="1531" t="str">
        <f>INDEX('REVIEW - Complete Role Mapping'!$B:$B,466)</f>
        <v>Vaso Vukovic</v>
      </c>
      <c r="C48" s="1531" t="str">
        <f>INDEX('REVIEW - Complete Role Mapping'!$C:$C,466)</f>
        <v>Head of Technology - P&amp;C, Finance &amp; Legal</v>
      </c>
      <c r="D48" s="1531" t="str">
        <f>INDEX('REVIEW - Complete Role Mapping'!$AK:$AK,466)</f>
        <v>Filled</v>
      </c>
      <c r="E48" s="1548" t="inlineStr">
        <is>
          <t>Filled</t>
        </is>
      </c>
      <c r="F48" s="1770">
        <f>INDEX('REVIEW - Complete Role Mapping'!$AA:$AA,466)</f>
        <v>364249.3</v>
      </c>
      <c r="G48" s="1770">
        <f>$F48*IFERROR(INDEX(Lists!$AD:$AD,MATCH($E48,Lists!$AC:$AC,0)),1)</f>
        <v>364249.3</v>
      </c>
    </row>
    <row r="49">
      <c r="B49" s="1530" t="inlineStr">
        <is>
          <t>Delivery Manager</t>
        </is>
      </c>
      <c r="C49" s="1530" t="str">
        <f>COUNTA($B$50:$B$50)&amp;IF(COUNTA($B$50:$B$50)=1," role"," roles")</f>
        <v>1 role</v>
      </c>
      <c r="D49" s="1530" t="n"/>
      <c r="E49" s="1530" t="n"/>
      <c r="F49" s="1786">
        <f>SUM(F50:F50)</f>
        <v>275810.25</v>
      </c>
      <c r="G49" s="1786">
        <f>SUM(G50:G50)</f>
        <v>275810.25</v>
      </c>
    </row>
    <row r="50">
      <c r="B50" s="1531" t="str">
        <f>INDEX('REVIEW - Complete Role Mapping'!$B:$B,511)</f>
        <v>Vacant</v>
      </c>
      <c r="C50" s="1531" t="str">
        <f>INDEX('REVIEW - Complete Role Mapping'!$C:$C,511)</f>
        <v>Delivery Manager</v>
      </c>
      <c r="D50" s="1531" t="str">
        <f>INDEX('REVIEW - Complete Role Mapping'!$AK:$AK,511)</f>
        <v>Vacant</v>
      </c>
      <c r="E50" s="1548" t="inlineStr">
        <is>
          <t>Hire</t>
        </is>
      </c>
      <c r="F50" s="1770">
        <f>INDEX('REVIEW - Complete Role Mapping'!$AA:$AA,511)</f>
        <v>275810.25</v>
      </c>
      <c r="G50" s="1770">
        <f>$F50*IFERROR(INDEX(Lists!$AD:$AD,MATCH($E50,Lists!$AC:$AC,0)),1)</f>
        <v>275810.25</v>
      </c>
    </row>
    <row r="51">
      <c r="B51" s="1530" t="inlineStr">
        <is>
          <t>Technology Manager</t>
        </is>
      </c>
      <c r="C51" s="1530" t="str">
        <f>COUNTA($B$52:$B$52)&amp;IF(COUNTA($B$52:$B$52)=1," role"," roles")</f>
        <v>1 role</v>
      </c>
      <c r="D51" s="1530" t="n"/>
      <c r="E51" s="1530" t="n"/>
      <c r="F51" s="1786">
        <f>SUM(F52:F52)</f>
        <v>275810.25</v>
      </c>
      <c r="G51" s="1786">
        <f>SUM(G52:G52)</f>
        <v>275810.25</v>
      </c>
    </row>
    <row r="52">
      <c r="B52" s="1531" t="str">
        <f>INDEX('REVIEW - Complete Role Mapping'!$B:$B,510)</f>
        <v>Vacant</v>
      </c>
      <c r="C52" s="1531" t="str">
        <f>INDEX('REVIEW - Complete Role Mapping'!$C:$C,510)</f>
        <v>Technology Manager - P&amp;C Platforms</v>
      </c>
      <c r="D52" s="1531" t="str">
        <f>INDEX('REVIEW - Complete Role Mapping'!$AK:$AK,510)</f>
        <v>Vacant</v>
      </c>
      <c r="E52" s="1548" t="inlineStr">
        <is>
          <t>Hire</t>
        </is>
      </c>
      <c r="F52" s="1770">
        <f>INDEX('REVIEW - Complete Role Mapping'!$AA:$AA,510)</f>
        <v>275810.25</v>
      </c>
      <c r="G52" s="1770">
        <f>$F52*IFERROR(INDEX(Lists!$AD:$AD,MATCH($E52,Lists!$AC:$AC,0)),1)</f>
        <v>275810.25</v>
      </c>
    </row>
  </sheetData>
  <dataValidations count="1">
    <dataValidation sqref="E30 E32 E33 E34 E35 E36 E37 E38 E39 E41 E42 E43 E44 E45 E46 E48 E50 E5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Q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COUNTA($B$30:$B$34)</f>
        <v>5</v>
      </c>
      <c r="G8" s="1770">
        <f>COUNTIFS($D$30:$D$34,"Filled")</f>
        <v>4</v>
      </c>
      <c r="H8" s="1770">
        <f>COUNTIFS($D$30:$D$34,"Vacant")</f>
        <v>1</v>
      </c>
      <c r="I8" s="1770">
        <f>COUNTIFS($D$30:$D$34,"Vacant",$E$30:$E$34,"Hire")</f>
        <v>1</v>
      </c>
      <c r="J8" s="1770">
        <f>COUNTIFS($E$30:$E$34,"Offshore")</f>
        <v>0</v>
      </c>
      <c r="K8" s="1770">
        <f>COUNTIFS($E$30:$E$34,"Hold")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SUM($G$30:$G$34)/1000000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COUNTA($B$36:$B$45)</f>
        <v>10</v>
      </c>
      <c r="G9" s="1770">
        <f>COUNTIFS($D$36:$D$45,"Filled")</f>
        <v>3</v>
      </c>
      <c r="H9" s="1770">
        <f>COUNTIFS($D$36:$D$45,"Vacant")</f>
        <v>7</v>
      </c>
      <c r="I9" s="1770">
        <f>COUNTIFS($D$36:$D$45,"Vacant",$E$36:$E$45,"Hire")</f>
        <v>7</v>
      </c>
      <c r="J9" s="1770">
        <f>COUNTIFS($E$36:$E$45,"Offshore")</f>
        <v>0</v>
      </c>
      <c r="K9" s="1770">
        <f>COUNTIFS($E$36:$E$45,"Hold")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SUM($G$36:$G$45)/1000000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SUM(M8:M9)</f>
        <v>2.8</v>
      </c>
      <c r="N10" s="1771">
        <f>SUM(N8:N9)</f>
        <v>3.279327216</v>
      </c>
      <c r="O10" s="1771">
        <f>IF(N($M10)=0,"-",ROUND($N10-$M10,6))</f>
        <v>0.479327</v>
      </c>
      <c r="P10" s="1771">
        <f>SUM(P8:P9)</f>
        <v>3.279327216</v>
      </c>
      <c r="Q10" s="1771">
        <f>IF(N($M10)=0,"-",ROUND($P10-$M10,6))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COUNTA($B$28:$B$28)</f>
        <v>1</v>
      </c>
      <c r="G12" s="1770">
        <f>COUNTIFS($D$28:$D$28,"Filled")</f>
        <v>1</v>
      </c>
      <c r="H12" s="1770">
        <f>COUNTIFS($D$28:$D$28,"Vacant")</f>
        <v>0</v>
      </c>
      <c r="I12" s="1770">
        <f>COUNTIFS($D$28:$D$28,"Vacant",$E$28:$E$28,"Hire")</f>
        <v>0</v>
      </c>
      <c r="J12" s="1770">
        <f>COUNTIFS($E$28:$E$28,"Offshore")</f>
        <v>0</v>
      </c>
      <c r="K12" s="1770">
        <f>COUNTIFS($E$28:$E$28,"Hold")</f>
        <v>0</v>
      </c>
      <c r="L12" s="1770">
        <f>$F12-$K12</f>
        <v>1</v>
      </c>
      <c r="M12" s="1769">
        <f>$N12</f>
        <v>0.24172845</v>
      </c>
      <c r="N12" s="1769">
        <f>SUMIFS('REVIEW - Complete Role Mapping'!$AA$2:$AA$528,'REVIEW - Complete Role Mapping'!$AJ$2:$AJ$528,$C$3,'REVIEW - Complete Role Mapping'!$AT$2:$AT$528,$B12)/1000000</f>
        <v>0.24172845</v>
      </c>
      <c r="O12" s="1769">
        <f>IFERROR(ROUND($N12-$M12,6),"-")</f>
        <v>0</v>
      </c>
      <c r="P12" s="1769">
        <f>SUM($G$28:$G$28)/1000000</f>
        <v>0.24172845</v>
      </c>
      <c r="Q12" s="1769">
        <f>IFERROR(ROUND($P12-$M12,6),"-")</f>
        <v>0</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f>SUM(M12:M12)</f>
        <v>0.24172845</v>
      </c>
      <c r="N13" s="1771">
        <f>SUM(N12:N12)</f>
        <v>0.24172845</v>
      </c>
      <c r="O13" s="1771">
        <f>IF(N($M13)=0,"-",ROUND($N13-$M13,6))</f>
        <v>0</v>
      </c>
      <c r="P13" s="1771">
        <f>SUM(P12:P12)</f>
        <v>0.24172845</v>
      </c>
      <c r="Q13" s="1771">
        <f>IF(N($M13)=0,"-",ROUND($P13-$M13,6))</f>
        <v>0</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f>SUM(M15:M15)</f>
        <v>0</v>
      </c>
      <c r="N16" s="1771">
        <f>SUM(N15:N15)</f>
        <v>0</v>
      </c>
      <c r="O16" s="1771" t="str">
        <f>IF(N($M16)=0,"-",ROUND($N16-$M16,6))</f>
        <v>-</v>
      </c>
      <c r="P16" s="1771">
        <f>SUM(P15:P15)</f>
        <v>0</v>
      </c>
      <c r="Q16" s="1771" t="str">
        <f>IF(N($M16)=0,"-",ROUND($P16-$M16,6))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Technology Manager</t>
        </is>
      </c>
      <c r="C18" s="1531" t="str">
        <f>"-"</f>
        <v>-</v>
      </c>
      <c r="D18" s="1531" t="str">
        <f>"-"</f>
        <v>-</v>
      </c>
      <c r="E18" s="1540" t="str">
        <f>"-"</f>
        <v>-</v>
      </c>
      <c r="F18" s="1770">
        <f>COUNTA($B$47:$B$47)</f>
        <v>1</v>
      </c>
      <c r="G18" s="1770">
        <f>COUNTIFS($D$47:$D$47,"Filled")</f>
        <v>1</v>
      </c>
      <c r="H18" s="1770">
        <f>COUNTIFS($D$47:$D$47,"Vacant")</f>
        <v>0</v>
      </c>
      <c r="I18" s="1770">
        <f>COUNTIFS($D$47:$D$47,"Vacant",$E$47:$E$47,"Hire")</f>
        <v>0</v>
      </c>
      <c r="J18" s="1770">
        <f>COUNTIFS($E$47:$E$47,"Offshore")</f>
        <v>0</v>
      </c>
      <c r="K18" s="1770">
        <f>COUNTIFS($E$47:$E$47,"Hold")</f>
        <v>0</v>
      </c>
      <c r="L18" s="1770">
        <f>$F18-$K18</f>
        <v>1</v>
      </c>
      <c r="M18" s="1540" t="str">
        <f>"-"</f>
        <v>-</v>
      </c>
      <c r="N18" s="1769">
        <f>SUMIFS('REVIEW - Complete Role Mapping'!$AA$2:$AA$528,'REVIEW - Complete Role Mapping'!$AJ$2:$AJ$528,$C$3,'REVIEW - Complete Role Mapping'!$AT$2:$AT$528,$B18)/1000000</f>
        <v>0.32356045</v>
      </c>
      <c r="O18" s="1540" t="str">
        <f>"-"</f>
        <v>-</v>
      </c>
      <c r="P18" s="1769">
        <f>SUM($G$47:$G$47)/1000000</f>
        <v>0.32356045</v>
      </c>
      <c r="Q18" s="1540" t="str">
        <f>"-"</f>
        <v>-</v>
      </c>
    </row>
    <row r="19">
      <c r="B19" s="1535" t="inlineStr">
        <is>
          <t>Overhead roles total</t>
        </is>
      </c>
      <c r="C19" s="1535" t="n"/>
      <c r="D19" s="1535" t="n"/>
      <c r="E19" s="1784">
        <f>SUM(E18:E18)</f>
        <v>0</v>
      </c>
      <c r="F19" s="1772">
        <f>SUM(F18:F18)</f>
        <v>1</v>
      </c>
      <c r="G19" s="1772">
        <f>SUM(G18:G18)</f>
        <v>1</v>
      </c>
      <c r="H19" s="1772">
        <f>SUM(H18:H18)</f>
        <v>0</v>
      </c>
      <c r="I19" s="1772">
        <f>SUM(I18:I18)</f>
        <v>0</v>
      </c>
      <c r="J19" s="1772">
        <f>SUM(J18:J18)</f>
        <v>0</v>
      </c>
      <c r="K19" s="1772">
        <f>SUM(K18:K18)</f>
        <v>0</v>
      </c>
      <c r="L19" s="1772">
        <f>SUM(L18:L18)</f>
        <v>1</v>
      </c>
      <c r="M19" s="1771">
        <f>SUM(M18:M18)</f>
        <v>0</v>
      </c>
      <c r="N19" s="1771">
        <f>SUM(N18:N18)</f>
        <v>0.32356045</v>
      </c>
      <c r="O19" s="1771" t="str">
        <f>IF(N($M19)=0,"-",ROUND($N19-$M19,6))</f>
        <v>-</v>
      </c>
      <c r="P19" s="1771">
        <f>SUM(P18:P18)</f>
        <v>0.32356045</v>
      </c>
      <c r="Q19" s="1771" t="str">
        <f>IF(N($M19)=0,"-",ROUND($P19-$M19,6))</f>
        <v>-</v>
      </c>
    </row>
    <row r="20">
      <c r="B20" s="1541" t="inlineStr">
        <is>
          <t>Total portfolio</t>
        </is>
      </c>
      <c r="C20" s="1541" t="n"/>
      <c r="D20" s="1541" t="n"/>
      <c r="E20" s="1785">
        <f>N(E10)+N(E13)+N(E16)+N(E19)</f>
        <v>12</v>
      </c>
      <c r="F20" s="1774">
        <f>N(F10)+N(F13)+N(F16)+N(F19)</f>
        <v>17</v>
      </c>
      <c r="G20" s="1774">
        <f>N(G10)+N(G13)+N(G16)+N(G19)</f>
        <v>9</v>
      </c>
      <c r="H20" s="1774">
        <f>N(H10)+N(H13)+N(H16)+N(H19)</f>
        <v>8</v>
      </c>
      <c r="I20" s="1774">
        <f>N(I10)+N(I13)+N(I16)+N(I19)</f>
        <v>8</v>
      </c>
      <c r="J20" s="1774">
        <f>N(J10)+N(J13)+N(J16)+N(J19)</f>
        <v>0</v>
      </c>
      <c r="K20" s="1774">
        <f>N(K10)+N(K13)+N(K16)+N(K19)</f>
        <v>0</v>
      </c>
      <c r="L20" s="1774">
        <f>N(L10)+N(L13)+N(L16)+N(L19)</f>
        <v>17</v>
      </c>
      <c r="M20" s="1773" t="str">
        <f>"-"</f>
        <v>-</v>
      </c>
      <c r="N20" s="1773">
        <f>N(N10)+N(N13)+N(N16)+N(N19)</f>
        <v>3.844616116</v>
      </c>
      <c r="O20" s="1773" t="str">
        <f>"-"</f>
        <v>-</v>
      </c>
      <c r="P20" s="1773">
        <f>N(P10)+N(P13)+N(P16)+N(P19)</f>
        <v>3.844616116</v>
      </c>
      <c r="Q20" s="1773" t="str">
        <f>"-"</f>
        <v>-</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Finance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EGI Finance</t>
        </is>
      </c>
      <c r="C27" s="1530" t="str">
        <f>COUNTA($B$28:$B$28)&amp;IF(COUNTA($B$28:$B$28)=1," role"," roles")</f>
        <v>1 role</v>
      </c>
      <c r="D27" s="1530" t="n"/>
      <c r="E27" s="1530" t="n"/>
      <c r="F27" s="1786">
        <f>SUM(F28:F28)</f>
        <v>241728.45</v>
      </c>
      <c r="G27" s="1786">
        <f>SUM(G28:G28)</f>
        <v>241728.45</v>
      </c>
    </row>
    <row r="28">
      <c r="B28" s="1531" t="str">
        <f>INDEX('REVIEW - Complete Role Mapping'!$B:$B,447)</f>
        <v>Ee Lynn Yap</v>
      </c>
      <c r="C28" s="1531" t="str">
        <f>INDEX('REVIEW - Complete Role Mapping'!$C:$C,447)</f>
        <v>SAP ERP Application Lead</v>
      </c>
      <c r="D28" s="1531" t="str">
        <f>INDEX('REVIEW - Complete Role Mapping'!$AK:$AK,447)</f>
        <v>Filled</v>
      </c>
      <c r="E28" s="1548" t="inlineStr">
        <is>
          <t>Filled</t>
        </is>
      </c>
      <c r="F28" s="1770">
        <f>INDEX('REVIEW - Complete Role Mapping'!$AA:$AA,447)</f>
        <v>241728.45</v>
      </c>
      <c r="G28" s="1770">
        <f>$F28*IFERROR(INDEX(Lists!$AD:$AD,MATCH($E28,Lists!$AC:$AC,0)),1)</f>
        <v>241728.45</v>
      </c>
    </row>
    <row r="29">
      <c r="B29" s="1530" t="inlineStr">
        <is>
          <t>NZ Finance</t>
        </is>
      </c>
      <c r="C29" s="1530" t="str">
        <f>COUNTA($B$30:$B$34)&amp;IF(COUNTA($B$30:$B$34)=1," role"," roles")</f>
        <v>5 roles</v>
      </c>
      <c r="D29" s="1530" t="n"/>
      <c r="E29" s="1530" t="n"/>
      <c r="F29" s="1786">
        <f>SUM(F30:F34)</f>
        <v>905141.646</v>
      </c>
      <c r="G29" s="1786">
        <f>SUM(G30:G34)</f>
        <v>905141.646</v>
      </c>
    </row>
    <row r="30">
      <c r="B30" s="1531" t="str">
        <f>INDEX('REVIEW - Complete Role Mapping'!$B:$B,456)</f>
        <v>Leilanie Avilla</v>
      </c>
      <c r="C30" s="1531" t="str">
        <f>INDEX('REVIEW - Complete Role Mapping'!$C:$C,456)</f>
        <v>JDE Systems Specialist</v>
      </c>
      <c r="D30" s="1531" t="str">
        <f>INDEX('REVIEW - Complete Role Mapping'!$AK:$AK,456)</f>
        <v>Filled</v>
      </c>
      <c r="E30" s="1548" t="inlineStr">
        <is>
          <t>Filled</t>
        </is>
      </c>
      <c r="F30" s="1770">
        <f>INDEX('REVIEW - Complete Role Mapping'!$AA:$AA,456)</f>
        <v>107420.712</v>
      </c>
      <c r="G30" s="1770">
        <f>$F30*IFERROR(INDEX(Lists!$AD:$AD,MATCH($E30,Lists!$AC:$AC,0)),1)</f>
        <v>107420.712</v>
      </c>
    </row>
    <row r="31">
      <c r="B31" s="1531" t="str">
        <f>INDEX('REVIEW - Complete Role Mapping'!$B:$B,457)</f>
        <v>Lydia Pritchard</v>
      </c>
      <c r="C31" s="1531" t="str">
        <f>INDEX('REVIEW - Complete Role Mapping'!$C:$C,457)</f>
        <v>Lead JDE Systems Specialist</v>
      </c>
      <c r="D31" s="1531" t="str">
        <f>INDEX('REVIEW - Complete Role Mapping'!$AK:$AK,457)</f>
        <v>Filled</v>
      </c>
      <c r="E31" s="1548" t="inlineStr">
        <is>
          <t>Filled</t>
        </is>
      </c>
      <c r="F31" s="1770">
        <f>INDEX('REVIEW - Complete Role Mapping'!$AA:$AA,457)</f>
        <v>198099.684</v>
      </c>
      <c r="G31" s="1770">
        <f>$F31*IFERROR(INDEX(Lists!$AD:$AD,MATCH($E31,Lists!$AC:$AC,0)),1)</f>
        <v>198099.684</v>
      </c>
    </row>
    <row r="32">
      <c r="B32" s="1531" t="str">
        <f>INDEX('REVIEW - Complete Role Mapping'!$B:$B,458)</f>
        <v>Ring fenced</v>
      </c>
      <c r="C32" s="1531" t="str">
        <f>INDEX('REVIEW - Complete Role Mapping'!$C:$C,458)</f>
        <v>JDE Senior Systems Specialist</v>
      </c>
      <c r="D32" s="1531" t="str">
        <f>INDEX('REVIEW - Complete Role Mapping'!$AK:$AK,458)</f>
        <v>Filled</v>
      </c>
      <c r="E32" s="1548" t="inlineStr">
        <is>
          <t>Filled</t>
        </is>
      </c>
      <c r="F32" s="1770">
        <f>INDEX('REVIEW - Complete Role Mapping'!$AA:$AA,458)</f>
        <v>183966</v>
      </c>
      <c r="G32" s="1770">
        <f>$F32*IFERROR(INDEX(Lists!$AD:$AD,MATCH($E32,Lists!$AC:$AC,0)),1)</f>
        <v>183966</v>
      </c>
    </row>
    <row r="33">
      <c r="B33" s="1531" t="str">
        <f>INDEX('REVIEW - Complete Role Mapping'!$B:$B,459)</f>
        <v>Ring fenced</v>
      </c>
      <c r="C33" s="1531" t="str">
        <f>INDEX('REVIEW - Complete Role Mapping'!$C:$C,459)</f>
        <v>JDE Senior Systems Specialist</v>
      </c>
      <c r="D33" s="1531" t="str">
        <f>INDEX('REVIEW - Complete Role Mapping'!$AK:$AK,459)</f>
        <v>Filled</v>
      </c>
      <c r="E33" s="1548" t="inlineStr">
        <is>
          <t>Filled</t>
        </is>
      </c>
      <c r="F33" s="1770">
        <f>INDEX('REVIEW - Complete Role Mapping'!$AA:$AA,459)</f>
        <v>183966</v>
      </c>
      <c r="G33" s="1770">
        <f>$F33*IFERROR(INDEX(Lists!$AD:$AD,MATCH($E33,Lists!$AC:$AC,0)),1)</f>
        <v>183966</v>
      </c>
    </row>
    <row r="34">
      <c r="B34" s="1531" t="str">
        <f>INDEX('REVIEW - Complete Role Mapping'!$B:$B,500)</f>
        <v>Vacant</v>
      </c>
      <c r="C34" s="1531" t="str">
        <f>INDEX('REVIEW - Complete Role Mapping'!$C:$C,500)</f>
        <v>Delivery Lead (JDE)</v>
      </c>
      <c r="D34" s="1531" t="str">
        <f>INDEX('REVIEW - Complete Role Mapping'!$AK:$AK,500)</f>
        <v>Vacant</v>
      </c>
      <c r="E34" s="1548" t="inlineStr">
        <is>
          <t>Hire</t>
        </is>
      </c>
      <c r="F34" s="1770">
        <f>INDEX('REVIEW - Complete Role Mapping'!$AA:$AA,500)</f>
        <v>231689.25</v>
      </c>
      <c r="G34" s="1770">
        <f>$F34*IFERROR(INDEX(Lists!$AD:$AD,MATCH($E34,Lists!$AC:$AC,0)),1)</f>
        <v>231689.25</v>
      </c>
    </row>
    <row r="35">
      <c r="B35" s="1530" t="inlineStr">
        <is>
          <t>SAP ERP</t>
        </is>
      </c>
      <c r="C35" s="1530" t="str">
        <f>COUNTA($B$36:$B$45)&amp;IF(COUNTA($B$36:$B$45)=1," role"," roles")</f>
        <v>10 roles</v>
      </c>
      <c r="D35" s="1530" t="n"/>
      <c r="E35" s="1530" t="n"/>
      <c r="F35" s="1786">
        <f>SUM(F36:F45)</f>
        <v>2374185.57</v>
      </c>
      <c r="G35" s="1786">
        <f>SUM(G36:G45)</f>
        <v>2374185.57</v>
      </c>
    </row>
    <row r="36">
      <c r="B36" s="1531" t="str">
        <f>INDEX('REVIEW - Complete Role Mapping'!$B:$B,453)</f>
        <v>Julma Bhagwani</v>
      </c>
      <c r="C36" s="1531" t="str">
        <f>INDEX('REVIEW - Complete Role Mapping'!$C:$C,453)</f>
        <v>SAP ERP Application Lead</v>
      </c>
      <c r="D36" s="1531" t="str">
        <f>INDEX('REVIEW - Complete Role Mapping'!$AK:$AK,453)</f>
        <v>Filled</v>
      </c>
      <c r="E36" s="1548" t="inlineStr">
        <is>
          <t>Filled</t>
        </is>
      </c>
      <c r="F36" s="1770">
        <f>INDEX('REVIEW - Complete Role Mapping'!$AA:$AA,453)</f>
        <v>239899.5</v>
      </c>
      <c r="G36" s="1770">
        <f>$F36*IFERROR(INDEX(Lists!$AD:$AD,MATCH($E36,Lists!$AC:$AC,0)),1)</f>
        <v>239899.5</v>
      </c>
    </row>
    <row r="37">
      <c r="B37" s="1531" t="str">
        <f>INDEX('REVIEW - Complete Role Mapping'!$B:$B,454)</f>
        <v>Maudud Chaudhury</v>
      </c>
      <c r="C37" s="1531" t="str">
        <f>INDEX('REVIEW - Complete Role Mapping'!$C:$C,454)</f>
        <v>SAP ERP Application Lead</v>
      </c>
      <c r="D37" s="1531" t="str">
        <f>INDEX('REVIEW - Complete Role Mapping'!$AK:$AK,454)</f>
        <v>Filled</v>
      </c>
      <c r="E37" s="1548" t="inlineStr">
        <is>
          <t>Filled</t>
        </is>
      </c>
      <c r="F37" s="1770">
        <f>INDEX('REVIEW - Complete Role Mapping'!$AA:$AA,454)</f>
        <v>214093.95</v>
      </c>
      <c r="G37" s="1770">
        <f>$F37*IFERROR(INDEX(Lists!$AD:$AD,MATCH($E37,Lists!$AC:$AC,0)),1)</f>
        <v>214093.95</v>
      </c>
    </row>
    <row r="38">
      <c r="B38" s="1531" t="str">
        <f>INDEX('REVIEW - Complete Role Mapping'!$B:$B,495)</f>
        <v>Vacant</v>
      </c>
      <c r="C38" s="1531" t="str">
        <f>INDEX('REVIEW - Complete Role Mapping'!$C:$C,495)</f>
        <v>SAP Functional Specialist</v>
      </c>
      <c r="D38" s="1531" t="str">
        <f>INDEX('REVIEW - Complete Role Mapping'!$AK:$AK,495)</f>
        <v>Vacant</v>
      </c>
      <c r="E38" s="1548" t="inlineStr">
        <is>
          <t>Hire</t>
        </is>
      </c>
      <c r="F38" s="1770">
        <f>INDEX('REVIEW - Complete Role Mapping'!$AA:$AA,495)</f>
        <v>231689.25</v>
      </c>
      <c r="G38" s="1770">
        <f>$F38*IFERROR(INDEX(Lists!$AD:$AD,MATCH($E38,Lists!$AC:$AC,0)),1)</f>
        <v>231689.25</v>
      </c>
    </row>
    <row r="39">
      <c r="B39" s="1531" t="str">
        <f>INDEX('REVIEW - Complete Role Mapping'!$B:$B,496)</f>
        <v>Vacant</v>
      </c>
      <c r="C39" s="1531" t="str">
        <f>INDEX('REVIEW - Complete Role Mapping'!$C:$C,496)</f>
        <v>SAP Functional Specialist</v>
      </c>
      <c r="D39" s="1531" t="str">
        <f>INDEX('REVIEW - Complete Role Mapping'!$AK:$AK,496)</f>
        <v>Vacant</v>
      </c>
      <c r="E39" s="1548" t="inlineStr">
        <is>
          <t>Hire</t>
        </is>
      </c>
      <c r="F39" s="1770">
        <f>INDEX('REVIEW - Complete Role Mapping'!$AA:$AA,496)</f>
        <v>231689.25</v>
      </c>
      <c r="G39" s="1770">
        <f>$F39*IFERROR(INDEX(Lists!$AD:$AD,MATCH($E39,Lists!$AC:$AC,0)),1)</f>
        <v>231689.25</v>
      </c>
    </row>
    <row r="40">
      <c r="B40" s="1531" t="str">
        <f>INDEX('REVIEW - Complete Role Mapping'!$B:$B,497)</f>
        <v>Vacant</v>
      </c>
      <c r="C40" s="1531" t="str">
        <f>INDEX('REVIEW - Complete Role Mapping'!$C:$C,497)</f>
        <v>SAP Functional Specialist</v>
      </c>
      <c r="D40" s="1531" t="str">
        <f>INDEX('REVIEW - Complete Role Mapping'!$AK:$AK,497)</f>
        <v>Vacant</v>
      </c>
      <c r="E40" s="1548" t="inlineStr">
        <is>
          <t>Hire</t>
        </is>
      </c>
      <c r="F40" s="1770">
        <f>INDEX('REVIEW - Complete Role Mapping'!$AA:$AA,497)</f>
        <v>231689.25</v>
      </c>
      <c r="G40" s="1770">
        <f>$F40*IFERROR(INDEX(Lists!$AD:$AD,MATCH($E40,Lists!$AC:$AC,0)),1)</f>
        <v>231689.25</v>
      </c>
    </row>
    <row r="41">
      <c r="B41" s="1531" t="str">
        <f>INDEX('REVIEW - Complete Role Mapping'!$B:$B,498)</f>
        <v>Vacant</v>
      </c>
      <c r="C41" s="1531" t="str">
        <f>INDEX('REVIEW - Complete Role Mapping'!$C:$C,498)</f>
        <v>SAP Functional Specialist</v>
      </c>
      <c r="D41" s="1531" t="str">
        <f>INDEX('REVIEW - Complete Role Mapping'!$AK:$AK,498)</f>
        <v>Vacant</v>
      </c>
      <c r="E41" s="1548" t="inlineStr">
        <is>
          <t>Hire</t>
        </is>
      </c>
      <c r="F41" s="1770">
        <f>INDEX('REVIEW - Complete Role Mapping'!$AA:$AA,498)</f>
        <v>231689.25</v>
      </c>
      <c r="G41" s="1770">
        <f>$F41*IFERROR(INDEX(Lists!$AD:$AD,MATCH($E41,Lists!$AC:$AC,0)),1)</f>
        <v>231689.25</v>
      </c>
    </row>
    <row r="42">
      <c r="B42" s="1531" t="str">
        <f>INDEX('REVIEW - Complete Role Mapping'!$B:$B,499)</f>
        <v>Vacant</v>
      </c>
      <c r="C42" s="1531" t="str">
        <f>INDEX('REVIEW - Complete Role Mapping'!$C:$C,499)</f>
        <v>Solution Architect - Finance</v>
      </c>
      <c r="D42" s="1531" t="str">
        <f>INDEX('REVIEW - Complete Role Mapping'!$AK:$AK,499)</f>
        <v>Vacant</v>
      </c>
      <c r="E42" s="1548" t="inlineStr">
        <is>
          <t>Hire</t>
        </is>
      </c>
      <c r="F42" s="1770">
        <f>INDEX('REVIEW - Complete Role Mapping'!$AA:$AA,499)</f>
        <v>231689.25</v>
      </c>
      <c r="G42" s="1770">
        <f>$F42*IFERROR(INDEX(Lists!$AD:$AD,MATCH($E42,Lists!$AC:$AC,0)),1)</f>
        <v>231689.25</v>
      </c>
    </row>
    <row r="43">
      <c r="B43" s="1531" t="str">
        <f>INDEX('REVIEW - Complete Role Mapping'!$B:$B,501)</f>
        <v>Vacant</v>
      </c>
      <c r="C43" s="1531" t="str">
        <f>INDEX('REVIEW - Complete Role Mapping'!$C:$C,501)</f>
        <v>Delivery Lead (SAP)</v>
      </c>
      <c r="D43" s="1531" t="str">
        <f>INDEX('REVIEW - Complete Role Mapping'!$AK:$AK,501)</f>
        <v>Vacant</v>
      </c>
      <c r="E43" s="1548" t="inlineStr">
        <is>
          <t>Hire</t>
        </is>
      </c>
      <c r="F43" s="1770">
        <f>INDEX('REVIEW - Complete Role Mapping'!$AA:$AA,501)</f>
        <v>231689.25</v>
      </c>
      <c r="G43" s="1770">
        <f>$F43*IFERROR(INDEX(Lists!$AD:$AD,MATCH($E43,Lists!$AC:$AC,0)),1)</f>
        <v>231689.25</v>
      </c>
    </row>
    <row r="44">
      <c r="B44" s="1531" t="str">
        <f>INDEX('REVIEW - Complete Role Mapping'!$B:$B,526)</f>
        <v>Vacant</v>
      </c>
      <c r="C44" s="1531" t="str">
        <f>INDEX('REVIEW - Complete Role Mapping'!$C:$C,526)</f>
        <v>Integration Specialist (ASAPIO CTRM)</v>
      </c>
      <c r="D44" s="1531" t="str">
        <f>INDEX('REVIEW - Complete Role Mapping'!$AK:$AK,526)</f>
        <v>Vacant</v>
      </c>
      <c r="E44" s="1548" t="inlineStr">
        <is>
          <t>Hire</t>
        </is>
      </c>
      <c r="F44" s="1770">
        <f>INDEX('REVIEW - Complete Role Mapping'!$AA:$AA,526)</f>
        <v>174856.62</v>
      </c>
      <c r="G44" s="1770">
        <f>$F44*IFERROR(INDEX(Lists!$AD:$AD,MATCH($E44,Lists!$AC:$AC,0)),1)</f>
        <v>174856.62</v>
      </c>
    </row>
    <row r="45">
      <c r="B45" s="1531" t="str">
        <f>INDEX('REVIEW - Complete Role Mapping'!$B:$B,528)</f>
        <v>Jens Tom</v>
      </c>
      <c r="C45" s="1531" t="str">
        <f>INDEX('REVIEW - Complete Role Mapping'!$C:$C,528)</f>
        <v>SAP Solution Architect</v>
      </c>
      <c r="D45" s="1531" t="str">
        <f>INDEX('REVIEW - Complete Role Mapping'!$AK:$AK,528)</f>
        <v>Filled</v>
      </c>
      <c r="E45" s="1548" t="inlineStr">
        <is>
          <t>Filled</t>
        </is>
      </c>
      <c r="F45" s="1770">
        <f>INDEX('REVIEW - Complete Role Mapping'!$AA:$AA,528)</f>
        <v>355200</v>
      </c>
      <c r="G45" s="1770">
        <f>$F45*IFERROR(INDEX(Lists!$AD:$AD,MATCH($E45,Lists!$AC:$AC,0)),1)</f>
        <v>355200</v>
      </c>
    </row>
    <row r="46">
      <c r="B46" s="1530" t="inlineStr">
        <is>
          <t>Technology Manager</t>
        </is>
      </c>
      <c r="C46" s="1530" t="str">
        <f>COUNTA($B$47:$B$47)&amp;IF(COUNTA($B$47:$B$47)=1," role"," roles")</f>
        <v>1 role</v>
      </c>
      <c r="D46" s="1530" t="n"/>
      <c r="E46" s="1530" t="n"/>
      <c r="F46" s="1786">
        <f>SUM(F47:F47)</f>
        <v>323560.45</v>
      </c>
      <c r="G46" s="1786">
        <f>SUM(G47:G47)</f>
        <v>323560.45</v>
      </c>
    </row>
    <row r="47">
      <c r="B47" s="1531" t="str">
        <f>INDEX('REVIEW - Complete Role Mapping'!$B:$B,455)</f>
        <v>Shane Ker</v>
      </c>
      <c r="C47" s="1531" t="str">
        <f>INDEX('REVIEW - Complete Role Mapping'!$C:$C,455)</f>
        <v>Technology Manger - Finance Platfoms</v>
      </c>
      <c r="D47" s="1531" t="str">
        <f>INDEX('REVIEW - Complete Role Mapping'!$AK:$AK,455)</f>
        <v>Filled</v>
      </c>
      <c r="E47" s="1548" t="inlineStr">
        <is>
          <t>Filled</t>
        </is>
      </c>
      <c r="F47" s="1770">
        <f>INDEX('REVIEW - Complete Role Mapping'!$AA:$AA,455)</f>
        <v>323560.45</v>
      </c>
      <c r="G47" s="1770">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Q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COUNTA($B$32:$B$38)</f>
        <v>7</v>
      </c>
      <c r="G8" s="1770">
        <f>COUNTIFS($D$32:$D$38,"Filled")</f>
        <v>2</v>
      </c>
      <c r="H8" s="1770">
        <f>COUNTIFS($D$32:$D$38,"Vacant")</f>
        <v>5</v>
      </c>
      <c r="I8" s="1770">
        <f>COUNTIFS($D$32:$D$38,"Vacant",$E$32:$E$38,"Hire")</f>
        <v>5</v>
      </c>
      <c r="J8" s="1770">
        <f>COUNTIFS($E$32:$E$38,"Offshore")</f>
        <v>0</v>
      </c>
      <c r="K8" s="1770">
        <f>COUNTIFS($E$32:$E$38,"Hold")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SUM($G$32:$G$38)/1000000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COUNTA($B$40:$B$49)</f>
        <v>10</v>
      </c>
      <c r="G9" s="1770">
        <f>COUNTIFS($D$40:$D$49,"Filled")</f>
        <v>8</v>
      </c>
      <c r="H9" s="1770">
        <f>COUNTIFS($D$40:$D$49,"Vacant")</f>
        <v>2</v>
      </c>
      <c r="I9" s="1770">
        <f>COUNTIFS($D$40:$D$49,"Vacant",$E$40:$E$49,"Hire")</f>
        <v>2</v>
      </c>
      <c r="J9" s="1770">
        <f>COUNTIFS($E$40:$E$49,"Offshore")</f>
        <v>0</v>
      </c>
      <c r="K9" s="1770">
        <f>COUNTIFS($E$40:$E$49,"Hold")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SUM($G$40:$G$49)/1000000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COUNTA($B$53:$B$61)</f>
        <v>9</v>
      </c>
      <c r="G10" s="1770">
        <f>COUNTIFS($D$53:$D$61,"Filled")</f>
        <v>7</v>
      </c>
      <c r="H10" s="1770">
        <f>COUNTIFS($D$53:$D$61,"Vacant")</f>
        <v>2</v>
      </c>
      <c r="I10" s="1770">
        <f>COUNTIFS($D$53:$D$61,"Vacant",$E$53:$E$61,"Hire")</f>
        <v>2</v>
      </c>
      <c r="J10" s="1770">
        <f>COUNTIFS($E$53:$E$61,"Offshore")</f>
        <v>0</v>
      </c>
      <c r="K10" s="1770">
        <f>COUNTIFS($E$53:$E$61,"Hold")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SUM($G$53:$G$61)/1000000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COUNTA($B$63:$B$67)</f>
        <v>5</v>
      </c>
      <c r="G11" s="1770">
        <f>COUNTIFS($D$63:$D$67,"Filled")</f>
        <v>5</v>
      </c>
      <c r="H11" s="1770">
        <f>COUNTIFS($D$63:$D$67,"Vacant")</f>
        <v>0</v>
      </c>
      <c r="I11" s="1770">
        <f>COUNTIFS($D$63:$D$67,"Vacant",$E$63:$E$67,"Hire")</f>
        <v>0</v>
      </c>
      <c r="J11" s="1770">
        <f>COUNTIFS($E$63:$E$67,"Offshore")</f>
        <v>0</v>
      </c>
      <c r="K11" s="1770">
        <f>COUNTIFS($E$63:$E$67,"Hold")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SUM($G$63:$G$67)/1000000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SUM(M8:M11)</f>
        <v>6.4</v>
      </c>
      <c r="N12" s="1771">
        <f>SUM(N8:N11)</f>
        <v>6.30063899</v>
      </c>
      <c r="O12" s="1771">
        <f>IF(N($M12)=0,"-",ROUND($N12-$M12,6))</f>
        <v>-0.099361</v>
      </c>
      <c r="P12" s="1771">
        <f>SUM(P8:P11)</f>
        <v>6.30063899</v>
      </c>
      <c r="Q12" s="1771">
        <f>IF(N($M12)=0,"-",ROUND($P12-$M12,6))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Leadership</t>
        </is>
      </c>
      <c r="C17" s="1531" t="str">
        <f>IFERROR(INDEX('1.7 Infrastructure'!$C$24:$C$41,MATCH($B17,'1.7 Infrastructure'!$B$24:$B$41,0)),"Not on the 1.x tab")</f>
        <v>Not on the 1.x tab</v>
      </c>
      <c r="D17" s="1531" t="str">
        <f>IFERROR(IF(INDEX('1.7 Infrastructure'!$D$24:$D$41,MATCH($B17,'1.7 Infrastructure'!$B$24:$B$41,0))="","-",INDEX('1.7 Infrastructure'!$D$24:$D$41,MATCH($B17,'1.7 Infrastructure'!$B$24:$B$41,0))),"-")</f>
        <v>-</v>
      </c>
      <c r="E17" s="1783" t="str">
        <f>"-"</f>
        <v>-</v>
      </c>
      <c r="F17" s="1770">
        <f>COUNTA($B$51:$B$51)</f>
        <v>1</v>
      </c>
      <c r="G17" s="1770">
        <f>COUNTIFS($D$51:$D$51,"Filled")</f>
        <v>1</v>
      </c>
      <c r="H17" s="1770">
        <f>COUNTIFS($D$51:$D$51,"Vacant")</f>
        <v>0</v>
      </c>
      <c r="I17" s="1770">
        <f>COUNTIFS($D$51:$D$51,"Vacant",$E$51:$E$51,"Hire")</f>
        <v>0</v>
      </c>
      <c r="J17" s="1770">
        <f>COUNTIFS($E$51:$E$51,"Offshore")</f>
        <v>0</v>
      </c>
      <c r="K17" s="1770">
        <f>COUNTIFS($E$51:$E$51,"Hold")</f>
        <v>0</v>
      </c>
      <c r="L17" s="1770">
        <f>$F17-$K17</f>
        <v>1</v>
      </c>
      <c r="M17" s="1769" t="str">
        <f>IFERROR(INDEX('1.7 Infrastructure'!$H$24:$H$41,MATCH($B17,'1.7 Infrastructure'!$B$24:$B$41,0)),"-")</f>
        <v>-</v>
      </c>
      <c r="N17" s="1769">
        <f>SUMIFS('REVIEW - Complete Role Mapping'!$AA$2:$AA$528,'REVIEW - Complete Role Mapping'!$AJ$2:$AJ$528,$C$3,'REVIEW - Complete Role Mapping'!$AT$2:$AT$528,$B17)/1000000</f>
        <v>0.2566671</v>
      </c>
      <c r="O17" s="1769" t="str">
        <f>IFERROR(ROUND($N17-$M17,6),"-")</f>
        <v>-</v>
      </c>
      <c r="P17" s="1769">
        <f>SUM($G$51:$G$51)/1000000</f>
        <v>0.2566671</v>
      </c>
      <c r="Q17" s="1769" t="str">
        <f>IFERROR(ROUND($P17-$M17,6),"-")</f>
        <v>-</v>
      </c>
    </row>
    <row r="18">
      <c r="B18" s="1535" t="inlineStr">
        <is>
          <t>Groups with no archetype and no funded figure total</t>
        </is>
      </c>
      <c r="C18" s="1535" t="n"/>
      <c r="D18" s="1535" t="n"/>
      <c r="E18" s="1784">
        <f>SUM(E17:E17)</f>
        <v>0</v>
      </c>
      <c r="F18" s="1772">
        <f>SUM(F17:F17)</f>
        <v>1</v>
      </c>
      <c r="G18" s="1772">
        <f>SUM(G17:G17)</f>
        <v>1</v>
      </c>
      <c r="H18" s="1772">
        <f>SUM(H17:H17)</f>
        <v>0</v>
      </c>
      <c r="I18" s="1772">
        <f>SUM(I17:I17)</f>
        <v>0</v>
      </c>
      <c r="J18" s="1772">
        <f>SUM(J17:J17)</f>
        <v>0</v>
      </c>
      <c r="K18" s="1772">
        <f>SUM(K17:K17)</f>
        <v>0</v>
      </c>
      <c r="L18" s="1772">
        <f>SUM(L17:L17)</f>
        <v>1</v>
      </c>
      <c r="M18" s="1771">
        <f>SUM(M17:M17)</f>
        <v>0</v>
      </c>
      <c r="N18" s="1771">
        <f>SUM(N17:N17)</f>
        <v>0.2566671</v>
      </c>
      <c r="O18" s="1771" t="str">
        <f>IF(N($M18)=0,"-",ROUND($N18-$M18,6))</f>
        <v>-</v>
      </c>
      <c r="P18" s="1771">
        <f>SUM(P17:P17)</f>
        <v>0.2566671</v>
      </c>
      <c r="Q18" s="1771" t="str">
        <f>IF(N($M18)=0,"-",ROUND($P18-$M18,6))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COUNTA($B$69:$B$69)</f>
        <v>1</v>
      </c>
      <c r="G20" s="1770">
        <f>COUNTIFS($D$69:$D$69,"Filled")</f>
        <v>1</v>
      </c>
      <c r="H20" s="1770">
        <f>COUNTIFS($D$69:$D$69,"Vacant")</f>
        <v>0</v>
      </c>
      <c r="I20" s="1770">
        <f>COUNTIFS($D$69:$D$69,"Vacant",$E$69:$E$69,"Hire")</f>
        <v>0</v>
      </c>
      <c r="J20" s="1770">
        <f>COUNTIFS($E$69:$E$69,"Offshore")</f>
        <v>0</v>
      </c>
      <c r="K20" s="1770">
        <f>COUNTIFS($E$69:$E$69,"Hold")</f>
        <v>0</v>
      </c>
      <c r="L20" s="1770">
        <f>$F20-$K20</f>
        <v>1</v>
      </c>
      <c r="M20" s="1540" t="str">
        <f>"-"</f>
        <v>-</v>
      </c>
      <c r="N20" s="1769">
        <f>SUMIFS('REVIEW - Complete Role Mapping'!$AA$2:$AA$528,'REVIEW - Complete Role Mapping'!$AJ$2:$AJ$528,$C$3,'REVIEW - Complete Role Mapping'!$AT$2:$AT$528,$B20)/1000000</f>
        <v>0.3636267</v>
      </c>
      <c r="O20" s="1540" t="str">
        <f>"-"</f>
        <v>-</v>
      </c>
      <c r="P20" s="1769">
        <f>SUM($G$69:$G$69)/1000000</f>
        <v>0.3636267</v>
      </c>
      <c r="Q20" s="1540" t="str">
        <f>"-"</f>
        <v>-</v>
      </c>
    </row>
    <row r="21">
      <c r="B21" s="1531" t="inlineStr">
        <is>
          <t>Delivery Manager</t>
        </is>
      </c>
      <c r="C21" s="1531" t="str">
        <f>"-"</f>
        <v>-</v>
      </c>
      <c r="D21" s="1531" t="str">
        <f>"-"</f>
        <v>-</v>
      </c>
      <c r="E21" s="1540" t="str">
        <f>"-"</f>
        <v>-</v>
      </c>
      <c r="F21" s="1770">
        <f>COUNTA($B$71:$B$71)</f>
        <v>1</v>
      </c>
      <c r="G21" s="1770">
        <f>COUNTIFS($D$71:$D$71,"Filled")</f>
        <v>0</v>
      </c>
      <c r="H21" s="1770">
        <f>COUNTIFS($D$71:$D$71,"Vacant")</f>
        <v>1</v>
      </c>
      <c r="I21" s="1770">
        <f>COUNTIFS($D$71:$D$71,"Vacant",$E$71:$E$71,"Hire")</f>
        <v>1</v>
      </c>
      <c r="J21" s="1770">
        <f>COUNTIFS($E$71:$E$71,"Offshore")</f>
        <v>0</v>
      </c>
      <c r="K21" s="1770">
        <f>COUNTIFS($E$71:$E$71,"Hold")</f>
        <v>0</v>
      </c>
      <c r="L21" s="1770">
        <f>$F21-$K21</f>
        <v>1</v>
      </c>
      <c r="M21" s="1540" t="str">
        <f>"-"</f>
        <v>-</v>
      </c>
      <c r="N21" s="1769">
        <f>SUMIFS('REVIEW - Complete Role Mapping'!$AA$2:$AA$528,'REVIEW - Complete Role Mapping'!$AJ$2:$AJ$528,$C$3,'REVIEW - Complete Role Mapping'!$AT$2:$AT$528,$B21)/1000000</f>
        <v>0.27581025</v>
      </c>
      <c r="O21" s="1540" t="str">
        <f>"-"</f>
        <v>-</v>
      </c>
      <c r="P21" s="1769">
        <f>SUM($G$71:$G$71)/1000000</f>
        <v>0.27581025</v>
      </c>
      <c r="Q21" s="1540" t="str">
        <f>"-"</f>
        <v>-</v>
      </c>
    </row>
    <row r="22">
      <c r="B22" s="1531" t="inlineStr">
        <is>
          <t>Technology Manager</t>
        </is>
      </c>
      <c r="C22" s="1531" t="str">
        <f>"-"</f>
        <v>-</v>
      </c>
      <c r="D22" s="1531" t="str">
        <f>"-"</f>
        <v>-</v>
      </c>
      <c r="E22" s="1540" t="str">
        <f>"-"</f>
        <v>-</v>
      </c>
      <c r="F22" s="1770">
        <f>COUNTA($B$73:$B$74)</f>
        <v>2</v>
      </c>
      <c r="G22" s="1770">
        <f>COUNTIFS($D$73:$D$74,"Filled")</f>
        <v>0</v>
      </c>
      <c r="H22" s="1770">
        <f>COUNTIFS($D$73:$D$74,"Vacant")</f>
        <v>2</v>
      </c>
      <c r="I22" s="1770">
        <f>COUNTIFS($D$73:$D$74,"Vacant",$E$73:$E$74,"Hire")</f>
        <v>2</v>
      </c>
      <c r="J22" s="1770">
        <f>COUNTIFS($E$73:$E$74,"Offshore")</f>
        <v>0</v>
      </c>
      <c r="K22" s="1770">
        <f>COUNTIFS($E$73:$E$74,"Hold")</f>
        <v>0</v>
      </c>
      <c r="L22" s="1770">
        <f>$F22-$K22</f>
        <v>2</v>
      </c>
      <c r="M22" s="1540" t="str">
        <f>"-"</f>
        <v>-</v>
      </c>
      <c r="N22" s="1769">
        <f>SUMIFS('REVIEW - Complete Role Mapping'!$AA$2:$AA$528,'REVIEW - Complete Role Mapping'!$AJ$2:$AJ$528,$C$3,'REVIEW - Complete Role Mapping'!$AT$2:$AT$528,$B22)/1000000</f>
        <v>0.5516205</v>
      </c>
      <c r="O22" s="1540" t="str">
        <f>"-"</f>
        <v>-</v>
      </c>
      <c r="P22" s="1769">
        <f>SUM($G$73:$G$74)/1000000</f>
        <v>0.5516205</v>
      </c>
      <c r="Q22" s="1540" t="str">
        <f>"-"</f>
        <v>-</v>
      </c>
    </row>
    <row r="23">
      <c r="B23" s="1535" t="inlineStr">
        <is>
          <t>Overhead roles total</t>
        </is>
      </c>
      <c r="C23" s="1535" t="n"/>
      <c r="D23" s="1535" t="n"/>
      <c r="E23" s="1784">
        <f>SUM(E20:E22)</f>
        <v>0</v>
      </c>
      <c r="F23" s="1772">
        <f>SUM(F20:F22)</f>
        <v>4</v>
      </c>
      <c r="G23" s="1772">
        <f>SUM(G20:G22)</f>
        <v>1</v>
      </c>
      <c r="H23" s="1772">
        <f>SUM(H20:H22)</f>
        <v>3</v>
      </c>
      <c r="I23" s="1772">
        <f>SUM(I20:I22)</f>
        <v>3</v>
      </c>
      <c r="J23" s="1772">
        <f>SUM(J20:J22)</f>
        <v>0</v>
      </c>
      <c r="K23" s="1772">
        <f>SUM(K20:K22)</f>
        <v>0</v>
      </c>
      <c r="L23" s="1772">
        <f>SUM(L20:L22)</f>
        <v>4</v>
      </c>
      <c r="M23" s="1771">
        <f>SUM(M20:M22)</f>
        <v>0</v>
      </c>
      <c r="N23" s="1771">
        <f>SUM(N20:N22)</f>
        <v>1.19105745</v>
      </c>
      <c r="O23" s="1771" t="str">
        <f>IF(N($M23)=0,"-",ROUND($N23-$M23,6))</f>
        <v>-</v>
      </c>
      <c r="P23" s="1771">
        <f>SUM(P20:P22)</f>
        <v>1.19105745</v>
      </c>
      <c r="Q23" s="1771" t="str">
        <f>IF(N($M23)=0,"-",ROUND($P23-$M23,6))</f>
        <v>-</v>
      </c>
    </row>
    <row r="24">
      <c r="B24" s="1541" t="inlineStr">
        <is>
          <t>Total portfolio</t>
        </is>
      </c>
      <c r="C24" s="1541" t="n"/>
      <c r="D24" s="1541" t="n"/>
      <c r="E24" s="1785">
        <f>N(E12)+N(E15)+N(E18)+N(E23)</f>
        <v>28</v>
      </c>
      <c r="F24" s="1774">
        <f>N(F12)+N(F15)+N(F18)+N(F23)</f>
        <v>36</v>
      </c>
      <c r="G24" s="1774">
        <f>N(G12)+N(G15)+N(G18)+N(G23)</f>
        <v>24</v>
      </c>
      <c r="H24" s="1774">
        <f>N(H12)+N(H15)+N(H18)+N(H23)</f>
        <v>12</v>
      </c>
      <c r="I24" s="1774">
        <f>N(I12)+N(I15)+N(I18)+N(I23)</f>
        <v>12</v>
      </c>
      <c r="J24" s="1774">
        <f>N(J12)+N(J15)+N(J18)+N(J23)</f>
        <v>0</v>
      </c>
      <c r="K24" s="1774">
        <f>N(K12)+N(K15)+N(K18)+N(K23)</f>
        <v>0</v>
      </c>
      <c r="L24" s="1774">
        <f>N(L12)+N(L15)+N(L18)+N(L23)</f>
        <v>36</v>
      </c>
      <c r="M24" s="1773" t="str">
        <f>"-"</f>
        <v>-</v>
      </c>
      <c r="N24" s="1773">
        <f>N(N12)+N(N15)+N(N18)+N(N23)</f>
        <v>7.74836354</v>
      </c>
      <c r="O24" s="1773" t="str">
        <f>"-"</f>
        <v>-</v>
      </c>
      <c r="P24" s="1773">
        <f>N(P12)+N(P15)+N(P18)+N(P23)</f>
        <v>7.74836354</v>
      </c>
      <c r="Q24" s="1773" t="str">
        <f>"-"</f>
        <v>-</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Infrastructure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&amp; Insights</t>
        </is>
      </c>
      <c r="C31" s="1530" t="str">
        <f>COUNTA($B$32:$B$38)&amp;IF(COUNTA($B$32:$B$38)=1," role"," roles")</f>
        <v>7 roles</v>
      </c>
      <c r="D31" s="1530" t="n"/>
      <c r="E31" s="1530" t="n"/>
      <c r="F31" s="1786">
        <f>SUM(F32:F38)</f>
        <v>1517256.75</v>
      </c>
      <c r="G31" s="1786">
        <f>SUM(G32:G38)</f>
        <v>1517256.75</v>
      </c>
    </row>
    <row r="32">
      <c r="B32" s="1531" t="str">
        <f>INDEX('REVIEW - Complete Role Mapping'!$B:$B,403)</f>
        <v>Simrat Singh</v>
      </c>
      <c r="C32" s="1531" t="str">
        <f>INDEX('REVIEW - Complete Role Mapping'!$C:$C,403)</f>
        <v>Reporting Analyst</v>
      </c>
      <c r="D32" s="1531" t="str">
        <f>INDEX('REVIEW - Complete Role Mapping'!$AK:$AK,403)</f>
        <v>Filled</v>
      </c>
      <c r="E32" s="1548" t="inlineStr">
        <is>
          <t>Filled</t>
        </is>
      </c>
      <c r="F32" s="1770">
        <f>INDEX('REVIEW - Complete Role Mapping'!$AA:$AA,403)</f>
        <v>197580</v>
      </c>
      <c r="G32" s="1770">
        <f>$F32*IFERROR(INDEX(Lists!$AD:$AD,MATCH($E32,Lists!$AC:$AC,0)),1)</f>
        <v>197580</v>
      </c>
    </row>
    <row r="33">
      <c r="B33" s="1531" t="str">
        <f>INDEX('REVIEW - Complete Role Mapping'!$B:$B,407)</f>
        <v>Stevani Kho</v>
      </c>
      <c r="C33" s="1531" t="str">
        <f>INDEX('REVIEW - Complete Role Mapping'!$C:$C,407)</f>
        <v>Delivery Lead</v>
      </c>
      <c r="D33" s="1531" t="str">
        <f>INDEX('REVIEW - Complete Role Mapping'!$AK:$AK,407)</f>
        <v>Filled</v>
      </c>
      <c r="E33" s="1548" t="inlineStr">
        <is>
          <t>Filled</t>
        </is>
      </c>
      <c r="F33" s="1770">
        <f>INDEX('REVIEW - Complete Role Mapping'!$AA:$AA,407)</f>
        <v>277842.75</v>
      </c>
      <c r="G33" s="1770">
        <f>$F33*IFERROR(INDEX(Lists!$AD:$AD,MATCH($E33,Lists!$AC:$AC,0)),1)</f>
        <v>277842.75</v>
      </c>
    </row>
    <row r="34">
      <c r="B34" s="1531" t="str">
        <f>INDEX('REVIEW - Complete Role Mapping'!$B:$B,433)</f>
        <v>Vacant</v>
      </c>
      <c r="C34" s="1531" t="str">
        <f>INDEX('REVIEW - Complete Role Mapping'!$C:$C,433)</f>
        <v>Data Analyst</v>
      </c>
      <c r="D34" s="1531" t="str">
        <f>INDEX('REVIEW - Complete Role Mapping'!$AK:$AK,433)</f>
        <v>Vacant</v>
      </c>
      <c r="E34" s="1548" t="inlineStr">
        <is>
          <t>Hire</t>
        </is>
      </c>
      <c r="F34" s="1770">
        <f>INDEX('REVIEW - Complete Role Mapping'!$AA:$AA,433)</f>
        <v>201585</v>
      </c>
      <c r="G34" s="1770">
        <f>$F34*IFERROR(INDEX(Lists!$AD:$AD,MATCH($E34,Lists!$AC:$AC,0)),1)</f>
        <v>201585</v>
      </c>
    </row>
    <row r="35">
      <c r="B35" s="1531" t="str">
        <f>INDEX('REVIEW - Complete Role Mapping'!$B:$B,434)</f>
        <v>Vacant</v>
      </c>
      <c r="C35" s="1531" t="str">
        <f>INDEX('REVIEW - Complete Role Mapping'!$C:$C,434)</f>
        <v>Engineer Data</v>
      </c>
      <c r="D35" s="1531" t="str">
        <f>INDEX('REVIEW - Complete Role Mapping'!$AK:$AK,434)</f>
        <v>Vacant</v>
      </c>
      <c r="E35" s="1548" t="inlineStr">
        <is>
          <t>Hire</t>
        </is>
      </c>
      <c r="F35" s="1770">
        <f>INDEX('REVIEW - Complete Role Mapping'!$AA:$AA,434)</f>
        <v>202853.25</v>
      </c>
      <c r="G35" s="1770">
        <f>$F35*IFERROR(INDEX(Lists!$AD:$AD,MATCH($E35,Lists!$AC:$AC,0)),1)</f>
        <v>202853.25</v>
      </c>
    </row>
    <row r="36">
      <c r="B36" s="1531" t="str">
        <f>INDEX('REVIEW - Complete Role Mapping'!$B:$B,435)</f>
        <v>Vacant</v>
      </c>
      <c r="C36" s="1531" t="str">
        <f>INDEX('REVIEW - Complete Role Mapping'!$C:$C,435)</f>
        <v>Lead Data Analyst</v>
      </c>
      <c r="D36" s="1531" t="str">
        <f>INDEX('REVIEW - Complete Role Mapping'!$AK:$AK,435)</f>
        <v>Vacant</v>
      </c>
      <c r="E36" s="1548" t="inlineStr">
        <is>
          <t>Hire</t>
        </is>
      </c>
      <c r="F36" s="1770">
        <f>INDEX('REVIEW - Complete Role Mapping'!$AA:$AA,435)</f>
        <v>231689.25</v>
      </c>
      <c r="G36" s="1770">
        <f>$F36*IFERROR(INDEX(Lists!$AD:$AD,MATCH($E36,Lists!$AC:$AC,0)),1)</f>
        <v>231689.25</v>
      </c>
    </row>
    <row r="37">
      <c r="B37" s="1531" t="str">
        <f>INDEX('REVIEW - Complete Role Mapping'!$B:$B,436)</f>
        <v>Vacant</v>
      </c>
      <c r="C37" s="1531" t="str">
        <f>INDEX('REVIEW - Complete Role Mapping'!$C:$C,436)</f>
        <v>Reporting Analyst</v>
      </c>
      <c r="D37" s="1531" t="str">
        <f>INDEX('REVIEW - Complete Role Mapping'!$AK:$AK,436)</f>
        <v>Vacant</v>
      </c>
      <c r="E37" s="1548" t="inlineStr">
        <is>
          <t>Hire</t>
        </is>
      </c>
      <c r="F37" s="1770">
        <f>INDEX('REVIEW - Complete Role Mapping'!$AA:$AA,436)</f>
        <v>202853.25</v>
      </c>
      <c r="G37" s="1770">
        <f>$F37*IFERROR(INDEX(Lists!$AD:$AD,MATCH($E37,Lists!$AC:$AC,0)),1)</f>
        <v>202853.25</v>
      </c>
    </row>
    <row r="38">
      <c r="B38" s="1531" t="str">
        <f>INDEX('REVIEW - Complete Role Mapping'!$B:$B,437)</f>
        <v>Vacant</v>
      </c>
      <c r="C38" s="1531" t="str">
        <f>INDEX('REVIEW - Complete Role Mapping'!$C:$C,437)</f>
        <v>Senior Engineer Data</v>
      </c>
      <c r="D38" s="1531" t="str">
        <f>INDEX('REVIEW - Complete Role Mapping'!$AK:$AK,437)</f>
        <v>Vacant</v>
      </c>
      <c r="E38" s="1548" t="inlineStr">
        <is>
          <t>Hire</t>
        </is>
      </c>
      <c r="F38" s="1770">
        <f>INDEX('REVIEW - Complete Role Mapping'!$AA:$AA,437)</f>
        <v>202853.25</v>
      </c>
      <c r="G38" s="1770">
        <f>$F38*IFERROR(INDEX(Lists!$AD:$AD,MATCH($E38,Lists!$AC:$AC,0)),1)</f>
        <v>202853.25</v>
      </c>
    </row>
    <row r="39">
      <c r="B39" s="1530" t="inlineStr">
        <is>
          <t>Distribution, Sales &amp; Services</t>
        </is>
      </c>
      <c r="C39" s="1530" t="str">
        <f>COUNTA($B$40:$B$49)&amp;IF(COUNTA($B$40:$B$49)=1," role"," roles")</f>
        <v>10 roles</v>
      </c>
      <c r="D39" s="1530" t="n"/>
      <c r="E39" s="1530" t="n"/>
      <c r="F39" s="1786">
        <f>SUM(F40:F49)</f>
        <v>2127273.65</v>
      </c>
      <c r="G39" s="1786">
        <f>SUM(G40:G49)</f>
        <v>2127273.65</v>
      </c>
    </row>
    <row r="40">
      <c r="B40" s="1531" t="str">
        <f>INDEX('REVIEW - Complete Role Mapping'!$B:$B,341)</f>
        <v>Angus Gibson</v>
      </c>
      <c r="C40" s="1531" t="str">
        <f>INDEX('REVIEW - Complete Role Mapping'!$C:$C,341)</f>
        <v>Senior Systems Analyst</v>
      </c>
      <c r="D40" s="1531" t="str">
        <f>INDEX('REVIEW - Complete Role Mapping'!$AK:$AK,341)</f>
        <v>Filled</v>
      </c>
      <c r="E40" s="1548" t="inlineStr">
        <is>
          <t>Filled</t>
        </is>
      </c>
      <c r="F40" s="1770">
        <f>INDEX('REVIEW - Complete Role Mapping'!$AA:$AA,341)</f>
        <v>235494</v>
      </c>
      <c r="G40" s="1770">
        <f>$F40*IFERROR(INDEX(Lists!$AD:$AD,MATCH($E40,Lists!$AC:$AC,0)),1)</f>
        <v>235494</v>
      </c>
    </row>
    <row r="41">
      <c r="B41" s="1531" t="str">
        <f>INDEX('REVIEW - Complete Role Mapping'!$B:$B,345)</f>
        <v>Anvitha Kurra</v>
      </c>
      <c r="C41" s="1531" t="str">
        <f>INDEX('REVIEW - Complete Role Mapping'!$C:$C,345)</f>
        <v>Senior Systems Analyst</v>
      </c>
      <c r="D41" s="1531" t="str">
        <f>INDEX('REVIEW - Complete Role Mapping'!$AK:$AK,345)</f>
        <v>Filled</v>
      </c>
      <c r="E41" s="1548" t="inlineStr">
        <is>
          <t>Filled</t>
        </is>
      </c>
      <c r="F41" s="1770">
        <f>INDEX('REVIEW - Complete Role Mapping'!$AA:$AA,345)</f>
        <v>215388.9</v>
      </c>
      <c r="G41" s="1770">
        <f>$F41*IFERROR(INDEX(Lists!$AD:$AD,MATCH($E41,Lists!$AC:$AC,0)),1)</f>
        <v>215388.9</v>
      </c>
    </row>
    <row r="42">
      <c r="B42" s="1531" t="str">
        <f>INDEX('REVIEW - Complete Role Mapping'!$B:$B,349)</f>
        <v>Breanna Hua</v>
      </c>
      <c r="C42" s="1531" t="str">
        <f>INDEX('REVIEW - Complete Role Mapping'!$C:$C,349)</f>
        <v>Systems Analyst</v>
      </c>
      <c r="D42" s="1531" t="str">
        <f>INDEX('REVIEW - Complete Role Mapping'!$AK:$AK,349)</f>
        <v>Filled</v>
      </c>
      <c r="E42" s="1548" t="inlineStr">
        <is>
          <t>Filled</t>
        </is>
      </c>
      <c r="F42" s="1770">
        <f>INDEX('REVIEW - Complete Role Mapping'!$AA:$AA,349)</f>
        <v>167149.65</v>
      </c>
      <c r="G42" s="1770">
        <f>$F42*IFERROR(INDEX(Lists!$AD:$AD,MATCH($E42,Lists!$AC:$AC,0)),1)</f>
        <v>167149.65</v>
      </c>
    </row>
    <row r="43">
      <c r="B43" s="1531" t="str">
        <f>INDEX('REVIEW - Complete Role Mapping'!$B:$B,375)</f>
        <v>Jodi Higgins</v>
      </c>
      <c r="C43" s="1531" t="str">
        <f>INDEX('REVIEW - Complete Role Mapping'!$C:$C,375)</f>
        <v>Delivery Lead</v>
      </c>
      <c r="D43" s="1531" t="str">
        <f>INDEX('REVIEW - Complete Role Mapping'!$AK:$AK,375)</f>
        <v>Filled</v>
      </c>
      <c r="E43" s="1548" t="inlineStr">
        <is>
          <t>Filled</t>
        </is>
      </c>
      <c r="F43" s="1770">
        <f>INDEX('REVIEW - Complete Role Mapping'!$AA:$AA,375)</f>
        <v>257481.45</v>
      </c>
      <c r="G43" s="1770">
        <f>$F43*IFERROR(INDEX(Lists!$AD:$AD,MATCH($E43,Lists!$AC:$AC,0)),1)</f>
        <v>257481.45</v>
      </c>
    </row>
    <row r="44">
      <c r="B44" s="1531" t="str">
        <f>INDEX('REVIEW - Complete Role Mapping'!$B:$B,397)</f>
        <v>Rebecca Estepa</v>
      </c>
      <c r="C44" s="1531" t="str">
        <f>INDEX('REVIEW - Complete Role Mapping'!$C:$C,397)</f>
        <v>Snr Business Analyst</v>
      </c>
      <c r="D44" s="1531" t="str">
        <f>INDEX('REVIEW - Complete Role Mapping'!$AK:$AK,397)</f>
        <v>Filled</v>
      </c>
      <c r="E44" s="1548" t="inlineStr">
        <is>
          <t>Filled</t>
        </is>
      </c>
      <c r="F44" s="1770">
        <f>INDEX('REVIEW - Complete Role Mapping'!$AA:$AA,397)</f>
        <v>233331.3</v>
      </c>
      <c r="G44" s="1770">
        <f>$F44*IFERROR(INDEX(Lists!$AD:$AD,MATCH($E44,Lists!$AC:$AC,0)),1)</f>
        <v>233331.3</v>
      </c>
    </row>
    <row r="45">
      <c r="B45" s="1531" t="str">
        <f>INDEX('REVIEW - Complete Role Mapping'!$B:$B,400)</f>
        <v>Rohan Patel</v>
      </c>
      <c r="C45" s="1531" t="str">
        <f>INDEX('REVIEW - Complete Role Mapping'!$C:$C,400)</f>
        <v>Senior Systems Analyst</v>
      </c>
      <c r="D45" s="1531" t="str">
        <f>INDEX('REVIEW - Complete Role Mapping'!$AK:$AK,400)</f>
        <v>Filled</v>
      </c>
      <c r="E45" s="1548" t="inlineStr">
        <is>
          <t>Filled</t>
        </is>
      </c>
      <c r="F45" s="1770">
        <f>INDEX('REVIEW - Complete Role Mapping'!$AA:$AA,400)</f>
        <v>209394.75</v>
      </c>
      <c r="G45" s="1770">
        <f>$F45*IFERROR(INDEX(Lists!$AD:$AD,MATCH($E45,Lists!$AC:$AC,0)),1)</f>
        <v>209394.75</v>
      </c>
    </row>
    <row r="46">
      <c r="B46" s="1531" t="str">
        <f>INDEX('REVIEW - Complete Role Mapping'!$B:$B,404)</f>
        <v>Siva Chimmani</v>
      </c>
      <c r="C46" s="1531" t="str">
        <f>INDEX('REVIEW - Complete Role Mapping'!$C:$C,404)</f>
        <v>Senior Engineer</v>
      </c>
      <c r="D46" s="1531" t="str">
        <f>INDEX('REVIEW - Complete Role Mapping'!$AK:$AK,404)</f>
        <v>Filled</v>
      </c>
      <c r="E46" s="1548" t="inlineStr">
        <is>
          <t>Filled</t>
        </is>
      </c>
      <c r="F46" s="1770">
        <f>INDEX('REVIEW - Complete Role Mapping'!$AA:$AA,404)</f>
        <v>213600</v>
      </c>
      <c r="G46" s="1770">
        <f>$F46*IFERROR(INDEX(Lists!$AD:$AD,MATCH($E46,Lists!$AC:$AC,0)),1)</f>
        <v>213600</v>
      </c>
    </row>
    <row r="47">
      <c r="B47" s="1531" t="str">
        <f>INDEX('REVIEW - Complete Role Mapping'!$B:$B,406)</f>
        <v>Sriramani Deyyala</v>
      </c>
      <c r="C47" s="1531" t="str">
        <f>INDEX('REVIEW - Complete Role Mapping'!$C:$C,406)</f>
        <v>Systems Analyst</v>
      </c>
      <c r="D47" s="1531" t="str">
        <f>INDEX('REVIEW - Complete Role Mapping'!$AK:$AK,406)</f>
        <v>Filled</v>
      </c>
      <c r="E47" s="1548" t="inlineStr">
        <is>
          <t>Filled</t>
        </is>
      </c>
      <c r="F47" s="1770">
        <f>INDEX('REVIEW - Complete Role Mapping'!$AA:$AA,406)</f>
        <v>222090.6</v>
      </c>
      <c r="G47" s="1770">
        <f>$F47*IFERROR(INDEX(Lists!$AD:$AD,MATCH($E47,Lists!$AC:$AC,0)),1)</f>
        <v>222090.6</v>
      </c>
    </row>
    <row r="48">
      <c r="B48" s="1531" t="str">
        <f>INDEX('REVIEW - Complete Role Mapping'!$B:$B,431)</f>
        <v>Vacant</v>
      </c>
      <c r="C48" s="1531" t="str">
        <f>INDEX('REVIEW - Complete Role Mapping'!$C:$C,431)</f>
        <v>Quality Assurance</v>
      </c>
      <c r="D48" s="1531" t="str">
        <f>INDEX('REVIEW - Complete Role Mapping'!$AK:$AK,431)</f>
        <v>Vacant</v>
      </c>
      <c r="E48" s="1548" t="inlineStr">
        <is>
          <t>Hire</t>
        </is>
      </c>
      <c r="F48" s="1770">
        <f>INDEX('REVIEW - Complete Role Mapping'!$AA:$AA,431)</f>
        <v>170489.75</v>
      </c>
      <c r="G48" s="1770">
        <f>$F48*IFERROR(INDEX(Lists!$AD:$AD,MATCH($E48,Lists!$AC:$AC,0)),1)</f>
        <v>170489.75</v>
      </c>
    </row>
    <row r="49">
      <c r="B49" s="1531" t="str">
        <f>INDEX('REVIEW - Complete Role Mapping'!$B:$B,432)</f>
        <v>Vacant</v>
      </c>
      <c r="C49" s="1531" t="str">
        <f>INDEX('REVIEW - Complete Role Mapping'!$C:$C,432)</f>
        <v>Business Analyst</v>
      </c>
      <c r="D49" s="1531" t="str">
        <f>INDEX('REVIEW - Complete Role Mapping'!$AK:$AK,432)</f>
        <v>Vacant</v>
      </c>
      <c r="E49" s="1548" t="inlineStr">
        <is>
          <t>Hire</t>
        </is>
      </c>
      <c r="F49" s="1770">
        <f>INDEX('REVIEW - Complete Role Mapping'!$AA:$AA,432)</f>
        <v>202853.25</v>
      </c>
      <c r="G49" s="1770">
        <f>$F49*IFERROR(INDEX(Lists!$AD:$AD,MATCH($E49,Lists!$AC:$AC,0)),1)</f>
        <v>202853.25</v>
      </c>
    </row>
    <row r="50">
      <c r="B50" s="1530" t="inlineStr">
        <is>
          <t>Leadership</t>
        </is>
      </c>
      <c r="C50" s="1530" t="str">
        <f>COUNTA($B$51:$B$51)&amp;IF(COUNTA($B$51:$B$51)=1," role"," roles")</f>
        <v>1 role</v>
      </c>
      <c r="D50" s="1530" t="n"/>
      <c r="E50" s="1530" t="n"/>
      <c r="F50" s="1786">
        <f>SUM(F51:F51)</f>
        <v>256667.1</v>
      </c>
      <c r="G50" s="1786">
        <f>SUM(G51:G51)</f>
        <v>256667.1</v>
      </c>
    </row>
    <row r="51">
      <c r="B51" s="1531" t="str">
        <f>INDEX('REVIEW - Complete Role Mapping'!$B:$B,364)</f>
        <v>George Moun</v>
      </c>
      <c r="C51" s="1531" t="str">
        <f>INDEX('REVIEW - Complete Role Mapping'!$C:$C,364)</f>
        <v>Solution Architect</v>
      </c>
      <c r="D51" s="1531" t="str">
        <f>INDEX('REVIEW - Complete Role Mapping'!$AK:$AK,364)</f>
        <v>Filled</v>
      </c>
      <c r="E51" s="1548" t="inlineStr">
        <is>
          <t>Filled</t>
        </is>
      </c>
      <c r="F51" s="1770">
        <f>INDEX('REVIEW - Complete Role Mapping'!$AA:$AA,364)</f>
        <v>256667.1</v>
      </c>
      <c r="G51" s="1770">
        <f>$F51*IFERROR(INDEX(Lists!$AD:$AD,MATCH($E51,Lists!$AC:$AC,0)),1)</f>
        <v>256667.1</v>
      </c>
    </row>
    <row r="52">
      <c r="B52" s="1530" t="inlineStr">
        <is>
          <t>Manufacturing Group Projects</t>
        </is>
      </c>
      <c r="C52" s="1530" t="str">
        <f>COUNTA($B$53:$B$61)&amp;IF(COUNTA($B$53:$B$61)=1," role"," roles")</f>
        <v>9 roles</v>
      </c>
      <c r="D52" s="1530" t="n"/>
      <c r="E52" s="1530" t="n"/>
      <c r="F52" s="1786">
        <f>SUM(F53:F61)</f>
        <v>1914773.3</v>
      </c>
      <c r="G52" s="1786">
        <f>SUM(G53:G61)</f>
        <v>1914773.3</v>
      </c>
    </row>
    <row r="53">
      <c r="B53" s="1531" t="str">
        <f>INDEX('REVIEW - Complete Role Mapping'!$B:$B,333)</f>
        <v>Akhil Sriram</v>
      </c>
      <c r="C53" s="1531" t="str">
        <f>INDEX('REVIEW - Complete Role Mapping'!$C:$C,333)</f>
        <v>Snr Business Analyst</v>
      </c>
      <c r="D53" s="1531" t="str">
        <f>INDEX('REVIEW - Complete Role Mapping'!$AK:$AK,333)</f>
        <v>Filled</v>
      </c>
      <c r="E53" s="1548" t="inlineStr">
        <is>
          <t>Filled</t>
        </is>
      </c>
      <c r="F53" s="1770">
        <f>INDEX('REVIEW - Complete Role Mapping'!$AA:$AA,333)</f>
        <v>221796.9</v>
      </c>
      <c r="G53" s="1770">
        <f>$F53*IFERROR(INDEX(Lists!$AD:$AD,MATCH($E53,Lists!$AC:$AC,0)),1)</f>
        <v>221796.9</v>
      </c>
    </row>
    <row r="54">
      <c r="B54" s="1531" t="str">
        <f>INDEX('REVIEW - Complete Role Mapping'!$B:$B,356)</f>
        <v>Chris Camacho</v>
      </c>
      <c r="C54" s="1531" t="str">
        <f>INDEX('REVIEW - Complete Role Mapping'!$C:$C,356)</f>
        <v>Senior Systems Analyst</v>
      </c>
      <c r="D54" s="1531" t="str">
        <f>INDEX('REVIEW - Complete Role Mapping'!$AK:$AK,356)</f>
        <v>Filled</v>
      </c>
      <c r="E54" s="1548" t="inlineStr">
        <is>
          <t>Filled</t>
        </is>
      </c>
      <c r="F54" s="1770">
        <f>INDEX('REVIEW - Complete Role Mapping'!$AA:$AA,356)</f>
        <v>225051.95</v>
      </c>
      <c r="G54" s="1770">
        <f>$F54*IFERROR(INDEX(Lists!$AD:$AD,MATCH($E54,Lists!$AC:$AC,0)),1)</f>
        <v>225051.95</v>
      </c>
    </row>
    <row r="55">
      <c r="B55" s="1531" t="str">
        <f>INDEX('REVIEW - Complete Role Mapping'!$B:$B,361)</f>
        <v>Fabian Moreno Cortes</v>
      </c>
      <c r="C55" s="1531" t="str">
        <f>INDEX('REVIEW - Complete Role Mapping'!$C:$C,361)</f>
        <v>Engineer - Software</v>
      </c>
      <c r="D55" s="1531" t="str">
        <f>INDEX('REVIEW - Complete Role Mapping'!$AK:$AK,361)</f>
        <v>Filled</v>
      </c>
      <c r="E55" s="1548" t="inlineStr">
        <is>
          <t>Filled</t>
        </is>
      </c>
      <c r="F55" s="1770">
        <f>INDEX('REVIEW - Complete Role Mapping'!$AA:$AA,361)</f>
        <v>193575</v>
      </c>
      <c r="G55" s="1770">
        <f>$F55*IFERROR(INDEX(Lists!$AD:$AD,MATCH($E55,Lists!$AC:$AC,0)),1)</f>
        <v>193575</v>
      </c>
    </row>
    <row r="56">
      <c r="B56" s="1531" t="str">
        <f>INDEX('REVIEW - Complete Role Mapping'!$B:$B,372)</f>
        <v>Jaya Ganasan</v>
      </c>
      <c r="C56" s="1531" t="str">
        <f>INDEX('REVIEW - Complete Role Mapping'!$C:$C,372)</f>
        <v>B2B &amp; Energy+B452:I452</v>
      </c>
      <c r="D56" s="1531" t="str">
        <f>INDEX('REVIEW - Complete Role Mapping'!$AK:$AK,372)</f>
        <v>Filled</v>
      </c>
      <c r="E56" s="1548" t="inlineStr">
        <is>
          <t>Filled</t>
        </is>
      </c>
      <c r="F56" s="1770">
        <f>INDEX('REVIEW - Complete Role Mapping'!$AA:$AA,372)</f>
        <v>257693.9</v>
      </c>
      <c r="G56" s="1770">
        <f>$F56*IFERROR(INDEX(Lists!$AD:$AD,MATCH($E56,Lists!$AC:$AC,0)),1)</f>
        <v>257693.9</v>
      </c>
    </row>
    <row r="57">
      <c r="B57" s="1531" t="str">
        <f>INDEX('REVIEW - Complete Role Mapping'!$B:$B,387)</f>
        <v>Louis Ballington</v>
      </c>
      <c r="C57" s="1531" t="str">
        <f>INDEX('REVIEW - Complete Role Mapping'!$C:$C,387)</f>
        <v>Delivery Lead</v>
      </c>
      <c r="D57" s="1531" t="str">
        <f>INDEX('REVIEW - Complete Role Mapping'!$AK:$AK,387)</f>
        <v>Filled</v>
      </c>
      <c r="E57" s="1548" t="inlineStr">
        <is>
          <t>Filled</t>
        </is>
      </c>
      <c r="F57" s="1770">
        <f>INDEX('REVIEW - Complete Role Mapping'!$AA:$AA,387)</f>
        <v>256466.85</v>
      </c>
      <c r="G57" s="1770">
        <f>$F57*IFERROR(INDEX(Lists!$AD:$AD,MATCH($E57,Lists!$AC:$AC,0)),1)</f>
        <v>256466.85</v>
      </c>
    </row>
    <row r="58">
      <c r="B58" s="1531" t="str">
        <f>INDEX('REVIEW - Complete Role Mapping'!$B:$B,411)</f>
        <v>Tyler Meggs</v>
      </c>
      <c r="C58" s="1531" t="str">
        <f>INDEX('REVIEW - Complete Role Mapping'!$C:$C,411)</f>
        <v>System Analyst</v>
      </c>
      <c r="D58" s="1531" t="str">
        <f>INDEX('REVIEW - Complete Role Mapping'!$AK:$AK,411)</f>
        <v>Filled</v>
      </c>
      <c r="E58" s="1548" t="inlineStr">
        <is>
          <t>Filled</t>
        </is>
      </c>
      <c r="F58" s="1770">
        <f>INDEX('REVIEW - Complete Role Mapping'!$AA:$AA,411)</f>
        <v>144650</v>
      </c>
      <c r="G58" s="1770">
        <f>$F58*IFERROR(INDEX(Lists!$AD:$AD,MATCH($E58,Lists!$AC:$AC,0)),1)</f>
        <v>144650</v>
      </c>
    </row>
    <row r="59">
      <c r="B59" s="1531" t="str">
        <f>INDEX('REVIEW - Complete Role Mapping'!$B:$B,429)</f>
        <v>Vacant</v>
      </c>
      <c r="C59" s="1531" t="str">
        <f>INDEX('REVIEW - Complete Role Mapping'!$C:$C,429)</f>
        <v>Quality Assurance</v>
      </c>
      <c r="D59" s="1531" t="str">
        <f>INDEX('REVIEW - Complete Role Mapping'!$AK:$AK,429)</f>
        <v>Vacant</v>
      </c>
      <c r="E59" s="1548" t="inlineStr">
        <is>
          <t>Hire</t>
        </is>
      </c>
      <c r="F59" s="1770">
        <f>INDEX('REVIEW - Complete Role Mapping'!$AA:$AA,429)</f>
        <v>170489.75</v>
      </c>
      <c r="G59" s="1770">
        <f>$F59*IFERROR(INDEX(Lists!$AD:$AD,MATCH($E59,Lists!$AC:$AC,0)),1)</f>
        <v>170489.75</v>
      </c>
    </row>
    <row r="60">
      <c r="B60" s="1531" t="str">
        <f>INDEX('REVIEW - Complete Role Mapping'!$B:$B,430)</f>
        <v>Vacant</v>
      </c>
      <c r="C60" s="1531" t="str">
        <f>INDEX('REVIEW - Complete Role Mapping'!$C:$C,430)</f>
        <v>Solution Architect</v>
      </c>
      <c r="D60" s="1531" t="str">
        <f>INDEX('REVIEW - Complete Role Mapping'!$AK:$AK,430)</f>
        <v>Vacant</v>
      </c>
      <c r="E60" s="1548" t="inlineStr">
        <is>
          <t>Hire</t>
        </is>
      </c>
      <c r="F60" s="1770">
        <f>INDEX('REVIEW - Complete Role Mapping'!$AA:$AA,430)</f>
        <v>231689.25</v>
      </c>
      <c r="G60" s="1770">
        <f>$F60*IFERROR(INDEX(Lists!$AD:$AD,MATCH($E60,Lists!$AC:$AC,0)),1)</f>
        <v>231689.25</v>
      </c>
    </row>
    <row r="61">
      <c r="B61" s="1531" t="str">
        <f>INDEX('REVIEW - Complete Role Mapping'!$B:$B,443)</f>
        <v>Victor Olasanoye</v>
      </c>
      <c r="C61" s="1531" t="str">
        <f>INDEX('REVIEW - Complete Role Mapping'!$C:$C,443)</f>
        <v>Senior Systems Analyst</v>
      </c>
      <c r="D61" s="1531" t="str">
        <f>INDEX('REVIEW - Complete Role Mapping'!$AK:$AK,443)</f>
        <v>Filled</v>
      </c>
      <c r="E61" s="1548" t="inlineStr">
        <is>
          <t>Filled</t>
        </is>
      </c>
      <c r="F61" s="1770">
        <f>INDEX('REVIEW - Complete Role Mapping'!$AA:$AA,443)</f>
        <v>213359.7</v>
      </c>
      <c r="G61" s="1770">
        <f>$F61*IFERROR(INDEX(Lists!$AD:$AD,MATCH($E61,Lists!$AC:$AC,0)),1)</f>
        <v>213359.7</v>
      </c>
    </row>
    <row r="62">
      <c r="B62" s="1530" t="inlineStr">
        <is>
          <t>Technology Support</t>
        </is>
      </c>
      <c r="C62" s="1530" t="str">
        <f>COUNTA($B$63:$B$67)&amp;IF(COUNTA($B$63:$B$67)=1," role"," roles")</f>
        <v>5 roles</v>
      </c>
      <c r="D62" s="1530" t="n"/>
      <c r="E62" s="1530" t="n"/>
      <c r="F62" s="1786">
        <f>SUM(F63:F67)</f>
        <v>741335.29</v>
      </c>
      <c r="G62" s="1786">
        <f>SUM(G63:G67)</f>
        <v>741335.29</v>
      </c>
    </row>
    <row r="63">
      <c r="B63" s="1531" t="str">
        <f>INDEX('REVIEW - Complete Role Mapping'!$B:$B,335)</f>
        <v>Alison Rosier</v>
      </c>
      <c r="C63" s="1531" t="str">
        <f>INDEX('REVIEW - Complete Role Mapping'!$C:$C,335)</f>
        <v>Technology Support Engineer - Infrastructure</v>
      </c>
      <c r="D63" s="1531" t="str">
        <f>INDEX('REVIEW - Complete Role Mapping'!$AK:$AK,335)</f>
        <v>Filled</v>
      </c>
      <c r="E63" s="1548" t="inlineStr">
        <is>
          <t>Filled</t>
        </is>
      </c>
      <c r="F63" s="1770">
        <f>INDEX('REVIEW - Complete Role Mapping'!$AA:$AA,335)</f>
        <v>162936.39</v>
      </c>
      <c r="G63" s="1770">
        <f>$F63*IFERROR(INDEX(Lists!$AD:$AD,MATCH($E63,Lists!$AC:$AC,0)),1)</f>
        <v>162936.39</v>
      </c>
    </row>
    <row r="64">
      <c r="B64" s="1531" t="str">
        <f>INDEX('REVIEW - Complete Role Mapping'!$B:$B,365)</f>
        <v>Glenn Earl</v>
      </c>
      <c r="C64" s="1531" t="str">
        <f>INDEX('REVIEW - Complete Role Mapping'!$C:$C,365)</f>
        <v>Lead Technology Support - Infrastructure</v>
      </c>
      <c r="D64" s="1531" t="str">
        <f>INDEX('REVIEW - Complete Role Mapping'!$AK:$AK,365)</f>
        <v>Filled</v>
      </c>
      <c r="E64" s="1548" t="inlineStr">
        <is>
          <t>Filled</t>
        </is>
      </c>
      <c r="F64" s="1770">
        <f>INDEX('REVIEW - Complete Role Mapping'!$AA:$AA,365)</f>
        <v>171291.9</v>
      </c>
      <c r="G64" s="1770">
        <f>$F64*IFERROR(INDEX(Lists!$AD:$AD,MATCH($E64,Lists!$AC:$AC,0)),1)</f>
        <v>171291.9</v>
      </c>
    </row>
    <row r="65">
      <c r="B65" s="1531" t="str">
        <f>INDEX('REVIEW - Complete Role Mapping'!$B:$B,396)</f>
        <v>Radek Rybar</v>
      </c>
      <c r="C65" s="1531" t="str">
        <f>INDEX('REVIEW - Complete Role Mapping'!$C:$C,396)</f>
        <v>Technology Support Engineer - Infrastructure</v>
      </c>
      <c r="D65" s="1531" t="str">
        <f>INDEX('REVIEW - Complete Role Mapping'!$AK:$AK,396)</f>
        <v>Filled</v>
      </c>
      <c r="E65" s="1548" t="inlineStr">
        <is>
          <t>Filled</t>
        </is>
      </c>
      <c r="F65" s="1770">
        <f>INDEX('REVIEW - Complete Role Mapping'!$AA:$AA,396)</f>
        <v>153697.2</v>
      </c>
      <c r="G65" s="1770">
        <f>$F65*IFERROR(INDEX(Lists!$AD:$AD,MATCH($E65,Lists!$AC:$AC,0)),1)</f>
        <v>153697.2</v>
      </c>
    </row>
    <row r="66">
      <c r="B66" s="1531" t="str">
        <f>INDEX('REVIEW - Complete Role Mapping'!$B:$B,401)</f>
        <v>Scott Hasson</v>
      </c>
      <c r="C66" s="1531" t="str">
        <f>INDEX('REVIEW - Complete Role Mapping'!$C:$C,401)</f>
        <v>Technology Support Engineer - Infrastructure</v>
      </c>
      <c r="D66" s="1531" t="str">
        <f>INDEX('REVIEW - Complete Role Mapping'!$AK:$AK,401)</f>
        <v>Filled</v>
      </c>
      <c r="E66" s="1548" t="inlineStr">
        <is>
          <t>Filled</t>
        </is>
      </c>
      <c r="F66" s="1770">
        <f>INDEX('REVIEW - Complete Role Mapping'!$AA:$AA,401)</f>
        <v>146727.7</v>
      </c>
      <c r="G66" s="1770">
        <f>$F66*IFERROR(INDEX(Lists!$AD:$AD,MATCH($E66,Lists!$AC:$AC,0)),1)</f>
        <v>146727.7</v>
      </c>
    </row>
    <row r="67">
      <c r="B67" s="1531" t="str">
        <f>INDEX('REVIEW - Complete Role Mapping'!$B:$B,409)</f>
        <v>Tom Moore</v>
      </c>
      <c r="C67" s="1531" t="str">
        <f>INDEX('REVIEW - Complete Role Mapping'!$C:$C,409)</f>
        <v>Technology Support Engineer - Infrastructure</v>
      </c>
      <c r="D67" s="1531" t="str">
        <f>INDEX('REVIEW - Complete Role Mapping'!$AK:$AK,409)</f>
        <v>Filled</v>
      </c>
      <c r="E67" s="1548" t="inlineStr">
        <is>
          <t>Filled</t>
        </is>
      </c>
      <c r="F67" s="1770">
        <f>INDEX('REVIEW - Complete Role Mapping'!$AA:$AA,409)</f>
        <v>106682.1</v>
      </c>
      <c r="G67" s="1770">
        <f>$F67*IFERROR(INDEX(Lists!$AD:$AD,MATCH($E67,Lists!$AC:$AC,0)),1)</f>
        <v>106682.1</v>
      </c>
    </row>
    <row r="68">
      <c r="B68" s="1530" t="inlineStr">
        <is>
          <t>Head of Technology</t>
        </is>
      </c>
      <c r="C68" s="1530" t="str">
        <f>COUNTA($B$69:$B$69)&amp;IF(COUNTA($B$69:$B$69)=1," role"," roles")</f>
        <v>1 role</v>
      </c>
      <c r="D68" s="1530" t="n"/>
      <c r="E68" s="1530" t="n"/>
      <c r="F68" s="1786">
        <f>SUM(F69:F69)</f>
        <v>363626.7</v>
      </c>
      <c r="G68" s="1786">
        <f>SUM(G69:G69)</f>
        <v>363626.7</v>
      </c>
    </row>
    <row r="69">
      <c r="B69" s="1531" t="str">
        <f>INDEX('REVIEW - Complete Role Mapping'!$B:$B,339)</f>
        <v>Amish Pandit</v>
      </c>
      <c r="C69" s="1531" t="str">
        <f>INDEX('REVIEW - Complete Role Mapping'!$C:$C,339)</f>
        <v>Head of Technology, Fuel Infrastructure</v>
      </c>
      <c r="D69" s="1531" t="str">
        <f>INDEX('REVIEW - Complete Role Mapping'!$AK:$AK,339)</f>
        <v>Filled</v>
      </c>
      <c r="E69" s="1548" t="inlineStr">
        <is>
          <t>Filled</t>
        </is>
      </c>
      <c r="F69" s="1770">
        <f>INDEX('REVIEW - Complete Role Mapping'!$AA:$AA,339)</f>
        <v>363626.7</v>
      </c>
      <c r="G69" s="1770">
        <f>$F69*IFERROR(INDEX(Lists!$AD:$AD,MATCH($E69,Lists!$AC:$AC,0)),1)</f>
        <v>363626.7</v>
      </c>
    </row>
    <row r="70">
      <c r="B70" s="1530" t="inlineStr">
        <is>
          <t>Delivery Manager</t>
        </is>
      </c>
      <c r="C70" s="1530" t="str">
        <f>COUNTA($B$71:$B$71)&amp;IF(COUNTA($B$71:$B$71)=1," role"," roles")</f>
        <v>1 role</v>
      </c>
      <c r="D70" s="1530" t="n"/>
      <c r="E70" s="1530" t="n"/>
      <c r="F70" s="1786">
        <f>SUM(F71:F71)</f>
        <v>275810.25</v>
      </c>
      <c r="G70" s="1786">
        <f>SUM(G71:G71)</f>
        <v>275810.25</v>
      </c>
    </row>
    <row r="71">
      <c r="B71" s="1531" t="str">
        <f>INDEX('REVIEW - Complete Role Mapping'!$B:$B,426)</f>
        <v>Vacant</v>
      </c>
      <c r="C71" s="1531" t="str">
        <f>INDEX('REVIEW - Complete Role Mapping'!$C:$C,426)</f>
        <v>Delivery manager</v>
      </c>
      <c r="D71" s="1531" t="str">
        <f>INDEX('REVIEW - Complete Role Mapping'!$AK:$AK,426)</f>
        <v>Vacant</v>
      </c>
      <c r="E71" s="1548" t="inlineStr">
        <is>
          <t>Hire</t>
        </is>
      </c>
      <c r="F71" s="1770">
        <f>INDEX('REVIEW - Complete Role Mapping'!$AA:$AA,426)</f>
        <v>275810.25</v>
      </c>
      <c r="G71" s="1770">
        <f>$F71*IFERROR(INDEX(Lists!$AD:$AD,MATCH($E71,Lists!$AC:$AC,0)),1)</f>
        <v>275810.25</v>
      </c>
    </row>
    <row r="72">
      <c r="B72" s="1530" t="inlineStr">
        <is>
          <t>Technology Manager</t>
        </is>
      </c>
      <c r="C72" s="1530" t="str">
        <f>COUNTA($B$73:$B$74)&amp;IF(COUNTA($B$73:$B$74)=1," role"," roles")</f>
        <v>2 roles</v>
      </c>
      <c r="D72" s="1530" t="n"/>
      <c r="E72" s="1530" t="n"/>
      <c r="F72" s="1786">
        <f>SUM(F73:F74)</f>
        <v>551620.5</v>
      </c>
      <c r="G72" s="1786">
        <f>SUM(G73:G74)</f>
        <v>551620.5</v>
      </c>
    </row>
    <row r="73">
      <c r="B73" s="1531" t="str">
        <f>INDEX('REVIEW - Complete Role Mapping'!$B:$B,427)</f>
        <v>Vacant</v>
      </c>
      <c r="C73" s="1531" t="str">
        <f>INDEX('REVIEW - Complete Role Mapping'!$C:$C,427)</f>
        <v>Technology Manager Data</v>
      </c>
      <c r="D73" s="1531" t="str">
        <f>INDEX('REVIEW - Complete Role Mapping'!$AK:$AK,427)</f>
        <v>Vacant</v>
      </c>
      <c r="E73" s="1548" t="inlineStr">
        <is>
          <t>Hire</t>
        </is>
      </c>
      <c r="F73" s="1770">
        <f>INDEX('REVIEW - Complete Role Mapping'!$AA:$AA,427)</f>
        <v>275810.25</v>
      </c>
      <c r="G73" s="1770">
        <f>$F73*IFERROR(INDEX(Lists!$AD:$AD,MATCH($E73,Lists!$AC:$AC,0)),1)</f>
        <v>275810.25</v>
      </c>
    </row>
    <row r="74">
      <c r="B74" s="1531" t="str">
        <f>INDEX('REVIEW - Complete Role Mapping'!$B:$B,428)</f>
        <v>Vacant</v>
      </c>
      <c r="C74" s="1531" t="str">
        <f>INDEX('REVIEW - Complete Role Mapping'!$C:$C,428)</f>
        <v>Technology Manager, Future Infrastructure </v>
      </c>
      <c r="D74" s="1531" t="str">
        <f>INDEX('REVIEW - Complete Role Mapping'!$AK:$AK,428)</f>
        <v>Vacant</v>
      </c>
      <c r="E74" s="1548" t="inlineStr">
        <is>
          <t>Hire</t>
        </is>
      </c>
      <c r="F74" s="1770">
        <f>INDEX('REVIEW - Complete Role Mapping'!$AA:$AA,428)</f>
        <v>275810.25</v>
      </c>
      <c r="G74" s="1770">
        <f>$F74*IFERROR(INDEX(Lists!$AD:$AD,MATCH($E74,Lists!$AC:$AC,0)),1)</f>
        <v>275810.25</v>
      </c>
    </row>
  </sheetData>
  <dataValidations count="1">
    <dataValidation sqref="E32 E33 E34 E35 E36 E37 E38 E40 E41 E42 E43 E44 E45 E46 E47 E48 E49 E51 E53 E54 E55 E56 E57 E58 E59 E60 E61 E63 E64 E65 E66 E67 E69 E71 E73 E7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Q6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COUNTA($B$31:$B$44)</f>
        <v>14</v>
      </c>
      <c r="G8" s="1770">
        <f>COUNTIFS($D$31:$D$44,"Filled")</f>
        <v>11</v>
      </c>
      <c r="H8" s="1770">
        <f>COUNTIFS($D$31:$D$44,"Vacant")</f>
        <v>3</v>
      </c>
      <c r="I8" s="1770">
        <f>COUNTIFS($D$31:$D$44,"Vacant",$E$31:$E$44,"Hire")</f>
        <v>3</v>
      </c>
      <c r="J8" s="1770">
        <f>COUNTIFS($E$31:$E$44,"Offshore")</f>
        <v>0</v>
      </c>
      <c r="K8" s="1770">
        <f>COUNTIFS($E$31:$E$44,"Hold")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SUM($G$31:$G$44)/1000000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COUNTA($B$46:$B$51)</f>
        <v>6</v>
      </c>
      <c r="G9" s="1770">
        <f>COUNTIFS($D$46:$D$51,"Filled")</f>
        <v>6</v>
      </c>
      <c r="H9" s="1770">
        <f>COUNTIFS($D$46:$D$51,"Vacant")</f>
        <v>0</v>
      </c>
      <c r="I9" s="1770">
        <f>COUNTIFS($D$46:$D$51,"Vacant",$E$46:$E$51,"Hire")</f>
        <v>0</v>
      </c>
      <c r="J9" s="1770">
        <f>COUNTIFS($E$46:$E$51,"Offshore")</f>
        <v>0</v>
      </c>
      <c r="K9" s="1770">
        <f>COUNTIFS($E$46:$E$51,"Hold")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SUM($G$46:$G$51)/1000000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COUNTA($B$53:$B$61)</f>
        <v>9</v>
      </c>
      <c r="G10" s="1770">
        <f>COUNTIFS($D$53:$D$61,"Filled")</f>
        <v>5</v>
      </c>
      <c r="H10" s="1770">
        <f>COUNTIFS($D$53:$D$61,"Vacant")</f>
        <v>4</v>
      </c>
      <c r="I10" s="1770">
        <f>COUNTIFS($D$53:$D$61,"Vacant",$E$53:$E$61,"Hire")</f>
        <v>4</v>
      </c>
      <c r="J10" s="1770">
        <f>COUNTIFS($E$53:$E$61,"Offshore")</f>
        <v>0</v>
      </c>
      <c r="K10" s="1770">
        <f>COUNTIFS($E$53:$E$61,"Hold")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SUM($G$53:$G$61)/1000000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SUM(M8:M10)</f>
        <v>7.9</v>
      </c>
      <c r="N11" s="1771">
        <f>SUM(N8:N10)</f>
        <v>5.327874328</v>
      </c>
      <c r="O11" s="1771">
        <f>IF(N($M11)=0,"-",ROUND($N11-$M11,6))</f>
        <v>-2.572126</v>
      </c>
      <c r="P11" s="1771">
        <f>SUM(P8:P10)</f>
        <v>5.327874328</v>
      </c>
      <c r="Q11" s="1771">
        <f>IF(N($M11)=0,"-",ROUND($P11-$M11,6))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f>SUM(M13:M13)</f>
        <v>0</v>
      </c>
      <c r="N14" s="1771">
        <f>SUM(N13:N13)</f>
        <v>0</v>
      </c>
      <c r="O14" s="1771" t="str">
        <f>IF(N($M14)=0,"-",ROUND($N14-$M14,6))</f>
        <v>-</v>
      </c>
      <c r="P14" s="1771">
        <f>SUM(P13:P13)</f>
        <v>0</v>
      </c>
      <c r="Q14" s="1771" t="str">
        <f>IF(N($M14)=0,"-",ROUND($P14-$M14,6))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COUNTA($B$63:$B$63)</f>
        <v>1</v>
      </c>
      <c r="G19" s="1770">
        <f>COUNTIFS($D$63:$D$63,"Filled")</f>
        <v>1</v>
      </c>
      <c r="H19" s="1770">
        <f>COUNTIFS($D$63:$D$63,"Vacant")</f>
        <v>0</v>
      </c>
      <c r="I19" s="1770">
        <f>COUNTIFS($D$63:$D$63,"Vacant",$E$63:$E$63,"Hire")</f>
        <v>0</v>
      </c>
      <c r="J19" s="1770">
        <f>COUNTIFS($E$63:$E$63,"Offshore")</f>
        <v>0</v>
      </c>
      <c r="K19" s="1770">
        <f>COUNTIFS($E$63:$E$63,"Hold")</f>
        <v>0</v>
      </c>
      <c r="L19" s="1770">
        <f>$F19-$K19</f>
        <v>1</v>
      </c>
      <c r="M19" s="1540" t="str">
        <f>"-"</f>
        <v>-</v>
      </c>
      <c r="N19" s="1769">
        <f>SUMIFS('REVIEW - Complete Role Mapping'!$AA$2:$AA$528,'REVIEW - Complete Role Mapping'!$AJ$2:$AJ$528,$C$3,'REVIEW - Complete Role Mapping'!$AT$2:$AT$528,$B19)/1000000</f>
        <v>0.273758</v>
      </c>
      <c r="O19" s="1540" t="str">
        <f>"-"</f>
        <v>-</v>
      </c>
      <c r="P19" s="1769">
        <f>SUM($G$63:$G$63)/1000000</f>
        <v>0.273758</v>
      </c>
      <c r="Q19" s="1540" t="str">
        <f>"-"</f>
        <v>-</v>
      </c>
    </row>
    <row r="20">
      <c r="B20" s="1531" t="inlineStr">
        <is>
          <t>Delivery Manager</t>
        </is>
      </c>
      <c r="C20" s="1531" t="str">
        <f>"-"</f>
        <v>-</v>
      </c>
      <c r="D20" s="1531" t="str">
        <f>"-"</f>
        <v>-</v>
      </c>
      <c r="E20" s="1540" t="str">
        <f>"-"</f>
        <v>-</v>
      </c>
      <c r="F20" s="1770">
        <f>COUNTA($B$65:$B$65)</f>
        <v>1</v>
      </c>
      <c r="G20" s="1770">
        <f>COUNTIFS($D$65:$D$65,"Filled")</f>
        <v>0</v>
      </c>
      <c r="H20" s="1770">
        <f>COUNTIFS($D$65:$D$65,"Vacant")</f>
        <v>1</v>
      </c>
      <c r="I20" s="1770">
        <f>COUNTIFS($D$65:$D$65,"Vacant",$E$65:$E$65,"Hire")</f>
        <v>1</v>
      </c>
      <c r="J20" s="1770">
        <f>COUNTIFS($E$65:$E$65,"Offshore")</f>
        <v>0</v>
      </c>
      <c r="K20" s="1770">
        <f>COUNTIFS($E$65:$E$65,"Hold")</f>
        <v>0</v>
      </c>
      <c r="L20" s="1770">
        <f>$F20-$K20</f>
        <v>1</v>
      </c>
      <c r="M20" s="1540" t="str">
        <f>"-"</f>
        <v>-</v>
      </c>
      <c r="N20" s="1769">
        <f>SUMIFS('REVIEW - Complete Role Mapping'!$AA$2:$AA$528,'REVIEW - Complete Role Mapping'!$AJ$2:$AJ$528,$C$3,'REVIEW - Complete Role Mapping'!$AT$2:$AT$528,$B20)/1000000</f>
        <v>0.27581025</v>
      </c>
      <c r="O20" s="1540" t="str">
        <f>"-"</f>
        <v>-</v>
      </c>
      <c r="P20" s="1769">
        <f>SUM($G$65:$G$65)/1000000</f>
        <v>0.27581025</v>
      </c>
      <c r="Q20" s="1540" t="str">
        <f>"-"</f>
        <v>-</v>
      </c>
    </row>
    <row r="21">
      <c r="B21" s="1531" t="inlineStr">
        <is>
          <t>Technology Manager</t>
        </is>
      </c>
      <c r="C21" s="1531" t="str">
        <f>"-"</f>
        <v>-</v>
      </c>
      <c r="D21" s="1531" t="str">
        <f>"-"</f>
        <v>-</v>
      </c>
      <c r="E21" s="1540" t="str">
        <f>"-"</f>
        <v>-</v>
      </c>
      <c r="F21" s="1770">
        <f>COUNTA($B$67:$B$68)</f>
        <v>2</v>
      </c>
      <c r="G21" s="1770">
        <f>COUNTIFS($D$67:$D$68,"Filled")</f>
        <v>1</v>
      </c>
      <c r="H21" s="1770">
        <f>COUNTIFS($D$67:$D$68,"Vacant")</f>
        <v>1</v>
      </c>
      <c r="I21" s="1770">
        <f>COUNTIFS($D$67:$D$68,"Vacant",$E$67:$E$68,"Hire")</f>
        <v>1</v>
      </c>
      <c r="J21" s="1770">
        <f>COUNTIFS($E$67:$E$68,"Offshore")</f>
        <v>0</v>
      </c>
      <c r="K21" s="1770">
        <f>COUNTIFS($E$67:$E$68,"Hold")</f>
        <v>0</v>
      </c>
      <c r="L21" s="1770">
        <f>$F21-$K21</f>
        <v>2</v>
      </c>
      <c r="M21" s="1540" t="str">
        <f>"-"</f>
        <v>-</v>
      </c>
      <c r="N21" s="1769">
        <f>SUMIFS('REVIEW - Complete Role Mapping'!$AA$2:$AA$528,'REVIEW - Complete Role Mapping'!$AJ$2:$AJ$528,$C$3,'REVIEW - Complete Role Mapping'!$AT$2:$AT$528,$B21)/1000000</f>
        <v>0.5703737</v>
      </c>
      <c r="O21" s="1540" t="str">
        <f>"-"</f>
        <v>-</v>
      </c>
      <c r="P21" s="1769">
        <f>SUM($G$67:$G$68)/1000000</f>
        <v>0.5703737</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f>SUM(M19:M21)</f>
        <v>0</v>
      </c>
      <c r="N22" s="1771">
        <f>SUM(N19:N21)</f>
        <v>1.11994195</v>
      </c>
      <c r="O22" s="1771" t="str">
        <f>IF(N($M22)=0,"-",ROUND($N22-$M22,6))</f>
        <v>-</v>
      </c>
      <c r="P22" s="1771">
        <f>SUM(P19:P21)</f>
        <v>1.11994195</v>
      </c>
      <c r="Q22" s="1771" t="str">
        <f>IF(N($M22)=0,"-",ROUND($P22-$M22,6))</f>
        <v>-</v>
      </c>
    </row>
    <row r="23">
      <c r="B23" s="1541" t="inlineStr">
        <is>
          <t>Total portfolio</t>
        </is>
      </c>
      <c r="C23" s="1541" t="n"/>
      <c r="D23" s="1541" t="n"/>
      <c r="E23" s="1785">
        <f>N(E11)+N(E14)+N(E17)+N(E22)</f>
        <v>35</v>
      </c>
      <c r="F23" s="1774">
        <f>N(F11)+N(F14)+N(F17)+N(F22)</f>
        <v>33</v>
      </c>
      <c r="G23" s="1774">
        <f>N(G11)+N(G14)+N(G17)+N(G22)</f>
        <v>24</v>
      </c>
      <c r="H23" s="1774">
        <f>N(H11)+N(H14)+N(H17)+N(H22)</f>
        <v>9</v>
      </c>
      <c r="I23" s="1774">
        <f>N(I11)+N(I14)+N(I17)+N(I22)</f>
        <v>9</v>
      </c>
      <c r="J23" s="1774">
        <f>N(J11)+N(J14)+N(J17)+N(J22)</f>
        <v>0</v>
      </c>
      <c r="K23" s="1774">
        <f>N(K11)+N(K14)+N(K17)+N(K22)</f>
        <v>0</v>
      </c>
      <c r="L23" s="1774">
        <f>N(L11)+N(L14)+N(L17)+N(L22)</f>
        <v>33</v>
      </c>
      <c r="M23" s="1773" t="str">
        <f>"-"</f>
        <v>-</v>
      </c>
      <c r="N23" s="1773">
        <f>N(N11)+N(N14)+N(N17)+N(N22)</f>
        <v>6.447816278</v>
      </c>
      <c r="O23" s="1773" t="str">
        <f>"-"</f>
        <v>-</v>
      </c>
      <c r="P23" s="1773">
        <f>N(P11)+N(P14)+N(P17)+N(P22)</f>
        <v>6.447816278</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Energy Solutions &amp; B2B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B2B</t>
        </is>
      </c>
      <c r="C30" s="1530" t="str">
        <f>COUNTA($B$31:$B$44)&amp;IF(COUNTA($B$31:$B$44)=1," role"," roles")</f>
        <v>14 roles</v>
      </c>
      <c r="D30" s="1530" t="n"/>
      <c r="E30" s="1530" t="n"/>
      <c r="F30" s="1786">
        <f>SUM(F31:F44)</f>
        <v>2593511.07</v>
      </c>
      <c r="G30" s="1786">
        <f>SUM(G31:G44)</f>
        <v>2593511.07</v>
      </c>
    </row>
    <row r="31">
      <c r="B31" s="1531" t="str">
        <f>INDEX('REVIEW - Complete Role Mapping'!$B:$B,334)</f>
        <v>Alex Abelita</v>
      </c>
      <c r="C31" s="1531" t="str">
        <f>INDEX('REVIEW - Complete Role Mapping'!$C:$C,334)</f>
        <v>Associate Engineer - Automation Testing</v>
      </c>
      <c r="D31" s="1531" t="str">
        <f>INDEX('REVIEW - Complete Role Mapping'!$AK:$AK,334)</f>
        <v>Filled</v>
      </c>
      <c r="E31" s="1548" t="inlineStr">
        <is>
          <t>Filled</t>
        </is>
      </c>
      <c r="F31" s="1770">
        <f>INDEX('REVIEW - Complete Role Mapping'!$AA:$AA,334)</f>
        <v>87044</v>
      </c>
      <c r="G31" s="1770">
        <f>$F31*IFERROR(INDEX(Lists!$AD:$AD,MATCH($E31,Lists!$AC:$AC,0)),1)</f>
        <v>87044</v>
      </c>
    </row>
    <row r="32">
      <c r="B32" s="1531" t="str">
        <f>INDEX('REVIEW - Complete Role Mapping'!$B:$B,337)</f>
        <v>Allyn Puente</v>
      </c>
      <c r="C32" s="1531" t="str">
        <f>INDEX('REVIEW - Complete Role Mapping'!$C:$C,337)</f>
        <v>Graduate</v>
      </c>
      <c r="D32" s="1531" t="str">
        <f>INDEX('REVIEW - Complete Role Mapping'!$AK:$AK,337)</f>
        <v>Filled</v>
      </c>
      <c r="E32" s="1548" t="inlineStr">
        <is>
          <t>Filled</t>
        </is>
      </c>
      <c r="F32" s="1770">
        <f>INDEX('REVIEW - Complete Role Mapping'!$AA:$AA,337)</f>
        <v>110075</v>
      </c>
      <c r="G32" s="1770">
        <f>$F32*IFERROR(INDEX(Lists!$AD:$AD,MATCH($E32,Lists!$AC:$AC,0)),1)</f>
        <v>110075</v>
      </c>
    </row>
    <row r="33">
      <c r="B33" s="1531" t="str">
        <f>INDEX('REVIEW - Complete Role Mapping'!$B:$B,348)</f>
        <v>Belinda Ford</v>
      </c>
      <c r="C33" s="1531" t="str">
        <f>INDEX('REVIEW - Complete Role Mapping'!$C:$C,348)</f>
        <v>Quality Assurance</v>
      </c>
      <c r="D33" s="1531" t="str">
        <f>INDEX('REVIEW - Complete Role Mapping'!$AK:$AK,348)</f>
        <v>Filled</v>
      </c>
      <c r="E33" s="1548" t="inlineStr">
        <is>
          <t>Filled</t>
        </is>
      </c>
      <c r="F33" s="1770">
        <f>INDEX('REVIEW - Complete Role Mapping'!$AA:$AA,348)</f>
        <v>149160.45</v>
      </c>
      <c r="G33" s="1770">
        <f>$F33*IFERROR(INDEX(Lists!$AD:$AD,MATCH($E33,Lists!$AC:$AC,0)),1)</f>
        <v>149160.45</v>
      </c>
    </row>
    <row r="34">
      <c r="B34" s="1531" t="str">
        <f>INDEX('REVIEW - Complete Role Mapping'!$B:$B,357)</f>
        <v>Debbie Gor</v>
      </c>
      <c r="C34" s="1531" t="str">
        <f>INDEX('REVIEW - Complete Role Mapping'!$C:$C,357)</f>
        <v>Delivery Lead</v>
      </c>
      <c r="D34" s="1531" t="str">
        <f>INDEX('REVIEW - Complete Role Mapping'!$AK:$AK,357)</f>
        <v>Filled</v>
      </c>
      <c r="E34" s="1548" t="inlineStr">
        <is>
          <t>Filled</t>
        </is>
      </c>
      <c r="F34" s="1770">
        <f>INDEX('REVIEW - Complete Role Mapping'!$AA:$AA,357)</f>
        <v>266612.85</v>
      </c>
      <c r="G34" s="1770">
        <f>$F34*IFERROR(INDEX(Lists!$AD:$AD,MATCH($E34,Lists!$AC:$AC,0)),1)</f>
        <v>266612.85</v>
      </c>
    </row>
    <row r="35">
      <c r="B35" s="1531" t="str">
        <f>INDEX('REVIEW - Complete Role Mapping'!$B:$B,362)</f>
        <v>Frank Liang</v>
      </c>
      <c r="C35" s="1531" t="str">
        <f>INDEX('REVIEW - Complete Role Mapping'!$C:$C,362)</f>
        <v>Senior Systems Analyst</v>
      </c>
      <c r="D35" s="1531" t="str">
        <f>INDEX('REVIEW - Complete Role Mapping'!$AK:$AK,362)</f>
        <v>Filled</v>
      </c>
      <c r="E35" s="1548" t="inlineStr">
        <is>
          <t>Filled</t>
        </is>
      </c>
      <c r="F35" s="1770">
        <f>INDEX('REVIEW - Complete Role Mapping'!$AA:$AA,362)</f>
        <v>223625.85</v>
      </c>
      <c r="G35" s="1770">
        <f>$F35*IFERROR(INDEX(Lists!$AD:$AD,MATCH($E35,Lists!$AC:$AC,0)),1)</f>
        <v>223625.85</v>
      </c>
    </row>
    <row r="36">
      <c r="B36" s="1531" t="str">
        <f>INDEX('REVIEW - Complete Role Mapping'!$B:$B,374)</f>
        <v>Jessica Calla</v>
      </c>
      <c r="C36" s="1531" t="str">
        <f>INDEX('REVIEW - Complete Role Mapping'!$C:$C,374)</f>
        <v>System Analyst Card</v>
      </c>
      <c r="D36" s="1531" t="str">
        <f>INDEX('REVIEW - Complete Role Mapping'!$AK:$AK,374)</f>
        <v>Filled</v>
      </c>
      <c r="E36" s="1548" t="inlineStr">
        <is>
          <t>Filled</t>
        </is>
      </c>
      <c r="F36" s="1770">
        <f>INDEX('REVIEW - Complete Role Mapping'!$AA:$AA,374)</f>
        <v>137509.55</v>
      </c>
      <c r="G36" s="1770">
        <f>$F36*IFERROR(INDEX(Lists!$AD:$AD,MATCH($E36,Lists!$AC:$AC,0)),1)</f>
        <v>137509.55</v>
      </c>
    </row>
    <row r="37">
      <c r="B37" s="1531" t="str">
        <f>INDEX('REVIEW - Complete Role Mapping'!$B:$B,386)</f>
        <v>Lindsay Baipas</v>
      </c>
      <c r="C37" s="1531" t="str">
        <f>INDEX('REVIEW - Complete Role Mapping'!$C:$C,386)</f>
        <v>System Analyst Card</v>
      </c>
      <c r="D37" s="1531" t="str">
        <f>INDEX('REVIEW - Complete Role Mapping'!$AK:$AK,386)</f>
        <v>Filled</v>
      </c>
      <c r="E37" s="1548" t="inlineStr">
        <is>
          <t>Filled</t>
        </is>
      </c>
      <c r="F37" s="1770">
        <f>INDEX('REVIEW - Complete Role Mapping'!$AA:$AA,386)</f>
        <v>190306.8</v>
      </c>
      <c r="G37" s="1770">
        <f>$F37*IFERROR(INDEX(Lists!$AD:$AD,MATCH($E37,Lists!$AC:$AC,0)),1)</f>
        <v>190306.8</v>
      </c>
    </row>
    <row r="38">
      <c r="B38" s="1531" t="str">
        <f>INDEX('REVIEW - Complete Role Mapping'!$B:$B,389)</f>
        <v>Mick DaSilva</v>
      </c>
      <c r="C38" s="1531" t="str">
        <f>INDEX('REVIEW - Complete Role Mapping'!$C:$C,389)</f>
        <v>Senior Business Analyst</v>
      </c>
      <c r="D38" s="1531" t="str">
        <f>INDEX('REVIEW - Complete Role Mapping'!$AK:$AK,389)</f>
        <v>Filled</v>
      </c>
      <c r="E38" s="1548" t="inlineStr">
        <is>
          <t>Filled</t>
        </is>
      </c>
      <c r="F38" s="1770">
        <f>INDEX('REVIEW - Complete Role Mapping'!$AA:$AA,389)</f>
        <v>219447.3</v>
      </c>
      <c r="G38" s="1770">
        <f>$F38*IFERROR(INDEX(Lists!$AD:$AD,MATCH($E38,Lists!$AC:$AC,0)),1)</f>
        <v>219447.3</v>
      </c>
    </row>
    <row r="39">
      <c r="B39" s="1531" t="str">
        <f>INDEX('REVIEW - Complete Role Mapping'!$B:$B,390)</f>
        <v>Mikey Tran</v>
      </c>
      <c r="C39" s="1531" t="str">
        <f>INDEX('REVIEW - Complete Role Mapping'!$C:$C,390)</f>
        <v>Senior Systems Analyst - Card</v>
      </c>
      <c r="D39" s="1531" t="str">
        <f>INDEX('REVIEW - Complete Role Mapping'!$AK:$AK,390)</f>
        <v>Filled</v>
      </c>
      <c r="E39" s="1548" t="inlineStr">
        <is>
          <t>Filled</t>
        </is>
      </c>
      <c r="F39" s="1770">
        <f>INDEX('REVIEW - Complete Role Mapping'!$AA:$AA,390)</f>
        <v>186900</v>
      </c>
      <c r="G39" s="1770">
        <f>$F39*IFERROR(INDEX(Lists!$AD:$AD,MATCH($E39,Lists!$AC:$AC,0)),1)</f>
        <v>186900</v>
      </c>
    </row>
    <row r="40">
      <c r="B40" s="1531" t="str">
        <f>INDEX('REVIEW - Complete Role Mapping'!$B:$B,391)</f>
        <v>Ming Shao</v>
      </c>
      <c r="C40" s="1531" t="str">
        <f>INDEX('REVIEW - Complete Role Mapping'!$C:$C,391)</f>
        <v>Senior Systems Analyst Card</v>
      </c>
      <c r="D40" s="1531" t="str">
        <f>INDEX('REVIEW - Complete Role Mapping'!$AK:$AK,391)</f>
        <v>Filled</v>
      </c>
      <c r="E40" s="1548" t="inlineStr">
        <is>
          <t>Filled</t>
        </is>
      </c>
      <c r="F40" s="1770">
        <f>INDEX('REVIEW - Complete Role Mapping'!$AA:$AA,391)</f>
        <v>221610</v>
      </c>
      <c r="G40" s="1770">
        <f>$F40*IFERROR(INDEX(Lists!$AD:$AD,MATCH($E40,Lists!$AC:$AC,0)),1)</f>
        <v>221610</v>
      </c>
    </row>
    <row r="41">
      <c r="B41" s="1531" t="str">
        <f>INDEX('REVIEW - Complete Role Mapping'!$B:$B,399)</f>
        <v>Rod Santillan</v>
      </c>
      <c r="C41" s="1531" t="str">
        <f>INDEX('REVIEW - Complete Role Mapping'!$C:$C,399)</f>
        <v>Snr Engineer Software</v>
      </c>
      <c r="D41" s="1531" t="str">
        <f>INDEX('REVIEW - Complete Role Mapping'!$AK:$AK,399)</f>
        <v>Filled</v>
      </c>
      <c r="E41" s="1548" t="inlineStr">
        <is>
          <t>Filled</t>
        </is>
      </c>
      <c r="F41" s="1770">
        <f>INDEX('REVIEW - Complete Role Mapping'!$AA:$AA,399)</f>
        <v>163823.52</v>
      </c>
      <c r="G41" s="1770">
        <f>$F41*IFERROR(INDEX(Lists!$AD:$AD,MATCH($E41,Lists!$AC:$AC,0)),1)</f>
        <v>163823.52</v>
      </c>
    </row>
    <row r="42">
      <c r="B42" s="1531" t="str">
        <f>INDEX('REVIEW - Complete Role Mapping'!$B:$B,412)</f>
        <v>Vacant</v>
      </c>
      <c r="C42" s="1531" t="str">
        <f>INDEX('REVIEW - Complete Role Mapping'!$C:$C,412)</f>
        <v>Engineer Software</v>
      </c>
      <c r="D42" s="1531" t="str">
        <f>INDEX('REVIEW - Complete Role Mapping'!$AK:$AK,412)</f>
        <v>Vacant</v>
      </c>
      <c r="E42" s="1548" t="inlineStr">
        <is>
          <t>Hire</t>
        </is>
      </c>
      <c r="F42" s="1770">
        <f>INDEX('REVIEW - Complete Role Mapping'!$AA:$AA,412)</f>
        <v>202853.25</v>
      </c>
      <c r="G42" s="1770">
        <f>$F42*IFERROR(INDEX(Lists!$AD:$AD,MATCH($E42,Lists!$AC:$AC,0)),1)</f>
        <v>202853.25</v>
      </c>
    </row>
    <row r="43">
      <c r="B43" s="1531" t="str">
        <f>INDEX('REVIEW - Complete Role Mapping'!$B:$B,413)</f>
        <v>Vacant</v>
      </c>
      <c r="C43" s="1531" t="str">
        <f>INDEX('REVIEW - Complete Role Mapping'!$C:$C,413)</f>
        <v>Solution Architect</v>
      </c>
      <c r="D43" s="1531" t="str">
        <f>INDEX('REVIEW - Complete Role Mapping'!$AK:$AK,413)</f>
        <v>Vacant</v>
      </c>
      <c r="E43" s="1548" t="inlineStr">
        <is>
          <t>Hire</t>
        </is>
      </c>
      <c r="F43" s="1770">
        <f>INDEX('REVIEW - Complete Role Mapping'!$AA:$AA,413)</f>
        <v>231689.25</v>
      </c>
      <c r="G43" s="1770">
        <f>$F43*IFERROR(INDEX(Lists!$AD:$AD,MATCH($E43,Lists!$AC:$AC,0)),1)</f>
        <v>231689.25</v>
      </c>
    </row>
    <row r="44">
      <c r="B44" s="1531" t="str">
        <f>INDEX('REVIEW - Complete Role Mapping'!$B:$B,438)</f>
        <v>Vacant</v>
      </c>
      <c r="C44" s="1531" t="str">
        <f>INDEX('REVIEW - Complete Role Mapping'!$C:$C,438)</f>
        <v>Business Analyst</v>
      </c>
      <c r="D44" s="1531" t="str">
        <f>INDEX('REVIEW - Complete Role Mapping'!$AK:$AK,438)</f>
        <v>Vacant</v>
      </c>
      <c r="E44" s="1548" t="inlineStr">
        <is>
          <t>Hire</t>
        </is>
      </c>
      <c r="F44" s="1770">
        <f>INDEX('REVIEW - Complete Role Mapping'!$AA:$AA,438)</f>
        <v>202853.25</v>
      </c>
      <c r="G44" s="1770">
        <f>$F44*IFERROR(INDEX(Lists!$AD:$AD,MATCH($E44,Lists!$AC:$AC,0)),1)</f>
        <v>202853.25</v>
      </c>
    </row>
    <row r="45">
      <c r="B45" s="1530" t="inlineStr">
        <is>
          <t>EVCI</t>
        </is>
      </c>
      <c r="C45" s="1530" t="str">
        <f>COUNTA($B$46:$B$51)&amp;IF(COUNTA($B$46:$B$51)=1," role"," roles")</f>
        <v>6 roles</v>
      </c>
      <c r="D45" s="1530" t="n"/>
      <c r="E45" s="1530" t="n"/>
      <c r="F45" s="1786">
        <f>SUM(F46:F51)</f>
        <v>930799.292</v>
      </c>
      <c r="G45" s="1786">
        <f>SUM(G46:G51)</f>
        <v>930799.292</v>
      </c>
    </row>
    <row r="46">
      <c r="B46" s="1531" t="str">
        <f>INDEX('REVIEW - Complete Role Mapping'!$B:$B,340)</f>
        <v>Angela Ross</v>
      </c>
      <c r="C46" s="1531" t="str">
        <f>INDEX('REVIEW - Complete Role Mapping'!$C:$C,340)</f>
        <v>Delivery Lead</v>
      </c>
      <c r="D46" s="1531" t="str">
        <f>INDEX('REVIEW - Complete Role Mapping'!$AK:$AK,340)</f>
        <v>Filled</v>
      </c>
      <c r="E46" s="1548" t="inlineStr">
        <is>
          <t>Filled</t>
        </is>
      </c>
      <c r="F46" s="1770">
        <f>INDEX('REVIEW - Complete Role Mapping'!$AA:$AA,340)</f>
        <v>188300.028</v>
      </c>
      <c r="G46" s="1770">
        <f>$F46*IFERROR(INDEX(Lists!$AD:$AD,MATCH($E46,Lists!$AC:$AC,0)),1)</f>
        <v>188300.028</v>
      </c>
    </row>
    <row r="47">
      <c r="B47" s="1531" t="str">
        <f>INDEX('REVIEW - Complete Role Mapping'!$B:$B,342)</f>
        <v>Anie Camerino</v>
      </c>
      <c r="C47" s="1531" t="str">
        <f>INDEX('REVIEW - Complete Role Mapping'!$C:$C,342)</f>
        <v>Snr Quality Assurance</v>
      </c>
      <c r="D47" s="1531" t="str">
        <f>INDEX('REVIEW - Complete Role Mapping'!$AK:$AK,342)</f>
        <v>Filled</v>
      </c>
      <c r="E47" s="1548" t="inlineStr">
        <is>
          <t>Filled</t>
        </is>
      </c>
      <c r="F47" s="1770">
        <f>INDEX('REVIEW - Complete Role Mapping'!$AA:$AA,342)</f>
        <v>153503.328</v>
      </c>
      <c r="G47" s="1770">
        <f>$F47*IFERROR(INDEX(Lists!$AD:$AD,MATCH($E47,Lists!$AC:$AC,0)),1)</f>
        <v>153503.328</v>
      </c>
    </row>
    <row r="48">
      <c r="B48" s="1531" t="str">
        <f>INDEX('REVIEW - Complete Role Mapping'!$B:$B,351)</f>
        <v>Caitlin Dyas</v>
      </c>
      <c r="C48" s="1531" t="str">
        <f>INDEX('REVIEW - Complete Role Mapping'!$C:$C,351)</f>
        <v>Snr Engineer Software</v>
      </c>
      <c r="D48" s="1531" t="str">
        <f>INDEX('REVIEW - Complete Role Mapping'!$AK:$AK,351)</f>
        <v>Filled</v>
      </c>
      <c r="E48" s="1548" t="inlineStr">
        <is>
          <t>Filled</t>
        </is>
      </c>
      <c r="F48" s="1770">
        <f>INDEX('REVIEW - Complete Role Mapping'!$AA:$AA,351)</f>
        <v>144360</v>
      </c>
      <c r="G48" s="1770">
        <f>$F48*IFERROR(INDEX(Lists!$AD:$AD,MATCH($E48,Lists!$AC:$AC,0)),1)</f>
        <v>144360</v>
      </c>
    </row>
    <row r="49">
      <c r="B49" s="1531" t="str">
        <f>INDEX('REVIEW - Complete Role Mapping'!$B:$B,366)</f>
        <v>Gokila Mylsamy</v>
      </c>
      <c r="C49" s="1531" t="str">
        <f>INDEX('REVIEW - Complete Role Mapping'!$C:$C,366)</f>
        <v>Lead Engineer Software</v>
      </c>
      <c r="D49" s="1531" t="str">
        <f>INDEX('REVIEW - Complete Role Mapping'!$AK:$AK,366)</f>
        <v>Filled</v>
      </c>
      <c r="E49" s="1548" t="inlineStr">
        <is>
          <t>Filled</t>
        </is>
      </c>
      <c r="F49" s="1770">
        <f>INDEX('REVIEW - Complete Role Mapping'!$AA:$AA,366)</f>
        <v>184214.952</v>
      </c>
      <c r="G49" s="1770">
        <f>$F49*IFERROR(INDEX(Lists!$AD:$AD,MATCH($E49,Lists!$AC:$AC,0)),1)</f>
        <v>184214.952</v>
      </c>
    </row>
    <row r="50">
      <c r="B50" s="1531" t="str">
        <f>INDEX('REVIEW - Complete Role Mapping'!$B:$B,377)</f>
        <v>Josh Campbell</v>
      </c>
      <c r="C50" s="1531" t="str">
        <f>INDEX('REVIEW - Complete Role Mapping'!$C:$C,377)</f>
        <v>Engineer Software</v>
      </c>
      <c r="D50" s="1531" t="str">
        <f>INDEX('REVIEW - Complete Role Mapping'!$AK:$AK,377)</f>
        <v>Filled</v>
      </c>
      <c r="E50" s="1548" t="inlineStr">
        <is>
          <t>Filled</t>
        </is>
      </c>
      <c r="F50" s="1770">
        <f>INDEX('REVIEW - Complete Role Mapping'!$AA:$AA,377)</f>
        <v>101667.032</v>
      </c>
      <c r="G50" s="1770">
        <f>$F50*IFERROR(INDEX(Lists!$AD:$AD,MATCH($E50,Lists!$AC:$AC,0)),1)</f>
        <v>101667.032</v>
      </c>
    </row>
    <row r="51">
      <c r="B51" s="1531" t="str">
        <f>INDEX('REVIEW - Complete Role Mapping'!$B:$B,382)</f>
        <v>Lana Wagner</v>
      </c>
      <c r="C51" s="1531" t="str">
        <f>INDEX('REVIEW - Complete Role Mapping'!$C:$C,382)</f>
        <v>Senior Business Analyst</v>
      </c>
      <c r="D51" s="1531" t="str">
        <f>INDEX('REVIEW - Complete Role Mapping'!$AK:$AK,382)</f>
        <v>Filled</v>
      </c>
      <c r="E51" s="1548" t="inlineStr">
        <is>
          <t>Filled</t>
        </is>
      </c>
      <c r="F51" s="1770">
        <f>INDEX('REVIEW - Complete Role Mapping'!$AA:$AA,382)</f>
        <v>158753.952</v>
      </c>
      <c r="G51" s="1770">
        <f>$F51*IFERROR(INDEX(Lists!$AD:$AD,MATCH($E51,Lists!$AC:$AC,0)),1)</f>
        <v>158753.952</v>
      </c>
    </row>
    <row r="52">
      <c r="B52" s="1530" t="inlineStr">
        <is>
          <t>Energy</t>
        </is>
      </c>
      <c r="C52" s="1530" t="str">
        <f>COUNTA($B$53:$B$61)&amp;IF(COUNTA($B$53:$B$61)=1," role"," roles")</f>
        <v>9 roles</v>
      </c>
      <c r="D52" s="1530" t="n"/>
      <c r="E52" s="1530" t="n"/>
      <c r="F52" s="1786">
        <f>SUM(F53:F61)</f>
        <v>1803563.966</v>
      </c>
      <c r="G52" s="1786">
        <f>SUM(G53:G61)</f>
        <v>1803563.966</v>
      </c>
    </row>
    <row r="53">
      <c r="B53" s="1531" t="str">
        <f>INDEX('REVIEW - Complete Role Mapping'!$B:$B,352)</f>
        <v>Caitlin Naylor</v>
      </c>
      <c r="C53" s="1531" t="str">
        <f>INDEX('REVIEW - Complete Role Mapping'!$C:$C,352)</f>
        <v>Associate Engineer- Software</v>
      </c>
      <c r="D53" s="1531" t="str">
        <f>INDEX('REVIEW - Complete Role Mapping'!$AK:$AK,352)</f>
        <v>Filled</v>
      </c>
      <c r="E53" s="1548" t="inlineStr">
        <is>
          <t>Filled</t>
        </is>
      </c>
      <c r="F53" s="1770">
        <f>INDEX('REVIEW - Complete Role Mapping'!$AA:$AA,352)</f>
        <v>87434.816</v>
      </c>
      <c r="G53" s="1770">
        <f>$F53*IFERROR(INDEX(Lists!$AD:$AD,MATCH($E53,Lists!$AC:$AC,0)),1)</f>
        <v>87434.816</v>
      </c>
    </row>
    <row r="54">
      <c r="B54" s="1531" t="str">
        <f>INDEX('REVIEW - Complete Role Mapping'!$B:$B,360)</f>
        <v>Elma Kurian</v>
      </c>
      <c r="C54" s="1531" t="str">
        <f>INDEX('REVIEW - Complete Role Mapping'!$C:$C,360)</f>
        <v>System Specialist</v>
      </c>
      <c r="D54" s="1531" t="str">
        <f>INDEX('REVIEW - Complete Role Mapping'!$AK:$AK,360)</f>
        <v>Filled</v>
      </c>
      <c r="E54" s="1548" t="inlineStr">
        <is>
          <t>Filled</t>
        </is>
      </c>
      <c r="F54" s="1770">
        <f>INDEX('REVIEW - Complete Role Mapping'!$AA:$AA,360)</f>
        <v>203253.75</v>
      </c>
      <c r="G54" s="1770">
        <f>$F54*IFERROR(INDEX(Lists!$AD:$AD,MATCH($E54,Lists!$AC:$AC,0)),1)</f>
        <v>203253.75</v>
      </c>
    </row>
    <row r="55">
      <c r="B55" s="1531" t="str">
        <f>INDEX('REVIEW - Complete Role Mapping'!$B:$B,367)</f>
        <v>Gunjan Vasudeva</v>
      </c>
      <c r="C55" s="1531" t="str">
        <f>INDEX('REVIEW - Complete Role Mapping'!$C:$C,367)</f>
        <v>Lead Quality Assurance</v>
      </c>
      <c r="D55" s="1531" t="str">
        <f>INDEX('REVIEW - Complete Role Mapping'!$AK:$AK,367)</f>
        <v>Filled</v>
      </c>
      <c r="E55" s="1548" t="inlineStr">
        <is>
          <t>Filled</t>
        </is>
      </c>
      <c r="F55" s="1770">
        <f>INDEX('REVIEW - Complete Role Mapping'!$AA:$AA,367)</f>
        <v>208473.6</v>
      </c>
      <c r="G55" s="1770">
        <f>$F55*IFERROR(INDEX(Lists!$AD:$AD,MATCH($E55,Lists!$AC:$AC,0)),1)</f>
        <v>208473.6</v>
      </c>
    </row>
    <row r="56">
      <c r="B56" s="1531" t="str">
        <f>INDEX('REVIEW - Complete Role Mapping'!$B:$B,371)</f>
        <v>James Hung</v>
      </c>
      <c r="C56" s="1531" t="str">
        <f>INDEX('REVIEW - Complete Role Mapping'!$C:$C,371)</f>
        <v>System Specialist</v>
      </c>
      <c r="D56" s="1531" t="str">
        <f>INDEX('REVIEW - Complete Role Mapping'!$AK:$AK,371)</f>
        <v>Filled</v>
      </c>
      <c r="E56" s="1548" t="inlineStr">
        <is>
          <t>Filled</t>
        </is>
      </c>
      <c r="F56" s="1770">
        <f>INDEX('REVIEW - Complete Role Mapping'!$AA:$AA,371)</f>
        <v>213533.25</v>
      </c>
      <c r="G56" s="1770">
        <f>$F56*IFERROR(INDEX(Lists!$AD:$AD,MATCH($E56,Lists!$AC:$AC,0)),1)</f>
        <v>213533.25</v>
      </c>
    </row>
    <row r="57">
      <c r="B57" s="1531" t="str">
        <f>INDEX('REVIEW - Complete Role Mapping'!$B:$B,388)</f>
        <v>Marcela Gonzalez</v>
      </c>
      <c r="C57" s="1531" t="str">
        <f>INDEX('REVIEW - Complete Role Mapping'!$C:$C,388)</f>
        <v>Energy Platforms Lead</v>
      </c>
      <c r="D57" s="1531" t="str">
        <f>INDEX('REVIEW - Complete Role Mapping'!$AK:$AK,388)</f>
        <v>Filled</v>
      </c>
      <c r="E57" s="1548" t="inlineStr">
        <is>
          <t>Filled</t>
        </is>
      </c>
      <c r="F57" s="1770">
        <f>INDEX('REVIEW - Complete Role Mapping'!$AA:$AA,388)</f>
        <v>250619.55</v>
      </c>
      <c r="G57" s="1770">
        <f>$F57*IFERROR(INDEX(Lists!$AD:$AD,MATCH($E57,Lists!$AC:$AC,0)),1)</f>
        <v>250619.55</v>
      </c>
    </row>
    <row r="58">
      <c r="B58" s="1531" t="str">
        <f>INDEX('REVIEW - Complete Role Mapping'!$B:$B,416)</f>
        <v>Vacant</v>
      </c>
      <c r="C58" s="1531" t="str">
        <f>INDEX('REVIEW - Complete Role Mapping'!$C:$C,416)</f>
        <v>Engineer Automation - Testing</v>
      </c>
      <c r="D58" s="1531" t="str">
        <f>INDEX('REVIEW - Complete Role Mapping'!$AK:$AK,416)</f>
        <v>Vacant</v>
      </c>
      <c r="E58" s="1548" t="inlineStr">
        <is>
          <t>Hire</t>
        </is>
      </c>
      <c r="F58" s="1770">
        <f>INDEX('REVIEW - Complete Role Mapping'!$AA:$AA,416)</f>
        <v>202853.25</v>
      </c>
      <c r="G58" s="1770">
        <f>$F58*IFERROR(INDEX(Lists!$AD:$AD,MATCH($E58,Lists!$AC:$AC,0)),1)</f>
        <v>202853.25</v>
      </c>
    </row>
    <row r="59">
      <c r="B59" s="1531" t="str">
        <f>INDEX('REVIEW - Complete Role Mapping'!$B:$B,417)</f>
        <v>Vacant</v>
      </c>
      <c r="C59" s="1531" t="str">
        <f>INDEX('REVIEW - Complete Role Mapping'!$C:$C,417)</f>
        <v>Snr Engineer Software</v>
      </c>
      <c r="D59" s="1531" t="str">
        <f>INDEX('REVIEW - Complete Role Mapping'!$AK:$AK,417)</f>
        <v>Vacant</v>
      </c>
      <c r="E59" s="1548" t="inlineStr">
        <is>
          <t>Hire</t>
        </is>
      </c>
      <c r="F59" s="1770">
        <f>INDEX('REVIEW - Complete Role Mapping'!$AA:$AA,417)</f>
        <v>202853.25</v>
      </c>
      <c r="G59" s="1770">
        <f>$F59*IFERROR(INDEX(Lists!$AD:$AD,MATCH($E59,Lists!$AC:$AC,0)),1)</f>
        <v>202853.25</v>
      </c>
    </row>
    <row r="60">
      <c r="B60" s="1531" t="str">
        <f>INDEX('REVIEW - Complete Role Mapping'!$B:$B,418)</f>
        <v>Vacant</v>
      </c>
      <c r="C60" s="1531" t="str">
        <f>INDEX('REVIEW - Complete Role Mapping'!$C:$C,418)</f>
        <v>Solution Architect</v>
      </c>
      <c r="D60" s="1531" t="str">
        <f>INDEX('REVIEW - Complete Role Mapping'!$AK:$AK,418)</f>
        <v>Vacant</v>
      </c>
      <c r="E60" s="1548" t="inlineStr">
        <is>
          <t>Hire</t>
        </is>
      </c>
      <c r="F60" s="1770">
        <f>INDEX('REVIEW - Complete Role Mapping'!$AA:$AA,418)</f>
        <v>231689.25</v>
      </c>
      <c r="G60" s="1770">
        <f>$F60*IFERROR(INDEX(Lists!$AD:$AD,MATCH($E60,Lists!$AC:$AC,0)),1)</f>
        <v>231689.25</v>
      </c>
    </row>
    <row r="61">
      <c r="B61" s="1531" t="str">
        <f>INDEX('REVIEW - Complete Role Mapping'!$B:$B,439)</f>
        <v>Vacant</v>
      </c>
      <c r="C61" s="1531" t="str">
        <f>INDEX('REVIEW - Complete Role Mapping'!$C:$C,439)</f>
        <v>Business Analyst</v>
      </c>
      <c r="D61" s="1531" t="str">
        <f>INDEX('REVIEW - Complete Role Mapping'!$AK:$AK,439)</f>
        <v>Vacant</v>
      </c>
      <c r="E61" s="1548" t="inlineStr">
        <is>
          <t>Hire</t>
        </is>
      </c>
      <c r="F61" s="1770">
        <f>INDEX('REVIEW - Complete Role Mapping'!$AA:$AA,439)</f>
        <v>202853.25</v>
      </c>
      <c r="G61" s="1770">
        <f>$F61*IFERROR(INDEX(Lists!$AD:$AD,MATCH($E61,Lists!$AC:$AC,0)),1)</f>
        <v>202853.25</v>
      </c>
    </row>
    <row r="62">
      <c r="B62" s="1530" t="inlineStr">
        <is>
          <t>Head of Technology</t>
        </is>
      </c>
      <c r="C62" s="1530" t="str">
        <f>COUNTA($B$63:$B$63)&amp;IF(COUNTA($B$63:$B$63)=1," role"," roles")</f>
        <v>1 role</v>
      </c>
      <c r="D62" s="1530" t="n"/>
      <c r="E62" s="1530" t="n"/>
      <c r="F62" s="1786">
        <f>SUM(F63:F63)</f>
        <v>273758</v>
      </c>
      <c r="G62" s="1786">
        <f>SUM(G63:G63)</f>
        <v>273758</v>
      </c>
    </row>
    <row r="63">
      <c r="B63" s="1531" t="str">
        <f>INDEX('REVIEW - Complete Role Mapping'!$B:$B,385)</f>
        <v>Liesl Tye</v>
      </c>
      <c r="C63" s="1531" t="str">
        <f>INDEX('REVIEW - Complete Role Mapping'!$C:$C,385)</f>
        <v>Head of Technology, B2B &amp; Energy Solutions</v>
      </c>
      <c r="D63" s="1531" t="str">
        <f>INDEX('REVIEW - Complete Role Mapping'!$AK:$AK,385)</f>
        <v>Filled</v>
      </c>
      <c r="E63" s="1548" t="inlineStr">
        <is>
          <t>Filled</t>
        </is>
      </c>
      <c r="F63" s="1770">
        <f>INDEX('REVIEW - Complete Role Mapping'!$AA:$AA,385)</f>
        <v>273758</v>
      </c>
      <c r="G63" s="1770">
        <f>$F63*IFERROR(INDEX(Lists!$AD:$AD,MATCH($E63,Lists!$AC:$AC,0)),1)</f>
        <v>273758</v>
      </c>
    </row>
    <row r="64">
      <c r="B64" s="1530" t="inlineStr">
        <is>
          <t>Delivery Manager</t>
        </is>
      </c>
      <c r="C64" s="1530" t="str">
        <f>COUNTA($B$65:$B$65)&amp;IF(COUNTA($B$65:$B$65)=1," role"," roles")</f>
        <v>1 role</v>
      </c>
      <c r="D64" s="1530" t="n"/>
      <c r="E64" s="1530" t="n"/>
      <c r="F64" s="1786">
        <f>SUM(F65:F65)</f>
        <v>275810.25</v>
      </c>
      <c r="G64" s="1786">
        <f>SUM(G65:G65)</f>
        <v>275810.25</v>
      </c>
    </row>
    <row r="65">
      <c r="B65" s="1531" t="str">
        <f>INDEX('REVIEW - Complete Role Mapping'!$B:$B,414)</f>
        <v>Vacant</v>
      </c>
      <c r="C65" s="1531" t="str">
        <f>INDEX('REVIEW - Complete Role Mapping'!$C:$C,414)</f>
        <v>Delivery manager</v>
      </c>
      <c r="D65" s="1531" t="str">
        <f>INDEX('REVIEW - Complete Role Mapping'!$AK:$AK,414)</f>
        <v>Vacant</v>
      </c>
      <c r="E65" s="1548" t="inlineStr">
        <is>
          <t>Hire</t>
        </is>
      </c>
      <c r="F65" s="1770">
        <f>INDEX('REVIEW - Complete Role Mapping'!$AA:$AA,414)</f>
        <v>275810.25</v>
      </c>
      <c r="G65" s="1770">
        <f>$F65*IFERROR(INDEX(Lists!$AD:$AD,MATCH($E65,Lists!$AC:$AC,0)),1)</f>
        <v>275810.25</v>
      </c>
    </row>
    <row r="66">
      <c r="B66" s="1530" t="inlineStr">
        <is>
          <t>Technology Manager</t>
        </is>
      </c>
      <c r="C66" s="1530" t="str">
        <f>COUNTA($B$67:$B$68)&amp;IF(COUNTA($B$67:$B$68)=1," role"," roles")</f>
        <v>2 roles</v>
      </c>
      <c r="D66" s="1530" t="n"/>
      <c r="E66" s="1530" t="n"/>
      <c r="F66" s="1786">
        <f>SUM(F67:F68)</f>
        <v>570373.7</v>
      </c>
      <c r="G66" s="1786">
        <f>SUM(G67:G68)</f>
        <v>570373.7</v>
      </c>
    </row>
    <row r="67">
      <c r="B67" s="1531" t="str">
        <f>INDEX('REVIEW - Complete Role Mapping'!$B:$B,359)</f>
        <v>Elle Spencer</v>
      </c>
      <c r="C67" s="1531" t="str">
        <f>INDEX('REVIEW - Complete Role Mapping'!$C:$C,359)</f>
        <v>Technology Manager - B2B</v>
      </c>
      <c r="D67" s="1531" t="str">
        <f>INDEX('REVIEW - Complete Role Mapping'!$AK:$AK,359)</f>
        <v>Filled</v>
      </c>
      <c r="E67" s="1548" t="inlineStr">
        <is>
          <t>Filled</t>
        </is>
      </c>
      <c r="F67" s="1770">
        <f>INDEX('REVIEW - Complete Role Mapping'!$AA:$AA,359)</f>
        <v>294563.45</v>
      </c>
      <c r="G67" s="1770">
        <f>$F67*IFERROR(INDEX(Lists!$AD:$AD,MATCH($E67,Lists!$AC:$AC,0)),1)</f>
        <v>294563.45</v>
      </c>
    </row>
    <row r="68">
      <c r="B68" s="1531" t="str">
        <f>INDEX('REVIEW - Complete Role Mapping'!$B:$B,415)</f>
        <v>Vacant</v>
      </c>
      <c r="C68" s="1531" t="str">
        <f>INDEX('REVIEW - Complete Role Mapping'!$C:$C,415)</f>
        <v>Technology Manager, Energy Solutions</v>
      </c>
      <c r="D68" s="1531" t="str">
        <f>INDEX('REVIEW - Complete Role Mapping'!$AK:$AK,415)</f>
        <v>Vacant</v>
      </c>
      <c r="E68" s="1548" t="inlineStr">
        <is>
          <t>Hire</t>
        </is>
      </c>
      <c r="F68" s="1770">
        <f>INDEX('REVIEW - Complete Role Mapping'!$AA:$AA,415)</f>
        <v>275810.25</v>
      </c>
      <c r="G68" s="1770">
        <f>$F68*IFERROR(INDEX(Lists!$AD:$AD,MATCH($E68,Lists!$AC:$AC,0)),1)</f>
        <v>275810.25</v>
      </c>
    </row>
  </sheetData>
  <dataValidations count="1">
    <dataValidation sqref="E31 E32 E33 E34 E35 E36 E37 E38 E39 E40 E41 E42 E43 E44 E46 E47 E48 E49 E50 E51 E53 E54 E55 E56 E57 E58 E59 E60 E61 E63 E65 E67 E6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Q7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COUNTA($B$46:$B$50)</f>
        <v>5</v>
      </c>
      <c r="G8" s="1770">
        <f>COUNTIFS($D$46:$D$50,"Filled")</f>
        <v>1</v>
      </c>
      <c r="H8" s="1770">
        <f>COUNTIFS($D$46:$D$50,"Vacant")</f>
        <v>4</v>
      </c>
      <c r="I8" s="1770">
        <f>COUNTIFS($D$46:$D$50,"Vacant",$E$46:$E$50,"Hire")</f>
        <v>4</v>
      </c>
      <c r="J8" s="1770">
        <f>COUNTIFS($E$46:$E$50,"Offshore")</f>
        <v>0</v>
      </c>
      <c r="K8" s="1770">
        <f>COUNTIFS($E$46:$E$50,"Hold")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SUM($G$46:$G$50)/1000000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COUNTA($B$52:$B$63)</f>
        <v>12</v>
      </c>
      <c r="G9" s="1770">
        <f>COUNTIFS($D$52:$D$63,"Filled")</f>
        <v>9</v>
      </c>
      <c r="H9" s="1770">
        <f>COUNTIFS($D$52:$D$63,"Vacant")</f>
        <v>3</v>
      </c>
      <c r="I9" s="1770">
        <f>COUNTIFS($D$52:$D$63,"Vacant",$E$52:$E$63,"Hire")</f>
        <v>3</v>
      </c>
      <c r="J9" s="1770">
        <f>COUNTIFS($E$52:$E$63,"Offshore")</f>
        <v>0</v>
      </c>
      <c r="K9" s="1770">
        <f>COUNTIFS($E$52:$E$63,"Hold")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SUM($G$52:$G$63)/1000000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COUNTA($B$65:$B$71)</f>
        <v>7</v>
      </c>
      <c r="G10" s="1770">
        <f>COUNTIFS($D$65:$D$71,"Filled")</f>
        <v>7</v>
      </c>
      <c r="H10" s="1770">
        <f>COUNTIFS($D$65:$D$71,"Vacant")</f>
        <v>0</v>
      </c>
      <c r="I10" s="1770">
        <f>COUNTIFS($D$65:$D$71,"Vacant",$E$65:$E$71,"Hire")</f>
        <v>0</v>
      </c>
      <c r="J10" s="1770">
        <f>COUNTIFS($E$65:$E$71,"Offshore")</f>
        <v>0</v>
      </c>
      <c r="K10" s="1770">
        <f>COUNTIFS($E$65:$E$71,"Hold")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SUM($G$65:$G$71)/1000000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SUM(M8:M10)</f>
        <v>4.88</v>
      </c>
      <c r="N11" s="1771">
        <f>SUM(N8:N10)</f>
        <v>5.8445681607</v>
      </c>
      <c r="O11" s="1771">
        <f>IF(N($M11)=0,"-",ROUND($N11-$M11,6))</f>
        <v>0.964568</v>
      </c>
      <c r="P11" s="1771">
        <f>SUM(P8:P10)</f>
        <v>5.8445681607</v>
      </c>
      <c r="Q11" s="1771">
        <f>IF(N($M11)=0,"-",ROUND($P11-$M11,6))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COUNTA($B$31:$B$44)</f>
        <v>14</v>
      </c>
      <c r="G13" s="1770">
        <f>COUNTIFS($D$31:$D$44,"Filled")</f>
        <v>14</v>
      </c>
      <c r="H13" s="1770">
        <f>COUNTIFS($D$31:$D$44,"Vacant")</f>
        <v>0</v>
      </c>
      <c r="I13" s="1770">
        <f>COUNTIFS($D$31:$D$44,"Vacant",$E$31:$E$44,"Hire")</f>
        <v>0</v>
      </c>
      <c r="J13" s="1770">
        <f>COUNTIFS($E$31:$E$44,"Offshore")</f>
        <v>0</v>
      </c>
      <c r="K13" s="1770">
        <f>COUNTIFS($E$31:$E$44,"Hold")</f>
        <v>0</v>
      </c>
      <c r="L13" s="1770">
        <f>$F13-$K13</f>
        <v>14</v>
      </c>
      <c r="M13" s="1769">
        <f>IFERROR(INDEX('1.9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SUM($G$31:$G$44)/1000000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SUM(M13:M13)</f>
        <v>3.8</v>
      </c>
      <c r="N14" s="1771">
        <f>SUM(N13:N13)</f>
        <v>3.221759232</v>
      </c>
      <c r="O14" s="1771">
        <f>IF(N($M14)=0,"-",ROUND($N14-$M14,6))</f>
        <v>-0.578241</v>
      </c>
      <c r="P14" s="1771">
        <f>SUM(P13:P13)</f>
        <v>3.221759232</v>
      </c>
      <c r="Q14" s="1771">
        <f>IF(N($M14)=0,"-",ROUND($P14-$M14,6))</f>
        <v>-0.578241</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COUNTA($B$73:$B$73)</f>
        <v>1</v>
      </c>
      <c r="G19" s="1770">
        <f>COUNTIFS($D$73:$D$73,"Filled")</f>
        <v>1</v>
      </c>
      <c r="H19" s="1770">
        <f>COUNTIFS($D$73:$D$73,"Vacant")</f>
        <v>0</v>
      </c>
      <c r="I19" s="1770">
        <f>COUNTIFS($D$73:$D$73,"Vacant",$E$73:$E$73,"Hire")</f>
        <v>0</v>
      </c>
      <c r="J19" s="1770">
        <f>COUNTIFS($E$73:$E$73,"Offshore")</f>
        <v>0</v>
      </c>
      <c r="K19" s="1770">
        <f>COUNTIFS($E$73:$E$73,"Hold")</f>
        <v>0</v>
      </c>
      <c r="L19" s="1770">
        <f>$F19-$K19</f>
        <v>1</v>
      </c>
      <c r="M19" s="1540" t="str">
        <f>"-"</f>
        <v>-</v>
      </c>
      <c r="N19" s="1769">
        <f>SUMIFS('REVIEW - Complete Role Mapping'!$AA$2:$AA$528,'REVIEW - Complete Role Mapping'!$AJ$2:$AJ$528,$C$3,'REVIEW - Complete Role Mapping'!$AT$2:$AT$528,$B19)/1000000</f>
        <v>0.292434736</v>
      </c>
      <c r="O19" s="1540" t="str">
        <f>"-"</f>
        <v>-</v>
      </c>
      <c r="P19" s="1769">
        <f>SUM($G$73:$G$73)/1000000</f>
        <v>0.292434736</v>
      </c>
      <c r="Q19" s="1540" t="str">
        <f>"-"</f>
        <v>-</v>
      </c>
    </row>
    <row r="20">
      <c r="B20" s="1531" t="inlineStr">
        <is>
          <t>Delivery Manager</t>
        </is>
      </c>
      <c r="C20" s="1531" t="str">
        <f>"-"</f>
        <v>-</v>
      </c>
      <c r="D20" s="1531" t="str">
        <f>"-"</f>
        <v>-</v>
      </c>
      <c r="E20" s="1540" t="str">
        <f>"-"</f>
        <v>-</v>
      </c>
      <c r="F20" s="1770">
        <f>COUNTA($B$75:$B$75)</f>
        <v>1</v>
      </c>
      <c r="G20" s="1770">
        <f>COUNTIFS($D$75:$D$75,"Filled")</f>
        <v>0</v>
      </c>
      <c r="H20" s="1770">
        <f>COUNTIFS($D$75:$D$75,"Vacant")</f>
        <v>1</v>
      </c>
      <c r="I20" s="1770">
        <f>COUNTIFS($D$75:$D$75,"Vacant",$E$75:$E$75,"Hire")</f>
        <v>1</v>
      </c>
      <c r="J20" s="1770">
        <f>COUNTIFS($E$75:$E$75,"Offshore")</f>
        <v>0</v>
      </c>
      <c r="K20" s="1770">
        <f>COUNTIFS($E$75:$E$75,"Hold")</f>
        <v>0</v>
      </c>
      <c r="L20" s="1770">
        <f>$F20-$K20</f>
        <v>1</v>
      </c>
      <c r="M20" s="1540" t="str">
        <f>"-"</f>
        <v>-</v>
      </c>
      <c r="N20" s="1769">
        <f>SUMIFS('REVIEW - Complete Role Mapping'!$AA$2:$AA$528,'REVIEW - Complete Role Mapping'!$AJ$2:$AJ$528,$C$3,'REVIEW - Complete Role Mapping'!$AT$2:$AT$528,$B20)/1000000</f>
        <v>0.27581025</v>
      </c>
      <c r="O20" s="1540" t="str">
        <f>"-"</f>
        <v>-</v>
      </c>
      <c r="P20" s="1769">
        <f>SUM($G$75:$G$75)/1000000</f>
        <v>0.27581025</v>
      </c>
      <c r="Q20" s="1540" t="str">
        <f>"-"</f>
        <v>-</v>
      </c>
    </row>
    <row r="21">
      <c r="B21" s="1531" t="inlineStr">
        <is>
          <t>Technology Manager</t>
        </is>
      </c>
      <c r="C21" s="1531" t="str">
        <f>"-"</f>
        <v>-</v>
      </c>
      <c r="D21" s="1531" t="str">
        <f>"-"</f>
        <v>-</v>
      </c>
      <c r="E21" s="1540" t="str">
        <f>"-"</f>
        <v>-</v>
      </c>
      <c r="F21" s="1770">
        <f>COUNTA($B$77:$B$78)</f>
        <v>2</v>
      </c>
      <c r="G21" s="1770">
        <f>COUNTIFS($D$77:$D$78,"Filled")</f>
        <v>1</v>
      </c>
      <c r="H21" s="1770">
        <f>COUNTIFS($D$77:$D$78,"Vacant")</f>
        <v>1</v>
      </c>
      <c r="I21" s="1770">
        <f>COUNTIFS($D$77:$D$78,"Vacant",$E$77:$E$78,"Hire")</f>
        <v>1</v>
      </c>
      <c r="J21" s="1770">
        <f>COUNTIFS($E$77:$E$78,"Offshore")</f>
        <v>0</v>
      </c>
      <c r="K21" s="1770">
        <f>COUNTIFS($E$77:$E$78,"Hold")</f>
        <v>0</v>
      </c>
      <c r="L21" s="1770">
        <f>$F21-$K21</f>
        <v>2</v>
      </c>
      <c r="M21" s="1540" t="str">
        <f>"-"</f>
        <v>-</v>
      </c>
      <c r="N21" s="1769">
        <f>SUMIFS('REVIEW - Complete Role Mapping'!$AA$2:$AA$528,'REVIEW - Complete Role Mapping'!$AJ$2:$AJ$528,$C$3,'REVIEW - Complete Role Mapping'!$AT$2:$AT$528,$B21)/1000000</f>
        <v>0.56309735</v>
      </c>
      <c r="O21" s="1540" t="str">
        <f>"-"</f>
        <v>-</v>
      </c>
      <c r="P21" s="1769">
        <f>SUM($G$77:$G$78)/1000000</f>
        <v>0.56309735</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f>SUM(M19:M21)</f>
        <v>0</v>
      </c>
      <c r="N22" s="1771">
        <f>SUM(N19:N21)</f>
        <v>1.131342336</v>
      </c>
      <c r="O22" s="1771" t="str">
        <f>IF(N($M22)=0,"-",ROUND($N22-$M22,6))</f>
        <v>-</v>
      </c>
      <c r="P22" s="1771">
        <f>SUM(P19:P21)</f>
        <v>1.131342336</v>
      </c>
      <c r="Q22" s="1771" t="str">
        <f>IF(N($M22)=0,"-",ROUND($P22-$M22,6))</f>
        <v>-</v>
      </c>
    </row>
    <row r="23">
      <c r="B23" s="1541" t="inlineStr">
        <is>
          <t>Total portfolio</t>
        </is>
      </c>
      <c r="C23" s="1541" t="n"/>
      <c r="D23" s="1541" t="n"/>
      <c r="E23" s="1785">
        <f>N(E11)+N(E14)+N(E17)+N(E22)</f>
        <v>25.5</v>
      </c>
      <c r="F23" s="1774">
        <f>N(F11)+N(F14)+N(F17)+N(F22)</f>
        <v>42</v>
      </c>
      <c r="G23" s="1774">
        <f>N(G11)+N(G14)+N(G17)+N(G22)</f>
        <v>33</v>
      </c>
      <c r="H23" s="1774">
        <f>N(H11)+N(H14)+N(H17)+N(H22)</f>
        <v>9</v>
      </c>
      <c r="I23" s="1774">
        <f>N(I11)+N(I14)+N(I17)+N(I22)</f>
        <v>9</v>
      </c>
      <c r="J23" s="1774">
        <f>N(J11)+N(J14)+N(J17)+N(J22)</f>
        <v>0</v>
      </c>
      <c r="K23" s="1774">
        <f>N(K11)+N(K14)+N(K17)+N(K22)</f>
        <v>0</v>
      </c>
      <c r="L23" s="1774">
        <f>N(L11)+N(L14)+N(L17)+N(L22)</f>
        <v>42</v>
      </c>
      <c r="M23" s="1773" t="str">
        <f>"-"</f>
        <v>-</v>
      </c>
      <c r="N23" s="1773">
        <f>N(N11)+N(N14)+N(N17)+N(N22)</f>
        <v>10.1976697287</v>
      </c>
      <c r="O23" s="1773" t="str">
        <f>"-"</f>
        <v>-</v>
      </c>
      <c r="P23" s="1773">
        <f>N(P11)+N(P14)+N(P17)+N(P22)</f>
        <v>10.1976697287</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Commercial Fuels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CTRM</t>
        </is>
      </c>
      <c r="C30" s="1530" t="str">
        <f>COUNTA($B$31:$B$44)&amp;IF(COUNTA($B$31:$B$44)=1," role"," roles")</f>
        <v>14 roles</v>
      </c>
      <c r="D30" s="1530" t="n"/>
      <c r="E30" s="1530" t="n"/>
      <c r="F30" s="1786">
        <f>SUM(F31:F44)</f>
        <v>3221759.232</v>
      </c>
      <c r="G30" s="1786">
        <f>SUM(G31:G44)</f>
        <v>3221759.232</v>
      </c>
    </row>
    <row r="31">
      <c r="B31" s="1531" t="str">
        <f>INDEX('REVIEW - Complete Role Mapping'!$B:$B,338)</f>
        <v>Amanda Turnbull</v>
      </c>
      <c r="C31" s="1531" t="str">
        <f>INDEX('REVIEW - Complete Role Mapping'!$C:$C,338)</f>
        <v>Engineer Software</v>
      </c>
      <c r="D31" s="1531" t="str">
        <f>INDEX('REVIEW - Complete Role Mapping'!$AK:$AK,338)</f>
        <v>Filled</v>
      </c>
      <c r="E31" s="1548" t="inlineStr">
        <is>
          <t>Filled</t>
        </is>
      </c>
      <c r="F31" s="1770">
        <f>INDEX('REVIEW - Complete Role Mapping'!$AA:$AA,338)</f>
        <v>101439.056</v>
      </c>
      <c r="G31" s="1770">
        <f>$F31*IFERROR(INDEX(Lists!$AD:$AD,MATCH($E31,Lists!$AC:$AC,0)),1)</f>
        <v>101439.056</v>
      </c>
    </row>
    <row r="32">
      <c r="B32" s="1531" t="str">
        <f>INDEX('REVIEW - Complete Role Mapping'!$B:$B,350)</f>
        <v>Byron Leung</v>
      </c>
      <c r="C32" s="1531" t="str">
        <f>INDEX('REVIEW - Complete Role Mapping'!$C:$C,350)</f>
        <v>Solution Architect</v>
      </c>
      <c r="D32" s="1531" t="str">
        <f>INDEX('REVIEW - Complete Role Mapping'!$AK:$AK,350)</f>
        <v>Filled</v>
      </c>
      <c r="E32" s="1548" t="inlineStr">
        <is>
          <t>Filled</t>
        </is>
      </c>
      <c r="F32" s="1770">
        <f>INDEX('REVIEW - Complete Role Mapping'!$AA:$AA,350)</f>
        <v>276972.45</v>
      </c>
      <c r="G32" s="1770">
        <f>$F32*IFERROR(INDEX(Lists!$AD:$AD,MATCH($E32,Lists!$AC:$AC,0)),1)</f>
        <v>276972.45</v>
      </c>
    </row>
    <row r="33">
      <c r="B33" s="1531" t="str">
        <f>INDEX('REVIEW - Complete Role Mapping'!$B:$B,353)</f>
        <v>Carl Russo</v>
      </c>
      <c r="C33" s="1531" t="str">
        <f>INDEX('REVIEW - Complete Role Mapping'!$C:$C,353)</f>
        <v>Program Manager - CTRM</v>
      </c>
      <c r="D33" s="1531" t="str">
        <f>INDEX('REVIEW - Complete Role Mapping'!$AK:$AK,353)</f>
        <v>Filled</v>
      </c>
      <c r="E33" s="1548" t="inlineStr">
        <is>
          <t>Filled</t>
        </is>
      </c>
      <c r="F33" s="1770">
        <f>INDEX('REVIEW - Complete Role Mapping'!$AA:$AA,353)</f>
        <v>323695.95</v>
      </c>
      <c r="G33" s="1770">
        <f>$F33*IFERROR(INDEX(Lists!$AD:$AD,MATCH($E33,Lists!$AC:$AC,0)),1)</f>
        <v>323695.95</v>
      </c>
    </row>
    <row r="34">
      <c r="B34" s="1531" t="str">
        <f>INDEX('REVIEW - Complete Role Mapping'!$B:$B,354)</f>
        <v>Chantal Lynch</v>
      </c>
      <c r="C34" s="1531" t="str">
        <f>INDEX('REVIEW - Complete Role Mapping'!$C:$C,354)</f>
        <v>Lead Quality Assurance</v>
      </c>
      <c r="D34" s="1531" t="str">
        <f>INDEX('REVIEW - Complete Role Mapping'!$AK:$AK,354)</f>
        <v>Filled</v>
      </c>
      <c r="E34" s="1548" t="inlineStr">
        <is>
          <t>Filled</t>
        </is>
      </c>
      <c r="F34" s="1770">
        <f>INDEX('REVIEW - Complete Role Mapping'!$AA:$AA,354)</f>
        <v>180639.096</v>
      </c>
      <c r="G34" s="1770">
        <f>$F34*IFERROR(INDEX(Lists!$AD:$AD,MATCH($E34,Lists!$AC:$AC,0)),1)</f>
        <v>180639.096</v>
      </c>
    </row>
    <row r="35">
      <c r="B35" s="1531" t="str">
        <f>INDEX('REVIEW - Complete Role Mapping'!$B:$B,358)</f>
        <v>Deepa Kaur</v>
      </c>
      <c r="C35" s="1531" t="str">
        <f>INDEX('REVIEW - Complete Role Mapping'!$C:$C,358)</f>
        <v>Senior Engineer Automation Testing</v>
      </c>
      <c r="D35" s="1531" t="str">
        <f>INDEX('REVIEW - Complete Role Mapping'!$AK:$AK,358)</f>
        <v>Filled</v>
      </c>
      <c r="E35" s="1548" t="inlineStr">
        <is>
          <t>Filled</t>
        </is>
      </c>
      <c r="F35" s="1770">
        <f>INDEX('REVIEW - Complete Role Mapping'!$AA:$AA,358)</f>
        <v>194522.85</v>
      </c>
      <c r="G35" s="1770">
        <f>$F35*IFERROR(INDEX(Lists!$AD:$AD,MATCH($E35,Lists!$AC:$AC,0)),1)</f>
        <v>194522.85</v>
      </c>
    </row>
    <row r="36">
      <c r="B36" s="1531" t="str">
        <f>INDEX('REVIEW - Complete Role Mapping'!$B:$B,363)</f>
        <v>Fransiscus Setiawan</v>
      </c>
      <c r="C36" s="1531" t="str">
        <f>INDEX('REVIEW - Complete Role Mapping'!$C:$C,363)</f>
        <v>Integration Architect   </v>
      </c>
      <c r="D36" s="1531" t="str">
        <f>INDEX('REVIEW - Complete Role Mapping'!$AK:$AK,363)</f>
        <v>Filled</v>
      </c>
      <c r="E36" s="1548" t="inlineStr">
        <is>
          <t>Filled</t>
        </is>
      </c>
      <c r="F36" s="1770">
        <f>INDEX('REVIEW - Complete Role Mapping'!$AA:$AA,363)</f>
        <v>280350</v>
      </c>
      <c r="G36" s="1770">
        <f>$F36*IFERROR(INDEX(Lists!$AD:$AD,MATCH($E36,Lists!$AC:$AC,0)),1)</f>
        <v>280350</v>
      </c>
    </row>
    <row r="37">
      <c r="B37" s="1531" t="str">
        <f>INDEX('REVIEW - Complete Role Mapping'!$B:$B,369)</f>
        <v>Hayden Corney</v>
      </c>
      <c r="C37" s="1531" t="str">
        <f>INDEX('REVIEW - Complete Role Mapping'!$C:$C,369)</f>
        <v>Lead Engineer Software</v>
      </c>
      <c r="D37" s="1531" t="str">
        <f>INDEX('REVIEW - Complete Role Mapping'!$AK:$AK,369)</f>
        <v>Filled</v>
      </c>
      <c r="E37" s="1548" t="inlineStr">
        <is>
          <t>Filled</t>
        </is>
      </c>
      <c r="F37" s="1770">
        <f>INDEX('REVIEW - Complete Role Mapping'!$AA:$AA,369)</f>
        <v>197318.88</v>
      </c>
      <c r="G37" s="1770">
        <f>$F37*IFERROR(INDEX(Lists!$AD:$AD,MATCH($E37,Lists!$AC:$AC,0)),1)</f>
        <v>197318.88</v>
      </c>
    </row>
    <row r="38">
      <c r="B38" s="1531" t="str">
        <f>INDEX('REVIEW - Complete Role Mapping'!$B:$B,383)</f>
        <v>Laura Roberts</v>
      </c>
      <c r="C38" s="1531" t="str">
        <f>INDEX('REVIEW - Complete Role Mapping'!$C:$C,383)</f>
        <v>Senior Engineer Software</v>
      </c>
      <c r="D38" s="1531" t="str">
        <f>INDEX('REVIEW - Complete Role Mapping'!$AK:$AK,383)</f>
        <v>Filled</v>
      </c>
      <c r="E38" s="1548" t="inlineStr">
        <is>
          <t>Filled</t>
        </is>
      </c>
      <c r="F38" s="1770">
        <f>INDEX('REVIEW - Complete Role Mapping'!$AA:$AA,383)</f>
        <v>156490.752</v>
      </c>
      <c r="G38" s="1770">
        <f>$F38*IFERROR(INDEX(Lists!$AD:$AD,MATCH($E38,Lists!$AC:$AC,0)),1)</f>
        <v>156490.752</v>
      </c>
    </row>
    <row r="39">
      <c r="B39" s="1531" t="str">
        <f>INDEX('REVIEW - Complete Role Mapping'!$B:$B,393)</f>
        <v>Oliver Shanks</v>
      </c>
      <c r="C39" s="1531" t="str">
        <f>INDEX('REVIEW - Complete Role Mapping'!$C:$C,393)</f>
        <v>Associate Engineer Software</v>
      </c>
      <c r="D39" s="1531" t="str">
        <f>INDEX('REVIEW - Complete Role Mapping'!$AK:$AK,393)</f>
        <v>Filled</v>
      </c>
      <c r="E39" s="1548" t="inlineStr">
        <is>
          <t>Filled</t>
        </is>
      </c>
      <c r="F39" s="1770">
        <f>INDEX('REVIEW - Complete Role Mapping'!$AA:$AA,393)</f>
        <v>84514.552</v>
      </c>
      <c r="G39" s="1770">
        <f>$F39*IFERROR(INDEX(Lists!$AD:$AD,MATCH($E39,Lists!$AC:$AC,0)),1)</f>
        <v>84514.552</v>
      </c>
    </row>
    <row r="40">
      <c r="B40" s="1531" t="str">
        <f>INDEX('REVIEW - Complete Role Mapping'!$B:$B,394)</f>
        <v>Oz Shaaban</v>
      </c>
      <c r="C40" s="1531" t="str">
        <f>INDEX('REVIEW - Complete Role Mapping'!$C:$C,394)</f>
        <v>Delivery Lead</v>
      </c>
      <c r="D40" s="1531" t="str">
        <f>INDEX('REVIEW - Complete Role Mapping'!$AK:$AK,394)</f>
        <v>Filled</v>
      </c>
      <c r="E40" s="1548" t="inlineStr">
        <is>
          <t>Filled</t>
        </is>
      </c>
      <c r="F40" s="1770">
        <f>INDEX('REVIEW - Complete Role Mapping'!$AA:$AA,394)</f>
        <v>253997.1</v>
      </c>
      <c r="G40" s="1770">
        <f>$F40*IFERROR(INDEX(Lists!$AD:$AD,MATCH($E40,Lists!$AC:$AC,0)),1)</f>
        <v>253997.1</v>
      </c>
    </row>
    <row r="41">
      <c r="B41" s="1531" t="str">
        <f>INDEX('REVIEW - Complete Role Mapping'!$B:$B,398)</f>
        <v>Rick Abainza</v>
      </c>
      <c r="C41" s="1531" t="str">
        <f>INDEX('REVIEW - Complete Role Mapping'!$C:$C,398)</f>
        <v>Lead Business Analyst</v>
      </c>
      <c r="D41" s="1531" t="str">
        <f>INDEX('REVIEW - Complete Role Mapping'!$AK:$AK,398)</f>
        <v>Filled</v>
      </c>
      <c r="E41" s="1548" t="inlineStr">
        <is>
          <t>Filled</t>
        </is>
      </c>
      <c r="F41" s="1770">
        <f>INDEX('REVIEW - Complete Role Mapping'!$AA:$AA,398)</f>
        <v>366703.25</v>
      </c>
      <c r="G41" s="1770">
        <f>$F41*IFERROR(INDEX(Lists!$AD:$AD,MATCH($E41,Lists!$AC:$AC,0)),1)</f>
        <v>366703.25</v>
      </c>
    </row>
    <row r="42">
      <c r="B42" s="1531" t="str">
        <f>INDEX('REVIEW - Complete Role Mapping'!$B:$B,402)</f>
        <v>Sijin Zhu</v>
      </c>
      <c r="C42" s="1531" t="str">
        <f>INDEX('REVIEW - Complete Role Mapping'!$C:$C,402)</f>
        <v>Business Analyst</v>
      </c>
      <c r="D42" s="1531" t="str">
        <f>INDEX('REVIEW - Complete Role Mapping'!$AK:$AK,402)</f>
        <v>Filled</v>
      </c>
      <c r="E42" s="1548" t="inlineStr">
        <is>
          <t>Filled</t>
        </is>
      </c>
      <c r="F42" s="1770">
        <f>INDEX('REVIEW - Complete Role Mapping'!$AA:$AA,402)</f>
        <v>279205.246</v>
      </c>
      <c r="G42" s="1770">
        <f>$F42*IFERROR(INDEX(Lists!$AD:$AD,MATCH($E42,Lists!$AC:$AC,0)),1)</f>
        <v>279205.246</v>
      </c>
    </row>
    <row r="43">
      <c r="B43" s="1531" t="str">
        <f>INDEX('REVIEW - Complete Role Mapping'!$B:$B,410)</f>
        <v>Trung Truong</v>
      </c>
      <c r="C43" s="1531" t="str">
        <f>INDEX('REVIEW - Complete Role Mapping'!$C:$C,410)</f>
        <v>Engineer Applications</v>
      </c>
      <c r="D43" s="1531" t="str">
        <f>INDEX('REVIEW - Complete Role Mapping'!$AK:$AK,410)</f>
        <v>Filled</v>
      </c>
      <c r="E43" s="1548" t="inlineStr">
        <is>
          <t>Filled</t>
        </is>
      </c>
      <c r="F43" s="1770">
        <f>INDEX('REVIEW - Complete Role Mapping'!$AA:$AA,410)</f>
        <v>304660.5</v>
      </c>
      <c r="G43" s="1770">
        <f>$F43*IFERROR(INDEX(Lists!$AD:$AD,MATCH($E43,Lists!$AC:$AC,0)),1)</f>
        <v>304660.5</v>
      </c>
    </row>
    <row r="44">
      <c r="B44" s="1531" t="str">
        <f>INDEX('REVIEW - Complete Role Mapping'!$B:$B,444)</f>
        <v>Zhan Liu</v>
      </c>
      <c r="C44" s="1531" t="str">
        <f>INDEX('REVIEW - Complete Role Mapping'!$C:$C,444)</f>
        <v>Engineer Applications</v>
      </c>
      <c r="D44" s="1531" t="str">
        <f>INDEX('REVIEW - Complete Role Mapping'!$AK:$AK,444)</f>
        <v>Filled</v>
      </c>
      <c r="E44" s="1548" t="inlineStr">
        <is>
          <t>Filled</t>
        </is>
      </c>
      <c r="F44" s="1770">
        <f>INDEX('REVIEW - Complete Role Mapping'!$AA:$AA,444)</f>
        <v>221249.55</v>
      </c>
      <c r="G44" s="1770">
        <f>$F44*IFERROR(INDEX(Lists!$AD:$AD,MATCH($E44,Lists!$AC:$AC,0)),1)</f>
        <v>221249.55</v>
      </c>
    </row>
    <row r="45">
      <c r="B45" s="1530" t="inlineStr">
        <is>
          <t>Supply</t>
        </is>
      </c>
      <c r="C45" s="1530" t="str">
        <f>COUNTA($B$46:$B$50)&amp;IF(COUNTA($B$46:$B$50)=1," role"," roles")</f>
        <v>5 roles</v>
      </c>
      <c r="D45" s="1530" t="n"/>
      <c r="E45" s="1530" t="n"/>
      <c r="F45" s="1786">
        <f>SUM(F46:F50)</f>
        <v>1059255.75</v>
      </c>
      <c r="G45" s="1786">
        <f>SUM(G46:G50)</f>
        <v>1059255.75</v>
      </c>
    </row>
    <row r="46">
      <c r="B46" s="1531" t="str">
        <f>INDEX('REVIEW - Complete Role Mapping'!$B:$B,343)</f>
        <v>Ann Aquino</v>
      </c>
      <c r="C46" s="1531" t="str">
        <f>INDEX('REVIEW - Complete Role Mapping'!$C:$C,343)</f>
        <v>Senior Business Analyst</v>
      </c>
      <c r="D46" s="1531" t="str">
        <f>INDEX('REVIEW - Complete Role Mapping'!$AK:$AK,343)</f>
        <v>Filled</v>
      </c>
      <c r="E46" s="1548" t="inlineStr">
        <is>
          <t>Filled</t>
        </is>
      </c>
      <c r="F46" s="1770">
        <f>INDEX('REVIEW - Complete Role Mapping'!$AA:$AA,343)</f>
        <v>219006.75</v>
      </c>
      <c r="G46" s="1770">
        <f>$F46*IFERROR(INDEX(Lists!$AD:$AD,MATCH($E46,Lists!$AC:$AC,0)),1)</f>
        <v>219006.75</v>
      </c>
    </row>
    <row r="47">
      <c r="B47" s="1531" t="str">
        <f>INDEX('REVIEW - Complete Role Mapping'!$B:$B,419)</f>
        <v>Vacant</v>
      </c>
      <c r="C47" s="1531" t="str">
        <f>INDEX('REVIEW - Complete Role Mapping'!$C:$C,419)</f>
        <v>System Specialist</v>
      </c>
      <c r="D47" s="1531" t="str">
        <f>INDEX('REVIEW - Complete Role Mapping'!$AK:$AK,419)</f>
        <v>Vacant</v>
      </c>
      <c r="E47" s="1548" t="inlineStr">
        <is>
          <t>Hire</t>
        </is>
      </c>
      <c r="F47" s="1770">
        <f>INDEX('REVIEW - Complete Role Mapping'!$AA:$AA,419)</f>
        <v>202853.25</v>
      </c>
      <c r="G47" s="1770">
        <f>$F47*IFERROR(INDEX(Lists!$AD:$AD,MATCH($E47,Lists!$AC:$AC,0)),1)</f>
        <v>202853.25</v>
      </c>
    </row>
    <row r="48">
      <c r="B48" s="1531" t="str">
        <f>INDEX('REVIEW - Complete Role Mapping'!$B:$B,423)</f>
        <v>Vacant</v>
      </c>
      <c r="C48" s="1531" t="str">
        <f>INDEX('REVIEW - Complete Role Mapping'!$C:$C,423)</f>
        <v>Delivery Lead</v>
      </c>
      <c r="D48" s="1531" t="str">
        <f>INDEX('REVIEW - Complete Role Mapping'!$AK:$AK,423)</f>
        <v>Vacant</v>
      </c>
      <c r="E48" s="1548" t="inlineStr">
        <is>
          <t>Hire</t>
        </is>
      </c>
      <c r="F48" s="1770">
        <f>INDEX('REVIEW - Complete Role Mapping'!$AA:$AA,423)</f>
        <v>231689.25</v>
      </c>
      <c r="G48" s="1770">
        <f>$F48*IFERROR(INDEX(Lists!$AD:$AD,MATCH($E48,Lists!$AC:$AC,0)),1)</f>
        <v>231689.25</v>
      </c>
    </row>
    <row r="49">
      <c r="B49" s="1531" t="str">
        <f>INDEX('REVIEW - Complete Role Mapping'!$B:$B,440)</f>
        <v>Vacant</v>
      </c>
      <c r="C49" s="1531" t="str">
        <f>INDEX('REVIEW - Complete Role Mapping'!$C:$C,440)</f>
        <v>Engineer Software</v>
      </c>
      <c r="D49" s="1531" t="str">
        <f>INDEX('REVIEW - Complete Role Mapping'!$AK:$AK,440)</f>
        <v>Vacant</v>
      </c>
      <c r="E49" s="1548" t="inlineStr">
        <is>
          <t>Hire</t>
        </is>
      </c>
      <c r="F49" s="1770">
        <f>INDEX('REVIEW - Complete Role Mapping'!$AA:$AA,440)</f>
        <v>202853.25</v>
      </c>
      <c r="G49" s="1770">
        <f>$F49*IFERROR(INDEX(Lists!$AD:$AD,MATCH($E49,Lists!$AC:$AC,0)),1)</f>
        <v>202853.25</v>
      </c>
    </row>
    <row r="50">
      <c r="B50" s="1531" t="str">
        <f>INDEX('REVIEW - Complete Role Mapping'!$B:$B,441)</f>
        <v>Vacant</v>
      </c>
      <c r="C50" s="1531" t="str">
        <f>INDEX('REVIEW - Complete Role Mapping'!$C:$C,441)</f>
        <v>System Specialist</v>
      </c>
      <c r="D50" s="1531" t="str">
        <f>INDEX('REVIEW - Complete Role Mapping'!$AK:$AK,441)</f>
        <v>Vacant</v>
      </c>
      <c r="E50" s="1548" t="inlineStr">
        <is>
          <t>Hire</t>
        </is>
      </c>
      <c r="F50" s="1770">
        <f>INDEX('REVIEW - Complete Role Mapping'!$AA:$AA,441)</f>
        <v>202853.25</v>
      </c>
      <c r="G50" s="1770">
        <f>$F50*IFERROR(INDEX(Lists!$AD:$AD,MATCH($E50,Lists!$AC:$AC,0)),1)</f>
        <v>202853.25</v>
      </c>
    </row>
    <row r="51">
      <c r="B51" s="1530" t="inlineStr">
        <is>
          <t>Trading &amp; Shipping</t>
        </is>
      </c>
      <c r="C51" s="1530" t="str">
        <f>COUNTA($B$52:$B$63)&amp;IF(COUNTA($B$52:$B$63)=1," role"," roles")</f>
        <v>12 roles</v>
      </c>
      <c r="D51" s="1530" t="n"/>
      <c r="E51" s="1530" t="n"/>
      <c r="F51" s="1786">
        <f>SUM(F52:F63)</f>
        <v>2679143.5617</v>
      </c>
      <c r="G51" s="1786">
        <f>SUM(G52:G63)</f>
        <v>2679143.5617</v>
      </c>
    </row>
    <row r="52">
      <c r="B52" s="1531" t="str">
        <f>INDEX('REVIEW - Complete Role Mapping'!$B:$B,355)</f>
        <v>Chin Fang Kwek</v>
      </c>
      <c r="C52" s="1531" t="str">
        <f>INDEX('REVIEW - Complete Role Mapping'!$C:$C,355)</f>
        <v>System Analyst</v>
      </c>
      <c r="D52" s="1531" t="str">
        <f>INDEX('REVIEW - Complete Role Mapping'!$AK:$AK,355)</f>
        <v>Filled</v>
      </c>
      <c r="E52" s="1548" t="inlineStr">
        <is>
          <t>Filled</t>
        </is>
      </c>
      <c r="F52" s="1770">
        <f>INDEX('REVIEW - Complete Role Mapping'!$AA:$AA,355)</f>
        <v>346651.0332</v>
      </c>
      <c r="G52" s="1770">
        <f>$F52*IFERROR(INDEX(Lists!$AD:$AD,MATCH($E52,Lists!$AC:$AC,0)),1)</f>
        <v>346651.0332</v>
      </c>
    </row>
    <row r="53">
      <c r="B53" s="1531" t="str">
        <f>INDEX('REVIEW - Complete Role Mapping'!$B:$B,368)</f>
        <v>Hari Maneti</v>
      </c>
      <c r="C53" s="1531" t="str">
        <f>INDEX('REVIEW - Complete Role Mapping'!$C:$C,368)</f>
        <v>Systems Analyst</v>
      </c>
      <c r="D53" s="1531" t="str">
        <f>INDEX('REVIEW - Complete Role Mapping'!$AK:$AK,368)</f>
        <v>Filled</v>
      </c>
      <c r="E53" s="1548" t="inlineStr">
        <is>
          <t>Filled</t>
        </is>
      </c>
      <c r="F53" s="1770">
        <f>INDEX('REVIEW - Complete Role Mapping'!$AA:$AA,368)</f>
        <v>293634.617</v>
      </c>
      <c r="G53" s="1770">
        <f>$F53*IFERROR(INDEX(Lists!$AD:$AD,MATCH($E53,Lists!$AC:$AC,0)),1)</f>
        <v>293634.617</v>
      </c>
    </row>
    <row r="54">
      <c r="B54" s="1531" t="str">
        <f>INDEX('REVIEW - Complete Role Mapping'!$B:$B,370)</f>
        <v>Isha Riyat</v>
      </c>
      <c r="C54" s="1531" t="str">
        <f>INDEX('REVIEW - Complete Role Mapping'!$C:$C,370)</f>
        <v>Senior Business Analyst</v>
      </c>
      <c r="D54" s="1531" t="str">
        <f>INDEX('REVIEW - Complete Role Mapping'!$AK:$AK,370)</f>
        <v>Filled</v>
      </c>
      <c r="E54" s="1548" t="inlineStr">
        <is>
          <t>Filled</t>
        </is>
      </c>
      <c r="F54" s="1770">
        <f>INDEX('REVIEW - Complete Role Mapping'!$AA:$AA,370)</f>
        <v>226429.35</v>
      </c>
      <c r="G54" s="1770">
        <f>$F54*IFERROR(INDEX(Lists!$AD:$AD,MATCH($E54,Lists!$AC:$AC,0)),1)</f>
        <v>226429.35</v>
      </c>
    </row>
    <row r="55">
      <c r="B55" s="1531" t="str">
        <f>INDEX('REVIEW - Complete Role Mapping'!$B:$B,373)</f>
        <v>Jem Cruz</v>
      </c>
      <c r="C55" s="1531" t="str">
        <f>INDEX('REVIEW - Complete Role Mapping'!$C:$C,373)</f>
        <v>System Specialist</v>
      </c>
      <c r="D55" s="1531" t="str">
        <f>INDEX('REVIEW - Complete Role Mapping'!$AK:$AK,373)</f>
        <v>Filled</v>
      </c>
      <c r="E55" s="1548" t="inlineStr">
        <is>
          <t>Filled</t>
        </is>
      </c>
      <c r="F55" s="1770">
        <f>INDEX('REVIEW - Complete Role Mapping'!$AA:$AA,373)</f>
        <v>180010.35</v>
      </c>
      <c r="G55" s="1770">
        <f>$F55*IFERROR(INDEX(Lists!$AD:$AD,MATCH($E55,Lists!$AC:$AC,0)),1)</f>
        <v>180010.35</v>
      </c>
    </row>
    <row r="56">
      <c r="B56" s="1531" t="str">
        <f>INDEX('REVIEW - Complete Role Mapping'!$B:$B,378)</f>
        <v>JR Panganiban</v>
      </c>
      <c r="C56" s="1531" t="str">
        <f>INDEX('REVIEW - Complete Role Mapping'!$C:$C,378)</f>
        <v>Technology Support Engineer</v>
      </c>
      <c r="D56" s="1531" t="str">
        <f>INDEX('REVIEW - Complete Role Mapping'!$AK:$AK,378)</f>
        <v>Filled</v>
      </c>
      <c r="E56" s="1548" t="inlineStr">
        <is>
          <t>Filled</t>
        </is>
      </c>
      <c r="F56" s="1770">
        <f>INDEX('REVIEW - Complete Role Mapping'!$AA:$AA,378)</f>
        <v>146390.4</v>
      </c>
      <c r="G56" s="1770">
        <f>$F56*IFERROR(INDEX(Lists!$AD:$AD,MATCH($E56,Lists!$AC:$AC,0)),1)</f>
        <v>146390.4</v>
      </c>
    </row>
    <row r="57">
      <c r="B57" s="1531" t="str">
        <f>INDEX('REVIEW - Complete Role Mapping'!$B:$B,379)</f>
        <v>Kevin Li</v>
      </c>
      <c r="C57" s="1531" t="str">
        <f>INDEX('REVIEW - Complete Role Mapping'!$C:$C,379)</f>
        <v>System Specialist</v>
      </c>
      <c r="D57" s="1531" t="str">
        <f>INDEX('REVIEW - Complete Role Mapping'!$AK:$AK,379)</f>
        <v>Filled</v>
      </c>
      <c r="E57" s="1548" t="inlineStr">
        <is>
          <t>Filled</t>
        </is>
      </c>
      <c r="F57" s="1770">
        <f>INDEX('REVIEW - Complete Role Mapping'!$AA:$AA,379)</f>
        <v>179970.9</v>
      </c>
      <c r="G57" s="1770">
        <f>$F57*IFERROR(INDEX(Lists!$AD:$AD,MATCH($E57,Lists!$AC:$AC,0)),1)</f>
        <v>179970.9</v>
      </c>
    </row>
    <row r="58">
      <c r="B58" s="1531" t="str">
        <f>INDEX('REVIEW - Complete Role Mapping'!$B:$B,384)</f>
        <v>Leo Machin</v>
      </c>
      <c r="C58" s="1531" t="str">
        <f>INDEX('REVIEW - Complete Role Mapping'!$C:$C,384)</f>
        <v>Lead Engineer Applications</v>
      </c>
      <c r="D58" s="1531" t="str">
        <f>INDEX('REVIEW - Complete Role Mapping'!$AK:$AK,384)</f>
        <v>Filled</v>
      </c>
      <c r="E58" s="1548" t="inlineStr">
        <is>
          <t>Filled</t>
        </is>
      </c>
      <c r="F58" s="1770">
        <f>INDEX('REVIEW - Complete Role Mapping'!$AA:$AA,384)</f>
        <v>212558.7</v>
      </c>
      <c r="G58" s="1770">
        <f>$F58*IFERROR(INDEX(Lists!$AD:$AD,MATCH($E58,Lists!$AC:$AC,0)),1)</f>
        <v>212558.7</v>
      </c>
    </row>
    <row r="59">
      <c r="B59" s="1531" t="str">
        <f>INDEX('REVIEW - Complete Role Mapping'!$B:$B,395)</f>
        <v>Poch Fernandez</v>
      </c>
      <c r="C59" s="1531" t="str">
        <f>INDEX('REVIEW - Complete Role Mapping'!$C:$C,395)</f>
        <v>Lead Technology Support  </v>
      </c>
      <c r="D59" s="1531" t="str">
        <f>INDEX('REVIEW - Complete Role Mapping'!$AK:$AK,395)</f>
        <v>Filled</v>
      </c>
      <c r="E59" s="1548" t="inlineStr">
        <is>
          <t>Filled</t>
        </is>
      </c>
      <c r="F59" s="1770">
        <f>INDEX('REVIEW - Complete Role Mapping'!$AA:$AA,395)</f>
        <v>216633.121</v>
      </c>
      <c r="G59" s="1770">
        <f>$F59*IFERROR(INDEX(Lists!$AD:$AD,MATCH($E59,Lists!$AC:$AC,0)),1)</f>
        <v>216633.121</v>
      </c>
    </row>
    <row r="60">
      <c r="B60" s="1531" t="str">
        <f>INDEX('REVIEW - Complete Role Mapping'!$B:$B,408)</f>
        <v>Suja Sugathan</v>
      </c>
      <c r="C60" s="1531" t="str">
        <f>INDEX('REVIEW - Complete Role Mapping'!$C:$C,408)</f>
        <v>Senior Business Analyst</v>
      </c>
      <c r="D60" s="1531" t="str">
        <f>INDEX('REVIEW - Complete Role Mapping'!$AK:$AK,408)</f>
        <v>Filled</v>
      </c>
      <c r="E60" s="1548" t="inlineStr">
        <is>
          <t>Filled</t>
        </is>
      </c>
      <c r="F60" s="1770">
        <f>INDEX('REVIEW - Complete Role Mapping'!$AA:$AA,408)</f>
        <v>352114.3405</v>
      </c>
      <c r="G60" s="1770">
        <f>$F60*IFERROR(INDEX(Lists!$AD:$AD,MATCH($E60,Lists!$AC:$AC,0)),1)</f>
        <v>352114.3405</v>
      </c>
    </row>
    <row r="61">
      <c r="B61" s="1531" t="str">
        <f>INDEX('REVIEW - Complete Role Mapping'!$B:$B,420)</f>
        <v>Vacant</v>
      </c>
      <c r="C61" s="1531" t="str">
        <f>INDEX('REVIEW - Complete Role Mapping'!$C:$C,420)</f>
        <v>Tech Support Technician</v>
      </c>
      <c r="D61" s="1531" t="str">
        <f>INDEX('REVIEW - Complete Role Mapping'!$AK:$AK,420)</f>
        <v>Vacant</v>
      </c>
      <c r="E61" s="1548" t="inlineStr">
        <is>
          <t>Hire</t>
        </is>
      </c>
      <c r="F61" s="1770">
        <f>INDEX('REVIEW - Complete Role Mapping'!$AA:$AA,420)</f>
        <v>122571.75</v>
      </c>
      <c r="G61" s="1770">
        <f>$F61*IFERROR(INDEX(Lists!$AD:$AD,MATCH($E61,Lists!$AC:$AC,0)),1)</f>
        <v>122571.75</v>
      </c>
    </row>
    <row r="62">
      <c r="B62" s="1531" t="str">
        <f>INDEX('REVIEW - Complete Role Mapping'!$B:$B,424)</f>
        <v>Vacant</v>
      </c>
      <c r="C62" s="1531" t="str">
        <f>INDEX('REVIEW - Complete Role Mapping'!$C:$C,424)</f>
        <v>Delivery Lead</v>
      </c>
      <c r="D62" s="1531" t="str">
        <f>INDEX('REVIEW - Complete Role Mapping'!$AK:$AK,424)</f>
        <v>Vacant</v>
      </c>
      <c r="E62" s="1548" t="inlineStr">
        <is>
          <t>Hire</t>
        </is>
      </c>
      <c r="F62" s="1770">
        <f>INDEX('REVIEW - Complete Role Mapping'!$AA:$AA,424)</f>
        <v>231689.25</v>
      </c>
      <c r="G62" s="1770">
        <f>$F62*IFERROR(INDEX(Lists!$AD:$AD,MATCH($E62,Lists!$AC:$AC,0)),1)</f>
        <v>231689.25</v>
      </c>
    </row>
    <row r="63">
      <c r="B63" s="1531" t="str">
        <f>INDEX('REVIEW - Complete Role Mapping'!$B:$B,425)</f>
        <v>Vacant</v>
      </c>
      <c r="C63" s="1531" t="str">
        <f>INDEX('REVIEW - Complete Role Mapping'!$C:$C,425)</f>
        <v>Quality Assurance</v>
      </c>
      <c r="D63" s="1531" t="str">
        <f>INDEX('REVIEW - Complete Role Mapping'!$AK:$AK,425)</f>
        <v>Vacant</v>
      </c>
      <c r="E63" s="1548" t="inlineStr">
        <is>
          <t>Hire</t>
        </is>
      </c>
      <c r="F63" s="1770">
        <f>INDEX('REVIEW - Complete Role Mapping'!$AA:$AA,425)</f>
        <v>170489.75</v>
      </c>
      <c r="G63" s="1770">
        <f>$F63*IFERROR(INDEX(Lists!$AD:$AD,MATCH($E63,Lists!$AC:$AC,0)),1)</f>
        <v>170489.75</v>
      </c>
    </row>
    <row r="64">
      <c r="B64" s="1530" t="inlineStr">
        <is>
          <t>Trading &amp; Shipping Data</t>
        </is>
      </c>
      <c r="C64" s="1530" t="str">
        <f>COUNTA($B$65:$B$71)&amp;IF(COUNTA($B$65:$B$71)=1," role"," roles")</f>
        <v>7 roles</v>
      </c>
      <c r="D64" s="1530" t="n"/>
      <c r="E64" s="1530" t="n"/>
      <c r="F64" s="1786">
        <f>SUM(F65:F71)</f>
        <v>2106168.849</v>
      </c>
      <c r="G64" s="1786">
        <f>SUM(G65:G71)</f>
        <v>2106168.849</v>
      </c>
    </row>
    <row r="65">
      <c r="B65" s="1531" t="str">
        <f>INDEX('REVIEW - Complete Role Mapping'!$B:$B,344)</f>
        <v>Anusha Viswanatha</v>
      </c>
      <c r="C65" s="1531" t="str">
        <f>INDEX('REVIEW - Complete Role Mapping'!$C:$C,344)</f>
        <v>Delivery Lead</v>
      </c>
      <c r="D65" s="1531" t="str">
        <f>INDEX('REVIEW - Complete Role Mapping'!$AK:$AK,344)</f>
        <v>Filled</v>
      </c>
      <c r="E65" s="1548" t="inlineStr">
        <is>
          <t>Filled</t>
        </is>
      </c>
      <c r="F65" s="1770">
        <f>INDEX('REVIEW - Complete Role Mapping'!$AA:$AA,344)</f>
        <v>286934</v>
      </c>
      <c r="G65" s="1770">
        <f>$F65*IFERROR(INDEX(Lists!$AD:$AD,MATCH($E65,Lists!$AC:$AC,0)),1)</f>
        <v>286934</v>
      </c>
    </row>
    <row r="66">
      <c r="B66" s="1531" t="str">
        <f>INDEX('REVIEW - Complete Role Mapping'!$B:$B,346)</f>
        <v>Arun Prakash Jayaprakasam</v>
      </c>
      <c r="C66" s="1531" t="str">
        <f>INDEX('REVIEW - Complete Role Mapping'!$C:$C,346)</f>
        <v>Data Engineer Analyst</v>
      </c>
      <c r="D66" s="1531" t="str">
        <f>INDEX('REVIEW - Complete Role Mapping'!$AK:$AK,346)</f>
        <v>Filled</v>
      </c>
      <c r="E66" s="1548" t="inlineStr">
        <is>
          <t>Filled</t>
        </is>
      </c>
      <c r="F66" s="1770">
        <f>INDEX('REVIEW - Complete Role Mapping'!$AA:$AA,346)</f>
        <v>268285.722</v>
      </c>
      <c r="G66" s="1770">
        <f>$F66*IFERROR(INDEX(Lists!$AD:$AD,MATCH($E66,Lists!$AC:$AC,0)),1)</f>
        <v>268285.722</v>
      </c>
    </row>
    <row r="67">
      <c r="B67" s="1531" t="str">
        <f>INDEX('REVIEW - Complete Role Mapping'!$B:$B,347)</f>
        <v>Ayushi Agarwal</v>
      </c>
      <c r="C67" s="1531" t="str">
        <f>INDEX('REVIEW - Complete Role Mapping'!$C:$C,347)</f>
        <v>Engineer Data</v>
      </c>
      <c r="D67" s="1531" t="str">
        <f>INDEX('REVIEW - Complete Role Mapping'!$AK:$AK,347)</f>
        <v>Filled</v>
      </c>
      <c r="E67" s="1548" t="inlineStr">
        <is>
          <t>Filled</t>
        </is>
      </c>
      <c r="F67" s="1770">
        <f>INDEX('REVIEW - Complete Role Mapping'!$AA:$AA,347)</f>
        <v>260911.498</v>
      </c>
      <c r="G67" s="1770">
        <f>$F67*IFERROR(INDEX(Lists!$AD:$AD,MATCH($E67,Lists!$AC:$AC,0)),1)</f>
        <v>260911.498</v>
      </c>
    </row>
    <row r="68">
      <c r="B68" s="1531" t="str">
        <f>INDEX('REVIEW - Complete Role Mapping'!$B:$B,376)</f>
        <v>Jonathan Wong</v>
      </c>
      <c r="C68" s="1531" t="str">
        <f>INDEX('REVIEW - Complete Role Mapping'!$C:$C,376)</f>
        <v>Senior Business Analyst</v>
      </c>
      <c r="D68" s="1531" t="str">
        <f>INDEX('REVIEW - Complete Role Mapping'!$AK:$AK,376)</f>
        <v>Filled</v>
      </c>
      <c r="E68" s="1548" t="inlineStr">
        <is>
          <t>Filled</t>
        </is>
      </c>
      <c r="F68" s="1770">
        <f>INDEX('REVIEW - Complete Role Mapping'!$AA:$AA,376)</f>
        <v>322387</v>
      </c>
      <c r="G68" s="1770">
        <f>$F68*IFERROR(INDEX(Lists!$AD:$AD,MATCH($E68,Lists!$AC:$AC,0)),1)</f>
        <v>322387</v>
      </c>
    </row>
    <row r="69">
      <c r="B69" s="1531" t="str">
        <f>INDEX('REVIEW - Complete Role Mapping'!$B:$B,381)</f>
        <v>Kumar Siva</v>
      </c>
      <c r="C69" s="1531" t="str">
        <f>INDEX('REVIEW - Complete Role Mapping'!$C:$C,381)</f>
        <v>Lead engineer Data</v>
      </c>
      <c r="D69" s="1531" t="str">
        <f>INDEX('REVIEW - Complete Role Mapping'!$AK:$AK,381)</f>
        <v>Filled</v>
      </c>
      <c r="E69" s="1548" t="inlineStr">
        <is>
          <t>Filled</t>
        </is>
      </c>
      <c r="F69" s="1770">
        <f>INDEX('REVIEW - Complete Role Mapping'!$AA:$AA,381)</f>
        <v>375566.5</v>
      </c>
      <c r="G69" s="1770">
        <f>$F69*IFERROR(INDEX(Lists!$AD:$AD,MATCH($E69,Lists!$AC:$AC,0)),1)</f>
        <v>375566.5</v>
      </c>
    </row>
    <row r="70">
      <c r="B70" s="1531" t="str">
        <f>INDEX('REVIEW - Complete Role Mapping'!$B:$B,405)</f>
        <v>Soumya Choudhury</v>
      </c>
      <c r="C70" s="1531" t="str">
        <f>INDEX('REVIEW - Complete Role Mapping'!$C:$C,405)</f>
        <v>Data Application Specialist </v>
      </c>
      <c r="D70" s="1531" t="str">
        <f>INDEX('REVIEW - Complete Role Mapping'!$AK:$AK,405)</f>
        <v>Filled</v>
      </c>
      <c r="E70" s="1548" t="inlineStr">
        <is>
          <t>Filled</t>
        </is>
      </c>
      <c r="F70" s="1770">
        <f>INDEX('REVIEW - Complete Role Mapping'!$AA:$AA,405)</f>
        <v>325684.129</v>
      </c>
      <c r="G70" s="1770">
        <f>$F70*IFERROR(INDEX(Lists!$AD:$AD,MATCH($E70,Lists!$AC:$AC,0)),1)</f>
        <v>325684.129</v>
      </c>
    </row>
    <row r="71">
      <c r="B71" s="1531" t="str">
        <f>INDEX('REVIEW - Complete Role Mapping'!$B:$B,445)</f>
        <v>Zijie Zhang</v>
      </c>
      <c r="C71" s="1531" t="str">
        <f>INDEX('REVIEW - Complete Role Mapping'!$C:$C,445)</f>
        <v>Senior Data Analyst</v>
      </c>
      <c r="D71" s="1531" t="str">
        <f>INDEX('REVIEW - Complete Role Mapping'!$AK:$AK,445)</f>
        <v>Filled</v>
      </c>
      <c r="E71" s="1548" t="inlineStr">
        <is>
          <t>Filled</t>
        </is>
      </c>
      <c r="F71" s="1770">
        <f>INDEX('REVIEW - Complete Role Mapping'!$AA:$AA,445)</f>
        <v>266400</v>
      </c>
      <c r="G71" s="1770">
        <f>$F71*IFERROR(INDEX(Lists!$AD:$AD,MATCH($E71,Lists!$AC:$AC,0)),1)</f>
        <v>266400</v>
      </c>
    </row>
    <row r="72">
      <c r="B72" s="1530" t="inlineStr">
        <is>
          <t>Head of Technology</t>
        </is>
      </c>
      <c r="C72" s="1530" t="str">
        <f>COUNTA($B$73:$B$73)&amp;IF(COUNTA($B$73:$B$73)=1," role"," roles")</f>
        <v>1 role</v>
      </c>
      <c r="D72" s="1530" t="n"/>
      <c r="E72" s="1530" t="n"/>
      <c r="F72" s="1786">
        <f>SUM(F73:F73)</f>
        <v>292434.736</v>
      </c>
      <c r="G72" s="1786">
        <f>SUM(G73:G73)</f>
        <v>292434.736</v>
      </c>
    </row>
    <row r="73">
      <c r="B73" s="1531" t="str">
        <f>INDEX('REVIEW - Complete Role Mapping'!$B:$B,392)</f>
        <v>Nakul Bharade</v>
      </c>
      <c r="C73" s="1531" t="str">
        <f>INDEX('REVIEW - Complete Role Mapping'!$C:$C,392)</f>
        <v>Head of Technology, Commercial Fuels</v>
      </c>
      <c r="D73" s="1531" t="str">
        <f>INDEX('REVIEW - Complete Role Mapping'!$AK:$AK,392)</f>
        <v>Filled</v>
      </c>
      <c r="E73" s="1548" t="inlineStr">
        <is>
          <t>Filled</t>
        </is>
      </c>
      <c r="F73" s="1770">
        <f>INDEX('REVIEW - Complete Role Mapping'!$AA:$AA,392)</f>
        <v>292434.736</v>
      </c>
      <c r="G73" s="1770">
        <f>$F73*IFERROR(INDEX(Lists!$AD:$AD,MATCH($E73,Lists!$AC:$AC,0)),1)</f>
        <v>292434.736</v>
      </c>
    </row>
    <row r="74">
      <c r="B74" s="1530" t="inlineStr">
        <is>
          <t>Delivery Manager</t>
        </is>
      </c>
      <c r="C74" s="1530" t="str">
        <f>COUNTA($B$75:$B$75)&amp;IF(COUNTA($B$75:$B$75)=1," role"," roles")</f>
        <v>1 role</v>
      </c>
      <c r="D74" s="1530" t="n"/>
      <c r="E74" s="1530" t="n"/>
      <c r="F74" s="1786">
        <f>SUM(F75:F75)</f>
        <v>275810.25</v>
      </c>
      <c r="G74" s="1786">
        <f>SUM(G75:G75)</f>
        <v>275810.25</v>
      </c>
    </row>
    <row r="75">
      <c r="B75" s="1531" t="str">
        <f>INDEX('REVIEW - Complete Role Mapping'!$B:$B,421)</f>
        <v>Vacant</v>
      </c>
      <c r="C75" s="1531" t="str">
        <f>INDEX('REVIEW - Complete Role Mapping'!$C:$C,421)</f>
        <v>Delivery Manager</v>
      </c>
      <c r="D75" s="1531" t="str">
        <f>INDEX('REVIEW - Complete Role Mapping'!$AK:$AK,421)</f>
        <v>Vacant</v>
      </c>
      <c r="E75" s="1548" t="inlineStr">
        <is>
          <t>Hire</t>
        </is>
      </c>
      <c r="F75" s="1770">
        <f>INDEX('REVIEW - Complete Role Mapping'!$AA:$AA,421)</f>
        <v>275810.25</v>
      </c>
      <c r="G75" s="1770">
        <f>$F75*IFERROR(INDEX(Lists!$AD:$AD,MATCH($E75,Lists!$AC:$AC,0)),1)</f>
        <v>275810.25</v>
      </c>
    </row>
    <row r="76">
      <c r="B76" s="1530" t="inlineStr">
        <is>
          <t>Technology Manager</t>
        </is>
      </c>
      <c r="C76" s="1530" t="str">
        <f>COUNTA($B$77:$B$78)&amp;IF(COUNTA($B$77:$B$78)=1," role"," roles")</f>
        <v>2 roles</v>
      </c>
      <c r="D76" s="1530" t="n"/>
      <c r="E76" s="1530" t="n"/>
      <c r="F76" s="1786">
        <f>SUM(F77:F78)</f>
        <v>563097.35</v>
      </c>
      <c r="G76" s="1786">
        <f>SUM(G77:G78)</f>
        <v>563097.35</v>
      </c>
    </row>
    <row r="77">
      <c r="B77" s="1531" t="str">
        <f>INDEX('REVIEW - Complete Role Mapping'!$B:$B,336)</f>
        <v>Allan Francia</v>
      </c>
      <c r="C77" s="1531" t="str">
        <f>INDEX('REVIEW - Complete Role Mapping'!$C:$C,336)</f>
        <v>Technology Manager - T&amp;S</v>
      </c>
      <c r="D77" s="1531" t="str">
        <f>INDEX('REVIEW - Complete Role Mapping'!$AK:$AK,336)</f>
        <v>Filled</v>
      </c>
      <c r="E77" s="1548" t="inlineStr">
        <is>
          <t>Filled</t>
        </is>
      </c>
      <c r="F77" s="1770">
        <f>INDEX('REVIEW - Complete Role Mapping'!$AA:$AA,336)</f>
        <v>287287.1</v>
      </c>
      <c r="G77" s="1770">
        <f>$F77*IFERROR(INDEX(Lists!$AD:$AD,MATCH($E77,Lists!$AC:$AC,0)),1)</f>
        <v>287287.1</v>
      </c>
    </row>
    <row r="78">
      <c r="B78" s="1531" t="str">
        <f>INDEX('REVIEW - Complete Role Mapping'!$B:$B,422)</f>
        <v>Vacant</v>
      </c>
      <c r="C78" s="1531" t="str">
        <f>INDEX('REVIEW - Complete Role Mapping'!$C:$C,422)</f>
        <v>Technology Manager, Data</v>
      </c>
      <c r="D78" s="1531" t="str">
        <f>INDEX('REVIEW - Complete Role Mapping'!$AK:$AK,422)</f>
        <v>Vacant</v>
      </c>
      <c r="E78" s="1548" t="inlineStr">
        <is>
          <t>Hire</t>
        </is>
      </c>
      <c r="F78" s="1770">
        <f>INDEX('REVIEW - Complete Role Mapping'!$AA:$AA,422)</f>
        <v>275810.25</v>
      </c>
      <c r="G78" s="1770">
        <f>$F78*IFERROR(INDEX(Lists!$AD:$AD,MATCH($E78,Lists!$AC:$AC,0)),1)</f>
        <v>275810.25</v>
      </c>
    </row>
  </sheetData>
  <dataValidations count="1">
    <dataValidation sqref="E31 E32 E33 E34 E35 E36 E37 E38 E39 E40 E41 E42 E43 E44 E46 E47 E48 E49 E50 E52 E53 E54 E55 E56 E57 E58 E59 E60 E61 E62 E63 E65 E66 E67 E68 E69 E70 E71 E73 E75 E77 E7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Q76"/>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COUNTA($B$32:$B$38)</f>
        <v>7</v>
      </c>
      <c r="G8" s="1770">
        <f>COUNTIFS($D$32:$D$38,"Filled")</f>
        <v>5</v>
      </c>
      <c r="H8" s="1770">
        <f>COUNTIFS($D$32:$D$38,"Vacant")</f>
        <v>2</v>
      </c>
      <c r="I8" s="1770">
        <f>COUNTIFS($D$32:$D$38,"Vacant",$E$32:$E$38,"Hire")</f>
        <v>2</v>
      </c>
      <c r="J8" s="1770">
        <f>COUNTIFS($E$32:$E$38,"Offshore")</f>
        <v>0</v>
      </c>
      <c r="K8" s="1770">
        <f>COUNTIFS($E$32:$E$38,"Hold")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SUM($G$32:$G$38)/1000000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COUNTA($B$40:$B$48)</f>
        <v>9</v>
      </c>
      <c r="G9" s="1770">
        <f>COUNTIFS($D$40:$D$48,"Filled")</f>
        <v>9</v>
      </c>
      <c r="H9" s="1770">
        <f>COUNTIFS($D$40:$D$48,"Vacant")</f>
        <v>0</v>
      </c>
      <c r="I9" s="1770">
        <f>COUNTIFS($D$40:$D$48,"Vacant",$E$40:$E$48,"Hire")</f>
        <v>0</v>
      </c>
      <c r="J9" s="1770">
        <f>COUNTIFS($E$40:$E$48,"Offshore")</f>
        <v>0</v>
      </c>
      <c r="K9" s="1770">
        <f>COUNTIFS($E$40:$E$48,"Hold")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SUM($G$40:$G$48)/1000000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SUM($G$50:$G$58)/1000000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COUNTA($B$60:$B$68)</f>
        <v>9</v>
      </c>
      <c r="G11" s="1770">
        <f>COUNTIFS($D$60:$D$68,"Filled")</f>
        <v>8</v>
      </c>
      <c r="H11" s="1770">
        <f>COUNTIFS($D$60:$D$68,"Vacant")</f>
        <v>1</v>
      </c>
      <c r="I11" s="1770">
        <f>COUNTIFS($D$60:$D$68,"Vacant",$E$60:$E$68,"Hire")</f>
        <v>1</v>
      </c>
      <c r="J11" s="1770">
        <f>COUNTIFS($E$60:$E$68,"Offshore")</f>
        <v>0</v>
      </c>
      <c r="K11" s="1770">
        <f>COUNTIFS($E$60:$E$68,"Hold")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SUM($G$60:$G$68)/1000000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SUM(M8:M11)</f>
        <v>6.78</v>
      </c>
      <c r="N12" s="1771">
        <f>SUM(N8:N11)</f>
        <v>6.119950684</v>
      </c>
      <c r="O12" s="1771">
        <f>IF(N($M12)=0,"-",ROUND($N12-$M12,6))</f>
        <v>-0.660049</v>
      </c>
      <c r="P12" s="1771">
        <f>SUM(P8:P11)</f>
        <v>6.119950684</v>
      </c>
      <c r="Q12" s="1771">
        <f>IF(N($M12)=0,"-",ROUND($P12-$M12,6))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f>SUM(M17:M17)</f>
        <v>0</v>
      </c>
      <c r="N18" s="1771">
        <f>SUM(N17:N17)</f>
        <v>0</v>
      </c>
      <c r="O18" s="1771" t="str">
        <f>IF(N($M18)=0,"-",ROUND($N18-$M18,6))</f>
        <v>-</v>
      </c>
      <c r="P18" s="1771">
        <f>SUM(P17:P17)</f>
        <v>0</v>
      </c>
      <c r="Q18" s="1771" t="str">
        <f>IF(N($M18)=0,"-",ROUND($P18-$M18,6))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COUNTA($B$70:$B$70)</f>
        <v>1</v>
      </c>
      <c r="G20" s="1770">
        <f>COUNTIFS($D$70:$D$70,"Filled")</f>
        <v>0</v>
      </c>
      <c r="H20" s="1770">
        <f>COUNTIFS($D$70:$D$70,"Vacant")</f>
        <v>1</v>
      </c>
      <c r="I20" s="1770">
        <f>COUNTIFS($D$70:$D$70,"Vacant",$E$70:$E$70,"Hire")</f>
        <v>1</v>
      </c>
      <c r="J20" s="1770">
        <f>COUNTIFS($E$70:$E$70,"Offshore")</f>
        <v>0</v>
      </c>
      <c r="K20" s="1770">
        <f>COUNTIFS($E$70:$E$70,"Hold")</f>
        <v>0</v>
      </c>
      <c r="L20" s="1770">
        <f>$F20-$K20</f>
        <v>1</v>
      </c>
      <c r="M20" s="1540" t="str">
        <f>"-"</f>
        <v>-</v>
      </c>
      <c r="N20" s="1769">
        <f>SUMIFS('REVIEW - Complete Role Mapping'!$AA$2:$AA$528,'REVIEW - Complete Role Mapping'!$AJ$2:$AJ$528,$C$3,'REVIEW - Complete Role Mapping'!$AT$2:$AT$528,$B20)/1000000</f>
        <v>0.291422</v>
      </c>
      <c r="O20" s="1540" t="str">
        <f>"-"</f>
        <v>-</v>
      </c>
      <c r="P20" s="1769">
        <f>SUM($G$70:$G$70)/1000000</f>
        <v>0.291422</v>
      </c>
      <c r="Q20" s="1540" t="str">
        <f>"-"</f>
        <v>-</v>
      </c>
    </row>
    <row r="21">
      <c r="B21" s="1531" t="inlineStr">
        <is>
          <t>Delivery Manager</t>
        </is>
      </c>
      <c r="C21" s="1531" t="str">
        <f>"-"</f>
        <v>-</v>
      </c>
      <c r="D21" s="1531" t="str">
        <f>"-"</f>
        <v>-</v>
      </c>
      <c r="E21" s="1540" t="str">
        <f>"-"</f>
        <v>-</v>
      </c>
      <c r="F21" s="1770">
        <f>COUNTA($B$72:$B$72)</f>
        <v>1</v>
      </c>
      <c r="G21" s="1770">
        <f>COUNTIFS($D$72:$D$72,"Filled")</f>
        <v>0</v>
      </c>
      <c r="H21" s="1770">
        <f>COUNTIFS($D$72:$D$72,"Vacant")</f>
        <v>1</v>
      </c>
      <c r="I21" s="1770">
        <f>COUNTIFS($D$72:$D$72,"Vacant",$E$72:$E$72,"Hire")</f>
        <v>1</v>
      </c>
      <c r="J21" s="1770">
        <f>COUNTIFS($E$72:$E$72,"Offshore")</f>
        <v>0</v>
      </c>
      <c r="K21" s="1770">
        <f>COUNTIFS($E$72:$E$72,"Hold")</f>
        <v>0</v>
      </c>
      <c r="L21" s="1770">
        <f>$F21-$K21</f>
        <v>1</v>
      </c>
      <c r="M21" s="1540" t="str">
        <f>"-"</f>
        <v>-</v>
      </c>
      <c r="N21" s="1769">
        <f>SUMIFS('REVIEW - Complete Role Mapping'!$AA$2:$AA$528,'REVIEW - Complete Role Mapping'!$AJ$2:$AJ$528,$C$3,'REVIEW - Complete Role Mapping'!$AT$2:$AT$528,$B21)/1000000</f>
        <v>0.20285325</v>
      </c>
      <c r="O21" s="1540" t="str">
        <f>"-"</f>
        <v>-</v>
      </c>
      <c r="P21" s="1769">
        <f>SUM($G$72:$G$72)/1000000</f>
        <v>0.20285325</v>
      </c>
      <c r="Q21" s="1540" t="str">
        <f>"-"</f>
        <v>-</v>
      </c>
    </row>
    <row r="22">
      <c r="B22" s="1531" t="inlineStr">
        <is>
          <t>Technology Manager</t>
        </is>
      </c>
      <c r="C22" s="1531" t="str">
        <f>"-"</f>
        <v>-</v>
      </c>
      <c r="D22" s="1531" t="str">
        <f>"-"</f>
        <v>-</v>
      </c>
      <c r="E22" s="1540" t="str">
        <f>"-"</f>
        <v>-</v>
      </c>
      <c r="F22" s="1770">
        <f>COUNTA($B$74:$B$76)</f>
        <v>3</v>
      </c>
      <c r="G22" s="1770">
        <f>COUNTIFS($D$74:$D$76,"Filled")</f>
        <v>3</v>
      </c>
      <c r="H22" s="1770">
        <f>COUNTIFS($D$74:$D$76,"Vacant")</f>
        <v>0</v>
      </c>
      <c r="I22" s="1770">
        <f>COUNTIFS($D$74:$D$76,"Vacant",$E$74:$E$76,"Hire")</f>
        <v>0</v>
      </c>
      <c r="J22" s="1770">
        <f>COUNTIFS($E$74:$E$76,"Offshore")</f>
        <v>0</v>
      </c>
      <c r="K22" s="1770">
        <f>COUNTIFS($E$74:$E$76,"Hold")</f>
        <v>0</v>
      </c>
      <c r="L22" s="1770">
        <f>$F22-$K22</f>
        <v>3</v>
      </c>
      <c r="M22" s="1540" t="str">
        <f>"-"</f>
        <v>-</v>
      </c>
      <c r="N22" s="1769">
        <f>SUMIFS('REVIEW - Complete Role Mapping'!$AA$2:$AA$528,'REVIEW - Complete Role Mapping'!$AJ$2:$AJ$528,$C$3,'REVIEW - Complete Role Mapping'!$AT$2:$AT$528,$B22)/1000000</f>
        <v>0.723068418</v>
      </c>
      <c r="O22" s="1540" t="str">
        <f>"-"</f>
        <v>-</v>
      </c>
      <c r="P22" s="1769">
        <f>SUM($G$74:$G$76)/1000000</f>
        <v>0.723068418</v>
      </c>
      <c r="Q22" s="1540" t="str">
        <f>"-"</f>
        <v>-</v>
      </c>
    </row>
    <row r="23">
      <c r="B23" s="1535" t="inlineStr">
        <is>
          <t>Overhead roles total</t>
        </is>
      </c>
      <c r="C23" s="1535" t="n"/>
      <c r="D23" s="1535" t="n"/>
      <c r="E23" s="1784">
        <f>SUM(E20:E22)</f>
        <v>0</v>
      </c>
      <c r="F23" s="1772">
        <f>SUM(F20:F22)</f>
        <v>5</v>
      </c>
      <c r="G23" s="1772">
        <f>SUM(G20:G22)</f>
        <v>3</v>
      </c>
      <c r="H23" s="1772">
        <f>SUM(H20:H22)</f>
        <v>2</v>
      </c>
      <c r="I23" s="1772">
        <f>SUM(I20:I22)</f>
        <v>2</v>
      </c>
      <c r="J23" s="1772">
        <f>SUM(J20:J22)</f>
        <v>0</v>
      </c>
      <c r="K23" s="1772">
        <f>SUM(K20:K22)</f>
        <v>0</v>
      </c>
      <c r="L23" s="1772">
        <f>SUM(L20:L22)</f>
        <v>5</v>
      </c>
      <c r="M23" s="1771">
        <f>SUM(M20:M22)</f>
        <v>0</v>
      </c>
      <c r="N23" s="1771">
        <f>SUM(N20:N22)</f>
        <v>1.217343668</v>
      </c>
      <c r="O23" s="1771" t="str">
        <f>IF(N($M23)=0,"-",ROUND($N23-$M23,6))</f>
        <v>-</v>
      </c>
      <c r="P23" s="1771">
        <f>SUM(P20:P22)</f>
        <v>1.217343668</v>
      </c>
      <c r="Q23" s="1771" t="str">
        <f>IF(N($M23)=0,"-",ROUND($P23-$M23,6))</f>
        <v>-</v>
      </c>
    </row>
    <row r="24">
      <c r="B24" s="1541" t="inlineStr">
        <is>
          <t>Total portfolio</t>
        </is>
      </c>
      <c r="C24" s="1541" t="n"/>
      <c r="D24" s="1541" t="n"/>
      <c r="E24" s="1785">
        <f>N(E12)+N(E15)+N(E18)+N(E23)</f>
        <v>34.5</v>
      </c>
      <c r="F24" s="1774">
        <f>N(F12)+N(F15)+N(F18)+N(F23)</f>
        <v>39</v>
      </c>
      <c r="G24" s="1774">
        <f>N(G12)+N(G15)+N(G18)+N(G23)</f>
        <v>32</v>
      </c>
      <c r="H24" s="1774">
        <f>N(H12)+N(H15)+N(H18)+N(H23)</f>
        <v>7</v>
      </c>
      <c r="I24" s="1774">
        <f>N(I12)+N(I15)+N(I18)+N(I23)</f>
        <v>7</v>
      </c>
      <c r="J24" s="1774">
        <f>N(J12)+N(J15)+N(J18)+N(J23)</f>
        <v>0</v>
      </c>
      <c r="K24" s="1774">
        <f>N(K12)+N(K15)+N(K18)+N(K23)</f>
        <v>0</v>
      </c>
      <c r="L24" s="1774">
        <f>N(L12)+N(L15)+N(L18)+N(L23)</f>
        <v>39</v>
      </c>
      <c r="M24" s="1773" t="str">
        <f>"-"</f>
        <v>-</v>
      </c>
      <c r="N24" s="1773">
        <f>N(N12)+N(N15)+N(N18)+N(N23)</f>
        <v>7.337294352</v>
      </c>
      <c r="O24" s="1773" t="str">
        <f>"-"</f>
        <v>-</v>
      </c>
      <c r="P24" s="1773">
        <f>N(P12)+N(P15)+N(P18)+N(P23)</f>
        <v>7.337294352</v>
      </c>
      <c r="Q24" s="1773" t="str">
        <f>"-"</f>
        <v>-</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Z Retail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NZ</t>
        </is>
      </c>
      <c r="C31" s="1530" t="str">
        <f>COUNTA($B$32:$B$38)&amp;IF(COUNTA($B$32:$B$38)=1," role"," roles")</f>
        <v>7 roles</v>
      </c>
      <c r="D31" s="1530" t="n"/>
      <c r="E31" s="1530" t="n"/>
      <c r="F31" s="1786">
        <f>SUM(F32:F38)</f>
        <v>1223843.362</v>
      </c>
      <c r="G31" s="1786">
        <f>SUM(G32:G38)</f>
        <v>1223843.362</v>
      </c>
    </row>
    <row r="32">
      <c r="B32" s="1531" t="str">
        <f>INDEX('REVIEW - Complete Role Mapping'!$B:$B,12)</f>
        <v>Ash Muthumala</v>
      </c>
      <c r="C32" s="1531" t="str">
        <f>INDEX('REVIEW - Complete Role Mapping'!$C:$C,12)</f>
        <v>Senior QA Analyst</v>
      </c>
      <c r="D32" s="1531" t="str">
        <f>INDEX('REVIEW - Complete Role Mapping'!$AK:$AK,12)</f>
        <v>Filled</v>
      </c>
      <c r="E32" s="1548" t="inlineStr">
        <is>
          <t>Filled</t>
        </is>
      </c>
      <c r="F32" s="1770">
        <f>INDEX('REVIEW - Complete Role Mapping'!$AA:$AA,12)</f>
        <v>140772.828</v>
      </c>
      <c r="G32" s="1770">
        <f>$F32*IFERROR(INDEX(Lists!$AD:$AD,MATCH($E32,Lists!$AC:$AC,0)),1)</f>
        <v>140772.828</v>
      </c>
    </row>
    <row r="33">
      <c r="B33" s="1531" t="str">
        <f>INDEX('REVIEW - Complete Role Mapping'!$B:$B,17)</f>
        <v>Brian Lai</v>
      </c>
      <c r="C33" s="1531" t="str">
        <f>INDEX('REVIEW - Complete Role Mapping'!$C:$C,17)</f>
        <v>Engineer - Data</v>
      </c>
      <c r="D33" s="1531" t="str">
        <f>INDEX('REVIEW - Complete Role Mapping'!$AK:$AK,17)</f>
        <v>Filled</v>
      </c>
      <c r="E33" s="1548" t="inlineStr">
        <is>
          <t>Filled</t>
        </is>
      </c>
      <c r="F33" s="1770">
        <f>INDEX('REVIEW - Complete Role Mapping'!$AA:$AA,17)</f>
        <v>155676</v>
      </c>
      <c r="G33" s="1770">
        <f>$F33*IFERROR(INDEX(Lists!$AD:$AD,MATCH($E33,Lists!$AC:$AC,0)),1)</f>
        <v>155676</v>
      </c>
    </row>
    <row r="34">
      <c r="B34" s="1531" t="str">
        <f>INDEX('REVIEW - Complete Role Mapping'!$B:$B,33)</f>
        <v>Jodie Marquez</v>
      </c>
      <c r="C34" s="1531" t="str">
        <f>INDEX('REVIEW - Complete Role Mapping'!$C:$C,33)</f>
        <v>Data Analyst</v>
      </c>
      <c r="D34" s="1531" t="str">
        <f>INDEX('REVIEW - Complete Role Mapping'!$AK:$AK,33)</f>
        <v>Filled</v>
      </c>
      <c r="E34" s="1548" t="inlineStr">
        <is>
          <t>Filled</t>
        </is>
      </c>
      <c r="F34" s="1770">
        <f>INDEX('REVIEW - Complete Role Mapping'!$AA:$AA,33)</f>
        <v>144642.9</v>
      </c>
      <c r="G34" s="1770">
        <f>$F34*IFERROR(INDEX(Lists!$AD:$AD,MATCH($E34,Lists!$AC:$AC,0)),1)</f>
        <v>144642.9</v>
      </c>
    </row>
    <row r="35">
      <c r="B35" s="1531" t="str">
        <f>INDEX('REVIEW - Complete Role Mapping'!$B:$B,49)</f>
        <v>McKenzie Tournquist</v>
      </c>
      <c r="C35" s="1531" t="str">
        <f>INDEX('REVIEW - Complete Role Mapping'!$C:$C,49)</f>
        <v>Data Analyst</v>
      </c>
      <c r="D35" s="1531" t="str">
        <f>INDEX('REVIEW - Complete Role Mapping'!$AK:$AK,49)</f>
        <v>Filled</v>
      </c>
      <c r="E35" s="1548" t="inlineStr">
        <is>
          <t>Filled</t>
        </is>
      </c>
      <c r="F35" s="1770">
        <f>INDEX('REVIEW - Complete Role Mapping'!$AA:$AA,49)</f>
        <v>91809.784</v>
      </c>
      <c r="G35" s="1770">
        <f>$F35*IFERROR(INDEX(Lists!$AD:$AD,MATCH($E35,Lists!$AC:$AC,0)),1)</f>
        <v>91809.784</v>
      </c>
    </row>
    <row r="36">
      <c r="B36" s="1531" t="str">
        <f>INDEX('REVIEW - Complete Role Mapping'!$B:$B,50)</f>
        <v>Michael Dasan</v>
      </c>
      <c r="C36" s="1531" t="str">
        <f>INDEX('REVIEW - Complete Role Mapping'!$C:$C,50)</f>
        <v>Engineer - Data</v>
      </c>
      <c r="D36" s="1531" t="str">
        <f>INDEX('REVIEW - Complete Role Mapping'!$AK:$AK,50)</f>
        <v>Filled</v>
      </c>
      <c r="E36" s="1548" t="inlineStr">
        <is>
          <t>Filled</t>
        </is>
      </c>
      <c r="F36" s="1770">
        <f>INDEX('REVIEW - Complete Role Mapping'!$AA:$AA,50)</f>
        <v>212278.35</v>
      </c>
      <c r="G36" s="1770">
        <f>$F36*IFERROR(INDEX(Lists!$AD:$AD,MATCH($E36,Lists!$AC:$AC,0)),1)</f>
        <v>212278.35</v>
      </c>
    </row>
    <row r="37">
      <c r="B37" s="1531" t="str">
        <f>INDEX('REVIEW - Complete Role Mapping'!$B:$B,73)</f>
        <v>Vacant</v>
      </c>
      <c r="C37" s="1531" t="str">
        <f>INDEX('REVIEW - Complete Role Mapping'!$C:$C,73)</f>
        <v>Delivery Lead</v>
      </c>
      <c r="D37" s="1531" t="str">
        <f>INDEX('REVIEW - Complete Role Mapping'!$AK:$AK,73)</f>
        <v>Vacant</v>
      </c>
      <c r="E37" s="1548" t="inlineStr">
        <is>
          <t>Hire</t>
        </is>
      </c>
      <c r="F37" s="1770">
        <f>INDEX('REVIEW - Complete Role Mapping'!$AA:$AA,73)</f>
        <v>275810.25</v>
      </c>
      <c r="G37" s="1770">
        <f>$F37*IFERROR(INDEX(Lists!$AD:$AD,MATCH($E37,Lists!$AC:$AC,0)),1)</f>
        <v>275810.25</v>
      </c>
    </row>
    <row r="38">
      <c r="B38" s="1531" t="str">
        <f>INDEX('REVIEW - Complete Role Mapping'!$B:$B,78)</f>
        <v>Vacant</v>
      </c>
      <c r="C38" s="1531" t="str">
        <f>INDEX('REVIEW - Complete Role Mapping'!$C:$C,78)</f>
        <v>Engineer - Data</v>
      </c>
      <c r="D38" s="1531" t="str">
        <f>INDEX('REVIEW - Complete Role Mapping'!$AK:$AK,78)</f>
        <v>Vacant</v>
      </c>
      <c r="E38" s="1548" t="inlineStr">
        <is>
          <t>Hire</t>
        </is>
      </c>
      <c r="F38" s="1770">
        <f>INDEX('REVIEW - Complete Role Mapping'!$AA:$AA,78)</f>
        <v>202853.25</v>
      </c>
      <c r="G38" s="1770">
        <f>$F38*IFERROR(INDEX(Lists!$AD:$AD,MATCH($E38,Lists!$AC:$AC,0)),1)</f>
        <v>202853.25</v>
      </c>
    </row>
    <row r="39">
      <c r="B39" s="1530" t="inlineStr">
        <is>
          <t>Site Systems</t>
        </is>
      </c>
      <c r="C39" s="1530" t="str">
        <f>COUNTA($B$40:$B$48)&amp;IF(COUNTA($B$40:$B$48)=1," role"," roles")</f>
        <v>9 roles</v>
      </c>
      <c r="D39" s="1530" t="n"/>
      <c r="E39" s="1530" t="n"/>
      <c r="F39" s="1786">
        <f>SUM(F40:F48)</f>
        <v>1374665.758</v>
      </c>
      <c r="G39" s="1786">
        <f>SUM(G40:G48)</f>
        <v>1374665.758</v>
      </c>
    </row>
    <row r="40">
      <c r="B40" s="1531" t="str">
        <f>INDEX('REVIEW - Complete Role Mapping'!$B:$B,5)</f>
        <v>Alex Sutherland</v>
      </c>
      <c r="C40" s="1531" t="str">
        <f>INDEX('REVIEW - Complete Role Mapping'!$C:$C,5)</f>
        <v>Site Systems Analyst</v>
      </c>
      <c r="D40" s="1531" t="str">
        <f>INDEX('REVIEW - Complete Role Mapping'!$AK:$AK,5)</f>
        <v>Filled</v>
      </c>
      <c r="E40" s="1548" t="inlineStr">
        <is>
          <t>Filled</t>
        </is>
      </c>
      <c r="F40" s="1770">
        <f>INDEX('REVIEW - Complete Role Mapping'!$AA:$AA,5)</f>
        <v>96857.824</v>
      </c>
      <c r="G40" s="1770">
        <f>$F40*IFERROR(INDEX(Lists!$AD:$AD,MATCH($E40,Lists!$AC:$AC,0)),1)</f>
        <v>96857.824</v>
      </c>
    </row>
    <row r="41">
      <c r="B41" s="1531" t="str">
        <f>INDEX('REVIEW - Complete Role Mapping'!$B:$B,16)</f>
        <v>Bradley Cunningham</v>
      </c>
      <c r="C41" s="1531" t="str">
        <f>INDEX('REVIEW - Complete Role Mapping'!$C:$C,16)</f>
        <v>Site Systems Analyst</v>
      </c>
      <c r="D41" s="1531" t="str">
        <f>INDEX('REVIEW - Complete Role Mapping'!$AK:$AK,16)</f>
        <v>Filled</v>
      </c>
      <c r="E41" s="1548" t="inlineStr">
        <is>
          <t>Filled</t>
        </is>
      </c>
      <c r="F41" s="1770">
        <f>INDEX('REVIEW - Complete Role Mapping'!$AA:$AA,16)</f>
        <v>107247.016</v>
      </c>
      <c r="G41" s="1770">
        <f>$F41*IFERROR(INDEX(Lists!$AD:$AD,MATCH($E41,Lists!$AC:$AC,0)),1)</f>
        <v>107247.016</v>
      </c>
    </row>
    <row r="42">
      <c r="B42" s="1531" t="str">
        <f>INDEX('REVIEW - Complete Role Mapping'!$B:$B,19)</f>
        <v>Chris Mitchell</v>
      </c>
      <c r="C42" s="1531" t="str">
        <f>INDEX('REVIEW - Complete Role Mapping'!$C:$C,19)</f>
        <v>Deployment Lead</v>
      </c>
      <c r="D42" s="1531" t="str">
        <f>INDEX('REVIEW - Complete Role Mapping'!$AK:$AK,19)</f>
        <v>Filled</v>
      </c>
      <c r="E42" s="1548" t="inlineStr">
        <is>
          <t>Filled</t>
        </is>
      </c>
      <c r="F42" s="1770">
        <f>INDEX('REVIEW - Complete Role Mapping'!$AA:$AA,19)</f>
        <v>136438.8</v>
      </c>
      <c r="G42" s="1770">
        <f>$F42*IFERROR(INDEX(Lists!$AD:$AD,MATCH($E42,Lists!$AC:$AC,0)),1)</f>
        <v>136438.8</v>
      </c>
    </row>
    <row r="43">
      <c r="B43" s="1531" t="str">
        <f>INDEX('REVIEW - Complete Role Mapping'!$B:$B,20)</f>
        <v>Chris Wilson</v>
      </c>
      <c r="C43" s="1531" t="str">
        <f>INDEX('REVIEW - Complete Role Mapping'!$C:$C,20)</f>
        <v>Solution Architect</v>
      </c>
      <c r="D43" s="1531" t="str">
        <f>INDEX('REVIEW - Complete Role Mapping'!$AK:$AK,20)</f>
        <v>Filled</v>
      </c>
      <c r="E43" s="1548" t="inlineStr">
        <is>
          <t>Filled</t>
        </is>
      </c>
      <c r="F43" s="1770">
        <f>INDEX('REVIEW - Complete Role Mapping'!$AA:$AA,20)</f>
        <v>186217.884</v>
      </c>
      <c r="G43" s="1770">
        <f>$F43*IFERROR(INDEX(Lists!$AD:$AD,MATCH($E43,Lists!$AC:$AC,0)),1)</f>
        <v>186217.884</v>
      </c>
    </row>
    <row r="44">
      <c r="B44" s="1531" t="str">
        <f>INDEX('REVIEW - Complete Role Mapping'!$B:$B,40)</f>
        <v>Kelly Russell</v>
      </c>
      <c r="C44" s="1531" t="str">
        <f>INDEX('REVIEW - Complete Role Mapping'!$C:$C,40)</f>
        <v>Lead Quality Assurance</v>
      </c>
      <c r="D44" s="1531" t="str">
        <f>INDEX('REVIEW - Complete Role Mapping'!$AK:$AK,40)</f>
        <v>Filled</v>
      </c>
      <c r="E44" s="1548" t="inlineStr">
        <is>
          <t>Filled</t>
        </is>
      </c>
      <c r="F44" s="1770">
        <f>INDEX('REVIEW - Complete Role Mapping'!$AA:$AA,40)</f>
        <v>81073.2</v>
      </c>
      <c r="G44" s="1770">
        <f>$F44*IFERROR(INDEX(Lists!$AD:$AD,MATCH($E44,Lists!$AC:$AC,0)),1)</f>
        <v>81073.2</v>
      </c>
    </row>
    <row r="45">
      <c r="B45" s="1531" t="str">
        <f>INDEX('REVIEW - Complete Role Mapping'!$B:$B,56)</f>
        <v>Sakshi Sachdeva</v>
      </c>
      <c r="C45" s="1531" t="str">
        <f>INDEX('REVIEW - Complete Role Mapping'!$C:$C,56)</f>
        <v>Senior Quality Assurance </v>
      </c>
      <c r="D45" s="1531" t="str">
        <f>INDEX('REVIEW - Complete Role Mapping'!$AK:$AK,56)</f>
        <v>Filled</v>
      </c>
      <c r="E45" s="1548" t="inlineStr">
        <is>
          <t>Filled</t>
        </is>
      </c>
      <c r="F45" s="1770">
        <f>INDEX('REVIEW - Complete Role Mapping'!$AA:$AA,56)</f>
        <v>175039.65</v>
      </c>
      <c r="G45" s="1770">
        <f>$F45*IFERROR(INDEX(Lists!$AD:$AD,MATCH($E45,Lists!$AC:$AC,0)),1)</f>
        <v>175039.65</v>
      </c>
    </row>
    <row r="46">
      <c r="B46" s="1531" t="str">
        <f>INDEX('REVIEW - Complete Role Mapping'!$B:$B,63)</f>
        <v>Tim Gurnsey</v>
      </c>
      <c r="C46" s="1531" t="str">
        <f>INDEX('REVIEW - Complete Role Mapping'!$C:$C,63)</f>
        <v>Delivery Lead</v>
      </c>
      <c r="D46" s="1531" t="str">
        <f>INDEX('REVIEW - Complete Role Mapping'!$AK:$AK,63)</f>
        <v>Filled</v>
      </c>
      <c r="E46" s="1548" t="inlineStr">
        <is>
          <t>Filled</t>
        </is>
      </c>
      <c r="F46" s="1770">
        <f>INDEX('REVIEW - Complete Role Mapping'!$AA:$AA,63)</f>
        <v>256913.42</v>
      </c>
      <c r="G46" s="1770">
        <f>$F46*IFERROR(INDEX(Lists!$AD:$AD,MATCH($E46,Lists!$AC:$AC,0)),1)</f>
        <v>256913.42</v>
      </c>
    </row>
    <row r="47">
      <c r="B47" s="1531" t="str">
        <f>INDEX('REVIEW - Complete Role Mapping'!$B:$B,98)</f>
        <v>Vanessa King</v>
      </c>
      <c r="C47" s="1531" t="str">
        <f>INDEX('REVIEW - Complete Role Mapping'!$C:$C,98)</f>
        <v>Lead Quality Assurance</v>
      </c>
      <c r="D47" s="1531" t="str">
        <f>INDEX('REVIEW - Complete Role Mapping'!$AK:$AK,98)</f>
        <v>Filled</v>
      </c>
      <c r="E47" s="1548" t="inlineStr">
        <is>
          <t>Filled</t>
        </is>
      </c>
      <c r="F47" s="1770">
        <f>INDEX('REVIEW - Complete Role Mapping'!$AA:$AA,98)</f>
        <v>199898.928</v>
      </c>
      <c r="G47" s="1770">
        <f>$F47*IFERROR(INDEX(Lists!$AD:$AD,MATCH($E47,Lists!$AC:$AC,0)),1)</f>
        <v>199898.928</v>
      </c>
    </row>
    <row r="48">
      <c r="B48" s="1531" t="str">
        <f>INDEX('REVIEW - Complete Role Mapping'!$B:$B,105)</f>
        <v>Warren Grieve</v>
      </c>
      <c r="C48" s="1531" t="str">
        <f>INDEX('REVIEW - Complete Role Mapping'!$C:$C,105)</f>
        <v>Senior Site Systems Analyst</v>
      </c>
      <c r="D48" s="1531" t="str">
        <f>INDEX('REVIEW - Complete Role Mapping'!$AK:$AK,105)</f>
        <v>Filled</v>
      </c>
      <c r="E48" s="1548" t="inlineStr">
        <is>
          <t>Filled</t>
        </is>
      </c>
      <c r="F48" s="1770">
        <f>INDEX('REVIEW - Complete Role Mapping'!$AA:$AA,105)</f>
        <v>134979.036</v>
      </c>
      <c r="G48" s="1770">
        <f>$F48*IFERROR(INDEX(Lists!$AD:$AD,MATCH($E48,Lists!$AC:$AC,0)),1)</f>
        <v>134979.036</v>
      </c>
    </row>
    <row r="49">
      <c r="B49" s="1530" t="inlineStr">
        <is>
          <t>Z Retail Backend</t>
        </is>
      </c>
      <c r="C49" s="1530" t="str">
        <f>COUNTA($B$50:$B$58)&amp;IF(COUNTA($B$50:$B$58)=1," role"," roles")</f>
        <v>9 roles</v>
      </c>
      <c r="D49" s="1530" t="n"/>
      <c r="E49" s="1530" t="n"/>
      <c r="F49" s="1786">
        <f>SUM(F50:F58)</f>
        <v>1857667.168</v>
      </c>
      <c r="G49" s="1786">
        <f>SUM(G50:G58)</f>
        <v>1857667.168</v>
      </c>
    </row>
    <row r="50">
      <c r="B50" s="1531" t="str">
        <f>INDEX('REVIEW - Complete Role Mapping'!$B:$B,2)</f>
        <v>Adrian Alcance</v>
      </c>
      <c r="C50" s="1531" t="str">
        <f>INDEX('REVIEW - Complete Role Mapping'!$C:$C,2)</f>
        <v>Senior Engineer - DevOps</v>
      </c>
      <c r="D50" s="1531" t="str">
        <f>INDEX('REVIEW - Complete Role Mapping'!$AK:$AK,2)</f>
        <v>Filled</v>
      </c>
      <c r="E50" s="1548" t="inlineStr">
        <is>
          <t>Filled</t>
        </is>
      </c>
      <c r="F50" s="1770">
        <f>INDEX('REVIEW - Complete Role Mapping'!$AA:$AA,2)</f>
        <v>142900.236</v>
      </c>
      <c r="G50" s="1770">
        <f>$F50*IFERROR(INDEX(Lists!$AD:$AD,MATCH($E50,Lists!$AC:$AC,0)),1)</f>
        <v>142900.236</v>
      </c>
    </row>
    <row r="51">
      <c r="B51" s="1531" t="str">
        <f>INDEX('REVIEW - Complete Role Mapping'!$B:$B,6)</f>
        <v>Allana Arbuckle</v>
      </c>
      <c r="C51" s="1531" t="str">
        <f>INDEX('REVIEW - Complete Role Mapping'!$C:$C,6)</f>
        <v>Business Analyst</v>
      </c>
      <c r="D51" s="1531" t="str">
        <f>INDEX('REVIEW - Complete Role Mapping'!$AK:$AK,6)</f>
        <v>Filled</v>
      </c>
      <c r="E51" s="1548" t="inlineStr">
        <is>
          <t>Filled</t>
        </is>
      </c>
      <c r="F51" s="1770">
        <f>INDEX('REVIEW - Complete Role Mapping'!$AA:$AA,6)</f>
        <v>112447.04</v>
      </c>
      <c r="G51" s="1770">
        <f>$F51*IFERROR(INDEX(Lists!$AD:$AD,MATCH($E51,Lists!$AC:$AC,0)),1)</f>
        <v>112447.04</v>
      </c>
    </row>
    <row r="52">
      <c r="B52" s="1531" t="str">
        <f>INDEX('REVIEW - Complete Role Mapping'!$B:$B,21)</f>
        <v>Christian Guo</v>
      </c>
      <c r="C52" s="1531" t="str">
        <f>INDEX('REVIEW - Complete Role Mapping'!$C:$C,21)</f>
        <v>Solution Architect</v>
      </c>
      <c r="D52" s="1531" t="str">
        <f>INDEX('REVIEW - Complete Role Mapping'!$AK:$AK,21)</f>
        <v>Filled</v>
      </c>
      <c r="E52" s="1548" t="inlineStr">
        <is>
          <t>Filled</t>
        </is>
      </c>
      <c r="F52" s="1770">
        <f>INDEX('REVIEW - Complete Role Mapping'!$AA:$AA,21)</f>
        <v>206598</v>
      </c>
      <c r="G52" s="1770">
        <f>$F52*IFERROR(INDEX(Lists!$AD:$AD,MATCH($E52,Lists!$AC:$AC,0)),1)</f>
        <v>206598</v>
      </c>
    </row>
    <row r="53">
      <c r="B53" s="1531" t="str">
        <f>INDEX('REVIEW - Complete Role Mapping'!$B:$B,41)</f>
        <v>Lauren Lancaster</v>
      </c>
      <c r="C53" s="1531" t="str">
        <f>INDEX('REVIEW - Complete Role Mapping'!$C:$C,41)</f>
        <v>Associate Engineer - Software</v>
      </c>
      <c r="D53" s="1531" t="str">
        <f>INDEX('REVIEW - Complete Role Mapping'!$AK:$AK,41)</f>
        <v>Filled</v>
      </c>
      <c r="E53" s="1548" t="inlineStr">
        <is>
          <t>Filled</t>
        </is>
      </c>
      <c r="F53" s="1770">
        <f>INDEX('REVIEW - Complete Role Mapping'!$AA:$AA,41)</f>
        <v>438650</v>
      </c>
      <c r="G53" s="1770">
        <f>$F53*IFERROR(INDEX(Lists!$AD:$AD,MATCH($E53,Lists!$AC:$AC,0)),1)</f>
        <v>438650</v>
      </c>
    </row>
    <row r="54">
      <c r="B54" s="1531" t="str">
        <f>INDEX('REVIEW - Complete Role Mapping'!$B:$B,44)</f>
        <v>Malachi Ah Hoi</v>
      </c>
      <c r="C54" s="1531" t="str">
        <f>INDEX('REVIEW - Complete Role Mapping'!$C:$C,44)</f>
        <v>Senior Quality Assurance</v>
      </c>
      <c r="D54" s="1531" t="str">
        <f>INDEX('REVIEW - Complete Role Mapping'!$AK:$AK,44)</f>
        <v>Filled</v>
      </c>
      <c r="E54" s="1548" t="inlineStr">
        <is>
          <t>Filled</t>
        </is>
      </c>
      <c r="F54" s="1770">
        <f>INDEX('REVIEW - Complete Role Mapping'!$AA:$AA,44)</f>
        <v>199378.392</v>
      </c>
      <c r="G54" s="1770">
        <f>$F54*IFERROR(INDEX(Lists!$AD:$AD,MATCH($E54,Lists!$AC:$AC,0)),1)</f>
        <v>199378.392</v>
      </c>
    </row>
    <row r="55">
      <c r="B55" s="1531" t="str">
        <f>INDEX('REVIEW - Complete Role Mapping'!$B:$B,46)</f>
        <v>Mark Dickson</v>
      </c>
      <c r="C55" s="1531" t="str">
        <f>INDEX('REVIEW - Complete Role Mapping'!$C:$C,46)</f>
        <v>Delivery Lead</v>
      </c>
      <c r="D55" s="1531" t="str">
        <f>INDEX('REVIEW - Complete Role Mapping'!$AK:$AK,46)</f>
        <v>Filled</v>
      </c>
      <c r="E55" s="1548" t="inlineStr">
        <is>
          <t>Filled</t>
        </is>
      </c>
      <c r="F55" s="1770">
        <f>INDEX('REVIEW - Complete Role Mapping'!$AA:$AA,46)</f>
        <v>180225</v>
      </c>
      <c r="G55" s="1770">
        <f>$F55*IFERROR(INDEX(Lists!$AD:$AD,MATCH($E55,Lists!$AC:$AC,0)),1)</f>
        <v>180225</v>
      </c>
    </row>
    <row r="56">
      <c r="B56" s="1531" t="str">
        <f>INDEX('REVIEW - Complete Role Mapping'!$B:$B,65)</f>
        <v>Trevor Weaver</v>
      </c>
      <c r="C56" s="1531" t="str">
        <f>INDEX('REVIEW - Complete Role Mapping'!$C:$C,65)</f>
        <v>Lead  Engineer - Software</v>
      </c>
      <c r="D56" s="1531" t="str">
        <f>INDEX('REVIEW - Complete Role Mapping'!$AK:$AK,65)</f>
        <v>Filled</v>
      </c>
      <c r="E56" s="1548" t="inlineStr">
        <is>
          <t>Filled</t>
        </is>
      </c>
      <c r="F56" s="1770">
        <f>INDEX('REVIEW - Complete Role Mapping'!$AA:$AA,65)</f>
        <v>175289.5</v>
      </c>
      <c r="G56" s="1770">
        <f>$F56*IFERROR(INDEX(Lists!$AD:$AD,MATCH($E56,Lists!$AC:$AC,0)),1)</f>
        <v>175289.5</v>
      </c>
    </row>
    <row r="57">
      <c r="B57" s="1531" t="str">
        <f>INDEX('REVIEW - Complete Role Mapping'!$B:$B,80)</f>
        <v>Vacant</v>
      </c>
      <c r="C57" s="1531" t="str">
        <f>INDEX('REVIEW - Complete Role Mapping'!$C:$C,80)</f>
        <v>Engineer - Software</v>
      </c>
      <c r="D57" s="1531" t="str">
        <f>INDEX('REVIEW - Complete Role Mapping'!$AK:$AK,80)</f>
        <v>Vacant</v>
      </c>
      <c r="E57" s="1548" t="inlineStr">
        <is>
          <t>Hire</t>
        </is>
      </c>
      <c r="F57" s="1770">
        <f>INDEX('REVIEW - Complete Role Mapping'!$AA:$AA,80)</f>
        <v>231689.25</v>
      </c>
      <c r="G57" s="1770">
        <f>$F57*IFERROR(INDEX(Lists!$AD:$AD,MATCH($E57,Lists!$AC:$AC,0)),1)</f>
        <v>231689.25</v>
      </c>
    </row>
    <row r="58">
      <c r="B58" s="1531" t="str">
        <f>INDEX('REVIEW - Complete Role Mapping'!$B:$B,84)</f>
        <v>Vacant</v>
      </c>
      <c r="C58" s="1531" t="str">
        <f>INDEX('REVIEW - Complete Role Mapping'!$C:$C,84)</f>
        <v>Lead Quality Assurance</v>
      </c>
      <c r="D58" s="1531" t="str">
        <f>INDEX('REVIEW - Complete Role Mapping'!$AK:$AK,84)</f>
        <v>Vacant</v>
      </c>
      <c r="E58" s="1548" t="inlineStr">
        <is>
          <t>Hire</t>
        </is>
      </c>
      <c r="F58" s="1770">
        <f>INDEX('REVIEW - Complete Role Mapping'!$AA:$AA,84)</f>
        <v>170489.75</v>
      </c>
      <c r="G58" s="1770">
        <f>$F58*IFERROR(INDEX(Lists!$AD:$AD,MATCH($E58,Lists!$AC:$AC,0)),1)</f>
        <v>170489.75</v>
      </c>
    </row>
    <row r="59">
      <c r="B59" s="1530" t="inlineStr">
        <is>
          <t>Z Supply</t>
        </is>
      </c>
      <c r="C59" s="1530" t="str">
        <f>COUNTA($B$60:$B$68)&amp;IF(COUNTA($B$60:$B$68)=1," role"," roles")</f>
        <v>9 roles</v>
      </c>
      <c r="D59" s="1530" t="n"/>
      <c r="E59" s="1530" t="n"/>
      <c r="F59" s="1786">
        <f>SUM(F60:F68)</f>
        <v>1663774.396</v>
      </c>
      <c r="G59" s="1786">
        <f>SUM(G60:G68)</f>
        <v>1663774.396</v>
      </c>
    </row>
    <row r="60">
      <c r="B60" s="1531" t="str">
        <f>INDEX('REVIEW - Complete Role Mapping'!$B:$B,9)</f>
        <v>Anna Koot</v>
      </c>
      <c r="C60" s="1531" t="str">
        <f>INDEX('REVIEW - Complete Role Mapping'!$C:$C,9)</f>
        <v>Senior Business Analyst</v>
      </c>
      <c r="D60" s="1531" t="str">
        <f>INDEX('REVIEW - Complete Role Mapping'!$AK:$AK,9)</f>
        <v>Filled</v>
      </c>
      <c r="E60" s="1548" t="inlineStr">
        <is>
          <t>Filled</t>
        </is>
      </c>
      <c r="F60" s="1770">
        <f>INDEX('REVIEW - Complete Role Mapping'!$AA:$AA,9)</f>
        <v>153774.912</v>
      </c>
      <c r="G60" s="1770">
        <f>$F60*IFERROR(INDEX(Lists!$AD:$AD,MATCH($E60,Lists!$AC:$AC,0)),1)</f>
        <v>153774.912</v>
      </c>
    </row>
    <row r="61">
      <c r="B61" s="1531" t="str">
        <f>INDEX('REVIEW - Complete Role Mapping'!$B:$B,15)</f>
        <v>Benjamin Sheffield</v>
      </c>
      <c r="C61" s="1531" t="str">
        <f>INDEX('REVIEW - Complete Role Mapping'!$C:$C,15)</f>
        <v>Lead Engineer - Software</v>
      </c>
      <c r="D61" s="1531" t="str">
        <f>INDEX('REVIEW - Complete Role Mapping'!$AK:$AK,15)</f>
        <v>Filled</v>
      </c>
      <c r="E61" s="1548" t="inlineStr">
        <is>
          <t>Filled</t>
        </is>
      </c>
      <c r="F61" s="1770">
        <f>INDEX('REVIEW - Complete Role Mapping'!$AA:$AA,15)</f>
        <v>184248.9</v>
      </c>
      <c r="G61" s="1770">
        <f>$F61*IFERROR(INDEX(Lists!$AD:$AD,MATCH($E61,Lists!$AC:$AC,0)),1)</f>
        <v>184248.9</v>
      </c>
    </row>
    <row r="62">
      <c r="B62" s="1531" t="str">
        <f>INDEX('REVIEW - Complete Role Mapping'!$B:$B,25)</f>
        <v>Eugene Yeo</v>
      </c>
      <c r="C62" s="1531" t="str">
        <f>INDEX('REVIEW - Complete Role Mapping'!$C:$C,25)</f>
        <v>Engineer - DevOps</v>
      </c>
      <c r="D62" s="1531" t="str">
        <f>INDEX('REVIEW - Complete Role Mapping'!$AK:$AK,25)</f>
        <v>Filled</v>
      </c>
      <c r="E62" s="1548" t="inlineStr">
        <is>
          <t>Filled</t>
        </is>
      </c>
      <c r="F62" s="1770">
        <f>INDEX('REVIEW - Complete Role Mapping'!$AA:$AA,25)</f>
        <v>116898</v>
      </c>
      <c r="G62" s="1770">
        <f>$F62*IFERROR(INDEX(Lists!$AD:$AD,MATCH($E62,Lists!$AC:$AC,0)),1)</f>
        <v>116898</v>
      </c>
    </row>
    <row r="63">
      <c r="B63" s="1531" t="str">
        <f>INDEX('REVIEW - Complete Role Mapping'!$B:$B,26)</f>
        <v>Gayan Liyana Arachchige</v>
      </c>
      <c r="C63" s="1531" t="str">
        <f>INDEX('REVIEW - Complete Role Mapping'!$C:$C,26)</f>
        <v>Engineer - DevOps</v>
      </c>
      <c r="D63" s="1531" t="str">
        <f>INDEX('REVIEW - Complete Role Mapping'!$AK:$AK,26)</f>
        <v>Filled</v>
      </c>
      <c r="E63" s="1548" t="inlineStr">
        <is>
          <t>Filled</t>
        </is>
      </c>
      <c r="F63" s="1770">
        <f>INDEX('REVIEW - Complete Role Mapping'!$AA:$AA,26)</f>
        <v>174513.65</v>
      </c>
      <c r="G63" s="1770">
        <f>$F63*IFERROR(INDEX(Lists!$AD:$AD,MATCH($E63,Lists!$AC:$AC,0)),1)</f>
        <v>174513.65</v>
      </c>
    </row>
    <row r="64">
      <c r="B64" s="1531" t="str">
        <f>INDEX('REVIEW - Complete Role Mapping'!$B:$B,29)</f>
        <v>Helen Jones</v>
      </c>
      <c r="C64" s="1531" t="str">
        <f>INDEX('REVIEW - Complete Role Mapping'!$C:$C,29)</f>
        <v>Delivery Lead</v>
      </c>
      <c r="D64" s="1531" t="str">
        <f>INDEX('REVIEW - Complete Role Mapping'!$AK:$AK,29)</f>
        <v>Filled</v>
      </c>
      <c r="E64" s="1548" t="inlineStr">
        <is>
          <t>Filled</t>
        </is>
      </c>
      <c r="F64" s="1770">
        <f>INDEX('REVIEW - Complete Role Mapping'!$AA:$AA,29)</f>
        <v>239418.9</v>
      </c>
      <c r="G64" s="1770">
        <f>$F64*IFERROR(INDEX(Lists!$AD:$AD,MATCH($E64,Lists!$AC:$AC,0)),1)</f>
        <v>239418.9</v>
      </c>
    </row>
    <row r="65">
      <c r="B65" s="1531" t="str">
        <f>INDEX('REVIEW - Complete Role Mapping'!$B:$B,31)</f>
        <v>Isuru Herath</v>
      </c>
      <c r="C65" s="1531" t="str">
        <f>INDEX('REVIEW - Complete Role Mapping'!$C:$C,31)</f>
        <v>Senior Engineer - Software</v>
      </c>
      <c r="D65" s="1531" t="str">
        <f>INDEX('REVIEW - Complete Role Mapping'!$AK:$AK,31)</f>
        <v>Filled</v>
      </c>
      <c r="E65" s="1548" t="inlineStr">
        <is>
          <t>Filled</t>
        </is>
      </c>
      <c r="F65" s="1770">
        <f>INDEX('REVIEW - Complete Role Mapping'!$AA:$AA,31)</f>
        <v>224493.6</v>
      </c>
      <c r="G65" s="1770">
        <f>$F65*IFERROR(INDEX(Lists!$AD:$AD,MATCH($E65,Lists!$AC:$AC,0)),1)</f>
        <v>224493.6</v>
      </c>
    </row>
    <row r="66">
      <c r="B66" s="1531" t="str">
        <f>INDEX('REVIEW - Complete Role Mapping'!$B:$B,34)</f>
        <v>Joe Kuttikkatt</v>
      </c>
      <c r="C66" s="1531" t="str">
        <f>INDEX('REVIEW - Complete Role Mapping'!$C:$C,34)</f>
        <v>Senior Quality Assurance</v>
      </c>
      <c r="D66" s="1531" t="str">
        <f>INDEX('REVIEW - Complete Role Mapping'!$AK:$AK,34)</f>
        <v>Filled</v>
      </c>
      <c r="E66" s="1548" t="inlineStr">
        <is>
          <t>Filled</t>
        </is>
      </c>
      <c r="F66" s="1770">
        <f>INDEX('REVIEW - Complete Role Mapping'!$AA:$AA,34)</f>
        <v>104565.584</v>
      </c>
      <c r="G66" s="1770">
        <f>$F66*IFERROR(INDEX(Lists!$AD:$AD,MATCH($E66,Lists!$AC:$AC,0)),1)</f>
        <v>104565.584</v>
      </c>
    </row>
    <row r="67">
      <c r="B67" s="1531" t="str">
        <f>INDEX('REVIEW - Complete Role Mapping'!$B:$B,35)</f>
        <v>Johanah Gloria</v>
      </c>
      <c r="C67" s="1531" t="str">
        <f>INDEX('REVIEW - Complete Role Mapping'!$C:$C,35)</f>
        <v>Engineer - Software</v>
      </c>
      <c r="D67" s="1531" t="str">
        <f>INDEX('REVIEW - Complete Role Mapping'!$AK:$AK,35)</f>
        <v>Filled</v>
      </c>
      <c r="E67" s="1548" t="inlineStr">
        <is>
          <t>Filled</t>
        </is>
      </c>
      <c r="F67" s="1770">
        <f>INDEX('REVIEW - Complete Role Mapping'!$AA:$AA,35)</f>
        <v>190050.6</v>
      </c>
      <c r="G67" s="1770">
        <f>$F67*IFERROR(INDEX(Lists!$AD:$AD,MATCH($E67,Lists!$AC:$AC,0)),1)</f>
        <v>190050.6</v>
      </c>
    </row>
    <row r="68">
      <c r="B68" s="1531" t="str">
        <f>INDEX('REVIEW - Complete Role Mapping'!$B:$B,89)</f>
        <v>Vacant</v>
      </c>
      <c r="C68" s="1531" t="str">
        <f>INDEX('REVIEW - Complete Role Mapping'!$C:$C,89)</f>
        <v>Quality Assurance</v>
      </c>
      <c r="D68" s="1531" t="str">
        <f>INDEX('REVIEW - Complete Role Mapping'!$AK:$AK,89)</f>
        <v>Vacant</v>
      </c>
      <c r="E68" s="1548" t="inlineStr">
        <is>
          <t>Hire</t>
        </is>
      </c>
      <c r="F68" s="1770">
        <f>INDEX('REVIEW - Complete Role Mapping'!$AA:$AA,89)</f>
        <v>275810.25</v>
      </c>
      <c r="G68" s="1770">
        <f>$F68*IFERROR(INDEX(Lists!$AD:$AD,MATCH($E68,Lists!$AC:$AC,0)),1)</f>
        <v>275810.25</v>
      </c>
    </row>
    <row r="69">
      <c r="B69" s="1530" t="inlineStr">
        <is>
          <t>Head of Technology</t>
        </is>
      </c>
      <c r="C69" s="1530" t="str">
        <f>COUNTA($B$70:$B$70)&amp;IF(COUNTA($B$70:$B$70)=1," role"," roles")</f>
        <v>1 role</v>
      </c>
      <c r="D69" s="1530" t="n"/>
      <c r="E69" s="1530" t="n"/>
      <c r="F69" s="1786">
        <f>SUM(F70:F70)</f>
        <v>291422</v>
      </c>
      <c r="G69" s="1786">
        <f>SUM(G70:G70)</f>
        <v>291422</v>
      </c>
    </row>
    <row r="70">
      <c r="B70" s="1531" t="str">
        <f>INDEX('REVIEW - Complete Role Mapping'!$B:$B,82)</f>
        <v>Vacant</v>
      </c>
      <c r="C70" s="1531" t="str">
        <f>INDEX('REVIEW - Complete Role Mapping'!$C:$C,82)</f>
        <v>Head of Technology, Z and Group Retail Platforms</v>
      </c>
      <c r="D70" s="1531" t="str">
        <f>INDEX('REVIEW - Complete Role Mapping'!$AK:$AK,82)</f>
        <v>Vacant</v>
      </c>
      <c r="E70" s="1548" t="inlineStr">
        <is>
          <t>Hire</t>
        </is>
      </c>
      <c r="F70" s="1770">
        <f>INDEX('REVIEW - Complete Role Mapping'!$AA:$AA,82)</f>
        <v>291422</v>
      </c>
      <c r="G70" s="1770">
        <f>$F70*IFERROR(INDEX(Lists!$AD:$AD,MATCH($E70,Lists!$AC:$AC,0)),1)</f>
        <v>291422</v>
      </c>
    </row>
    <row r="71">
      <c r="B71" s="1530" t="inlineStr">
        <is>
          <t>Delivery Manager</t>
        </is>
      </c>
      <c r="C71" s="1530" t="str">
        <f>COUNTA($B$72:$B$72)&amp;IF(COUNTA($B$72:$B$72)=1," role"," roles")</f>
        <v>1 role</v>
      </c>
      <c r="D71" s="1530" t="n"/>
      <c r="E71" s="1530" t="n"/>
      <c r="F71" s="1786">
        <f>SUM(F72:F72)</f>
        <v>202853.25</v>
      </c>
      <c r="G71" s="1786">
        <f>SUM(G72:G72)</f>
        <v>202853.25</v>
      </c>
    </row>
    <row r="72">
      <c r="B72" s="1531" t="str">
        <f>INDEX('REVIEW - Complete Role Mapping'!$B:$B,74)</f>
        <v>Vacant</v>
      </c>
      <c r="C72" s="1531" t="str">
        <f>INDEX('REVIEW - Complete Role Mapping'!$C:$C,74)</f>
        <v>Delivery Manager</v>
      </c>
      <c r="D72" s="1531" t="str">
        <f>INDEX('REVIEW - Complete Role Mapping'!$AK:$AK,74)</f>
        <v>Vacant</v>
      </c>
      <c r="E72" s="1548" t="inlineStr">
        <is>
          <t>Hire</t>
        </is>
      </c>
      <c r="F72" s="1770">
        <f>INDEX('REVIEW - Complete Role Mapping'!$AA:$AA,74)</f>
        <v>202853.25</v>
      </c>
      <c r="G72" s="1770">
        <f>$F72*IFERROR(INDEX(Lists!$AD:$AD,MATCH($E72,Lists!$AC:$AC,0)),1)</f>
        <v>202853.25</v>
      </c>
    </row>
    <row r="73">
      <c r="B73" s="1530" t="inlineStr">
        <is>
          <t>Technology Manager</t>
        </is>
      </c>
      <c r="C73" s="1530" t="str">
        <f>COUNTA($B$74:$B$76)&amp;IF(COUNTA($B$74:$B$76)=1," role"," roles")</f>
        <v>3 roles</v>
      </c>
      <c r="D73" s="1530" t="n"/>
      <c r="E73" s="1530" t="n"/>
      <c r="F73" s="1786">
        <f>SUM(F74:F76)</f>
        <v>723068.418</v>
      </c>
      <c r="G73" s="1786">
        <f>SUM(G74:G76)</f>
        <v>723068.418</v>
      </c>
    </row>
    <row r="74">
      <c r="B74" s="1531" t="str">
        <f>INDEX('REVIEW - Complete Role Mapping'!$B:$B,18)</f>
        <v>Callan McLaughlin</v>
      </c>
      <c r="C74" s="1531" t="str">
        <f>INDEX('REVIEW - Complete Role Mapping'!$C:$C,18)</f>
        <v>Technology Manager, Site Systems</v>
      </c>
      <c r="D74" s="1531" t="str">
        <f>INDEX('REVIEW - Complete Role Mapping'!$AK:$AK,18)</f>
        <v>Filled</v>
      </c>
      <c r="E74" s="1548" t="inlineStr">
        <is>
          <t>Filled</t>
        </is>
      </c>
      <c r="F74" s="1770">
        <f>INDEX('REVIEW - Complete Role Mapping'!$AA:$AA,18)</f>
        <v>210535.968</v>
      </c>
      <c r="G74" s="1770">
        <f>$F74*IFERROR(INDEX(Lists!$AD:$AD,MATCH($E74,Lists!$AC:$AC,0)),1)</f>
        <v>210535.968</v>
      </c>
    </row>
    <row r="75">
      <c r="B75" s="1531" t="str">
        <f>INDEX('REVIEW - Complete Role Mapping'!$B:$B,23)</f>
        <v>Emma Natoli</v>
      </c>
      <c r="C75" s="1531" t="str">
        <f>INDEX('REVIEW - Complete Role Mapping'!$C:$C,23)</f>
        <v>Technology Manager, Engineering</v>
      </c>
      <c r="D75" s="1531" t="str">
        <f>INDEX('REVIEW - Complete Role Mapping'!$AK:$AK,23)</f>
        <v>Filled</v>
      </c>
      <c r="E75" s="1548" t="inlineStr">
        <is>
          <t>Filled</t>
        </is>
      </c>
      <c r="F75" s="1770">
        <f>INDEX('REVIEW - Complete Role Mapping'!$AA:$AA,23)</f>
        <v>236722.2</v>
      </c>
      <c r="G75" s="1770">
        <f>$F75*IFERROR(INDEX(Lists!$AD:$AD,MATCH($E75,Lists!$AC:$AC,0)),1)</f>
        <v>236722.2</v>
      </c>
    </row>
    <row r="76">
      <c r="B76" s="1531" t="str">
        <f>INDEX('REVIEW - Complete Role Mapping'!$B:$B,45)</f>
        <v>Manjot Kaur Malli</v>
      </c>
      <c r="C76" s="1531" t="str">
        <f>INDEX('REVIEW - Complete Role Mapping'!$C:$C,45)</f>
        <v>Technology Manager, Data</v>
      </c>
      <c r="D76" s="1531" t="str">
        <f>INDEX('REVIEW - Complete Role Mapping'!$AK:$AK,45)</f>
        <v>Filled</v>
      </c>
      <c r="E76" s="1548" t="inlineStr">
        <is>
          <t>Filled</t>
        </is>
      </c>
      <c r="F76" s="1770">
        <f>INDEX('REVIEW - Complete Role Mapping'!$AA:$AA,45)</f>
        <v>275810.25</v>
      </c>
      <c r="G76" s="1770">
        <f>$F76*IFERROR(INDEX(Lists!$AD:$AD,MATCH($E76,Lists!$AC:$AC,0)),1)</f>
        <v>275810.25</v>
      </c>
    </row>
  </sheetData>
  <dataValidations count="1">
    <dataValidation sqref="E32 E33 E34 E35 E36 E37 E38 E40 E41 E42 E43 E44 E45 E46 E47 E48 E50 E51 E52 E53 E54 E55 E56 E57 E58 E60 E61 E62 E63 E64 E65 E66 E67 E68 E70 E72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Q8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40" t="str">
        <f>"-"</f>
        <v>-</v>
      </c>
      <c r="F11" s="1770">
        <f>COUNTA($B$31:$B$35)</f>
        <v>5</v>
      </c>
      <c r="G11" s="1770">
        <f>COUNTIFS($D$31:$D$35,"Filled")</f>
        <v>5</v>
      </c>
      <c r="H11" s="1770">
        <f>COUNTIFS($D$31:$D$35,"Vacant")</f>
        <v>0</v>
      </c>
      <c r="I11" s="1770">
        <f>COUNTIFS($D$31:$D$35,"Vacant",$E$31:$E$35,"Hire")</f>
        <v>0</v>
      </c>
      <c r="J11" s="1770">
        <f>COUNTIFS($E$31:$E$35,"Offshore")</f>
        <v>0</v>
      </c>
      <c r="K11" s="1770">
        <f>COUNTIFS($E$31:$E$35,"Hold")</f>
        <v>0</v>
      </c>
      <c r="L11" s="1770">
        <f>$F11-$K11</f>
        <v>5</v>
      </c>
      <c r="M11" s="1769">
        <f>$N11</f>
        <v>1.071477788</v>
      </c>
      <c r="N11" s="1769">
        <f>SUMIFS('REVIEW - Complete Role Mapping'!$AA$2:$AA$528,'REVIEW - Complete Role Mapping'!$AJ$2:$AJ$528,$C$3,'REVIEW - Complete Role Mapping'!$AT$2:$AT$528,$B11)/1000000</f>
        <v>1.071477788</v>
      </c>
      <c r="O11" s="1769">
        <f>ROUND($N11-$M11,6)</f>
        <v>0</v>
      </c>
      <c r="P11" s="1769">
        <f>SUM($G$31:$G$35)/1000000</f>
        <v>1.071477788</v>
      </c>
      <c r="Q11" s="1769">
        <f>ROUND($P11-$M11,6)</f>
        <v>0</v>
      </c>
    </row>
    <row r="12">
      <c r="B12" s="1531" t="inlineStr">
        <is>
          <t>Cyber Risk</t>
        </is>
      </c>
      <c r="C12" s="1531" t="str">
        <f>"-"</f>
        <v>-</v>
      </c>
      <c r="D12" s="1531" t="str">
        <f>"-"</f>
        <v>-</v>
      </c>
      <c r="E12" s="1540" t="str">
        <f>"-"</f>
        <v>-</v>
      </c>
      <c r="F12" s="1770">
        <f>COUNTA($B$37:$B$38)</f>
        <v>2</v>
      </c>
      <c r="G12" s="1770">
        <f>COUNTIFS($D$37:$D$38,"Filled")</f>
        <v>2</v>
      </c>
      <c r="H12" s="1770">
        <f>COUNTIFS($D$37:$D$38,"Vacant")</f>
        <v>0</v>
      </c>
      <c r="I12" s="1770">
        <f>COUNTIFS($D$37:$D$38,"Vacant",$E$37:$E$38,"Hire")</f>
        <v>0</v>
      </c>
      <c r="J12" s="1770">
        <f>COUNTIFS($E$37:$E$38,"Offshore")</f>
        <v>0</v>
      </c>
      <c r="K12" s="1770">
        <f>COUNTIFS($E$37:$E$38,"Hold")</f>
        <v>0</v>
      </c>
      <c r="L12" s="1770">
        <f>$F12-$K12</f>
        <v>2</v>
      </c>
      <c r="M12" s="1769">
        <f>$N12</f>
        <v>0.475558232</v>
      </c>
      <c r="N12" s="1769">
        <f>SUMIFS('REVIEW - Complete Role Mapping'!$AA$2:$AA$528,'REVIEW - Complete Role Mapping'!$AJ$2:$AJ$528,$C$3,'REVIEW - Complete Role Mapping'!$AT$2:$AT$528,$B12)/1000000</f>
        <v>0.475558232</v>
      </c>
      <c r="O12" s="1769">
        <f>ROUND($N12-$M12,6)</f>
        <v>0</v>
      </c>
      <c r="P12" s="1769">
        <f>SUM($G$37:$G$38)/1000000</f>
        <v>0.475558232</v>
      </c>
      <c r="Q12" s="1769">
        <f>ROUND($P12-$M12,6)</f>
        <v>0</v>
      </c>
    </row>
    <row r="13">
      <c r="B13" s="1531" t="inlineStr">
        <is>
          <t>Cyber Sec Ops</t>
        </is>
      </c>
      <c r="C13" s="1531" t="str">
        <f>"-"</f>
        <v>-</v>
      </c>
      <c r="D13" s="1531" t="str">
        <f>"-"</f>
        <v>-</v>
      </c>
      <c r="E13" s="1540" t="str">
        <f>"-"</f>
        <v>-</v>
      </c>
      <c r="F13" s="1770">
        <f>COUNTA($B$40:$B$44)</f>
        <v>5</v>
      </c>
      <c r="G13" s="1770">
        <f>COUNTIFS($D$40:$D$44,"Filled")</f>
        <v>5</v>
      </c>
      <c r="H13" s="1770">
        <f>COUNTIFS($D$40:$D$44,"Vacant")</f>
        <v>0</v>
      </c>
      <c r="I13" s="1770">
        <f>COUNTIFS($D$40:$D$44,"Vacant",$E$40:$E$44,"Hire")</f>
        <v>0</v>
      </c>
      <c r="J13" s="1770">
        <f>COUNTIFS($E$40:$E$44,"Offshore")</f>
        <v>0</v>
      </c>
      <c r="K13" s="1770">
        <f>COUNTIFS($E$40:$E$44,"Hold")</f>
        <v>0</v>
      </c>
      <c r="L13" s="1770">
        <f>$F13-$K13</f>
        <v>5</v>
      </c>
      <c r="M13" s="1769">
        <f>$N13</f>
        <v>1.111589344</v>
      </c>
      <c r="N13" s="1769">
        <f>SUMIFS('REVIEW - Complete Role Mapping'!$AA$2:$AA$528,'REVIEW - Complete Role Mapping'!$AJ$2:$AJ$528,$C$3,'REVIEW - Complete Role Mapping'!$AT$2:$AT$528,$B13)/1000000</f>
        <v>1.111589344</v>
      </c>
      <c r="O13" s="1769">
        <f>ROUND($N13-$M13,6)</f>
        <v>0</v>
      </c>
      <c r="P13" s="1769">
        <f>SUM($G$40:$G$44)/1000000</f>
        <v>1.111589344</v>
      </c>
      <c r="Q13" s="1769">
        <f>ROUND($P13-$M13,6)</f>
        <v>0</v>
      </c>
    </row>
    <row r="14">
      <c r="B14" s="1531" t="inlineStr">
        <is>
          <t>Cyber Strat &amp; Tech</t>
        </is>
      </c>
      <c r="C14" s="1531" t="str">
        <f>"-"</f>
        <v>-</v>
      </c>
      <c r="D14" s="1531" t="str">
        <f>"-"</f>
        <v>-</v>
      </c>
      <c r="E14" s="1540" t="str">
        <f>"-"</f>
        <v>-</v>
      </c>
      <c r="F14" s="1770">
        <f>COUNTA($B$46:$B$58)</f>
        <v>13</v>
      </c>
      <c r="G14" s="1770">
        <f>COUNTIFS($D$46:$D$58,"Filled")</f>
        <v>13</v>
      </c>
      <c r="H14" s="1770">
        <f>COUNTIFS($D$46:$D$58,"Vacant")</f>
        <v>0</v>
      </c>
      <c r="I14" s="1770">
        <f>COUNTIFS($D$46:$D$58,"Vacant",$E$46:$E$58,"Hire")</f>
        <v>0</v>
      </c>
      <c r="J14" s="1770">
        <f>COUNTIFS($E$46:$E$58,"Offshore")</f>
        <v>0</v>
      </c>
      <c r="K14" s="1770">
        <f>COUNTIFS($E$46:$E$58,"Hold")</f>
        <v>0</v>
      </c>
      <c r="L14" s="1770">
        <f>$F14-$K14</f>
        <v>13</v>
      </c>
      <c r="M14" s="1769">
        <f>$N14</f>
        <v>3.31576355</v>
      </c>
      <c r="N14" s="1769">
        <f>SUMIFS('REVIEW - Complete Role Mapping'!$AA$2:$AA$528,'REVIEW - Complete Role Mapping'!$AJ$2:$AJ$528,$C$3,'REVIEW - Complete Role Mapping'!$AT$2:$AT$528,$B14)/1000000</f>
        <v>3.31576355</v>
      </c>
      <c r="O14" s="1769">
        <f>ROUND($N14-$M14,6)</f>
        <v>0</v>
      </c>
      <c r="P14" s="1769">
        <f>SUM($G$46:$G$58)/1000000</f>
        <v>3.31576355</v>
      </c>
      <c r="Q14" s="1769">
        <f>ROUND($P14-$M14,6)</f>
        <v>0</v>
      </c>
    </row>
    <row r="15">
      <c r="B15" s="1531" t="inlineStr">
        <is>
          <t>Service Op &amp; Assurance</t>
        </is>
      </c>
      <c r="C15" s="1531" t="str">
        <f>"-"</f>
        <v>-</v>
      </c>
      <c r="D15" s="1531" t="str">
        <f>"-"</f>
        <v>-</v>
      </c>
      <c r="E15" s="1540" t="str">
        <f>"-"</f>
        <v>-</v>
      </c>
      <c r="F15" s="1770">
        <f>COUNTA($B$60:$B$80)</f>
        <v>21</v>
      </c>
      <c r="G15" s="1770">
        <f>COUNTIFS($D$60:$D$80,"Filled")</f>
        <v>17</v>
      </c>
      <c r="H15" s="1770">
        <f>COUNTIFS($D$60:$D$80,"Vacant")</f>
        <v>4</v>
      </c>
      <c r="I15" s="1770">
        <f>COUNTIFS($D$60:$D$80,"Vacant",$E$60:$E$80,"Hire")</f>
        <v>4</v>
      </c>
      <c r="J15" s="1770">
        <f>COUNTIFS($E$60:$E$80,"Offshore")</f>
        <v>0</v>
      </c>
      <c r="K15" s="1770">
        <f>COUNTIFS($E$60:$E$80,"Hold")</f>
        <v>0</v>
      </c>
      <c r="L15" s="1770">
        <f>$F15-$K15</f>
        <v>21</v>
      </c>
      <c r="M15" s="1769">
        <f>$N15</f>
        <v>3.92346938</v>
      </c>
      <c r="N15" s="1769">
        <f>SUMIFS('REVIEW - Complete Role Mapping'!$AA$2:$AA$528,'REVIEW - Complete Role Mapping'!$AJ$2:$AJ$528,$C$3,'REVIEW - Complete Role Mapping'!$AT$2:$AT$528,$B15)/1000000</f>
        <v>3.92346938</v>
      </c>
      <c r="O15" s="1769">
        <f>ROUND($N15-$M15,6)</f>
        <v>0</v>
      </c>
      <c r="P15" s="1769">
        <f>SUM($G$60:$G$80)/1000000</f>
        <v>3.92346938</v>
      </c>
      <c r="Q15" s="1769">
        <f>ROUND($P15-$M15,6)</f>
        <v>0</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f>SUM(M11:M15)</f>
        <v>9.897858294</v>
      </c>
      <c r="N16" s="1771">
        <f>SUM(N11:N15)</f>
        <v>9.897858294</v>
      </c>
      <c r="O16" s="1771">
        <f>IF(N($M16)=0,"-",ROUND($N16-$M16,6))</f>
        <v>0</v>
      </c>
      <c r="P16" s="1771">
        <f>SUM(P11:P15)</f>
        <v>9.897858294</v>
      </c>
      <c r="Q16" s="1771">
        <f>IF(N($M16)=0,"-",ROUND($P16-$M16,6))</f>
        <v>0</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f>SUM(M21:M21)</f>
        <v>0</v>
      </c>
      <c r="N22" s="1771">
        <f>SUM(N21:N21)</f>
        <v>0</v>
      </c>
      <c r="O22" s="1771" t="str">
        <f>IF(N($M22)=0,"-",ROUND($N22-$M22,6))</f>
        <v>-</v>
      </c>
      <c r="P22" s="1771">
        <f>SUM(P21:P21)</f>
        <v>0</v>
      </c>
      <c r="Q22" s="1771" t="str">
        <f>IF(N($M22)=0,"-",ROUND($P22-$M22,6))</f>
        <v>-</v>
      </c>
    </row>
    <row r="23">
      <c r="B23" s="1541" t="inlineStr">
        <is>
          <t>Total portfolio</t>
        </is>
      </c>
      <c r="C23" s="1541" t="n"/>
      <c r="D23" s="1541" t="n"/>
      <c r="E23" s="1785">
        <f>N(E9)+N(E16)+N(E19)+N(E22)</f>
        <v>0</v>
      </c>
      <c r="F23" s="1774">
        <f>N(F9)+N(F16)+N(F19)+N(F22)</f>
        <v>46</v>
      </c>
      <c r="G23" s="1774">
        <f>N(G9)+N(G16)+N(G19)+N(G22)</f>
        <v>42</v>
      </c>
      <c r="H23" s="1774">
        <f>N(H9)+N(H16)+N(H19)+N(H22)</f>
        <v>4</v>
      </c>
      <c r="I23" s="1774">
        <f>N(I9)+N(I16)+N(I19)+N(I22)</f>
        <v>4</v>
      </c>
      <c r="J23" s="1774">
        <f>N(J9)+N(J16)+N(J19)+N(J22)</f>
        <v>0</v>
      </c>
      <c r="K23" s="1774">
        <f>N(K9)+N(K16)+N(K19)+N(K22)</f>
        <v>0</v>
      </c>
      <c r="L23" s="1774">
        <f>N(L9)+N(L16)+N(L19)+N(L22)</f>
        <v>46</v>
      </c>
      <c r="M23" s="1773" t="str">
        <f>"-"</f>
        <v>-</v>
      </c>
      <c r="N23" s="1773">
        <f>N(N9)+N(N16)+N(N19)+N(N22)</f>
        <v>9.897858294</v>
      </c>
      <c r="O23" s="1773" t="str">
        <f>"-"</f>
        <v>-</v>
      </c>
      <c r="P23" s="1773">
        <f>N(P9)+N(P16)+N(P19)+N(P22)</f>
        <v>9.897858294</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COE Cyber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Cyber GRC</t>
        </is>
      </c>
      <c r="C30" s="1530" t="str">
        <f>COUNTA($B$31:$B$35)&amp;IF(COUNTA($B$31:$B$35)=1," role"," roles")</f>
        <v>5 roles</v>
      </c>
      <c r="D30" s="1530" t="n"/>
      <c r="E30" s="1530" t="n"/>
      <c r="F30" s="1786">
        <f>SUM(F31:F35)</f>
        <v>1071477.788</v>
      </c>
      <c r="G30" s="1786">
        <f>SUM(G31:G35)</f>
        <v>1071477.788</v>
      </c>
    </row>
    <row r="31">
      <c r="B31" s="1531" t="str">
        <f>INDEX('REVIEW - Complete Role Mapping'!$B:$B,204)</f>
        <v>Diya Thomas</v>
      </c>
      <c r="C31" s="1531" t="str">
        <f>INDEX('REVIEW - Complete Role Mapping'!$C:$C,204)</f>
        <v>Manager Cyber Security GRC</v>
      </c>
      <c r="D31" s="1531" t="str">
        <f>INDEX('REVIEW - Complete Role Mapping'!$AK:$AK,204)</f>
        <v>Filled</v>
      </c>
      <c r="E31" s="1548" t="inlineStr">
        <is>
          <t>Filled</t>
        </is>
      </c>
      <c r="F31" s="1770">
        <f>INDEX('REVIEW - Complete Role Mapping'!$AA:$AA,204)</f>
        <v>287043.2</v>
      </c>
      <c r="G31" s="1770">
        <f>$F31*IFERROR(INDEX(Lists!$AD:$AD,MATCH($E31,Lists!$AC:$AC,0)),1)</f>
        <v>287043.2</v>
      </c>
    </row>
    <row r="32">
      <c r="B32" s="1531" t="str">
        <f>INDEX('REVIEW - Complete Role Mapping'!$B:$B,219)</f>
        <v>Pooja Kuperkar</v>
      </c>
      <c r="C32" s="1531" t="str">
        <f>INDEX('REVIEW - Complete Role Mapping'!$C:$C,219)</f>
        <v>Cyber GRC Analyst</v>
      </c>
      <c r="D32" s="1531" t="str">
        <f>INDEX('REVIEW - Complete Role Mapping'!$AK:$AK,219)</f>
        <v>Filled</v>
      </c>
      <c r="E32" s="1548" t="inlineStr">
        <is>
          <t>Filled</t>
        </is>
      </c>
      <c r="F32" s="1770">
        <f>INDEX('REVIEW - Complete Role Mapping'!$AA:$AA,219)</f>
        <v>203440.65</v>
      </c>
      <c r="G32" s="1770">
        <f>$F32*IFERROR(INDEX(Lists!$AD:$AD,MATCH($E32,Lists!$AC:$AC,0)),1)</f>
        <v>203440.65</v>
      </c>
    </row>
    <row r="33">
      <c r="B33" s="1531" t="str">
        <f>INDEX('REVIEW - Complete Role Mapping'!$B:$B,220)</f>
        <v>Prashanth Chandran</v>
      </c>
      <c r="C33" s="1531" t="str">
        <f>INDEX('REVIEW - Complete Role Mapping'!$C:$C,220)</f>
        <v>Senior Cyber GRC Specialist</v>
      </c>
      <c r="D33" s="1531" t="str">
        <f>INDEX('REVIEW - Complete Role Mapping'!$AK:$AK,220)</f>
        <v>Filled</v>
      </c>
      <c r="E33" s="1548" t="inlineStr">
        <is>
          <t>Filled</t>
        </is>
      </c>
      <c r="F33" s="1770">
        <f>INDEX('REVIEW - Complete Role Mapping'!$AA:$AA,220)</f>
        <v>220275</v>
      </c>
      <c r="G33" s="1770">
        <f>$F33*IFERROR(INDEX(Lists!$AD:$AD,MATCH($E33,Lists!$AC:$AC,0)),1)</f>
        <v>220275</v>
      </c>
    </row>
    <row r="34">
      <c r="B34" s="1531" t="str">
        <f>INDEX('REVIEW - Complete Role Mapping'!$B:$B,228)</f>
        <v>Shruti Manchanda</v>
      </c>
      <c r="C34" s="1531" t="str">
        <f>INDEX('REVIEW - Complete Role Mapping'!$C:$C,228)</f>
        <v>Cyber GRC Analyst</v>
      </c>
      <c r="D34" s="1531" t="str">
        <f>INDEX('REVIEW - Complete Role Mapping'!$AK:$AK,228)</f>
        <v>Filled</v>
      </c>
      <c r="E34" s="1548" t="inlineStr">
        <is>
          <t>Filled</t>
        </is>
      </c>
      <c r="F34" s="1770">
        <f>INDEX('REVIEW - Complete Role Mapping'!$AA:$AA,228)</f>
        <v>228885.75</v>
      </c>
      <c r="G34" s="1770">
        <f>$F34*IFERROR(INDEX(Lists!$AD:$AD,MATCH($E34,Lists!$AC:$AC,0)),1)</f>
        <v>228885.75</v>
      </c>
    </row>
    <row r="35">
      <c r="B35" s="1531" t="str">
        <f>INDEX('REVIEW - Complete Role Mapping'!$B:$B,237)</f>
        <v>Vanessa Castro</v>
      </c>
      <c r="C35" s="1531" t="str">
        <f>INDEX('REVIEW - Complete Role Mapping'!$C:$C,237)</f>
        <v>Cyber GRC Analyst</v>
      </c>
      <c r="D35" s="1531" t="str">
        <f>INDEX('REVIEW - Complete Role Mapping'!$AK:$AK,237)</f>
        <v>Filled</v>
      </c>
      <c r="E35" s="1548" t="inlineStr">
        <is>
          <t>Filled</t>
        </is>
      </c>
      <c r="F35" s="1770">
        <f>INDEX('REVIEW - Complete Role Mapping'!$AA:$AA,237)</f>
        <v>131833.188</v>
      </c>
      <c r="G35" s="1770">
        <f>$F35*IFERROR(INDEX(Lists!$AD:$AD,MATCH($E35,Lists!$AC:$AC,0)),1)</f>
        <v>131833.188</v>
      </c>
    </row>
    <row r="36">
      <c r="B36" s="1530" t="inlineStr">
        <is>
          <t>Cyber Risk</t>
        </is>
      </c>
      <c r="C36" s="1530" t="str">
        <f>COUNTA($B$37:$B$38)&amp;IF(COUNTA($B$37:$B$38)=1," role"," roles")</f>
        <v>2 roles</v>
      </c>
      <c r="D36" s="1530" t="n"/>
      <c r="E36" s="1530" t="n"/>
      <c r="F36" s="1786">
        <f>SUM(F37:F38)</f>
        <v>475558.232</v>
      </c>
      <c r="G36" s="1786">
        <f>SUM(G37:G38)</f>
        <v>475558.232</v>
      </c>
    </row>
    <row r="37">
      <c r="B37" s="1531" t="str">
        <f>INDEX('REVIEW - Complete Role Mapping'!$B:$B,195)</f>
        <v>Brian Gates</v>
      </c>
      <c r="C37" s="1531" t="str">
        <f>INDEX('REVIEW - Complete Role Mapping'!$C:$C,195)</f>
        <v>Manager Risk &amp; Resilience</v>
      </c>
      <c r="D37" s="1531" t="str">
        <f>INDEX('REVIEW - Complete Role Mapping'!$AK:$AK,195)</f>
        <v>Filled</v>
      </c>
      <c r="E37" s="1548" t="inlineStr">
        <is>
          <t>Filled</t>
        </is>
      </c>
      <c r="F37" s="1770">
        <f>INDEX('REVIEW - Complete Role Mapping'!$AA:$AA,195)</f>
        <v>287043.2</v>
      </c>
      <c r="G37" s="1770">
        <f>$F37*IFERROR(INDEX(Lists!$AD:$AD,MATCH($E37,Lists!$AC:$AC,0)),1)</f>
        <v>287043.2</v>
      </c>
    </row>
    <row r="38">
      <c r="B38" s="1531" t="str">
        <f>INDEX('REVIEW - Complete Role Mapping'!$B:$B,227)</f>
        <v>Shomiya Shayal</v>
      </c>
      <c r="C38" s="1531" t="str">
        <f>INDEX('REVIEW - Complete Role Mapping'!$C:$C,227)</f>
        <v>Risk &amp; Resilience Lead</v>
      </c>
      <c r="D38" s="1531" t="str">
        <f>INDEX('REVIEW - Complete Role Mapping'!$AK:$AK,227)</f>
        <v>Filled</v>
      </c>
      <c r="E38" s="1548" t="inlineStr">
        <is>
          <t>Filled</t>
        </is>
      </c>
      <c r="F38" s="1770">
        <f>INDEX('REVIEW - Complete Role Mapping'!$AA:$AA,227)</f>
        <v>188515.032</v>
      </c>
      <c r="G38" s="1770">
        <f>$F38*IFERROR(INDEX(Lists!$AD:$AD,MATCH($E38,Lists!$AC:$AC,0)),1)</f>
        <v>188515.032</v>
      </c>
    </row>
    <row r="39">
      <c r="B39" s="1530" t="inlineStr">
        <is>
          <t>Cyber Sec Ops</t>
        </is>
      </c>
      <c r="C39" s="1530" t="str">
        <f>COUNTA($B$40:$B$44)&amp;IF(COUNTA($B$40:$B$44)=1," role"," roles")</f>
        <v>5 roles</v>
      </c>
      <c r="D39" s="1530" t="n"/>
      <c r="E39" s="1530" t="n"/>
      <c r="F39" s="1786">
        <f>SUM(F40:F44)</f>
        <v>1111589.344</v>
      </c>
      <c r="G39" s="1786">
        <f>SUM(G40:G44)</f>
        <v>1111589.344</v>
      </c>
    </row>
    <row r="40">
      <c r="B40" s="1531" t="str">
        <f>INDEX('REVIEW - Complete Role Mapping'!$B:$B,213)</f>
        <v>Lisa Ng</v>
      </c>
      <c r="C40" s="1531" t="str">
        <f>INDEX('REVIEW - Complete Role Mapping'!$C:$C,213)</f>
        <v>Cyber Security Analyst</v>
      </c>
      <c r="D40" s="1531" t="str">
        <f>INDEX('REVIEW - Complete Role Mapping'!$AK:$AK,213)</f>
        <v>Filled</v>
      </c>
      <c r="E40" s="1548" t="inlineStr">
        <is>
          <t>Filled</t>
        </is>
      </c>
      <c r="F40" s="1770">
        <f>INDEX('REVIEW - Complete Role Mapping'!$AA:$AA,213)</f>
        <v>147800.064</v>
      </c>
      <c r="G40" s="1770">
        <f>$F40*IFERROR(INDEX(Lists!$AD:$AD,MATCH($E40,Lists!$AC:$AC,0)),1)</f>
        <v>147800.064</v>
      </c>
    </row>
    <row r="41">
      <c r="B41" s="1531" t="str">
        <f>INDEX('REVIEW - Complete Role Mapping'!$B:$B,218)</f>
        <v>Nischal Bhusal</v>
      </c>
      <c r="C41" s="1531" t="str">
        <f>INDEX('REVIEW - Complete Role Mapping'!$C:$C,218)</f>
        <v>Cyber Security Analyst</v>
      </c>
      <c r="D41" s="1531" t="str">
        <f>INDEX('REVIEW - Complete Role Mapping'!$AK:$AK,218)</f>
        <v>Filled</v>
      </c>
      <c r="E41" s="1548" t="inlineStr">
        <is>
          <t>Filled</t>
        </is>
      </c>
      <c r="F41" s="1770">
        <f>INDEX('REVIEW - Complete Role Mapping'!$AA:$AA,218)</f>
        <v>215629.2</v>
      </c>
      <c r="G41" s="1770">
        <f>$F41*IFERROR(INDEX(Lists!$AD:$AD,MATCH($E41,Lists!$AC:$AC,0)),1)</f>
        <v>215629.2</v>
      </c>
    </row>
    <row r="42">
      <c r="B42" s="1531" t="str">
        <f>INDEX('REVIEW - Complete Role Mapping'!$B:$B,226)</f>
        <v>Sameer Pattanaik</v>
      </c>
      <c r="C42" s="1531" t="str">
        <f>INDEX('REVIEW - Complete Role Mapping'!$C:$C,226)</f>
        <v>Cyber Security Operations Lead</v>
      </c>
      <c r="D42" s="1531" t="str">
        <f>INDEX('REVIEW - Complete Role Mapping'!$AK:$AK,226)</f>
        <v>Filled</v>
      </c>
      <c r="E42" s="1548" t="inlineStr">
        <is>
          <t>Filled</t>
        </is>
      </c>
      <c r="F42" s="1770">
        <f>INDEX('REVIEW - Complete Role Mapping'!$AA:$AA,226)</f>
        <v>212878.38</v>
      </c>
      <c r="G42" s="1770">
        <f>$F42*IFERROR(INDEX(Lists!$AD:$AD,MATCH($E42,Lists!$AC:$AC,0)),1)</f>
        <v>212878.38</v>
      </c>
    </row>
    <row r="43">
      <c r="B43" s="1531" t="str">
        <f>INDEX('REVIEW - Complete Role Mapping'!$B:$B,230)</f>
        <v>Stafford Dowling</v>
      </c>
      <c r="C43" s="1531" t="str">
        <f>INDEX('REVIEW - Complete Role Mapping'!$C:$C,230)</f>
        <v>Cyber Security Analyst</v>
      </c>
      <c r="D43" s="1531" t="str">
        <f>INDEX('REVIEW - Complete Role Mapping'!$AK:$AK,230)</f>
        <v>Filled</v>
      </c>
      <c r="E43" s="1548" t="inlineStr">
        <is>
          <t>Filled</t>
        </is>
      </c>
      <c r="F43" s="1770">
        <f>INDEX('REVIEW - Complete Role Mapping'!$AA:$AA,230)</f>
        <v>218713.05</v>
      </c>
      <c r="G43" s="1770">
        <f>$F43*IFERROR(INDEX(Lists!$AD:$AD,MATCH($E43,Lists!$AC:$AC,0)),1)</f>
        <v>218713.05</v>
      </c>
    </row>
    <row r="44">
      <c r="B44" s="1531" t="str">
        <f>INDEX('REVIEW - Complete Role Mapping'!$B:$B,231)</f>
        <v>Steven Atcheson</v>
      </c>
      <c r="C44" s="1531" t="str">
        <f>INDEX('REVIEW - Complete Role Mapping'!$C:$C,231)</f>
        <v>Manager Cyber Security Operations</v>
      </c>
      <c r="D44" s="1531" t="str">
        <f>INDEX('REVIEW - Complete Role Mapping'!$AK:$AK,231)</f>
        <v>Filled</v>
      </c>
      <c r="E44" s="1548" t="inlineStr">
        <is>
          <t>Filled</t>
        </is>
      </c>
      <c r="F44" s="1770">
        <f>INDEX('REVIEW - Complete Role Mapping'!$AA:$AA,231)</f>
        <v>316568.65</v>
      </c>
      <c r="G44" s="1770">
        <f>$F44*IFERROR(INDEX(Lists!$AD:$AD,MATCH($E44,Lists!$AC:$AC,0)),1)</f>
        <v>316568.65</v>
      </c>
    </row>
    <row r="45">
      <c r="B45" s="1530" t="inlineStr">
        <is>
          <t>Cyber Strat &amp; Tech</t>
        </is>
      </c>
      <c r="C45" s="1530" t="str">
        <f>COUNTA($B$46:$B$58)&amp;IF(COUNTA($B$46:$B$58)=1," role"," roles")</f>
        <v>13 roles</v>
      </c>
      <c r="D45" s="1530" t="n"/>
      <c r="E45" s="1530" t="n"/>
      <c r="F45" s="1786">
        <f>SUM(F46:F58)</f>
        <v>3315763.55</v>
      </c>
      <c r="G45" s="1786">
        <f>SUM(G46:G58)</f>
        <v>3315763.55</v>
      </c>
    </row>
    <row r="46">
      <c r="B46" s="1531" t="str">
        <f>INDEX('REVIEW - Complete Role Mapping'!$B:$B,196)</f>
        <v>Cameron Watman</v>
      </c>
      <c r="C46" s="1531" t="str">
        <f>INDEX('REVIEW - Complete Role Mapping'!$C:$C,196)</f>
        <v>Engineer - IDAM</v>
      </c>
      <c r="D46" s="1531" t="str">
        <f>INDEX('REVIEW - Complete Role Mapping'!$AK:$AK,196)</f>
        <v>Filled</v>
      </c>
      <c r="E46" s="1548" t="inlineStr">
        <is>
          <t>Filled</t>
        </is>
      </c>
      <c r="F46" s="1770">
        <f>INDEX('REVIEW - Complete Role Mapping'!$AA:$AA,196)</f>
        <v>173132.9</v>
      </c>
      <c r="G46" s="1770">
        <f>$F46*IFERROR(INDEX(Lists!$AD:$AD,MATCH($E46,Lists!$AC:$AC,0)),1)</f>
        <v>173132.9</v>
      </c>
    </row>
    <row r="47">
      <c r="B47" s="1531" t="str">
        <f>INDEX('REVIEW - Complete Role Mapping'!$B:$B,197)</f>
        <v>Catherine Gire</v>
      </c>
      <c r="C47" s="1531" t="str">
        <f>INDEX('REVIEW - Complete Role Mapping'!$C:$C,197)</f>
        <v>Cyber Technical Business Analyst</v>
      </c>
      <c r="D47" s="1531" t="str">
        <f>INDEX('REVIEW - Complete Role Mapping'!$AK:$AK,197)</f>
        <v>Filled</v>
      </c>
      <c r="E47" s="1548" t="inlineStr">
        <is>
          <t>Filled</t>
        </is>
      </c>
      <c r="F47" s="1770">
        <f>INDEX('REVIEW - Complete Role Mapping'!$AA:$AA,197)</f>
        <v>227163.6</v>
      </c>
      <c r="G47" s="1770">
        <f>$F47*IFERROR(INDEX(Lists!$AD:$AD,MATCH($E47,Lists!$AC:$AC,0)),1)</f>
        <v>227163.6</v>
      </c>
    </row>
    <row r="48">
      <c r="B48" s="1531" t="str">
        <f>INDEX('REVIEW - Complete Role Mapping'!$B:$B,198)</f>
        <v>Chris Lyons</v>
      </c>
      <c r="C48" s="1531" t="str">
        <f>INDEX('REVIEW - Complete Role Mapping'!$C:$C,198)</f>
        <v>Cyber Security Architect</v>
      </c>
      <c r="D48" s="1531" t="str">
        <f>INDEX('REVIEW - Complete Role Mapping'!$AK:$AK,198)</f>
        <v>Filled</v>
      </c>
      <c r="E48" s="1548" t="inlineStr">
        <is>
          <t>Filled</t>
        </is>
      </c>
      <c r="F48" s="1770">
        <f>INDEX('REVIEW - Complete Role Mapping'!$AA:$AA,198)</f>
        <v>283353.75</v>
      </c>
      <c r="G48" s="1770">
        <f>$F48*IFERROR(INDEX(Lists!$AD:$AD,MATCH($E48,Lists!$AC:$AC,0)),1)</f>
        <v>283353.75</v>
      </c>
    </row>
    <row r="49">
      <c r="B49" s="1531" t="str">
        <f>INDEX('REVIEW - Complete Role Mapping'!$B:$B,200)</f>
        <v>Dan Balsamo</v>
      </c>
      <c r="C49" s="1531" t="str">
        <f>INDEX('REVIEW - Complete Role Mapping'!$C:$C,200)</f>
        <v>Senior Cyber Project Manager</v>
      </c>
      <c r="D49" s="1531" t="str">
        <f>INDEX('REVIEW - Complete Role Mapping'!$AK:$AK,200)</f>
        <v>Filled</v>
      </c>
      <c r="E49" s="1548" t="inlineStr">
        <is>
          <t>Filled</t>
        </is>
      </c>
      <c r="F49" s="1770">
        <f>INDEX('REVIEW - Complete Role Mapping'!$AA:$AA,200)</f>
        <v>258576.15</v>
      </c>
      <c r="G49" s="1770">
        <f>$F49*IFERROR(INDEX(Lists!$AD:$AD,MATCH($E49,Lists!$AC:$AC,0)),1)</f>
        <v>258576.15</v>
      </c>
    </row>
    <row r="50">
      <c r="B50" s="1531" t="str">
        <f>INDEX('REVIEW - Complete Role Mapping'!$B:$B,203)</f>
        <v>Darshan Suvama</v>
      </c>
      <c r="C50" s="1531" t="str">
        <f>INDEX('REVIEW - Complete Role Mapping'!$C:$C,203)</f>
        <v>Cyber Offensive Security Lead</v>
      </c>
      <c r="D50" s="1531" t="str">
        <f>INDEX('REVIEW - Complete Role Mapping'!$AK:$AK,203)</f>
        <v>Filled</v>
      </c>
      <c r="E50" s="1548" t="inlineStr">
        <is>
          <t>Filled</t>
        </is>
      </c>
      <c r="F50" s="1770">
        <f>INDEX('REVIEW - Complete Role Mapping'!$AA:$AA,203)</f>
        <v>285342.9</v>
      </c>
      <c r="G50" s="1770">
        <f>$F50*IFERROR(INDEX(Lists!$AD:$AD,MATCH($E50,Lists!$AC:$AC,0)),1)</f>
        <v>285342.9</v>
      </c>
    </row>
    <row r="51">
      <c r="B51" s="1531" t="str">
        <f>INDEX('REVIEW - Complete Role Mapping'!$B:$B,206)</f>
        <v>Iwan Wibisono</v>
      </c>
      <c r="C51" s="1531" t="str">
        <f>INDEX('REVIEW - Complete Role Mapping'!$C:$C,206)</f>
        <v>Engineer - IDAM</v>
      </c>
      <c r="D51" s="1531" t="str">
        <f>INDEX('REVIEW - Complete Role Mapping'!$AK:$AK,206)</f>
        <v>Filled</v>
      </c>
      <c r="E51" s="1548" t="inlineStr">
        <is>
          <t>Filled</t>
        </is>
      </c>
      <c r="F51" s="1770">
        <f>INDEX('REVIEW - Complete Role Mapping'!$AA:$AA,206)</f>
        <v>215682.6</v>
      </c>
      <c r="G51" s="1770">
        <f>$F51*IFERROR(INDEX(Lists!$AD:$AD,MATCH($E51,Lists!$AC:$AC,0)),1)</f>
        <v>215682.6</v>
      </c>
    </row>
    <row r="52">
      <c r="B52" s="1531" t="str">
        <f>INDEX('REVIEW - Complete Role Mapping'!$B:$B,208)</f>
        <v>James Byrne</v>
      </c>
      <c r="C52" s="1531" t="str">
        <f>INDEX('REVIEW - Complete Role Mapping'!$C:$C,208)</f>
        <v>Head of Cyber Strategy &amp; Technology</v>
      </c>
      <c r="D52" s="1531" t="str">
        <f>INDEX('REVIEW - Complete Role Mapping'!$AK:$AK,208)</f>
        <v>Filled</v>
      </c>
      <c r="E52" s="1548" t="inlineStr">
        <is>
          <t>Filled</t>
        </is>
      </c>
      <c r="F52" s="1770">
        <f>INDEX('REVIEW - Complete Role Mapping'!$AA:$AA,208)</f>
        <v>382587.7</v>
      </c>
      <c r="G52" s="1770">
        <f>$F52*IFERROR(INDEX(Lists!$AD:$AD,MATCH($E52,Lists!$AC:$AC,0)),1)</f>
        <v>382587.7</v>
      </c>
    </row>
    <row r="53">
      <c r="B53" s="1531" t="str">
        <f>INDEX('REVIEW - Complete Role Mapping'!$B:$B,210)</f>
        <v>Joe Nahma</v>
      </c>
      <c r="C53" s="1531" t="str">
        <f>INDEX('REVIEW - Complete Role Mapping'!$C:$C,210)</f>
        <v>Manager Identity &amp; Access Management</v>
      </c>
      <c r="D53" s="1531" t="str">
        <f>INDEX('REVIEW - Complete Role Mapping'!$AK:$AK,210)</f>
        <v>Filled</v>
      </c>
      <c r="E53" s="1548" t="inlineStr">
        <is>
          <t>Filled</t>
        </is>
      </c>
      <c r="F53" s="1770">
        <f>INDEX('REVIEW - Complete Role Mapping'!$AA:$AA,210)</f>
        <v>258709.65</v>
      </c>
      <c r="G53" s="1770">
        <f>$F53*IFERROR(INDEX(Lists!$AD:$AD,MATCH($E53,Lists!$AC:$AC,0)),1)</f>
        <v>258709.65</v>
      </c>
    </row>
    <row r="54">
      <c r="B54" s="1531" t="str">
        <f>INDEX('REVIEW - Complete Role Mapping'!$B:$B,212)</f>
        <v>Kevin Sheerin</v>
      </c>
      <c r="C54" s="1531" t="str">
        <f>INDEX('REVIEW - Complete Role Mapping'!$C:$C,212)</f>
        <v>Cyber Architecture Lead</v>
      </c>
      <c r="D54" s="1531" t="str">
        <f>INDEX('REVIEW - Complete Role Mapping'!$AK:$AK,212)</f>
        <v>Filled</v>
      </c>
      <c r="E54" s="1548" t="inlineStr">
        <is>
          <t>Filled</t>
        </is>
      </c>
      <c r="F54" s="1770">
        <f>INDEX('REVIEW - Complete Role Mapping'!$AA:$AA,212)</f>
        <v>284982.45</v>
      </c>
      <c r="G54" s="1770">
        <f>$F54*IFERROR(INDEX(Lists!$AD:$AD,MATCH($E54,Lists!$AC:$AC,0)),1)</f>
        <v>284982.45</v>
      </c>
    </row>
    <row r="55">
      <c r="B55" s="1531" t="str">
        <f>INDEX('REVIEW - Complete Role Mapping'!$B:$B,221)</f>
        <v>Rahul Sahni</v>
      </c>
      <c r="C55" s="1531" t="str">
        <f>INDEX('REVIEW - Complete Role Mapping'!$C:$C,221)</f>
        <v>Cyber Security Architect</v>
      </c>
      <c r="D55" s="1531" t="str">
        <f>INDEX('REVIEW - Complete Role Mapping'!$AK:$AK,221)</f>
        <v>Filled</v>
      </c>
      <c r="E55" s="1548" t="inlineStr">
        <is>
          <t>Filled</t>
        </is>
      </c>
      <c r="F55" s="1770">
        <f>INDEX('REVIEW - Complete Role Mapping'!$AA:$AA,221)</f>
        <v>226282.5</v>
      </c>
      <c r="G55" s="1770">
        <f>$F55*IFERROR(INDEX(Lists!$AD:$AD,MATCH($E55,Lists!$AC:$AC,0)),1)</f>
        <v>226282.5</v>
      </c>
    </row>
    <row r="56">
      <c r="B56" s="1531" t="str">
        <f>INDEX('REVIEW - Complete Role Mapping'!$B:$B,223)</f>
        <v>Raymond Cheung</v>
      </c>
      <c r="C56" s="1531" t="str">
        <f>INDEX('REVIEW - Complete Role Mapping'!$C:$C,223)</f>
        <v>Engineer - IDAM</v>
      </c>
      <c r="D56" s="1531" t="str">
        <f>INDEX('REVIEW - Complete Role Mapping'!$AK:$AK,223)</f>
        <v>Filled</v>
      </c>
      <c r="E56" s="1548" t="inlineStr">
        <is>
          <t>Filled</t>
        </is>
      </c>
      <c r="F56" s="1770">
        <f>INDEX('REVIEW - Complete Role Mapping'!$AA:$AA,223)</f>
        <v>190675</v>
      </c>
      <c r="G56" s="1770">
        <f>$F56*IFERROR(INDEX(Lists!$AD:$AD,MATCH($E56,Lists!$AC:$AC,0)),1)</f>
        <v>190675</v>
      </c>
    </row>
    <row r="57">
      <c r="B57" s="1531" t="str">
        <f>INDEX('REVIEW - Complete Role Mapping'!$B:$B,232)</f>
        <v>Tony Keeler</v>
      </c>
      <c r="C57" s="1531" t="str">
        <f>INDEX('REVIEW - Complete Role Mapping'!$C:$C,232)</f>
        <v>Cyber Business Analyst</v>
      </c>
      <c r="D57" s="1531" t="str">
        <f>INDEX('REVIEW - Complete Role Mapping'!$AK:$AK,232)</f>
        <v>Filled</v>
      </c>
      <c r="E57" s="1548" t="inlineStr">
        <is>
          <t>Filled</t>
        </is>
      </c>
      <c r="F57" s="1770">
        <f>INDEX('REVIEW - Complete Role Mapping'!$AA:$AA,232)</f>
        <v>213600</v>
      </c>
      <c r="G57" s="1770">
        <f>$F57*IFERROR(INDEX(Lists!$AD:$AD,MATCH($E57,Lists!$AC:$AC,0)),1)</f>
        <v>213600</v>
      </c>
    </row>
    <row r="58">
      <c r="B58" s="1531" t="str">
        <f>INDEX('REVIEW - Complete Role Mapping'!$B:$B,238)</f>
        <v>Vivienne Vasak</v>
      </c>
      <c r="C58" s="1531" t="str">
        <f>INDEX('REVIEW - Complete Role Mapping'!$C:$C,238)</f>
        <v>Portfolio Manager Cyber Security</v>
      </c>
      <c r="D58" s="1531" t="str">
        <f>INDEX('REVIEW - Complete Role Mapping'!$AK:$AK,238)</f>
        <v>Filled</v>
      </c>
      <c r="E58" s="1548" t="inlineStr">
        <is>
          <t>Filled</t>
        </is>
      </c>
      <c r="F58" s="1770">
        <f>INDEX('REVIEW - Complete Role Mapping'!$AA:$AA,238)</f>
        <v>315674.35</v>
      </c>
      <c r="G58" s="1770">
        <f>$F58*IFERROR(INDEX(Lists!$AD:$AD,MATCH($E58,Lists!$AC:$AC,0)),1)</f>
        <v>315674.35</v>
      </c>
    </row>
    <row r="59">
      <c r="B59" s="1530" t="inlineStr">
        <is>
          <t>Service Op &amp; Assurance</t>
        </is>
      </c>
      <c r="C59" s="1530" t="str">
        <f>COUNTA($B$60:$B$80)&amp;IF(COUNTA($B$60:$B$80)=1," role"," roles")</f>
        <v>21 roles</v>
      </c>
      <c r="D59" s="1530" t="n"/>
      <c r="E59" s="1530" t="n"/>
      <c r="F59" s="1786">
        <f>SUM(F60:F80)</f>
        <v>3923469.38</v>
      </c>
      <c r="G59" s="1786">
        <f>SUM(G60:G80)</f>
        <v>3923469.38</v>
      </c>
    </row>
    <row r="60">
      <c r="B60" s="1531" t="str">
        <f>INDEX('REVIEW - Complete Role Mapping'!$B:$B,193)</f>
        <v>Ashley Mueller</v>
      </c>
      <c r="C60" s="1531" t="str">
        <f>INDEX('REVIEW - Complete Role Mapping'!$C:$C,193)</f>
        <v>Lead - Service Assurance</v>
      </c>
      <c r="D60" s="1531" t="str">
        <f>INDEX('REVIEW - Complete Role Mapping'!$AK:$AK,193)</f>
        <v>Filled</v>
      </c>
      <c r="E60" s="1548" t="inlineStr">
        <is>
          <t>Filled</t>
        </is>
      </c>
      <c r="F60" s="1770">
        <f>INDEX('REVIEW - Complete Role Mapping'!$AA:$AA,193)</f>
        <v>189974.796</v>
      </c>
      <c r="G60" s="1770">
        <f>$F60*IFERROR(INDEX(Lists!$AD:$AD,MATCH($E60,Lists!$AC:$AC,0)),1)</f>
        <v>189974.796</v>
      </c>
    </row>
    <row r="61">
      <c r="B61" s="1531" t="str">
        <f>INDEX('REVIEW - Complete Role Mapping'!$B:$B,194)</f>
        <v>Belinda Hoskens</v>
      </c>
      <c r="C61" s="1531" t="str">
        <f>INDEX('REVIEW - Complete Role Mapping'!$C:$C,194)</f>
        <v>Technology Support Engineer</v>
      </c>
      <c r="D61" s="1531" t="str">
        <f>INDEX('REVIEW - Complete Role Mapping'!$AK:$AK,194)</f>
        <v>Filled</v>
      </c>
      <c r="E61" s="1548" t="inlineStr">
        <is>
          <t>Filled</t>
        </is>
      </c>
      <c r="F61" s="1770">
        <f>INDEX('REVIEW - Complete Role Mapping'!$AA:$AA,194)</f>
        <v>162139.5</v>
      </c>
      <c r="G61" s="1770">
        <f>$F61*IFERROR(INDEX(Lists!$AD:$AD,MATCH($E61,Lists!$AC:$AC,0)),1)</f>
        <v>162139.5</v>
      </c>
    </row>
    <row r="62">
      <c r="B62" s="1531" t="str">
        <f>INDEX('REVIEW - Complete Role Mapping'!$B:$B,199)</f>
        <v>Chris Rojas</v>
      </c>
      <c r="C62" s="1531" t="str">
        <f>INDEX('REVIEW - Complete Role Mapping'!$C:$C,199)</f>
        <v>Manager, Customer Support Operations</v>
      </c>
      <c r="D62" s="1531" t="str">
        <f>INDEX('REVIEW - Complete Role Mapping'!$AK:$AK,199)</f>
        <v>Filled</v>
      </c>
      <c r="E62" s="1548" t="inlineStr">
        <is>
          <t>Filled</t>
        </is>
      </c>
      <c r="F62" s="1770">
        <f>INDEX('REVIEW - Complete Role Mapping'!$AA:$AA,199)</f>
        <v>243303.75</v>
      </c>
      <c r="G62" s="1770">
        <f>$F62*IFERROR(INDEX(Lists!$AD:$AD,MATCH($E62,Lists!$AC:$AC,0)),1)</f>
        <v>243303.75</v>
      </c>
    </row>
    <row r="63">
      <c r="B63" s="1531" t="str">
        <f>INDEX('REVIEW - Complete Role Mapping'!$B:$B,201)</f>
        <v>Daniel Jolley</v>
      </c>
      <c r="C63" s="1531" t="str">
        <f>INDEX('REVIEW - Complete Role Mapping'!$C:$C,201)</f>
        <v>Tech Support Technician</v>
      </c>
      <c r="D63" s="1531" t="str">
        <f>INDEX('REVIEW - Complete Role Mapping'!$AK:$AK,201)</f>
        <v>Filled</v>
      </c>
      <c r="E63" s="1548" t="inlineStr">
        <is>
          <t>Filled</t>
        </is>
      </c>
      <c r="F63" s="1770">
        <f>INDEX('REVIEW - Complete Role Mapping'!$AA:$AA,201)</f>
        <v>115851.5</v>
      </c>
      <c r="G63" s="1770">
        <f>$F63*IFERROR(INDEX(Lists!$AD:$AD,MATCH($E63,Lists!$AC:$AC,0)),1)</f>
        <v>115851.5</v>
      </c>
    </row>
    <row r="64">
      <c r="B64" s="1531" t="str">
        <f>INDEX('REVIEW - Complete Role Mapping'!$B:$B,202)</f>
        <v>Darren Koller</v>
      </c>
      <c r="C64" s="1531" t="str">
        <f>INDEX('REVIEW - Complete Role Mapping'!$C:$C,202)</f>
        <v>Manager, Service Management &amp; Major Incident Mgmt Lead</v>
      </c>
      <c r="D64" s="1531" t="str">
        <f>INDEX('REVIEW - Complete Role Mapping'!$AK:$AK,202)</f>
        <v>Filled</v>
      </c>
      <c r="E64" s="1548" t="inlineStr">
        <is>
          <t>Filled</t>
        </is>
      </c>
      <c r="F64" s="1770">
        <f>INDEX('REVIEW - Complete Role Mapping'!$AA:$AA,202)</f>
        <v>274943.25</v>
      </c>
      <c r="G64" s="1770">
        <f>$F64*IFERROR(INDEX(Lists!$AD:$AD,MATCH($E64,Lists!$AC:$AC,0)),1)</f>
        <v>274943.25</v>
      </c>
    </row>
    <row r="65">
      <c r="B65" s="1531" t="str">
        <f>INDEX('REVIEW - Complete Role Mapping'!$B:$B,205)</f>
        <v>Ethan Lamhert (FT)</v>
      </c>
      <c r="C65" s="1531" t="str">
        <f>INDEX('REVIEW - Complete Role Mapping'!$C:$C,205)</f>
        <v>Tech Support Technician</v>
      </c>
      <c r="D65" s="1531" t="str">
        <f>INDEX('REVIEW - Complete Role Mapping'!$AK:$AK,205)</f>
        <v>Filled</v>
      </c>
      <c r="E65" s="1548" t="inlineStr">
        <is>
          <t>Filled</t>
        </is>
      </c>
      <c r="F65" s="1770">
        <f>INDEX('REVIEW - Complete Role Mapping'!$AA:$AA,205)</f>
        <v>89758</v>
      </c>
      <c r="G65" s="1770">
        <f>$F65*IFERROR(INDEX(Lists!$AD:$AD,MATCH($E65,Lists!$AC:$AC,0)),1)</f>
        <v>89758</v>
      </c>
    </row>
    <row r="66">
      <c r="B66" s="1531" t="str">
        <f>INDEX('REVIEW - Complete Role Mapping'!$B:$B,207)</f>
        <v>Jack Jenkins</v>
      </c>
      <c r="C66" s="1531" t="str">
        <f>INDEX('REVIEW - Complete Role Mapping'!$C:$C,207)</f>
        <v>Asset Analyst</v>
      </c>
      <c r="D66" s="1531" t="str">
        <f>INDEX('REVIEW - Complete Role Mapping'!$AK:$AK,207)</f>
        <v>Filled</v>
      </c>
      <c r="E66" s="1548" t="inlineStr">
        <is>
          <t>Filled</t>
        </is>
      </c>
      <c r="F66" s="1770">
        <f>INDEX('REVIEW - Complete Role Mapping'!$AA:$AA,207)</f>
        <v>139008.65</v>
      </c>
      <c r="G66" s="1770">
        <f>$F66*IFERROR(INDEX(Lists!$AD:$AD,MATCH($E66,Lists!$AC:$AC,0)),1)</f>
        <v>139008.65</v>
      </c>
    </row>
    <row r="67">
      <c r="B67" s="1531" t="str">
        <f>INDEX('REVIEW - Complete Role Mapping'!$B:$B,209)</f>
        <v>Jas Mann</v>
      </c>
      <c r="C67" s="1531" t="str">
        <f>INDEX('REVIEW - Complete Role Mapping'!$C:$C,209)</f>
        <v>Technology Support Engineer</v>
      </c>
      <c r="D67" s="1531" t="str">
        <f>INDEX('REVIEW - Complete Role Mapping'!$AK:$AK,209)</f>
        <v>Filled</v>
      </c>
      <c r="E67" s="1548" t="inlineStr">
        <is>
          <t>Filled</t>
        </is>
      </c>
      <c r="F67" s="1770">
        <f>INDEX('REVIEW - Complete Role Mapping'!$AA:$AA,209)</f>
        <v>146885.5</v>
      </c>
      <c r="G67" s="1770">
        <f>$F67*IFERROR(INDEX(Lists!$AD:$AD,MATCH($E67,Lists!$AC:$AC,0)),1)</f>
        <v>146885.5</v>
      </c>
    </row>
    <row r="68">
      <c r="B68" s="1531" t="str">
        <f>INDEX('REVIEW - Complete Role Mapping'!$B:$B,211)</f>
        <v>Kaaviya Salai Manimudian</v>
      </c>
      <c r="C68" s="1531" t="str">
        <f>INDEX('REVIEW - Complete Role Mapping'!$C:$C,211)</f>
        <v>Graduate</v>
      </c>
      <c r="D68" s="1531" t="str">
        <f>INDEX('REVIEW - Complete Role Mapping'!$AK:$AK,211)</f>
        <v>Filled</v>
      </c>
      <c r="E68" s="1548" t="inlineStr">
        <is>
          <t>Filled</t>
        </is>
      </c>
      <c r="F68" s="1770">
        <f>INDEX('REVIEW - Complete Role Mapping'!$AA:$AA,211)</f>
        <v>110075</v>
      </c>
      <c r="G68" s="1770">
        <f>$F68*IFERROR(INDEX(Lists!$AD:$AD,MATCH($E68,Lists!$AC:$AC,0)),1)</f>
        <v>110075</v>
      </c>
    </row>
    <row r="69">
      <c r="B69" s="1531" t="str">
        <f>INDEX('REVIEW - Complete Role Mapping'!$B:$B,214)</f>
        <v>Lynda Niewidok</v>
      </c>
      <c r="C69" s="1531" t="str">
        <f>INDEX('REVIEW - Complete Role Mapping'!$C:$C,214)</f>
        <v>Lead - Service Desk</v>
      </c>
      <c r="D69" s="1531" t="str">
        <f>INDEX('REVIEW - Complete Role Mapping'!$AK:$AK,214)</f>
        <v>Filled</v>
      </c>
      <c r="E69" s="1548" t="inlineStr">
        <is>
          <t>Filled</t>
        </is>
      </c>
      <c r="F69" s="1770">
        <f>INDEX('REVIEW - Complete Role Mapping'!$AA:$AA,214)</f>
        <v>203988</v>
      </c>
      <c r="G69" s="1770">
        <f>$F69*IFERROR(INDEX(Lists!$AD:$AD,MATCH($E69,Lists!$AC:$AC,0)),1)</f>
        <v>203988</v>
      </c>
    </row>
    <row r="70">
      <c r="B70" s="1531" t="str">
        <f>INDEX('REVIEW - Complete Role Mapping'!$B:$B,215)</f>
        <v>Mark Pearson</v>
      </c>
      <c r="C70" s="1531" t="str">
        <f>INDEX('REVIEW - Complete Role Mapping'!$C:$C,215)</f>
        <v>Lead - Technology Support</v>
      </c>
      <c r="D70" s="1531" t="str">
        <f>INDEX('REVIEW - Complete Role Mapping'!$AK:$AK,215)</f>
        <v>Filled</v>
      </c>
      <c r="E70" s="1548" t="inlineStr">
        <is>
          <t>Filled</t>
        </is>
      </c>
      <c r="F70" s="1770">
        <f>INDEX('REVIEW - Complete Role Mapping'!$AA:$AA,215)</f>
        <v>203841.15</v>
      </c>
      <c r="G70" s="1770">
        <f>$F70*IFERROR(INDEX(Lists!$AD:$AD,MATCH($E70,Lists!$AC:$AC,0)),1)</f>
        <v>203841.15</v>
      </c>
    </row>
    <row r="71">
      <c r="B71" s="1531" t="str">
        <f>INDEX('REVIEW - Complete Role Mapping'!$B:$B,216)</f>
        <v>Mary-Grace Rivera</v>
      </c>
      <c r="C71" s="1531" t="str">
        <f>INDEX('REVIEW - Complete Role Mapping'!$C:$C,216)</f>
        <v>Lead, Service Management</v>
      </c>
      <c r="D71" s="1531" t="str">
        <f>INDEX('REVIEW - Complete Role Mapping'!$AK:$AK,216)</f>
        <v>Filled</v>
      </c>
      <c r="E71" s="1548" t="inlineStr">
        <is>
          <t>Filled</t>
        </is>
      </c>
      <c r="F71" s="1770">
        <f>INDEX('REVIEW - Complete Role Mapping'!$AA:$AA,216)</f>
        <v>180970.3</v>
      </c>
      <c r="G71" s="1770">
        <f>$F71*IFERROR(INDEX(Lists!$AD:$AD,MATCH($E71,Lists!$AC:$AC,0)),1)</f>
        <v>180970.3</v>
      </c>
    </row>
    <row r="72">
      <c r="B72" s="1531" t="str">
        <f>INDEX('REVIEW - Complete Role Mapping'!$B:$B,217)</f>
        <v>Mick Collins</v>
      </c>
      <c r="C72" s="1531" t="str">
        <f>INDEX('REVIEW - Complete Role Mapping'!$C:$C,217)</f>
        <v>Manager, Service Performance &amp; Assurance</v>
      </c>
      <c r="D72" s="1531" t="str">
        <f>INDEX('REVIEW - Complete Role Mapping'!$AK:$AK,217)</f>
        <v>Filled</v>
      </c>
      <c r="E72" s="1548" t="inlineStr">
        <is>
          <t>Filled</t>
        </is>
      </c>
      <c r="F72" s="1770">
        <f>INDEX('REVIEW - Complete Role Mapping'!$AA:$AA,217)</f>
        <v>272070.45</v>
      </c>
      <c r="G72" s="1770">
        <f>$F72*IFERROR(INDEX(Lists!$AD:$AD,MATCH($E72,Lists!$AC:$AC,0)),1)</f>
        <v>272070.45</v>
      </c>
    </row>
    <row r="73">
      <c r="B73" s="1531" t="str">
        <f>INDEX('REVIEW - Complete Role Mapping'!$B:$B,222)</f>
        <v>Rajini Onteddu Reddy</v>
      </c>
      <c r="C73" s="1531" t="str">
        <f>INDEX('REVIEW - Complete Role Mapping'!$C:$C,222)</f>
        <v>Head of Service Operations &amp; Assurance</v>
      </c>
      <c r="D73" s="1531" t="str">
        <f>INDEX('REVIEW - Complete Role Mapping'!$AK:$AK,222)</f>
        <v>Filled</v>
      </c>
      <c r="E73" s="1548" t="inlineStr">
        <is>
          <t>Filled</t>
        </is>
      </c>
      <c r="F73" s="1770">
        <f>INDEX('REVIEW - Complete Role Mapping'!$AA:$AA,222)</f>
        <v>400671.4</v>
      </c>
      <c r="G73" s="1770">
        <f>$F73*IFERROR(INDEX(Lists!$AD:$AD,MATCH($E73,Lists!$AC:$AC,0)),1)</f>
        <v>400671.4</v>
      </c>
    </row>
    <row r="74">
      <c r="B74" s="1531" t="str">
        <f>INDEX('REVIEW - Complete Role Mapping'!$B:$B,224)</f>
        <v>Remya Pookat</v>
      </c>
      <c r="C74" s="1531" t="str">
        <f>INDEX('REVIEW - Complete Role Mapping'!$C:$C,224)</f>
        <v>Lead - Change &amp; Release Management</v>
      </c>
      <c r="D74" s="1531" t="str">
        <f>INDEX('REVIEW - Complete Role Mapping'!$AK:$AK,224)</f>
        <v>Filled</v>
      </c>
      <c r="E74" s="1548" t="inlineStr">
        <is>
          <t>Filled</t>
        </is>
      </c>
      <c r="F74" s="1770">
        <f>INDEX('REVIEW - Complete Role Mapping'!$AA:$AA,224)</f>
        <v>220875.75</v>
      </c>
      <c r="G74" s="1770">
        <f>$F74*IFERROR(INDEX(Lists!$AD:$AD,MATCH($E74,Lists!$AC:$AC,0)),1)</f>
        <v>220875.75</v>
      </c>
    </row>
    <row r="75">
      <c r="B75" s="1531" t="str">
        <f>INDEX('REVIEW - Complete Role Mapping'!$B:$B,225)</f>
        <v>Ritika Salaria</v>
      </c>
      <c r="C75" s="1531" t="str">
        <f>INDEX('REVIEW - Complete Role Mapping'!$C:$C,225)</f>
        <v>Configuration Analyst</v>
      </c>
      <c r="D75" s="1531" t="str">
        <f>INDEX('REVIEW - Complete Role Mapping'!$AK:$AK,225)</f>
        <v>Filled</v>
      </c>
      <c r="E75" s="1548" t="inlineStr">
        <is>
          <t>Filled</t>
        </is>
      </c>
      <c r="F75" s="1770">
        <f>INDEX('REVIEW - Complete Role Mapping'!$AA:$AA,225)</f>
        <v>173106.6</v>
      </c>
      <c r="G75" s="1770">
        <f>$F75*IFERROR(INDEX(Lists!$AD:$AD,MATCH($E75,Lists!$AC:$AC,0)),1)</f>
        <v>173106.6</v>
      </c>
    </row>
    <row r="76">
      <c r="B76" s="1531" t="str">
        <f>INDEX('REVIEW - Complete Role Mapping'!$B:$B,229)</f>
        <v>Spoilagi Bhutwala</v>
      </c>
      <c r="C76" s="1531" t="str">
        <f>INDEX('REVIEW - Complete Role Mapping'!$C:$C,229)</f>
        <v>Tech Support Technician</v>
      </c>
      <c r="D76" s="1531" t="str">
        <f>INDEX('REVIEW - Complete Role Mapping'!$AK:$AK,229)</f>
        <v>Filled</v>
      </c>
      <c r="E76" s="1548" t="inlineStr">
        <is>
          <t>Filled</t>
        </is>
      </c>
      <c r="F76" s="1770">
        <f>INDEX('REVIEW - Complete Role Mapping'!$AA:$AA,229)</f>
        <v>97237.784</v>
      </c>
      <c r="G76" s="1770">
        <f>$F76*IFERROR(INDEX(Lists!$AD:$AD,MATCH($E76,Lists!$AC:$AC,0)),1)</f>
        <v>97237.784</v>
      </c>
    </row>
    <row r="77">
      <c r="B77" s="1531" t="str">
        <f>INDEX('REVIEW - Complete Role Mapping'!$B:$B,233)</f>
        <v>Vacant</v>
      </c>
      <c r="C77" s="1531" t="str">
        <f>INDEX('REVIEW - Complete Role Mapping'!$C:$C,233)</f>
        <v>Lead - Problem Management</v>
      </c>
      <c r="D77" s="1531" t="str">
        <f>INDEX('REVIEW - Complete Role Mapping'!$AK:$AK,233)</f>
        <v>Vacant</v>
      </c>
      <c r="E77" s="1548" t="inlineStr">
        <is>
          <t>Hire</t>
        </is>
      </c>
      <c r="F77" s="1770">
        <f>INDEX('REVIEW - Complete Role Mapping'!$AA:$AA,233)</f>
        <v>170489.75</v>
      </c>
      <c r="G77" s="1770">
        <f>$F77*IFERROR(INDEX(Lists!$AD:$AD,MATCH($E77,Lists!$AC:$AC,0)),1)</f>
        <v>170489.75</v>
      </c>
    </row>
    <row r="78">
      <c r="B78" s="1531" t="str">
        <f>INDEX('REVIEW - Complete Role Mapping'!$B:$B,234)</f>
        <v>Vacant</v>
      </c>
      <c r="C78" s="1531" t="str">
        <f>INDEX('REVIEW - Complete Role Mapping'!$C:$C,234)</f>
        <v>Lead - Asset &amp; Configuration</v>
      </c>
      <c r="D78" s="1531" t="str">
        <f>INDEX('REVIEW - Complete Role Mapping'!$AK:$AK,234)</f>
        <v>Vacant</v>
      </c>
      <c r="E78" s="1548" t="inlineStr">
        <is>
          <t>Hire</t>
        </is>
      </c>
      <c r="F78" s="1770">
        <f>INDEX('REVIEW - Complete Role Mapping'!$AA:$AA,234)</f>
        <v>202853.25</v>
      </c>
      <c r="G78" s="1770">
        <f>$F78*IFERROR(INDEX(Lists!$AD:$AD,MATCH($E78,Lists!$AC:$AC,0)),1)</f>
        <v>202853.25</v>
      </c>
    </row>
    <row r="79">
      <c r="B79" s="1531" t="str">
        <f>INDEX('REVIEW - Complete Role Mapping'!$B:$B,235)</f>
        <v>Vacant</v>
      </c>
      <c r="C79" s="1531" t="str">
        <f>INDEX('REVIEW - Complete Role Mapping'!$C:$C,235)</f>
        <v>Lead - Service Performance &amp; Insights</v>
      </c>
      <c r="D79" s="1531" t="str">
        <f>INDEX('REVIEW - Complete Role Mapping'!$AK:$AK,235)</f>
        <v>Vacant</v>
      </c>
      <c r="E79" s="1548" t="inlineStr">
        <is>
          <t>Hire</t>
        </is>
      </c>
      <c r="F79" s="1770">
        <f>INDEX('REVIEW - Complete Role Mapping'!$AA:$AA,235)</f>
        <v>202853.25</v>
      </c>
      <c r="G79" s="1770">
        <f>$F79*IFERROR(INDEX(Lists!$AD:$AD,MATCH($E79,Lists!$AC:$AC,0)),1)</f>
        <v>202853.25</v>
      </c>
    </row>
    <row r="80">
      <c r="B80" s="1531" t="str">
        <f>INDEX('REVIEW - Complete Role Mapping'!$B:$B,236)</f>
        <v>Vacant</v>
      </c>
      <c r="C80" s="1531" t="str">
        <f>INDEX('REVIEW - Complete Role Mapping'!$C:$C,236)</f>
        <v>Tech Support Technician</v>
      </c>
      <c r="D80" s="1531" t="str">
        <f>INDEX('REVIEW - Complete Role Mapping'!$AK:$AK,236)</f>
        <v>Vacant</v>
      </c>
      <c r="E80" s="1548" t="inlineStr">
        <is>
          <t>Hire</t>
        </is>
      </c>
      <c r="F80" s="1770">
        <f>INDEX('REVIEW - Complete Role Mapping'!$AA:$AA,236)</f>
        <v>122571.75</v>
      </c>
      <c r="G80" s="1770">
        <f>$F80*IFERROR(INDEX(Lists!$AD:$AD,MATCH($E80,Lists!$AC:$AC,0)),1)</f>
        <v>122571.75</v>
      </c>
    </row>
  </sheetData>
  <dataValidations count="1">
    <dataValidation sqref="E31 E32 E33 E34 E35 E37 E38 E40 E41 E42 E43 E44 E46 E47 E48 E49 E50 E51 E52 E53 E54 E55 E56 E57 E58 E60 E61 E62 E63 E64 E65 E66 E67 E68 E69 E70 E71 E72 E73 E74 E75 E76 E77 E78 E79 E8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Q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40" t="str">
        <f>"-"</f>
        <v>-</v>
      </c>
      <c r="F11" s="1770">
        <f>COUNTA($B$29:$B$32)</f>
        <v>4</v>
      </c>
      <c r="G11" s="1770">
        <f>COUNTIFS($D$29:$D$32,"Filled")</f>
        <v>3</v>
      </c>
      <c r="H11" s="1770">
        <f>COUNTIFS($D$29:$D$32,"Vacant")</f>
        <v>1</v>
      </c>
      <c r="I11" s="1770">
        <f>COUNTIFS($D$29:$D$32,"Vacant",$E$29:$E$32,"Hire")</f>
        <v>1</v>
      </c>
      <c r="J11" s="1770">
        <f>COUNTIFS($E$29:$E$32,"Offshore")</f>
        <v>0</v>
      </c>
      <c r="K11" s="1770">
        <f>COUNTIFS($E$29:$E$32,"Hold")</f>
        <v>0</v>
      </c>
      <c r="L11" s="1770">
        <f>$F11-$K11</f>
        <v>4</v>
      </c>
      <c r="M11" s="1769">
        <f>$N11</f>
        <v>0.979014192</v>
      </c>
      <c r="N11" s="1769">
        <f>SUMIFS('REVIEW - Complete Role Mapping'!$AA$2:$AA$528,'REVIEW - Complete Role Mapping'!$AJ$2:$AJ$528,$C$3,'REVIEW - Complete Role Mapping'!$AT$2:$AT$528,$B11)/1000000</f>
        <v>0.979014192</v>
      </c>
      <c r="O11" s="1769">
        <f>ROUND($N11-$M11,6)</f>
        <v>0</v>
      </c>
      <c r="P11" s="1769">
        <f>SUM($G$29:$G$32)/1000000</f>
        <v>0.979014192</v>
      </c>
      <c r="Q11" s="1769">
        <f>ROUND($P11-$M11,6)</f>
        <v>0</v>
      </c>
    </row>
    <row r="12">
      <c r="B12" s="1531" t="inlineStr">
        <is>
          <t>TDD Business Partner</t>
        </is>
      </c>
      <c r="C12" s="1531" t="str">
        <f>"-"</f>
        <v>-</v>
      </c>
      <c r="D12" s="1531" t="str">
        <f>"-"</f>
        <v>-</v>
      </c>
      <c r="E12" s="1540" t="str">
        <f>"-"</f>
        <v>-</v>
      </c>
      <c r="F12" s="1770">
        <f>COUNTA($B$34:$B$39)</f>
        <v>6</v>
      </c>
      <c r="G12" s="1770">
        <f>COUNTIFS($D$34:$D$39,"Filled")</f>
        <v>6</v>
      </c>
      <c r="H12" s="1770">
        <f>COUNTIFS($D$34:$D$39,"Vacant")</f>
        <v>0</v>
      </c>
      <c r="I12" s="1770">
        <f>COUNTIFS($D$34:$D$39,"Vacant",$E$34:$E$39,"Hire")</f>
        <v>0</v>
      </c>
      <c r="J12" s="1770">
        <f>COUNTIFS($E$34:$E$39,"Offshore")</f>
        <v>0</v>
      </c>
      <c r="K12" s="1770">
        <f>COUNTIFS($E$34:$E$39,"Hold")</f>
        <v>0</v>
      </c>
      <c r="L12" s="1770">
        <f>$F12-$K12</f>
        <v>6</v>
      </c>
      <c r="M12" s="1769">
        <f>$N12</f>
        <v>2.3135484</v>
      </c>
      <c r="N12" s="1769">
        <f>SUMIFS('REVIEW - Complete Role Mapping'!$AA$2:$AA$528,'REVIEW - Complete Role Mapping'!$AJ$2:$AJ$528,$C$3,'REVIEW - Complete Role Mapping'!$AT$2:$AT$528,$B12)/1000000</f>
        <v>2.3135484</v>
      </c>
      <c r="O12" s="1769">
        <f>ROUND($N12-$M12,6)</f>
        <v>0</v>
      </c>
      <c r="P12" s="1769">
        <f>SUM($G$34:$G$39)/1000000</f>
        <v>2.3135484</v>
      </c>
      <c r="Q12" s="1769">
        <f>ROUND($P12-$M12,6)</f>
        <v>0</v>
      </c>
    </row>
    <row r="13">
      <c r="B13" s="1531" t="inlineStr">
        <is>
          <t>Transformation</t>
        </is>
      </c>
      <c r="C13" s="1531" t="str">
        <f>"-"</f>
        <v>-</v>
      </c>
      <c r="D13" s="1531" t="str">
        <f>"-"</f>
        <v>-</v>
      </c>
      <c r="E13" s="1540" t="str">
        <f>"-"</f>
        <v>-</v>
      </c>
      <c r="F13" s="1770">
        <f>COUNTA($B$41:$B$54)</f>
        <v>14</v>
      </c>
      <c r="G13" s="1770">
        <f>COUNTIFS($D$41:$D$54,"Filled")</f>
        <v>6</v>
      </c>
      <c r="H13" s="1770">
        <f>COUNTIFS($D$41:$D$54,"Vacant")</f>
        <v>8</v>
      </c>
      <c r="I13" s="1770">
        <f>COUNTIFS($D$41:$D$54,"Vacant",$E$41:$E$54,"Hire")</f>
        <v>8</v>
      </c>
      <c r="J13" s="1770">
        <f>COUNTIFS($E$41:$E$54,"Offshore")</f>
        <v>0</v>
      </c>
      <c r="K13" s="1770">
        <f>COUNTIFS($E$41:$E$54,"Hold")</f>
        <v>0</v>
      </c>
      <c r="L13" s="1770">
        <f>$F13-$K13</f>
        <v>14</v>
      </c>
      <c r="M13" s="1769">
        <f>$N13</f>
        <v>3.10799923</v>
      </c>
      <c r="N13" s="1769">
        <f>SUMIFS('REVIEW - Complete Role Mapping'!$AA$2:$AA$528,'REVIEW - Complete Role Mapping'!$AJ$2:$AJ$528,$C$3,'REVIEW - Complete Role Mapping'!$AT$2:$AT$528,$B13)/1000000</f>
        <v>3.10799923</v>
      </c>
      <c r="O13" s="1769">
        <f>ROUND($N13-$M13,6)</f>
        <v>0</v>
      </c>
      <c r="P13" s="1769">
        <f>SUM($G$41:$G$54)/1000000</f>
        <v>3.10799923</v>
      </c>
      <c r="Q13" s="1769">
        <f>ROUND($P13-$M13,6)</f>
        <v>0</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f>SUM(M11:M13)</f>
        <v>6.400561822</v>
      </c>
      <c r="N14" s="1771">
        <f>SUM(N11:N13)</f>
        <v>6.400561822</v>
      </c>
      <c r="O14" s="1771">
        <f>IF(N($M14)=0,"-",ROUND($N14-$M14,6))</f>
        <v>0</v>
      </c>
      <c r="P14" s="1771">
        <f>SUM(P11:P13)</f>
        <v>6.400561822</v>
      </c>
      <c r="Q14" s="1771">
        <f>IF(N($M14)=0,"-",ROUND($P14-$M14,6))</f>
        <v>0</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f>SUM(M16:M16)</f>
        <v>0</v>
      </c>
      <c r="N17" s="1771">
        <f>SUM(N16:N16)</f>
        <v>0</v>
      </c>
      <c r="O17" s="1771" t="str">
        <f>IF(N($M17)=0,"-",ROUND($N17-$M17,6))</f>
        <v>-</v>
      </c>
      <c r="P17" s="1771">
        <f>SUM(P16:P16)</f>
        <v>0</v>
      </c>
      <c r="Q17" s="1771" t="str">
        <f>IF(N($M17)=0,"-",ROUND($P17-$M17,6))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None</t>
        </is>
      </c>
      <c r="C19" s="1531" t="inlineStr">
        <is>
          <t>None - the COEs carry no overhead</t>
        </is>
      </c>
      <c r="D19" s="1539" t="str">
        <f>"-"</f>
        <v>-</v>
      </c>
      <c r="E19" s="1539" t="str">
        <f>"-"</f>
        <v>-</v>
      </c>
      <c r="F19" s="1539" t="str">
        <f>"-"</f>
        <v>-</v>
      </c>
      <c r="G19" s="1539" t="str">
        <f>"-"</f>
        <v>-</v>
      </c>
      <c r="H19" s="1539" t="str">
        <f>"-"</f>
        <v>-</v>
      </c>
      <c r="I19" s="1539" t="str">
        <f>"-"</f>
        <v>-</v>
      </c>
      <c r="J19" s="1539" t="str">
        <f>"-"</f>
        <v>-</v>
      </c>
      <c r="K19" s="1539" t="str">
        <f>"-"</f>
        <v>-</v>
      </c>
      <c r="L19" s="1539" t="str">
        <f>"-"</f>
        <v>-</v>
      </c>
      <c r="M19" s="1539" t="str">
        <f>"-"</f>
        <v>-</v>
      </c>
      <c r="N19" s="1539" t="str">
        <f>"-"</f>
        <v>-</v>
      </c>
      <c r="O19" s="1539" t="str">
        <f>"-"</f>
        <v>-</v>
      </c>
      <c r="P19" s="1539" t="str">
        <f>"-"</f>
        <v>-</v>
      </c>
      <c r="Q19" s="1539" t="str">
        <f>"-"</f>
        <v>-</v>
      </c>
    </row>
    <row r="20">
      <c r="B20" s="1535" t="inlineStr">
        <is>
          <t>Overhead roles total</t>
        </is>
      </c>
      <c r="C20" s="1535" t="n"/>
      <c r="D20" s="1535" t="n"/>
      <c r="E20" s="1784">
        <f>SUM(E19:E19)</f>
        <v>0</v>
      </c>
      <c r="F20" s="1772">
        <f>SUM(F19:F19)</f>
        <v>0</v>
      </c>
      <c r="G20" s="1772">
        <f>SUM(G19:G19)</f>
        <v>0</v>
      </c>
      <c r="H20" s="1772">
        <f>SUM(H19:H19)</f>
        <v>0</v>
      </c>
      <c r="I20" s="1772">
        <f>SUM(I19:I19)</f>
        <v>0</v>
      </c>
      <c r="J20" s="1772">
        <f>SUM(J19:J19)</f>
        <v>0</v>
      </c>
      <c r="K20" s="1772">
        <f>SUM(K19:K19)</f>
        <v>0</v>
      </c>
      <c r="L20" s="1772">
        <f>SUM(L19:L19)</f>
        <v>0</v>
      </c>
      <c r="M20" s="1771">
        <f>SUM(M19:M19)</f>
        <v>0</v>
      </c>
      <c r="N20" s="1771">
        <f>SUM(N19:N19)</f>
        <v>0</v>
      </c>
      <c r="O20" s="1771" t="str">
        <f>IF(N($M20)=0,"-",ROUND($N20-$M20,6))</f>
        <v>-</v>
      </c>
      <c r="P20" s="1771">
        <f>SUM(P19:P19)</f>
        <v>0</v>
      </c>
      <c r="Q20" s="1771" t="str">
        <f>IF(N($M20)=0,"-",ROUND($P20-$M20,6))</f>
        <v>-</v>
      </c>
    </row>
    <row r="21">
      <c r="B21" s="1541" t="inlineStr">
        <is>
          <t>Total portfolio</t>
        </is>
      </c>
      <c r="C21" s="1541" t="n"/>
      <c r="D21" s="1541" t="n"/>
      <c r="E21" s="1785">
        <f>N(E9)+N(E14)+N(E17)+N(E20)</f>
        <v>0</v>
      </c>
      <c r="F21" s="1774">
        <f>N(F9)+N(F14)+N(F17)+N(F20)</f>
        <v>24</v>
      </c>
      <c r="G21" s="1774">
        <f>N(G9)+N(G14)+N(G17)+N(G20)</f>
        <v>15</v>
      </c>
      <c r="H21" s="1774">
        <f>N(H9)+N(H14)+N(H17)+N(H20)</f>
        <v>9</v>
      </c>
      <c r="I21" s="1774">
        <f>N(I9)+N(I14)+N(I17)+N(I20)</f>
        <v>9</v>
      </c>
      <c r="J21" s="1774">
        <f>N(J9)+N(J14)+N(J17)+N(J20)</f>
        <v>0</v>
      </c>
      <c r="K21" s="1774">
        <f>N(K9)+N(K14)+N(K17)+N(K20)</f>
        <v>0</v>
      </c>
      <c r="L21" s="1774">
        <f>N(L9)+N(L14)+N(L17)+N(L20)</f>
        <v>24</v>
      </c>
      <c r="M21" s="1773" t="str">
        <f>"-"</f>
        <v>-</v>
      </c>
      <c r="N21" s="1773">
        <f>N(N9)+N(N14)+N(N17)+N(N20)</f>
        <v>6.400561822</v>
      </c>
      <c r="O21" s="1773" t="str">
        <f>"-"</f>
        <v>-</v>
      </c>
      <c r="P21" s="1773">
        <f>N(P9)+N(P14)+N(P17)+N(P20)</f>
        <v>6.400561822</v>
      </c>
      <c r="Q21" s="1773" t="str">
        <f>"-"</f>
        <v>-</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COE BP&amp;T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Commercial</t>
        </is>
      </c>
      <c r="C28" s="1530" t="str">
        <f>COUNTA($B$29:$B$32)&amp;IF(COUNTA($B$29:$B$32)=1," role"," roles")</f>
        <v>4 roles</v>
      </c>
      <c r="D28" s="1530" t="n"/>
      <c r="E28" s="1530" t="n"/>
      <c r="F28" s="1786">
        <f>SUM(F29:F32)</f>
        <v>979014.192</v>
      </c>
      <c r="G28" s="1786">
        <f>SUM(G29:G32)</f>
        <v>979014.192</v>
      </c>
    </row>
    <row r="29">
      <c r="B29" s="1531" t="str">
        <f>INDEX('REVIEW - Complete Role Mapping'!$B:$B,255)</f>
        <v>Briony Scott</v>
      </c>
      <c r="C29" s="1531" t="str">
        <f>INDEX('REVIEW - Complete Role Mapping'!$C:$C,255)</f>
        <v>Service &amp; Contract Specialist AU</v>
      </c>
      <c r="D29" s="1531" t="str">
        <f>INDEX('REVIEW - Complete Role Mapping'!$AK:$AK,255)</f>
        <v>Filled</v>
      </c>
      <c r="E29" s="1548" t="inlineStr">
        <is>
          <t>Filled</t>
        </is>
      </c>
      <c r="F29" s="1770">
        <f>INDEX('REVIEW - Complete Role Mapping'!$AA:$AA,255)</f>
        <v>205056</v>
      </c>
      <c r="G29" s="1770">
        <f>$F29*IFERROR(INDEX(Lists!$AD:$AD,MATCH($E29,Lists!$AC:$AC,0)),1)</f>
        <v>205056</v>
      </c>
    </row>
    <row r="30">
      <c r="B30" s="1531" t="str">
        <f>INDEX('REVIEW - Complete Role Mapping'!$B:$B,257)</f>
        <v>Helen Ngu</v>
      </c>
      <c r="C30" s="1531" t="str">
        <f>INDEX('REVIEW - Complete Role Mapping'!$C:$C,257)</f>
        <v>Service &amp; Contract Specialist NZ</v>
      </c>
      <c r="D30" s="1531" t="str">
        <f>INDEX('REVIEW - Complete Role Mapping'!$AK:$AK,257)</f>
        <v>Filled</v>
      </c>
      <c r="E30" s="1548" t="inlineStr">
        <is>
          <t>Filled</t>
        </is>
      </c>
      <c r="F30" s="1770">
        <f>INDEX('REVIEW - Complete Role Mapping'!$AA:$AA,257)</f>
        <v>151002.492</v>
      </c>
      <c r="G30" s="1770">
        <f>$F30*IFERROR(INDEX(Lists!$AD:$AD,MATCH($E30,Lists!$AC:$AC,0)),1)</f>
        <v>151002.492</v>
      </c>
    </row>
    <row r="31">
      <c r="B31" s="1531" t="str">
        <f>INDEX('REVIEW - Complete Role Mapping'!$B:$B,258)</f>
        <v>Jane Esclandra</v>
      </c>
      <c r="C31" s="1531" t="str">
        <f>INDEX('REVIEW - Complete Role Mapping'!$C:$C,258)</f>
        <v>Software Asset Specialist</v>
      </c>
      <c r="D31" s="1531" t="str">
        <f>INDEX('REVIEW - Complete Role Mapping'!$AK:$AK,258)</f>
        <v>Filled</v>
      </c>
      <c r="E31" s="1548" t="inlineStr">
        <is>
          <t>Filled</t>
        </is>
      </c>
      <c r="F31" s="1770">
        <f>INDEX('REVIEW - Complete Role Mapping'!$AA:$AA,258)</f>
        <v>183455.7</v>
      </c>
      <c r="G31" s="1770">
        <f>$F31*IFERROR(INDEX(Lists!$AD:$AD,MATCH($E31,Lists!$AC:$AC,0)),1)</f>
        <v>183455.7</v>
      </c>
    </row>
    <row r="32">
      <c r="B32" s="1531" t="str">
        <f>INDEX('REVIEW - Complete Role Mapping'!$B:$B,269)</f>
        <v>Vacant</v>
      </c>
      <c r="C32" s="1531" t="str">
        <f>INDEX('REVIEW - Complete Role Mapping'!$C:$C,269)</f>
        <v>Commercial Director</v>
      </c>
      <c r="D32" s="1531" t="str">
        <f>INDEX('REVIEW - Complete Role Mapping'!$AK:$AK,269)</f>
        <v>Vacant</v>
      </c>
      <c r="E32" s="1548" t="inlineStr">
        <is>
          <t>Hire</t>
        </is>
      </c>
      <c r="F32" s="1770">
        <f>INDEX('REVIEW - Complete Role Mapping'!$AA:$AA,269)</f>
        <v>439500</v>
      </c>
      <c r="G32" s="1770">
        <f>$F32*IFERROR(INDEX(Lists!$AD:$AD,MATCH($E32,Lists!$AC:$AC,0)),1)</f>
        <v>439500</v>
      </c>
    </row>
    <row r="33">
      <c r="B33" s="1530" t="inlineStr">
        <is>
          <t>TDD Business Partner</t>
        </is>
      </c>
      <c r="C33" s="1530" t="str">
        <f>COUNTA($B$34:$B$39)&amp;IF(COUNTA($B$34:$B$39)=1," role"," roles")</f>
        <v>6 roles</v>
      </c>
      <c r="D33" s="1530" t="n"/>
      <c r="E33" s="1530" t="n"/>
      <c r="F33" s="1786">
        <f>SUM(F34:F39)</f>
        <v>2313548.4</v>
      </c>
      <c r="G33" s="1786">
        <f>SUM(G34:G39)</f>
        <v>2313548.4</v>
      </c>
    </row>
    <row r="34">
      <c r="B34" s="1531" t="str">
        <f>INDEX('REVIEW - Complete Role Mapping'!$B:$B,256)</f>
        <v>Conli Mills</v>
      </c>
      <c r="C34" s="1531" t="str">
        <f>INDEX('REVIEW - Complete Role Mapping'!$C:$C,256)</f>
        <v>TDD BP - Infrastructure</v>
      </c>
      <c r="D34" s="1531" t="str">
        <f>INDEX('REVIEW - Complete Role Mapping'!$AK:$AK,256)</f>
        <v>Filled</v>
      </c>
      <c r="E34" s="1548" t="inlineStr">
        <is>
          <t>Filled</t>
        </is>
      </c>
      <c r="F34" s="1770">
        <f>INDEX('REVIEW - Complete Role Mapping'!$AA:$AA,256)</f>
        <v>297150</v>
      </c>
      <c r="G34" s="1770">
        <f>$F34*IFERROR(INDEX(Lists!$AD:$AD,MATCH($E34,Lists!$AC:$AC,0)),1)</f>
        <v>297150</v>
      </c>
    </row>
    <row r="35">
      <c r="B35" s="1531" t="str">
        <f>INDEX('REVIEW - Complete Role Mapping'!$B:$B,261)</f>
        <v>Malcolm Deare</v>
      </c>
      <c r="C35" s="1531" t="str">
        <f>INDEX('REVIEW - Complete Role Mapping'!$C:$C,261)</f>
        <v>TDD BP, Group Functions</v>
      </c>
      <c r="D35" s="1531" t="str">
        <f>INDEX('REVIEW - Complete Role Mapping'!$AK:$AK,261)</f>
        <v>Filled</v>
      </c>
      <c r="E35" s="1548" t="inlineStr">
        <is>
          <t>Filled</t>
        </is>
      </c>
      <c r="F35" s="1770">
        <f>INDEX('REVIEW - Complete Role Mapping'!$AA:$AA,261)</f>
        <v>298100</v>
      </c>
      <c r="G35" s="1770">
        <f>$F35*IFERROR(INDEX(Lists!$AD:$AD,MATCH($E35,Lists!$AC:$AC,0)),1)</f>
        <v>298100</v>
      </c>
    </row>
    <row r="36">
      <c r="B36" s="1531" t="str">
        <f>INDEX('REVIEW - Complete Role Mapping'!$B:$B,264)</f>
        <v>Neil Reilly</v>
      </c>
      <c r="C36" s="1531" t="str">
        <f>INDEX('REVIEW - Complete Role Mapping'!$C:$C,264)</f>
        <v>TDD BP - T&amp;S</v>
      </c>
      <c r="D36" s="1531" t="str">
        <f>INDEX('REVIEW - Complete Role Mapping'!$AK:$AK,264)</f>
        <v>Filled</v>
      </c>
      <c r="E36" s="1548" t="inlineStr">
        <is>
          <t>Filled</t>
        </is>
      </c>
      <c r="F36" s="1770">
        <f>INDEX('REVIEW - Complete Role Mapping'!$AA:$AA,264)</f>
        <v>666087.5</v>
      </c>
      <c r="G36" s="1770">
        <f>$F36*IFERROR(INDEX(Lists!$AD:$AD,MATCH($E36,Lists!$AC:$AC,0)),1)</f>
        <v>666087.5</v>
      </c>
    </row>
    <row r="37">
      <c r="B37" s="1531" t="str">
        <f>INDEX('REVIEW - Complete Role Mapping'!$B:$B,267)</f>
        <v>Shelley Crawford</v>
      </c>
      <c r="C37" s="1531" t="str">
        <f>INDEX('REVIEW - Complete Role Mapping'!$C:$C,267)</f>
        <v>TDD BP - Z</v>
      </c>
      <c r="D37" s="1531" t="str">
        <f>INDEX('REVIEW - Complete Role Mapping'!$AK:$AK,267)</f>
        <v>Filled</v>
      </c>
      <c r="E37" s="1548" t="inlineStr">
        <is>
          <t>Filled</t>
        </is>
      </c>
      <c r="F37" s="1770">
        <f>INDEX('REVIEW - Complete Role Mapping'!$AA:$AA,267)</f>
        <v>291422</v>
      </c>
      <c r="G37" s="1770">
        <f>$F37*IFERROR(INDEX(Lists!$AD:$AD,MATCH($E37,Lists!$AC:$AC,0)),1)</f>
        <v>291422</v>
      </c>
    </row>
    <row r="38">
      <c r="B38" s="1531" t="str">
        <f>INDEX('REVIEW - Complete Role Mapping'!$B:$B,268)</f>
        <v>Thomas Reid</v>
      </c>
      <c r="C38" s="1531" t="str">
        <f>INDEX('REVIEW - Complete Role Mapping'!$C:$C,268)</f>
        <v>TDD BP - Retail &amp; Customer - Store Digital</v>
      </c>
      <c r="D38" s="1531" t="str">
        <f>INDEX('REVIEW - Complete Role Mapping'!$AK:$AK,268)</f>
        <v>Filled</v>
      </c>
      <c r="E38" s="1548" t="inlineStr">
        <is>
          <t>Filled</t>
        </is>
      </c>
      <c r="F38" s="1770">
        <f>INDEX('REVIEW - Complete Role Mapping'!$AA:$AA,268)</f>
        <v>417425</v>
      </c>
      <c r="G38" s="1770">
        <f>$F38*IFERROR(INDEX(Lists!$AD:$AD,MATCH($E38,Lists!$AC:$AC,0)),1)</f>
        <v>417425</v>
      </c>
    </row>
    <row r="39">
      <c r="B39" s="1531" t="str">
        <f>INDEX('REVIEW - Complete Role Mapping'!$B:$B,278)</f>
        <v>Vaughn Scott</v>
      </c>
      <c r="C39" s="1531" t="str">
        <f>INDEX('REVIEW - Complete Role Mapping'!$C:$C,278)</f>
        <v>TDD BP - ES</v>
      </c>
      <c r="D39" s="1531" t="str">
        <f>INDEX('REVIEW - Complete Role Mapping'!$AK:$AK,278)</f>
        <v>Filled</v>
      </c>
      <c r="E39" s="1548" t="inlineStr">
        <is>
          <t>Filled</t>
        </is>
      </c>
      <c r="F39" s="1770">
        <f>INDEX('REVIEW - Complete Role Mapping'!$AA:$AA,278)</f>
        <v>343363.9</v>
      </c>
      <c r="G39" s="1770">
        <f>$F39*IFERROR(INDEX(Lists!$AD:$AD,MATCH($E39,Lists!$AC:$AC,0)),1)</f>
        <v>343363.9</v>
      </c>
    </row>
    <row r="40">
      <c r="B40" s="1530" t="inlineStr">
        <is>
          <t>Transformation</t>
        </is>
      </c>
      <c r="C40" s="1530" t="str">
        <f>COUNTA($B$41:$B$54)&amp;IF(COUNTA($B$41:$B$54)=1," role"," roles")</f>
        <v>14 roles</v>
      </c>
      <c r="D40" s="1530" t="n"/>
      <c r="E40" s="1530" t="n"/>
      <c r="F40" s="1786">
        <f>SUM(F41:F54)</f>
        <v>3107999.23</v>
      </c>
      <c r="G40" s="1786">
        <f>SUM(G41:G54)</f>
        <v>3107999.23</v>
      </c>
    </row>
    <row r="41">
      <c r="B41" s="1531" t="str">
        <f>INDEX('REVIEW - Complete Role Mapping'!$B:$B,259)</f>
        <v>Jeannie Chu</v>
      </c>
      <c r="C41" s="1531" t="str">
        <f>INDEX('REVIEW - Complete Role Mapping'!$C:$C,259)</f>
        <v>Snr Finance Support Administrator</v>
      </c>
      <c r="D41" s="1531" t="str">
        <f>INDEX('REVIEW - Complete Role Mapping'!$AK:$AK,259)</f>
        <v>Filled</v>
      </c>
      <c r="E41" s="1548" t="inlineStr">
        <is>
          <t>Filled</t>
        </is>
      </c>
      <c r="F41" s="1770">
        <f>INDEX('REVIEW - Complete Role Mapping'!$AA:$AA,259)</f>
        <v>147687.65</v>
      </c>
      <c r="G41" s="1770">
        <f>$F41*IFERROR(INDEX(Lists!$AD:$AD,MATCH($E41,Lists!$AC:$AC,0)),1)</f>
        <v>147687.65</v>
      </c>
    </row>
    <row r="42">
      <c r="B42" s="1531" t="str">
        <f>INDEX('REVIEW - Complete Role Mapping'!$B:$B,260)</f>
        <v>Jenny Chan</v>
      </c>
      <c r="C42" s="1531" t="str">
        <f>INDEX('REVIEW - Complete Role Mapping'!$C:$C,260)</f>
        <v>Project Finance Lead</v>
      </c>
      <c r="D42" s="1531" t="str">
        <f>INDEX('REVIEW - Complete Role Mapping'!$AK:$AK,260)</f>
        <v>Filled</v>
      </c>
      <c r="E42" s="1548" t="inlineStr">
        <is>
          <t>Filled</t>
        </is>
      </c>
      <c r="F42" s="1770">
        <f>INDEX('REVIEW - Complete Role Mapping'!$AA:$AA,260)</f>
        <v>206124</v>
      </c>
      <c r="G42" s="1770">
        <f>$F42*IFERROR(INDEX(Lists!$AD:$AD,MATCH($E42,Lists!$AC:$AC,0)),1)</f>
        <v>206124</v>
      </c>
    </row>
    <row r="43">
      <c r="B43" s="1531" t="str">
        <f>INDEX('REVIEW - Complete Role Mapping'!$B:$B,262)</f>
        <v>Maria Somera</v>
      </c>
      <c r="C43" s="1531" t="str">
        <f>INDEX('REVIEW - Complete Role Mapping'!$C:$C,262)</f>
        <v>Technology Finance Analyst</v>
      </c>
      <c r="D43" s="1531" t="str">
        <f>INDEX('REVIEW - Complete Role Mapping'!$AK:$AK,262)</f>
        <v>Filled</v>
      </c>
      <c r="E43" s="1548" t="inlineStr">
        <is>
          <t>Filled</t>
        </is>
      </c>
      <c r="F43" s="1770">
        <f>INDEX('REVIEW - Complete Role Mapping'!$AA:$AA,262)</f>
        <v>179313.4</v>
      </c>
      <c r="G43" s="1770">
        <f>$F43*IFERROR(INDEX(Lists!$AD:$AD,MATCH($E43,Lists!$AC:$AC,0)),1)</f>
        <v>179313.4</v>
      </c>
    </row>
    <row r="44">
      <c r="B44" s="1531" t="str">
        <f>INDEX('REVIEW - Complete Role Mapping'!$B:$B,263)</f>
        <v>Matt Saunders</v>
      </c>
      <c r="C44" s="1531" t="str">
        <f>INDEX('REVIEW - Complete Role Mapping'!$C:$C,263)</f>
        <v>Scrum Master</v>
      </c>
      <c r="D44" s="1531" t="str">
        <f>INDEX('REVIEW - Complete Role Mapping'!$AK:$AK,263)</f>
        <v>Filled</v>
      </c>
      <c r="E44" s="1548" t="inlineStr">
        <is>
          <t>Filled</t>
        </is>
      </c>
      <c r="F44" s="1770">
        <f>INDEX('REVIEW - Complete Role Mapping'!$AA:$AA,263)</f>
        <v>147754.8</v>
      </c>
      <c r="G44" s="1770">
        <f>$F44*IFERROR(INDEX(Lists!$AD:$AD,MATCH($E44,Lists!$AC:$AC,0)),1)</f>
        <v>147754.8</v>
      </c>
    </row>
    <row r="45">
      <c r="B45" s="1531" t="str">
        <f>INDEX('REVIEW - Complete Role Mapping'!$B:$B,265)</f>
        <v>Ruth Chou</v>
      </c>
      <c r="C45" s="1531" t="str">
        <f>INDEX('REVIEW - Complete Role Mapping'!$C:$C,265)</f>
        <v>Portfolio Reporting Manager</v>
      </c>
      <c r="D45" s="1531" t="str">
        <f>INDEX('REVIEW - Complete Role Mapping'!$AK:$AK,265)</f>
        <v>Filled</v>
      </c>
      <c r="E45" s="1548" t="inlineStr">
        <is>
          <t>Filled</t>
        </is>
      </c>
      <c r="F45" s="1770">
        <f>INDEX('REVIEW - Complete Role Mapping'!$AA:$AA,265)</f>
        <v>293316.85</v>
      </c>
      <c r="G45" s="1770">
        <f>$F45*IFERROR(INDEX(Lists!$AD:$AD,MATCH($E45,Lists!$AC:$AC,0)),1)</f>
        <v>293316.85</v>
      </c>
    </row>
    <row r="46">
      <c r="B46" s="1531" t="str">
        <f>INDEX('REVIEW - Complete Role Mapping'!$B:$B,266)</f>
        <v>Sam Chan</v>
      </c>
      <c r="C46" s="1531" t="str">
        <f>INDEX('REVIEW - Complete Role Mapping'!$C:$C,266)</f>
        <v>FinOps Manager</v>
      </c>
      <c r="D46" s="1531" t="str">
        <f>INDEX('REVIEW - Complete Role Mapping'!$AK:$AK,266)</f>
        <v>Filled</v>
      </c>
      <c r="E46" s="1548" t="inlineStr">
        <is>
          <t>Filled</t>
        </is>
      </c>
      <c r="F46" s="1770">
        <f>INDEX('REVIEW - Complete Role Mapping'!$AA:$AA,266)</f>
        <v>225788.55</v>
      </c>
      <c r="G46" s="1770">
        <f>$F46*IFERROR(INDEX(Lists!$AD:$AD,MATCH($E46,Lists!$AC:$AC,0)),1)</f>
        <v>225788.55</v>
      </c>
    </row>
    <row r="47">
      <c r="B47" s="1531" t="str">
        <f>INDEX('REVIEW - Complete Role Mapping'!$B:$B,270)</f>
        <v>Vacant</v>
      </c>
      <c r="C47" s="1531" t="str">
        <f>INDEX('REVIEW - Complete Role Mapping'!$C:$C,270)</f>
        <v>Head of Transformation</v>
      </c>
      <c r="D47" s="1531" t="str">
        <f>INDEX('REVIEW - Complete Role Mapping'!$AK:$AK,270)</f>
        <v>Vacant</v>
      </c>
      <c r="E47" s="1548" t="inlineStr">
        <is>
          <t>Hire</t>
        </is>
      </c>
      <c r="F47" s="1770">
        <f>INDEX('REVIEW - Complete Role Mapping'!$AA:$AA,270)</f>
        <v>367900</v>
      </c>
      <c r="G47" s="1770">
        <f>$F47*IFERROR(INDEX(Lists!$AD:$AD,MATCH($E47,Lists!$AC:$AC,0)),1)</f>
        <v>367900</v>
      </c>
    </row>
    <row r="48">
      <c r="B48" s="1531" t="str">
        <f>INDEX('REVIEW - Complete Role Mapping'!$B:$B,271)</f>
        <v>Vacant</v>
      </c>
      <c r="C48" s="1531" t="str">
        <f>INDEX('REVIEW - Complete Role Mapping'!$C:$C,271)</f>
        <v>Delivery Systems Analyst</v>
      </c>
      <c r="D48" s="1531" t="str">
        <f>INDEX('REVIEW - Complete Role Mapping'!$AK:$AK,271)</f>
        <v>Vacant</v>
      </c>
      <c r="E48" s="1548" t="inlineStr">
        <is>
          <t>Hire</t>
        </is>
      </c>
      <c r="F48" s="1770">
        <f>INDEX('REVIEW - Complete Role Mapping'!$AA:$AA,271)</f>
        <v>202853.25</v>
      </c>
      <c r="G48" s="1770">
        <f>$F48*IFERROR(INDEX(Lists!$AD:$AD,MATCH($E48,Lists!$AC:$AC,0)),1)</f>
        <v>202853.25</v>
      </c>
    </row>
    <row r="49">
      <c r="B49" s="1531" t="str">
        <f>INDEX('REVIEW - Complete Role Mapping'!$B:$B,272)</f>
        <v>Vacant</v>
      </c>
      <c r="C49" s="1531" t="str">
        <f>INDEX('REVIEW - Complete Role Mapping'!$C:$C,272)</f>
        <v>Business Analysis Practice Lead</v>
      </c>
      <c r="D49" s="1531" t="str">
        <f>INDEX('REVIEW - Complete Role Mapping'!$AK:$AK,272)</f>
        <v>Vacant</v>
      </c>
      <c r="E49" s="1548" t="inlineStr">
        <is>
          <t>Hire</t>
        </is>
      </c>
      <c r="F49" s="1770">
        <f>INDEX('REVIEW - Complete Role Mapping'!$AA:$AA,272)</f>
        <v>231689.25</v>
      </c>
      <c r="G49" s="1770">
        <f>$F49*IFERROR(INDEX(Lists!$AD:$AD,MATCH($E49,Lists!$AC:$AC,0)),1)</f>
        <v>231689.25</v>
      </c>
    </row>
    <row r="50">
      <c r="B50" s="1531" t="str">
        <f>INDEX('REVIEW - Complete Role Mapping'!$B:$B,273)</f>
        <v>Vacant</v>
      </c>
      <c r="C50" s="1531" t="str">
        <f>INDEX('REVIEW - Complete Role Mapping'!$C:$C,273)</f>
        <v>Delivery Assurance Manager</v>
      </c>
      <c r="D50" s="1531" t="str">
        <f>INDEX('REVIEW - Complete Role Mapping'!$AK:$AK,273)</f>
        <v>Vacant</v>
      </c>
      <c r="E50" s="1548" t="inlineStr">
        <is>
          <t>Hire</t>
        </is>
      </c>
      <c r="F50" s="1770">
        <f>INDEX('REVIEW - Complete Role Mapping'!$AA:$AA,273)</f>
        <v>275810.25</v>
      </c>
      <c r="G50" s="1770">
        <f>$F50*IFERROR(INDEX(Lists!$AD:$AD,MATCH($E50,Lists!$AC:$AC,0)),1)</f>
        <v>275810.25</v>
      </c>
    </row>
    <row r="51">
      <c r="B51" s="1531" t="str">
        <f>INDEX('REVIEW - Complete Role Mapping'!$B:$B,274)</f>
        <v>Vacant</v>
      </c>
      <c r="C51" s="1531" t="str">
        <f>INDEX('REVIEW - Complete Role Mapping'!$C:$C,274)</f>
        <v>Delivery Capacity &amp; Assurance Lead</v>
      </c>
      <c r="D51" s="1531" t="str">
        <f>INDEX('REVIEW - Complete Role Mapping'!$AK:$AK,274)</f>
        <v>Vacant</v>
      </c>
      <c r="E51" s="1548" t="inlineStr">
        <is>
          <t>Hire</t>
        </is>
      </c>
      <c r="F51" s="1770">
        <f>INDEX('REVIEW - Complete Role Mapping'!$AA:$AA,274)</f>
        <v>231689.25</v>
      </c>
      <c r="G51" s="1770">
        <f>$F51*IFERROR(INDEX(Lists!$AD:$AD,MATCH($E51,Lists!$AC:$AC,0)),1)</f>
        <v>231689.25</v>
      </c>
    </row>
    <row r="52">
      <c r="B52" s="1531" t="str">
        <f>INDEX('REVIEW - Complete Role Mapping'!$B:$B,275)</f>
        <v>Vacant</v>
      </c>
      <c r="C52" s="1531" t="str">
        <f>INDEX('REVIEW - Complete Role Mapping'!$C:$C,275)</f>
        <v>Delivery Excellence Manager</v>
      </c>
      <c r="D52" s="1531" t="str">
        <f>INDEX('REVIEW - Complete Role Mapping'!$AK:$AK,275)</f>
        <v>Vacant</v>
      </c>
      <c r="E52" s="1548" t="inlineStr">
        <is>
          <t>Hire</t>
        </is>
      </c>
      <c r="F52" s="1770">
        <f>INDEX('REVIEW - Complete Role Mapping'!$AA:$AA,275)</f>
        <v>275810.25</v>
      </c>
      <c r="G52" s="1770">
        <f>$F52*IFERROR(INDEX(Lists!$AD:$AD,MATCH($E52,Lists!$AC:$AC,0)),1)</f>
        <v>275810.25</v>
      </c>
    </row>
    <row r="53">
      <c r="B53" s="1531" t="str">
        <f>INDEX('REVIEW - Complete Role Mapping'!$B:$B,276)</f>
        <v>Vacant</v>
      </c>
      <c r="C53" s="1531" t="str">
        <f>INDEX('REVIEW - Complete Role Mapping'!$C:$C,276)</f>
        <v>Scrum Master</v>
      </c>
      <c r="D53" s="1531" t="str">
        <f>INDEX('REVIEW - Complete Role Mapping'!$AK:$AK,276)</f>
        <v>Vacant</v>
      </c>
      <c r="E53" s="1548" t="inlineStr">
        <is>
          <t>Hire</t>
        </is>
      </c>
      <c r="F53" s="1770">
        <f>INDEX('REVIEW - Complete Role Mapping'!$AA:$AA,276)</f>
        <v>151771.98</v>
      </c>
      <c r="G53" s="1770">
        <f>$F53*IFERROR(INDEX(Lists!$AD:$AD,MATCH($E53,Lists!$AC:$AC,0)),1)</f>
        <v>151771.98</v>
      </c>
    </row>
    <row r="54">
      <c r="B54" s="1531" t="str">
        <f>INDEX('REVIEW - Complete Role Mapping'!$B:$B,277)</f>
        <v>Vacant</v>
      </c>
      <c r="C54" s="1531" t="str">
        <f>INDEX('REVIEW - Complete Role Mapping'!$C:$C,277)</f>
        <v>Portfolio Analyst</v>
      </c>
      <c r="D54" s="1531" t="str">
        <f>INDEX('REVIEW - Complete Role Mapping'!$AK:$AK,277)</f>
        <v>Vacant</v>
      </c>
      <c r="E54" s="1548" t="inlineStr">
        <is>
          <t>Hire</t>
        </is>
      </c>
      <c r="F54" s="1770">
        <f>INDEX('REVIEW - Complete Role Mapping'!$AA:$AA,277)</f>
        <v>170489.75</v>
      </c>
      <c r="G54" s="1770">
        <f>$F54*IFERROR(INDEX(Lists!$AD:$AD,MATCH($E54,Lists!$AC:$AC,0)),1)</f>
        <v>170489.75</v>
      </c>
    </row>
  </sheetData>
  <dataValidations count="1">
    <dataValidation sqref="E29 E30 E31 E32 E34 E35 E36 E37 E38 E39 E41 E42 E43 E44 E45 E46 E47 E48 E49 E50 E51 E52 E53 E5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Q6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40" t="str">
        <f>"-"</f>
        <v>-</v>
      </c>
      <c r="F11" s="1770">
        <f>COUNTA($B$31:$B$37)</f>
        <v>7</v>
      </c>
      <c r="G11" s="1770">
        <f>COUNTIFS($D$31:$D$37,"Filled")</f>
        <v>7</v>
      </c>
      <c r="H11" s="1770">
        <f>COUNTIFS($D$31:$D$37,"Vacant")</f>
        <v>0</v>
      </c>
      <c r="I11" s="1770">
        <f>COUNTIFS($D$31:$D$37,"Vacant",$E$31:$E$37,"Hire")</f>
        <v>0</v>
      </c>
      <c r="J11" s="1770">
        <f>COUNTIFS($E$31:$E$37,"Offshore")</f>
        <v>0</v>
      </c>
      <c r="K11" s="1770">
        <f>COUNTIFS($E$31:$E$37,"Hold")</f>
        <v>0</v>
      </c>
      <c r="L11" s="1770">
        <f>$F11-$K11</f>
        <v>7</v>
      </c>
      <c r="M11" s="1769">
        <f>$N11</f>
        <v>1.664746536</v>
      </c>
      <c r="N11" s="1769">
        <f>SUMIFS('REVIEW - Complete Role Mapping'!$AA$2:$AA$528,'REVIEW - Complete Role Mapping'!$AJ$2:$AJ$528,$C$3,'REVIEW - Complete Role Mapping'!$AT$2:$AT$528,$B11)/1000000</f>
        <v>1.664746536</v>
      </c>
      <c r="O11" s="1769">
        <f>ROUND($N11-$M11,6)</f>
        <v>0</v>
      </c>
      <c r="P11" s="1769">
        <f>SUM($G$31:$G$37)/1000000</f>
        <v>1.664746536</v>
      </c>
      <c r="Q11" s="1769">
        <f>ROUND($P11-$M11,6)</f>
        <v>0</v>
      </c>
    </row>
    <row r="12">
      <c r="B12" s="1531" t="inlineStr">
        <is>
          <t>Data Platforms</t>
        </is>
      </c>
      <c r="C12" s="1531" t="str">
        <f>"-"</f>
        <v>-</v>
      </c>
      <c r="D12" s="1531" t="str">
        <f>"-"</f>
        <v>-</v>
      </c>
      <c r="E12" s="1540" t="str">
        <f>"-"</f>
        <v>-</v>
      </c>
      <c r="F12" s="1770">
        <f>COUNTA($B$39:$B$39)</f>
        <v>1</v>
      </c>
      <c r="G12" s="1770">
        <f>COUNTIFS($D$39:$D$39,"Filled")</f>
        <v>1</v>
      </c>
      <c r="H12" s="1770">
        <f>COUNTIFS($D$39:$D$39,"Vacant")</f>
        <v>0</v>
      </c>
      <c r="I12" s="1770">
        <f>COUNTIFS($D$39:$D$39,"Vacant",$E$39:$E$39,"Hire")</f>
        <v>0</v>
      </c>
      <c r="J12" s="1770">
        <f>COUNTIFS($E$39:$E$39,"Offshore")</f>
        <v>0</v>
      </c>
      <c r="K12" s="1770">
        <f>COUNTIFS($E$39:$E$39,"Hold")</f>
        <v>0</v>
      </c>
      <c r="L12" s="1770">
        <f>$F12-$K12</f>
        <v>1</v>
      </c>
      <c r="M12" s="1769">
        <f>$N12</f>
        <v>0.2655849</v>
      </c>
      <c r="N12" s="1769">
        <f>SUMIFS('REVIEW - Complete Role Mapping'!$AA$2:$AA$528,'REVIEW - Complete Role Mapping'!$AJ$2:$AJ$528,$C$3,'REVIEW - Complete Role Mapping'!$AT$2:$AT$528,$B12)/1000000</f>
        <v>0.2655849</v>
      </c>
      <c r="O12" s="1769">
        <f>ROUND($N12-$M12,6)</f>
        <v>0</v>
      </c>
      <c r="P12" s="1769">
        <f>SUM($G$39:$G$39)/1000000</f>
        <v>0.2655849</v>
      </c>
      <c r="Q12" s="1769">
        <f>ROUND($P12-$M12,6)</f>
        <v>0</v>
      </c>
    </row>
    <row r="13">
      <c r="B13" s="1531" t="inlineStr">
        <is>
          <t>Group Data</t>
        </is>
      </c>
      <c r="C13" s="1531" t="str">
        <f>"-"</f>
        <v>-</v>
      </c>
      <c r="D13" s="1531" t="str">
        <f>"-"</f>
        <v>-</v>
      </c>
      <c r="E13" s="1540" t="str">
        <f>"-"</f>
        <v>-</v>
      </c>
      <c r="F13" s="1770">
        <f>COUNTA($B$41:$B$49)</f>
        <v>9</v>
      </c>
      <c r="G13" s="1770">
        <f>COUNTIFS($D$41:$D$49,"Filled")</f>
        <v>7</v>
      </c>
      <c r="H13" s="1770">
        <f>COUNTIFS($D$41:$D$49,"Vacant")</f>
        <v>2</v>
      </c>
      <c r="I13" s="1770">
        <f>COUNTIFS($D$41:$D$49,"Vacant",$E$41:$E$49,"Hire")</f>
        <v>2</v>
      </c>
      <c r="J13" s="1770">
        <f>COUNTIFS($E$41:$E$49,"Offshore")</f>
        <v>0</v>
      </c>
      <c r="K13" s="1770">
        <f>COUNTIFS($E$41:$E$49,"Hold")</f>
        <v>0</v>
      </c>
      <c r="L13" s="1770">
        <f>$F13-$K13</f>
        <v>9</v>
      </c>
      <c r="M13" s="1769">
        <f>$N13</f>
        <v>2.305292066</v>
      </c>
      <c r="N13" s="1769">
        <f>SUMIFS('REVIEW - Complete Role Mapping'!$AA$2:$AA$528,'REVIEW - Complete Role Mapping'!$AJ$2:$AJ$528,$C$3,'REVIEW - Complete Role Mapping'!$AT$2:$AT$528,$B13)/1000000</f>
        <v>2.305292066</v>
      </c>
      <c r="O13" s="1769">
        <f>ROUND($N13-$M13,6)</f>
        <v>0</v>
      </c>
      <c r="P13" s="1769">
        <f>SUM($G$41:$G$49)/1000000</f>
        <v>2.305292066</v>
      </c>
      <c r="Q13" s="1769">
        <f>ROUND($P13-$M13,6)</f>
        <v>0</v>
      </c>
    </row>
    <row r="14">
      <c r="B14" s="1531" t="inlineStr">
        <is>
          <t>Leadership</t>
        </is>
      </c>
      <c r="C14" s="1531" t="str">
        <f>"-"</f>
        <v>-</v>
      </c>
      <c r="D14" s="1531" t="str">
        <f>"-"</f>
        <v>-</v>
      </c>
      <c r="E14" s="1540" t="str">
        <f>"-"</f>
        <v>-</v>
      </c>
      <c r="F14" s="1770">
        <f>COUNTA($B$51:$B$54)</f>
        <v>4</v>
      </c>
      <c r="G14" s="1770">
        <f>COUNTIFS($D$51:$D$54,"Filled")</f>
        <v>1</v>
      </c>
      <c r="H14" s="1770">
        <f>COUNTIFS($D$51:$D$54,"Vacant")</f>
        <v>3</v>
      </c>
      <c r="I14" s="1770">
        <f>COUNTIFS($D$51:$D$54,"Vacant",$E$51:$E$54,"Hire")</f>
        <v>3</v>
      </c>
      <c r="J14" s="1770">
        <f>COUNTIFS($E$51:$E$54,"Offshore")</f>
        <v>0</v>
      </c>
      <c r="K14" s="1770">
        <f>COUNTIFS($E$51:$E$54,"Hold")</f>
        <v>0</v>
      </c>
      <c r="L14" s="1770">
        <f>$F14-$K14</f>
        <v>4</v>
      </c>
      <c r="M14" s="1769">
        <f>$N14</f>
        <v>1.2239818</v>
      </c>
      <c r="N14" s="1769">
        <f>SUMIFS('REVIEW - Complete Role Mapping'!$AA$2:$AA$528,'REVIEW - Complete Role Mapping'!$AJ$2:$AJ$528,$C$3,'REVIEW - Complete Role Mapping'!$AT$2:$AT$528,$B14)/1000000</f>
        <v>1.2239818</v>
      </c>
      <c r="O14" s="1769">
        <f>ROUND($N14-$M14,6)</f>
        <v>0</v>
      </c>
      <c r="P14" s="1769">
        <f>SUM($G$51:$G$54)/1000000</f>
        <v>1.2239818</v>
      </c>
      <c r="Q14" s="1769">
        <f>ROUND($P14-$M14,6)</f>
        <v>0</v>
      </c>
    </row>
    <row r="15">
      <c r="B15" s="1531" t="inlineStr">
        <is>
          <t>Technology Strategy &amp; AI Capability</t>
        </is>
      </c>
      <c r="C15" s="1531" t="str">
        <f>"-"</f>
        <v>-</v>
      </c>
      <c r="D15" s="1531" t="str">
        <f>"-"</f>
        <v>-</v>
      </c>
      <c r="E15" s="1540" t="str">
        <f>"-"</f>
        <v>-</v>
      </c>
      <c r="F15" s="1770">
        <f>COUNTA($B$56:$B$60)</f>
        <v>5</v>
      </c>
      <c r="G15" s="1770">
        <f>COUNTIFS($D$56:$D$60,"Filled")</f>
        <v>1</v>
      </c>
      <c r="H15" s="1770">
        <f>COUNTIFS($D$56:$D$60,"Vacant")</f>
        <v>4</v>
      </c>
      <c r="I15" s="1770">
        <f>COUNTIFS($D$56:$D$60,"Vacant",$E$56:$E$60,"Hire")</f>
        <v>4</v>
      </c>
      <c r="J15" s="1770">
        <f>COUNTIFS($E$56:$E$60,"Offshore")</f>
        <v>0</v>
      </c>
      <c r="K15" s="1770">
        <f>COUNTIFS($E$56:$E$60,"Hold")</f>
        <v>0</v>
      </c>
      <c r="L15" s="1770">
        <f>$F15-$K15</f>
        <v>5</v>
      </c>
      <c r="M15" s="1769">
        <f>$N15</f>
        <v>1.06988875</v>
      </c>
      <c r="N15" s="1769">
        <f>SUMIFS('REVIEW - Complete Role Mapping'!$AA$2:$AA$528,'REVIEW - Complete Role Mapping'!$AJ$2:$AJ$528,$C$3,'REVIEW - Complete Role Mapping'!$AT$2:$AT$528,$B15)/1000000</f>
        <v>1.06988875</v>
      </c>
      <c r="O15" s="1769">
        <f>ROUND($N15-$M15,6)</f>
        <v>0</v>
      </c>
      <c r="P15" s="1769">
        <f>SUM($G$56:$G$60)/1000000</f>
        <v>1.06988875</v>
      </c>
      <c r="Q15" s="1769">
        <f>ROUND($P15-$M15,6)</f>
        <v>0</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f>SUM(M11:M15)</f>
        <v>6.529494052</v>
      </c>
      <c r="N16" s="1771">
        <f>SUM(N11:N15)</f>
        <v>6.529494052</v>
      </c>
      <c r="O16" s="1771">
        <f>IF(N($M16)=0,"-",ROUND($N16-$M16,6))</f>
        <v>0</v>
      </c>
      <c r="P16" s="1771">
        <f>SUM(P11:P15)</f>
        <v>6.529494052</v>
      </c>
      <c r="Q16" s="1771">
        <f>IF(N($M16)=0,"-",ROUND($P16-$M16,6))</f>
        <v>0</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f>SUM(M18:M18)</f>
        <v>0</v>
      </c>
      <c r="N19" s="1771">
        <f>SUM(N18:N18)</f>
        <v>0</v>
      </c>
      <c r="O19" s="1771" t="str">
        <f>IF(N($M19)=0,"-",ROUND($N19-$M19,6))</f>
        <v>-</v>
      </c>
      <c r="P19" s="1771">
        <f>SUM(P18:P18)</f>
        <v>0</v>
      </c>
      <c r="Q19" s="1771" t="str">
        <f>IF(N($M19)=0,"-",ROUND($P19-$M19,6))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f>SUM(M21:M21)</f>
        <v>0</v>
      </c>
      <c r="N22" s="1771">
        <f>SUM(N21:N21)</f>
        <v>0</v>
      </c>
      <c r="O22" s="1771" t="str">
        <f>IF(N($M22)=0,"-",ROUND($N22-$M22,6))</f>
        <v>-</v>
      </c>
      <c r="P22" s="1771">
        <f>SUM(P21:P21)</f>
        <v>0</v>
      </c>
      <c r="Q22" s="1771" t="str">
        <f>IF(N($M22)=0,"-",ROUND($P22-$M22,6))</f>
        <v>-</v>
      </c>
    </row>
    <row r="23">
      <c r="B23" s="1541" t="inlineStr">
        <is>
          <t>Total portfolio</t>
        </is>
      </c>
      <c r="C23" s="1541" t="n"/>
      <c r="D23" s="1541" t="n"/>
      <c r="E23" s="1785">
        <f>N(E9)+N(E16)+N(E19)+N(E22)</f>
        <v>0</v>
      </c>
      <c r="F23" s="1774">
        <f>N(F9)+N(F16)+N(F19)+N(F22)</f>
        <v>26</v>
      </c>
      <c r="G23" s="1774">
        <f>N(G9)+N(G16)+N(G19)+N(G22)</f>
        <v>17</v>
      </c>
      <c r="H23" s="1774">
        <f>N(H9)+N(H16)+N(H19)+N(H22)</f>
        <v>9</v>
      </c>
      <c r="I23" s="1774">
        <f>N(I9)+N(I16)+N(I19)+N(I22)</f>
        <v>9</v>
      </c>
      <c r="J23" s="1774">
        <f>N(J9)+N(J16)+N(J19)+N(J22)</f>
        <v>0</v>
      </c>
      <c r="K23" s="1774">
        <f>N(K9)+N(K16)+N(K19)+N(K22)</f>
        <v>0</v>
      </c>
      <c r="L23" s="1774">
        <f>N(L9)+N(L16)+N(L19)+N(L22)</f>
        <v>26</v>
      </c>
      <c r="M23" s="1773" t="str">
        <f>"-"</f>
        <v>-</v>
      </c>
      <c r="N23" s="1773">
        <f>N(N9)+N(N16)+N(N19)+N(N22)</f>
        <v>6.529494052</v>
      </c>
      <c r="O23" s="1773" t="str">
        <f>"-"</f>
        <v>-</v>
      </c>
      <c r="P23" s="1773">
        <f>N(P9)+N(P16)+N(P19)+N(P22)</f>
        <v>6.529494052</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COE SA&amp;D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Architecture</t>
        </is>
      </c>
      <c r="C30" s="1530" t="str">
        <f>COUNTA($B$31:$B$37)&amp;IF(COUNTA($B$31:$B$37)=1," role"," roles")</f>
        <v>7 roles</v>
      </c>
      <c r="D30" s="1530" t="n"/>
      <c r="E30" s="1530" t="n"/>
      <c r="F30" s="1786">
        <f>SUM(F31:F37)</f>
        <v>1664746.536</v>
      </c>
      <c r="G30" s="1786">
        <f>SUM(G31:G37)</f>
        <v>1664746.536</v>
      </c>
    </row>
    <row r="31">
      <c r="B31" s="1531" t="str">
        <f>INDEX('REVIEW - Complete Role Mapping'!$B:$B,282)</f>
        <v>Craig Ambrose</v>
      </c>
      <c r="C31" s="1531" t="str">
        <f>INDEX('REVIEW - Complete Role Mapping'!$C:$C,282)</f>
        <v>Domain Architect - Group Functions</v>
      </c>
      <c r="D31" s="1531" t="str">
        <f>INDEX('REVIEW - Complete Role Mapping'!$AK:$AK,282)</f>
        <v>Filled</v>
      </c>
      <c r="E31" s="1548" t="inlineStr">
        <is>
          <t>Filled</t>
        </is>
      </c>
      <c r="F31" s="1770">
        <f>INDEX('REVIEW - Complete Role Mapping'!$AA:$AA,282)</f>
        <v>242741.304</v>
      </c>
      <c r="G31" s="1770">
        <f>$F31*IFERROR(INDEX(Lists!$AD:$AD,MATCH($E31,Lists!$AC:$AC,0)),1)</f>
        <v>242741.304</v>
      </c>
    </row>
    <row r="32">
      <c r="B32" s="1531" t="str">
        <f>INDEX('REVIEW - Complete Role Mapping'!$B:$B,288)</f>
        <v>John Forde</v>
      </c>
      <c r="C32" s="1531" t="str">
        <f>INDEX('REVIEW - Complete Role Mapping'!$C:$C,288)</f>
        <v>Enterprise Architect</v>
      </c>
      <c r="D32" s="1531" t="str">
        <f>INDEX('REVIEW - Complete Role Mapping'!$AK:$AK,288)</f>
        <v>Filled</v>
      </c>
      <c r="E32" s="1548" t="inlineStr">
        <is>
          <t>Filled</t>
        </is>
      </c>
      <c r="F32" s="1770">
        <f>INDEX('REVIEW - Complete Role Mapping'!$AA:$AA,288)</f>
        <v>214270.248</v>
      </c>
      <c r="G32" s="1770">
        <f>$F32*IFERROR(INDEX(Lists!$AD:$AD,MATCH($E32,Lists!$AC:$AC,0)),1)</f>
        <v>214270.248</v>
      </c>
    </row>
    <row r="33">
      <c r="B33" s="1531" t="str">
        <f>INDEX('REVIEW - Complete Role Mapping'!$B:$B,292)</f>
        <v>Mike Gilbert</v>
      </c>
      <c r="C33" s="1531" t="str">
        <f>INDEX('REVIEW - Complete Role Mapping'!$C:$C,292)</f>
        <v>Domain Architect - CFE &amp; Infrastructure </v>
      </c>
      <c r="D33" s="1531" t="str">
        <f>INDEX('REVIEW - Complete Role Mapping'!$AK:$AK,292)</f>
        <v>Filled</v>
      </c>
      <c r="E33" s="1548" t="inlineStr">
        <is>
          <t>Filled</t>
        </is>
      </c>
      <c r="F33" s="1770">
        <f>INDEX('REVIEW - Complete Role Mapping'!$AA:$AA,292)</f>
        <v>236856.984</v>
      </c>
      <c r="G33" s="1770">
        <f>$F33*IFERROR(INDEX(Lists!$AD:$AD,MATCH($E33,Lists!$AC:$AC,0)),1)</f>
        <v>236856.984</v>
      </c>
    </row>
    <row r="34">
      <c r="B34" s="1531" t="str">
        <f>INDEX('REVIEW - Complete Role Mapping'!$B:$B,302)</f>
        <v>ring fenced</v>
      </c>
      <c r="C34" s="1531" t="str">
        <f>INDEX('REVIEW - Complete Role Mapping'!$C:$C,302)</f>
        <v>Enterprise Architect</v>
      </c>
      <c r="D34" s="1531" t="str">
        <f>INDEX('REVIEW - Complete Role Mapping'!$AK:$AK,302)</f>
        <v>Filled</v>
      </c>
      <c r="E34" s="1548" t="inlineStr">
        <is>
          <t>Filled</t>
        </is>
      </c>
      <c r="F34" s="1770">
        <f>INDEX('REVIEW - Complete Role Mapping'!$AA:$AA,302)</f>
        <v>275810.25</v>
      </c>
      <c r="G34" s="1770">
        <f>$F34*IFERROR(INDEX(Lists!$AD:$AD,MATCH($E34,Lists!$AC:$AC,0)),1)</f>
        <v>275810.25</v>
      </c>
    </row>
    <row r="35">
      <c r="B35" s="1531" t="str">
        <f>INDEX('REVIEW - Complete Role Mapping'!$B:$B,303)</f>
        <v>ring fenced</v>
      </c>
      <c r="C35" s="1531" t="str">
        <f>INDEX('REVIEW - Complete Role Mapping'!$C:$C,303)</f>
        <v>Domain Architect - Customer &amp; Digital Tech</v>
      </c>
      <c r="D35" s="1531" t="str">
        <f>INDEX('REVIEW - Complete Role Mapping'!$AK:$AK,303)</f>
        <v>Filled</v>
      </c>
      <c r="E35" s="1548" t="inlineStr">
        <is>
          <t>Filled</t>
        </is>
      </c>
      <c r="F35" s="1770">
        <f>INDEX('REVIEW - Complete Role Mapping'!$AA:$AA,303)</f>
        <v>231689.25</v>
      </c>
      <c r="G35" s="1770">
        <f>$F35*IFERROR(INDEX(Lists!$AD:$AD,MATCH($E35,Lists!$AC:$AC,0)),1)</f>
        <v>231689.25</v>
      </c>
    </row>
    <row r="36">
      <c r="B36" s="1531" t="str">
        <f>INDEX('REVIEW - Complete Role Mapping'!$B:$B,304)</f>
        <v>ring fenced</v>
      </c>
      <c r="C36" s="1531" t="str">
        <f>INDEX('REVIEW - Complete Role Mapping'!$C:$C,304)</f>
        <v>Domain Architect - Retail &amp; Z</v>
      </c>
      <c r="D36" s="1531" t="str">
        <f>INDEX('REVIEW - Complete Role Mapping'!$AK:$AK,304)</f>
        <v>Filled</v>
      </c>
      <c r="E36" s="1548" t="inlineStr">
        <is>
          <t>Filled</t>
        </is>
      </c>
      <c r="F36" s="1770">
        <f>INDEX('REVIEW - Complete Role Mapping'!$AA:$AA,304)</f>
        <v>231689.25</v>
      </c>
      <c r="G36" s="1770">
        <f>$F36*IFERROR(INDEX(Lists!$AD:$AD,MATCH($E36,Lists!$AC:$AC,0)),1)</f>
        <v>231689.25</v>
      </c>
    </row>
    <row r="37">
      <c r="B37" s="1531" t="str">
        <f>INDEX('REVIEW - Complete Role Mapping'!$B:$B,305)</f>
        <v>ring fenced</v>
      </c>
      <c r="C37" s="1531" t="str">
        <f>INDEX('REVIEW - Complete Role Mapping'!$C:$C,305)</f>
        <v>Domain Architect - TDD</v>
      </c>
      <c r="D37" s="1531" t="str">
        <f>INDEX('REVIEW - Complete Role Mapping'!$AK:$AK,305)</f>
        <v>Filled</v>
      </c>
      <c r="E37" s="1548" t="inlineStr">
        <is>
          <t>Filled</t>
        </is>
      </c>
      <c r="F37" s="1770">
        <f>INDEX('REVIEW - Complete Role Mapping'!$AA:$AA,305)</f>
        <v>231689.25</v>
      </c>
      <c r="G37" s="1770">
        <f>$F37*IFERROR(INDEX(Lists!$AD:$AD,MATCH($E37,Lists!$AC:$AC,0)),1)</f>
        <v>231689.25</v>
      </c>
    </row>
    <row r="38">
      <c r="B38" s="1530" t="inlineStr">
        <is>
          <t>Data Platforms</t>
        </is>
      </c>
      <c r="C38" s="1530" t="str">
        <f>COUNTA($B$39:$B$39)&amp;IF(COUNTA($B$39:$B$39)=1," role"," roles")</f>
        <v>1 role</v>
      </c>
      <c r="D38" s="1530" t="n"/>
      <c r="E38" s="1530" t="n"/>
      <c r="F38" s="1786">
        <f>SUM(F39:F39)</f>
        <v>265584.9</v>
      </c>
      <c r="G38" s="1786">
        <f>SUM(G39:G39)</f>
        <v>265584.9</v>
      </c>
    </row>
    <row r="39">
      <c r="B39" s="1531" t="str">
        <f>INDEX('REVIEW - Complete Role Mapping'!$B:$B,293)</f>
        <v>Milan Patel</v>
      </c>
      <c r="C39" s="1531" t="str">
        <f>INDEX('REVIEW - Complete Role Mapping'!$C:$C,293)</f>
        <v>Platform Architect</v>
      </c>
      <c r="D39" s="1531" t="str">
        <f>INDEX('REVIEW - Complete Role Mapping'!$AK:$AK,293)</f>
        <v>Filled</v>
      </c>
      <c r="E39" s="1548" t="inlineStr">
        <is>
          <t>Filled</t>
        </is>
      </c>
      <c r="F39" s="1770">
        <f>INDEX('REVIEW - Complete Role Mapping'!$AA:$AA,293)</f>
        <v>265584.9</v>
      </c>
      <c r="G39" s="1770">
        <f>$F39*IFERROR(INDEX(Lists!$AD:$AD,MATCH($E39,Lists!$AC:$AC,0)),1)</f>
        <v>265584.9</v>
      </c>
    </row>
    <row r="40">
      <c r="B40" s="1530" t="inlineStr">
        <is>
          <t>Group Data</t>
        </is>
      </c>
      <c r="C40" s="1530" t="str">
        <f>COUNTA($B$41:$B$49)&amp;IF(COUNTA($B$41:$B$49)=1," role"," roles")</f>
        <v>9 roles</v>
      </c>
      <c r="D40" s="1530" t="n"/>
      <c r="E40" s="1530" t="n"/>
      <c r="F40" s="1786">
        <f>SUM(F41:F49)</f>
        <v>2305292.066</v>
      </c>
      <c r="G40" s="1786">
        <f>SUM(G41:G49)</f>
        <v>2305292.066</v>
      </c>
    </row>
    <row r="41">
      <c r="B41" s="1531" t="str">
        <f>INDEX('REVIEW - Complete Role Mapping'!$B:$B,283)</f>
        <v>Deepali Mahajan</v>
      </c>
      <c r="C41" s="1531" t="str">
        <f>INDEX('REVIEW - Complete Role Mapping'!$C:$C,283)</f>
        <v>Data Operations Manager</v>
      </c>
      <c r="D41" s="1531" t="str">
        <f>INDEX('REVIEW - Complete Role Mapping'!$AK:$AK,283)</f>
        <v>Filled</v>
      </c>
      <c r="E41" s="1548" t="inlineStr">
        <is>
          <t>Filled</t>
        </is>
      </c>
      <c r="F41" s="1770">
        <f>INDEX('REVIEW - Complete Role Mapping'!$AA:$AA,283)</f>
        <v>295918.45</v>
      </c>
      <c r="G41" s="1770">
        <f>$F41*IFERROR(INDEX(Lists!$AD:$AD,MATCH($E41,Lists!$AC:$AC,0)),1)</f>
        <v>295918.45</v>
      </c>
    </row>
    <row r="42">
      <c r="B42" s="1531" t="str">
        <f>INDEX('REVIEW - Complete Role Mapping'!$B:$B,291)</f>
        <v>Lynn Yiew</v>
      </c>
      <c r="C42" s="1531" t="str">
        <f>INDEX('REVIEW - Complete Role Mapping'!$C:$C,291)</f>
        <v>Data Governance Specialist</v>
      </c>
      <c r="D42" s="1531" t="str">
        <f>INDEX('REVIEW - Complete Role Mapping'!$AK:$AK,291)</f>
        <v>Filled</v>
      </c>
      <c r="E42" s="1548" t="inlineStr">
        <is>
          <t>Filled</t>
        </is>
      </c>
      <c r="F42" s="1770">
        <f>INDEX('REVIEW - Complete Role Mapping'!$AA:$AA,291)</f>
        <v>149746.416</v>
      </c>
      <c r="G42" s="1770">
        <f>$F42*IFERROR(INDEX(Lists!$AD:$AD,MATCH($E42,Lists!$AC:$AC,0)),1)</f>
        <v>149746.416</v>
      </c>
    </row>
    <row r="43">
      <c r="B43" s="1531" t="str">
        <f>INDEX('REVIEW - Complete Role Mapping'!$B:$B,294)</f>
        <v>Mitchell Clarke</v>
      </c>
      <c r="C43" s="1531" t="str">
        <f>INDEX('REVIEW - Complete Role Mapping'!$C:$C,294)</f>
        <v>Snr Data Governance Specialist</v>
      </c>
      <c r="D43" s="1531" t="str">
        <f>INDEX('REVIEW - Complete Role Mapping'!$AK:$AK,294)</f>
        <v>Filled</v>
      </c>
      <c r="E43" s="1548" t="inlineStr">
        <is>
          <t>Filled</t>
        </is>
      </c>
      <c r="F43" s="1770">
        <f>INDEX('REVIEW - Complete Role Mapping'!$AA:$AA,294)</f>
        <v>225988.8</v>
      </c>
      <c r="G43" s="1770">
        <f>$F43*IFERROR(INDEX(Lists!$AD:$AD,MATCH($E43,Lists!$AC:$AC,0)),1)</f>
        <v>225988.8</v>
      </c>
    </row>
    <row r="44">
      <c r="B44" s="1531" t="str">
        <f>INDEX('REVIEW - Complete Role Mapping'!$B:$B,299)</f>
        <v>Raymond Bai</v>
      </c>
      <c r="C44" s="1531" t="str">
        <f>INDEX('REVIEW - Complete Role Mapping'!$C:$C,299)</f>
        <v>Data Adoption Specialist</v>
      </c>
      <c r="D44" s="1531" t="str">
        <f>INDEX('REVIEW - Complete Role Mapping'!$AK:$AK,299)</f>
        <v>Filled</v>
      </c>
      <c r="E44" s="1548" t="inlineStr">
        <is>
          <t>Filled</t>
        </is>
      </c>
      <c r="F44" s="1770">
        <f>INDEX('REVIEW - Complete Role Mapping'!$AA:$AA,299)</f>
        <v>175872.9</v>
      </c>
      <c r="G44" s="1770">
        <f>$F44*IFERROR(INDEX(Lists!$AD:$AD,MATCH($E44,Lists!$AC:$AC,0)),1)</f>
        <v>175872.9</v>
      </c>
    </row>
    <row r="45">
      <c r="B45" s="1531" t="str">
        <f>INDEX('REVIEW - Complete Role Mapping'!$B:$B,300)</f>
        <v>Renosh Matthew Thomas</v>
      </c>
      <c r="C45" s="1531" t="str">
        <f>INDEX('REVIEW - Complete Role Mapping'!$C:$C,300)</f>
        <v>Data Enablement Lead</v>
      </c>
      <c r="D45" s="1531" t="str">
        <f>INDEX('REVIEW - Complete Role Mapping'!$AK:$AK,300)</f>
        <v>Filled</v>
      </c>
      <c r="E45" s="1548" t="inlineStr">
        <is>
          <t>Filled</t>
        </is>
      </c>
      <c r="F45" s="1770">
        <f>INDEX('REVIEW - Complete Role Mapping'!$AA:$AA,300)</f>
        <v>227056.8</v>
      </c>
      <c r="G45" s="1770">
        <f>$F45*IFERROR(INDEX(Lists!$AD:$AD,MATCH($E45,Lists!$AC:$AC,0)),1)</f>
        <v>227056.8</v>
      </c>
    </row>
    <row r="46">
      <c r="B46" s="1531" t="str">
        <f>INDEX('REVIEW - Complete Role Mapping'!$B:$B,301)</f>
        <v>Rihan Schalkwyk</v>
      </c>
      <c r="C46" s="1531" t="str">
        <f>INDEX('REVIEW - Complete Role Mapping'!$C:$C,301)</f>
        <v>Senior Business Analyst</v>
      </c>
      <c r="D46" s="1531" t="str">
        <f>INDEX('REVIEW - Complete Role Mapping'!$AK:$AK,301)</f>
        <v>Filled</v>
      </c>
      <c r="E46" s="1548" t="inlineStr">
        <is>
          <t>Filled</t>
        </is>
      </c>
      <c r="F46" s="1770">
        <f>INDEX('REVIEW - Complete Role Mapping'!$AA:$AA,301)</f>
        <v>249124.35</v>
      </c>
      <c r="G46" s="1770">
        <f>$F46*IFERROR(INDEX(Lists!$AD:$AD,MATCH($E46,Lists!$AC:$AC,0)),1)</f>
        <v>249124.35</v>
      </c>
    </row>
    <row r="47">
      <c r="B47" s="1531" t="str">
        <f>INDEX('REVIEW - Complete Role Mapping'!$B:$B,309)</f>
        <v>Sanjay Tikoo</v>
      </c>
      <c r="C47" s="1531" t="str">
        <f>INDEX('REVIEW - Complete Role Mapping'!$C:$C,309)</f>
        <v>Principal, Data Architecture &amp; Governance</v>
      </c>
      <c r="D47" s="1531" t="str">
        <f>INDEX('REVIEW - Complete Role Mapping'!$AK:$AK,309)</f>
        <v>Filled</v>
      </c>
      <c r="E47" s="1548" t="inlineStr">
        <is>
          <t>Filled</t>
        </is>
      </c>
      <c r="F47" s="1770">
        <f>INDEX('REVIEW - Complete Role Mapping'!$AA:$AA,309)</f>
        <v>389125</v>
      </c>
      <c r="G47" s="1770">
        <f>$F47*IFERROR(INDEX(Lists!$AD:$AD,MATCH($E47,Lists!$AC:$AC,0)),1)</f>
        <v>389125</v>
      </c>
    </row>
    <row r="48">
      <c r="B48" s="1531" t="str">
        <f>INDEX('REVIEW - Complete Role Mapping'!$B:$B,313)</f>
        <v>Vacant</v>
      </c>
      <c r="C48" s="1531" t="str">
        <f>INDEX('REVIEW - Complete Role Mapping'!$C:$C,313)</f>
        <v>Service Transition Lead</v>
      </c>
      <c r="D48" s="1531" t="str">
        <f>INDEX('REVIEW - Complete Role Mapping'!$AK:$AK,313)</f>
        <v>Vacant</v>
      </c>
      <c r="E48" s="1548" t="inlineStr">
        <is>
          <t>Hire</t>
        </is>
      </c>
      <c r="F48" s="1770">
        <f>INDEX('REVIEW - Complete Role Mapping'!$AA:$AA,313)</f>
        <v>202853.25</v>
      </c>
      <c r="G48" s="1770">
        <f>$F48*IFERROR(INDEX(Lists!$AD:$AD,MATCH($E48,Lists!$AC:$AC,0)),1)</f>
        <v>202853.25</v>
      </c>
    </row>
    <row r="49">
      <c r="B49" s="1531" t="str">
        <f>INDEX('REVIEW - Complete Role Mapping'!$B:$B,321)</f>
        <v>Vacant</v>
      </c>
      <c r="C49" s="1531" t="str">
        <f>INDEX('REVIEW - Complete Role Mapping'!$C:$C,321)</f>
        <v>Data Governance Lead</v>
      </c>
      <c r="D49" s="1531" t="str">
        <f>INDEX('REVIEW - Complete Role Mapping'!$AK:$AK,321)</f>
        <v>Vacant</v>
      </c>
      <c r="E49" s="1548" t="inlineStr">
        <is>
          <t>Hire</t>
        </is>
      </c>
      <c r="F49" s="1770">
        <f>INDEX('REVIEW - Complete Role Mapping'!$AA:$AA,321)</f>
        <v>389606.1</v>
      </c>
      <c r="G49" s="1770">
        <f>$F49*IFERROR(INDEX(Lists!$AD:$AD,MATCH($E49,Lists!$AC:$AC,0)),1)</f>
        <v>389606.1</v>
      </c>
    </row>
    <row r="50">
      <c r="B50" s="1530" t="inlineStr">
        <is>
          <t>Leadership</t>
        </is>
      </c>
      <c r="C50" s="1530" t="str">
        <f>COUNTA($B$51:$B$54)&amp;IF(COUNTA($B$51:$B$54)=1," role"," roles")</f>
        <v>4 roles</v>
      </c>
      <c r="D50" s="1530" t="n"/>
      <c r="E50" s="1530" t="n"/>
      <c r="F50" s="1786">
        <f>SUM(F51:F54)</f>
        <v>1223981.8</v>
      </c>
      <c r="G50" s="1786">
        <f>SUM(G51:G54)</f>
        <v>1223981.8</v>
      </c>
    </row>
    <row r="51">
      <c r="B51" s="1531" t="str">
        <f>INDEX('REVIEW - Complete Role Mapping'!$B:$B,287)</f>
        <v>Joel Vijayakumar</v>
      </c>
      <c r="C51" s="1531" t="str">
        <f>INDEX('REVIEW - Complete Role Mapping'!$C:$C,287)</f>
        <v>Delivery Manager, Strategy, Architecture &amp; Data</v>
      </c>
      <c r="D51" s="1531" t="str">
        <f>INDEX('REVIEW - Complete Role Mapping'!$AK:$AK,287)</f>
        <v>Filled</v>
      </c>
      <c r="E51" s="1548" t="inlineStr">
        <is>
          <t>Filled</t>
        </is>
      </c>
      <c r="F51" s="1770">
        <f>INDEX('REVIEW - Complete Role Mapping'!$AA:$AA,287)</f>
        <v>369088.6</v>
      </c>
      <c r="G51" s="1770">
        <f>$F51*IFERROR(INDEX(Lists!$AD:$AD,MATCH($E51,Lists!$AC:$AC,0)),1)</f>
        <v>369088.6</v>
      </c>
    </row>
    <row r="52">
      <c r="B52" s="1531" t="str">
        <f>INDEX('REVIEW - Complete Role Mapping'!$B:$B,322)</f>
        <v>Vacant</v>
      </c>
      <c r="C52" s="1531" t="str">
        <f>INDEX('REVIEW - Complete Role Mapping'!$C:$C,322)</f>
        <v>Head of Architecture</v>
      </c>
      <c r="D52" s="1531" t="str">
        <f>INDEX('REVIEW - Complete Role Mapping'!$AK:$AK,322)</f>
        <v>Vacant</v>
      </c>
      <c r="E52" s="1548" t="inlineStr">
        <is>
          <t>Hire</t>
        </is>
      </c>
      <c r="F52" s="1770">
        <f>INDEX('REVIEW - Complete Role Mapping'!$AA:$AA,322)</f>
        <v>334972.95</v>
      </c>
      <c r="G52" s="1770">
        <f>$F52*IFERROR(INDEX(Lists!$AD:$AD,MATCH($E52,Lists!$AC:$AC,0)),1)</f>
        <v>334972.95</v>
      </c>
    </row>
    <row r="53">
      <c r="B53" s="1531" t="str">
        <f>INDEX('REVIEW - Complete Role Mapping'!$B:$B,323)</f>
        <v>Vacant</v>
      </c>
      <c r="C53" s="1531" t="str">
        <f>INDEX('REVIEW - Complete Role Mapping'!$C:$C,323)</f>
        <v>Head of Technology Strategy &amp; AI Capability</v>
      </c>
      <c r="D53" s="1531" t="str">
        <f>INDEX('REVIEW - Complete Role Mapping'!$AK:$AK,323)</f>
        <v>Vacant</v>
      </c>
      <c r="E53" s="1548" t="inlineStr">
        <is>
          <t>Hire</t>
        </is>
      </c>
      <c r="F53" s="1770">
        <f>INDEX('REVIEW - Complete Role Mapping'!$AA:$AA,323)</f>
        <v>333020.25</v>
      </c>
      <c r="G53" s="1770">
        <f>$F53*IFERROR(INDEX(Lists!$AD:$AD,MATCH($E53,Lists!$AC:$AC,0)),1)</f>
        <v>333020.25</v>
      </c>
    </row>
    <row r="54">
      <c r="B54" s="1531" t="str">
        <f>INDEX('REVIEW - Complete Role Mapping'!$B:$B,324)</f>
        <v>Vacant</v>
      </c>
      <c r="C54" s="1531" t="str">
        <f>INDEX('REVIEW - Complete Role Mapping'!$C:$C,324)</f>
        <v>Senior Communications Advisor</v>
      </c>
      <c r="D54" s="1531" t="str">
        <f>INDEX('REVIEW - Complete Role Mapping'!$AK:$AK,324)</f>
        <v>Vacant</v>
      </c>
      <c r="E54" s="1548" t="inlineStr">
        <is>
          <t>Hire</t>
        </is>
      </c>
      <c r="F54" s="1770">
        <f>INDEX('REVIEW - Complete Role Mapping'!$AA:$AA,324)</f>
        <v>186900</v>
      </c>
      <c r="G54" s="1770">
        <f>$F54*IFERROR(INDEX(Lists!$AD:$AD,MATCH($E54,Lists!$AC:$AC,0)),1)</f>
        <v>186900</v>
      </c>
    </row>
    <row r="55">
      <c r="B55" s="1530" t="inlineStr">
        <is>
          <t>Technology Strategy &amp; AI Capability</t>
        </is>
      </c>
      <c r="C55" s="1530" t="str">
        <f>COUNTA($B$56:$B$60)&amp;IF(COUNTA($B$56:$B$60)=1," role"," roles")</f>
        <v>5 roles</v>
      </c>
      <c r="D55" s="1530" t="n"/>
      <c r="E55" s="1530" t="n"/>
      <c r="F55" s="1786">
        <f>SUM(F56:F60)</f>
        <v>1069888.75</v>
      </c>
      <c r="G55" s="1786">
        <f>SUM(G56:G60)</f>
        <v>1069888.75</v>
      </c>
    </row>
    <row r="56">
      <c r="B56" s="1531" t="str">
        <f>INDEX('REVIEW - Complete Role Mapping'!$B:$B,306)</f>
        <v>Roger Blazey</v>
      </c>
      <c r="C56" s="1531" t="str">
        <f>INDEX('REVIEW - Complete Role Mapping'!$C:$C,306)</f>
        <v>Architect (AI Innovation)</v>
      </c>
      <c r="D56" s="1531" t="str">
        <f>INDEX('REVIEW - Complete Role Mapping'!$AK:$AK,306)</f>
        <v>Filled</v>
      </c>
      <c r="E56" s="1548" t="inlineStr">
        <is>
          <t>Filled</t>
        </is>
      </c>
      <c r="F56" s="1770">
        <f>INDEX('REVIEW - Complete Role Mapping'!$AA:$AA,306)</f>
        <v>250245.75</v>
      </c>
      <c r="G56" s="1770">
        <f>$F56*IFERROR(INDEX(Lists!$AD:$AD,MATCH($E56,Lists!$AC:$AC,0)),1)</f>
        <v>250245.75</v>
      </c>
    </row>
    <row r="57">
      <c r="B57" s="1531" t="str">
        <f>INDEX('REVIEW - Complete Role Mapping'!$B:$B,325)</f>
        <v>Vacant</v>
      </c>
      <c r="C57" s="1531" t="str">
        <f>INDEX('REVIEW - Complete Role Mapping'!$C:$C,325)</f>
        <v>AI Capability Lead</v>
      </c>
      <c r="D57" s="1531" t="str">
        <f>INDEX('REVIEW - Complete Role Mapping'!$AK:$AK,325)</f>
        <v>Vacant</v>
      </c>
      <c r="E57" s="1548" t="inlineStr">
        <is>
          <t>Hire</t>
        </is>
      </c>
      <c r="F57" s="1770">
        <f>INDEX('REVIEW - Complete Role Mapping'!$AA:$AA,325)</f>
        <v>275810.25</v>
      </c>
      <c r="G57" s="1770">
        <f>$F57*IFERROR(INDEX(Lists!$AD:$AD,MATCH($E57,Lists!$AC:$AC,0)),1)</f>
        <v>275810.25</v>
      </c>
    </row>
    <row r="58">
      <c r="B58" s="1531" t="str">
        <f>INDEX('REVIEW - Complete Role Mapping'!$B:$B,326)</f>
        <v>Vacant</v>
      </c>
      <c r="C58" s="1531" t="str">
        <f>INDEX('REVIEW - Complete Role Mapping'!$C:$C,326)</f>
        <v>Enterprise Process Lead</v>
      </c>
      <c r="D58" s="1531" t="str">
        <f>INDEX('REVIEW - Complete Role Mapping'!$AK:$AK,326)</f>
        <v>Vacant</v>
      </c>
      <c r="E58" s="1548" t="inlineStr">
        <is>
          <t>Hire</t>
        </is>
      </c>
      <c r="F58" s="1770">
        <f>INDEX('REVIEW - Complete Role Mapping'!$AA:$AA,326)</f>
        <v>202853.25</v>
      </c>
      <c r="G58" s="1770">
        <f>$F58*IFERROR(INDEX(Lists!$AD:$AD,MATCH($E58,Lists!$AC:$AC,0)),1)</f>
        <v>202853.25</v>
      </c>
    </row>
    <row r="59">
      <c r="B59" s="1531" t="str">
        <f>INDEX('REVIEW - Complete Role Mapping'!$B:$B,327)</f>
        <v>Vacant</v>
      </c>
      <c r="C59" s="1531" t="str">
        <f>INDEX('REVIEW - Complete Role Mapping'!$C:$C,327)</f>
        <v>EnterpriseProcess Analyst</v>
      </c>
      <c r="D59" s="1531" t="str">
        <f>INDEX('REVIEW - Complete Role Mapping'!$AK:$AK,327)</f>
        <v>Vacant</v>
      </c>
      <c r="E59" s="1548" t="inlineStr">
        <is>
          <t>Hire</t>
        </is>
      </c>
      <c r="F59" s="1770">
        <f>INDEX('REVIEW - Complete Role Mapping'!$AA:$AA,327)</f>
        <v>170489.75</v>
      </c>
      <c r="G59" s="1770">
        <f>$F59*IFERROR(INDEX(Lists!$AD:$AD,MATCH($E59,Lists!$AC:$AC,0)),1)</f>
        <v>170489.75</v>
      </c>
    </row>
    <row r="60">
      <c r="B60" s="1531" t="str">
        <f>INDEX('REVIEW - Complete Role Mapping'!$B:$B,328)</f>
        <v>Vacant</v>
      </c>
      <c r="C60" s="1531" t="str">
        <f>INDEX('REVIEW - Complete Role Mapping'!$C:$C,328)</f>
        <v>Strategy Analyst</v>
      </c>
      <c r="D60" s="1531" t="str">
        <f>INDEX('REVIEW - Complete Role Mapping'!$AK:$AK,328)</f>
        <v>Vacant</v>
      </c>
      <c r="E60" s="1548" t="inlineStr">
        <is>
          <t>Hire</t>
        </is>
      </c>
      <c r="F60" s="1770">
        <f>INDEX('REVIEW - Complete Role Mapping'!$AA:$AA,328)</f>
        <v>170489.75</v>
      </c>
      <c r="G60" s="1770">
        <f>$F60*IFERROR(INDEX(Lists!$AD:$AD,MATCH($E60,Lists!$AC:$AC,0)),1)</f>
        <v>170489.75</v>
      </c>
    </row>
  </sheetData>
  <dataValidations count="1">
    <dataValidation sqref="E31 E32 E33 E34 E35 E36 E37 E39 E41 E42 E43 E44 E45 E46 E47 E48 E49 E51 E52 E53 E54 E56 E57 E58 E59 E6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Q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f>SUM(M8:M8)</f>
        <v>0</v>
      </c>
      <c r="N9" s="1771">
        <f>SUM(N8:N8)</f>
        <v>0</v>
      </c>
      <c r="O9" s="1771" t="str">
        <f>IF(N($M9)=0,"-",ROUND($N9-$M9,6))</f>
        <v>-</v>
      </c>
      <c r="P9" s="1771">
        <f>SUM(P8:P8)</f>
        <v>0</v>
      </c>
      <c r="Q9" s="1771" t="str">
        <f>IF(N($M9)=0,"-",ROUND($P9-$M9,6))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40" t="str">
        <f>"-"</f>
        <v>-</v>
      </c>
      <c r="F11" s="1770">
        <f>COUNTA($B$27:$B$43)</f>
        <v>17</v>
      </c>
      <c r="G11" s="1770">
        <f>COUNTIFS($D$27:$D$43,"Filled")</f>
        <v>17</v>
      </c>
      <c r="H11" s="1770">
        <f>COUNTIFS($D$27:$D$43,"Vacant")</f>
        <v>0</v>
      </c>
      <c r="I11" s="1770">
        <f>COUNTIFS($D$27:$D$43,"Vacant",$E$27:$E$43,"Hire")</f>
        <v>0</v>
      </c>
      <c r="J11" s="1770">
        <f>COUNTIFS($E$27:$E$43,"Offshore")</f>
        <v>0</v>
      </c>
      <c r="K11" s="1770">
        <f>COUNTIFS($E$27:$E$43,"Hold")</f>
        <v>0</v>
      </c>
      <c r="L11" s="1770">
        <f>$F11-$K11</f>
        <v>17</v>
      </c>
      <c r="M11" s="1769">
        <f>$N11</f>
        <v>4.94341935</v>
      </c>
      <c r="N11" s="1769">
        <f>SUMIFS('REVIEW - Complete Role Mapping'!$AA$2:$AA$528,'REVIEW - Complete Role Mapping'!$AJ$2:$AJ$528,$C$3,'REVIEW - Complete Role Mapping'!$AT$2:$AT$528,$B11)/1000000</f>
        <v>4.94341935</v>
      </c>
      <c r="O11" s="1769">
        <f>ROUND($N11-$M11,6)</f>
        <v>0</v>
      </c>
      <c r="P11" s="1769">
        <f>SUM($G$27:$G$43)/1000000</f>
        <v>4.94341935</v>
      </c>
      <c r="Q11" s="1769">
        <f>ROUND($P11-$M11,6)</f>
        <v>0</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f>SUM(M11:M11)</f>
        <v>4.94341935</v>
      </c>
      <c r="N12" s="1771">
        <f>SUM(N11:N11)</f>
        <v>4.94341935</v>
      </c>
      <c r="O12" s="1771">
        <f>IF(N($M12)=0,"-",ROUND($N12-$M12,6))</f>
        <v>0</v>
      </c>
      <c r="P12" s="1771">
        <f>SUM(P11:P11)</f>
        <v>4.94341935</v>
      </c>
      <c r="Q12" s="1771">
        <f>IF(N($M12)=0,"-",ROUND($P12-$M12,6))</f>
        <v>0</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every group here has a figure to compare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Groups with no archetype and no funded figure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f>SUM(M14:M14)</f>
        <v>0</v>
      </c>
      <c r="N15" s="1771">
        <f>SUM(N14:N14)</f>
        <v>0</v>
      </c>
      <c r="O15" s="1771" t="str">
        <f>IF(N($M15)=0,"-",ROUND($N15-$M15,6))</f>
        <v>-</v>
      </c>
      <c r="P15" s="1771">
        <f>SUM(P14:P14)</f>
        <v>0</v>
      </c>
      <c r="Q15" s="1771" t="str">
        <f>IF(N($M15)=0,"-",ROUND($P15-$M15,6))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the COEs carry no overhead</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Overhead roles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f>SUM(M17:M17)</f>
        <v>0</v>
      </c>
      <c r="N18" s="1771">
        <f>SUM(N17:N17)</f>
        <v>0</v>
      </c>
      <c r="O18" s="1771" t="str">
        <f>IF(N($M18)=0,"-",ROUND($N18-$M18,6))</f>
        <v>-</v>
      </c>
      <c r="P18" s="1771">
        <f>SUM(P17:P17)</f>
        <v>0</v>
      </c>
      <c r="Q18" s="1771" t="str">
        <f>IF(N($M18)=0,"-",ROUND($P18-$M18,6))</f>
        <v>-</v>
      </c>
    </row>
    <row r="19">
      <c r="B19" s="1541" t="inlineStr">
        <is>
          <t>Total portfolio</t>
        </is>
      </c>
      <c r="C19" s="1541" t="n"/>
      <c r="D19" s="1541" t="n"/>
      <c r="E19" s="1785">
        <f>N(E9)+N(E12)+N(E15)+N(E18)</f>
        <v>0</v>
      </c>
      <c r="F19" s="1774">
        <f>N(F9)+N(F12)+N(F15)+N(F18)</f>
        <v>17</v>
      </c>
      <c r="G19" s="1774">
        <f>N(G9)+N(G12)+N(G15)+N(G18)</f>
        <v>17</v>
      </c>
      <c r="H19" s="1774">
        <f>N(H9)+N(H12)+N(H15)+N(H18)</f>
        <v>0</v>
      </c>
      <c r="I19" s="1774">
        <f>N(I9)+N(I12)+N(I15)+N(I18)</f>
        <v>0</v>
      </c>
      <c r="J19" s="1774">
        <f>N(J9)+N(J12)+N(J15)+N(J18)</f>
        <v>0</v>
      </c>
      <c r="K19" s="1774">
        <f>N(K9)+N(K12)+N(K15)+N(K18)</f>
        <v>0</v>
      </c>
      <c r="L19" s="1774">
        <f>N(L9)+N(L12)+N(L15)+N(L18)</f>
        <v>17</v>
      </c>
      <c r="M19" s="1773" t="str">
        <f>"-"</f>
        <v>-</v>
      </c>
      <c r="N19" s="1773">
        <f>N(N9)+N(N12)+N(N15)+N(N18)</f>
        <v>4.94341935</v>
      </c>
      <c r="O19" s="1773" t="str">
        <f>"-"</f>
        <v>-</v>
      </c>
      <c r="P19" s="1773">
        <f>N(P9)+N(P12)+N(P15)+N(P18)</f>
        <v>4.94341935</v>
      </c>
      <c r="Q19" s="1773" t="str">
        <f>"-"</f>
        <v>-</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EGI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t>
        </is>
      </c>
      <c r="C26" s="1530" t="str">
        <f>COUNTA($B$27:$B$43)&amp;IF(COUNTA($B$27:$B$43)=1," role"," roles")</f>
        <v>17 roles</v>
      </c>
      <c r="D26" s="1530" t="n"/>
      <c r="E26" s="1530" t="n"/>
      <c r="F26" s="1786">
        <f>SUM(F27:F43)</f>
        <v>4943419.35</v>
      </c>
      <c r="G26" s="1786">
        <f>SUM(G27:G43)</f>
        <v>4943419.35</v>
      </c>
    </row>
    <row r="27">
      <c r="B27" s="1531" t="str">
        <f>INDEX('REVIEW - Complete Role Mapping'!$B:$B,239)</f>
        <v>Ahmed Yehya</v>
      </c>
      <c r="C27" s="1531" t="str">
        <f>INDEX('REVIEW - Complete Role Mapping'!$C:$C,239)</f>
        <v>TDD Strategic Delivery</v>
      </c>
      <c r="D27" s="1531" t="str">
        <f>INDEX('REVIEW - Complete Role Mapping'!$AK:$AK,239)</f>
        <v>Filled</v>
      </c>
      <c r="E27" s="1548" t="inlineStr">
        <is>
          <t>Filled</t>
        </is>
      </c>
      <c r="F27" s="1770">
        <f>INDEX('REVIEW - Complete Role Mapping'!$AA:$AA,239)</f>
        <v>277500</v>
      </c>
      <c r="G27" s="1770">
        <f>$F27*IFERROR(INDEX(Lists!$AD:$AD,MATCH($E27,Lists!$AC:$AC,0)),1)</f>
        <v>277500</v>
      </c>
    </row>
    <row r="28">
      <c r="B28" s="1531" t="str">
        <f>INDEX('REVIEW - Complete Role Mapping'!$B:$B,240)</f>
        <v>Anthony Huynh</v>
      </c>
      <c r="C28" s="1531" t="str">
        <f>INDEX('REVIEW - Complete Role Mapping'!$C:$C,240)</f>
        <v>Strategic Delivery Consultant</v>
      </c>
      <c r="D28" s="1531" t="str">
        <f>INDEX('REVIEW - Complete Role Mapping'!$AK:$AK,240)</f>
        <v>Filled</v>
      </c>
      <c r="E28" s="1548" t="inlineStr">
        <is>
          <t>Filled</t>
        </is>
      </c>
      <c r="F28" s="1770">
        <f>INDEX('REVIEW - Complete Role Mapping'!$AA:$AA,240)</f>
        <v>301254</v>
      </c>
      <c r="G28" s="1770">
        <f>$F28*IFERROR(INDEX(Lists!$AD:$AD,MATCH($E28,Lists!$AC:$AC,0)),1)</f>
        <v>301254</v>
      </c>
    </row>
    <row r="29">
      <c r="B29" s="1531" t="str">
        <f>INDEX('REVIEW - Complete Role Mapping'!$B:$B,241)</f>
        <v>Areum Kim Lee</v>
      </c>
      <c r="C29" s="1531" t="str">
        <f>INDEX('REVIEW - Complete Role Mapping'!$C:$C,241)</f>
        <v>Program Manager (PEP13-EGI-UKG)</v>
      </c>
      <c r="D29" s="1531" t="str">
        <f>INDEX('REVIEW - Complete Role Mapping'!$AK:$AK,241)</f>
        <v>Filled</v>
      </c>
      <c r="E29" s="1548" t="inlineStr">
        <is>
          <t>Filled</t>
        </is>
      </c>
      <c r="F29" s="1770">
        <f>INDEX('REVIEW - Complete Role Mapping'!$AA:$AA,241)</f>
        <v>343158.72</v>
      </c>
      <c r="G29" s="1770">
        <f>$F29*IFERROR(INDEX(Lists!$AD:$AD,MATCH($E29,Lists!$AC:$AC,0)),1)</f>
        <v>343158.72</v>
      </c>
    </row>
    <row r="30">
      <c r="B30" s="1531" t="str">
        <f>INDEX('REVIEW - Complete Role Mapping'!$B:$B,242)</f>
        <v>Ernesto Pereira</v>
      </c>
      <c r="C30" s="1531" t="str">
        <f>INDEX('REVIEW - Complete Role Mapping'!$C:$C,242)</f>
        <v>Project Manger</v>
      </c>
      <c r="D30" s="1531" t="str">
        <f>INDEX('REVIEW - Complete Role Mapping'!$AK:$AK,242)</f>
        <v>Filled</v>
      </c>
      <c r="E30" s="1548" t="inlineStr">
        <is>
          <t>Filled</t>
        </is>
      </c>
      <c r="F30" s="1770">
        <f>INDEX('REVIEW - Complete Role Mapping'!$AA:$AA,242)</f>
        <v>222000</v>
      </c>
      <c r="G30" s="1770">
        <f>$F30*IFERROR(INDEX(Lists!$AD:$AD,MATCH($E30,Lists!$AC:$AC,0)),1)</f>
        <v>222000</v>
      </c>
    </row>
    <row r="31">
      <c r="B31" s="1531" t="str">
        <f>INDEX('REVIEW - Complete Role Mapping'!$B:$B,243)</f>
        <v>Harish Dasari</v>
      </c>
      <c r="C31" s="1531" t="str">
        <f>INDEX('REVIEW - Complete Role Mapping'!$C:$C,243)</f>
        <v>Business Analyst (SAP Payroll)</v>
      </c>
      <c r="D31" s="1531" t="str">
        <f>INDEX('REVIEW - Complete Role Mapping'!$AK:$AK,243)</f>
        <v>Filled</v>
      </c>
      <c r="E31" s="1548" t="inlineStr">
        <is>
          <t>Filled</t>
        </is>
      </c>
      <c r="F31" s="1770">
        <f>INDEX('REVIEW - Complete Role Mapping'!$AA:$AA,243)</f>
        <v>244200</v>
      </c>
      <c r="G31" s="1770">
        <f>$F31*IFERROR(INDEX(Lists!$AD:$AD,MATCH($E31,Lists!$AC:$AC,0)),1)</f>
        <v>244200</v>
      </c>
    </row>
    <row r="32">
      <c r="B32" s="1531" t="str">
        <f>INDEX('REVIEW - Complete Role Mapping'!$B:$B,244)</f>
        <v>James Munt</v>
      </c>
      <c r="C32" s="1531" t="str">
        <f>INDEX('REVIEW - Complete Role Mapping'!$C:$C,244)</f>
        <v>Program Manager Tech &amp; P&amp;C</v>
      </c>
      <c r="D32" s="1531" t="str">
        <f>INDEX('REVIEW - Complete Role Mapping'!$AK:$AK,244)</f>
        <v>Filled</v>
      </c>
      <c r="E32" s="1548" t="inlineStr">
        <is>
          <t>Filled</t>
        </is>
      </c>
      <c r="F32" s="1770">
        <f>INDEX('REVIEW - Complete Role Mapping'!$AA:$AA,244)</f>
        <v>266400</v>
      </c>
      <c r="G32" s="1770">
        <f>$F32*IFERROR(INDEX(Lists!$AD:$AD,MATCH($E32,Lists!$AC:$AC,0)),1)</f>
        <v>266400</v>
      </c>
    </row>
    <row r="33">
      <c r="B33" s="1531" t="str">
        <f>INDEX('REVIEW - Complete Role Mapping'!$B:$B,245)</f>
        <v>Jason McNamara</v>
      </c>
      <c r="C33" s="1531" t="str">
        <f>INDEX('REVIEW - Complete Role Mapping'!$C:$C,245)</f>
        <v>Project Manager Retail</v>
      </c>
      <c r="D33" s="1531" t="str">
        <f>INDEX('REVIEW - Complete Role Mapping'!$AK:$AK,245)</f>
        <v>Filled</v>
      </c>
      <c r="E33" s="1548" t="inlineStr">
        <is>
          <t>Filled</t>
        </is>
      </c>
      <c r="F33" s="1770">
        <f>INDEX('REVIEW - Complete Role Mapping'!$AA:$AA,245)</f>
        <v>488400</v>
      </c>
      <c r="G33" s="1770">
        <f>$F33*IFERROR(INDEX(Lists!$AD:$AD,MATCH($E33,Lists!$AC:$AC,0)),1)</f>
        <v>488400</v>
      </c>
    </row>
    <row r="34">
      <c r="B34" s="1531" t="str">
        <f>INDEX('REVIEW - Complete Role Mapping'!$B:$B,246)</f>
        <v>Jason Sipkovic</v>
      </c>
      <c r="C34" s="1531" t="str">
        <f>INDEX('REVIEW - Complete Role Mapping'!$C:$C,246)</f>
        <v>strategic program architect</v>
      </c>
      <c r="D34" s="1531" t="str">
        <f>INDEX('REVIEW - Complete Role Mapping'!$AK:$AK,246)</f>
        <v>Filled</v>
      </c>
      <c r="E34" s="1548" t="inlineStr">
        <is>
          <t>Filled</t>
        </is>
      </c>
      <c r="F34" s="1770">
        <f>INDEX('REVIEW - Complete Role Mapping'!$AA:$AA,246)</f>
        <v>333000</v>
      </c>
      <c r="G34" s="1770">
        <f>$F34*IFERROR(INDEX(Lists!$AD:$AD,MATCH($E34,Lists!$AC:$AC,0)),1)</f>
        <v>333000</v>
      </c>
    </row>
    <row r="35">
      <c r="B35" s="1531" t="str">
        <f>INDEX('REVIEW - Complete Role Mapping'!$B:$B,247)</f>
        <v>Kanika Narula</v>
      </c>
      <c r="C35" s="1531" t="str">
        <f>INDEX('REVIEW - Complete Role Mapping'!$C:$C,247)</f>
        <v>Business Analyst Digital</v>
      </c>
      <c r="D35" s="1531" t="str">
        <f>INDEX('REVIEW - Complete Role Mapping'!$AK:$AK,247)</f>
        <v>Filled</v>
      </c>
      <c r="E35" s="1548" t="inlineStr">
        <is>
          <t>Filled</t>
        </is>
      </c>
      <c r="F35" s="1770">
        <f>INDEX('REVIEW - Complete Role Mapping'!$AA:$AA,247)</f>
        <v>239502.48</v>
      </c>
      <c r="G35" s="1770">
        <f>$F35*IFERROR(INDEX(Lists!$AD:$AD,MATCH($E35,Lists!$AC:$AC,0)),1)</f>
        <v>239502.48</v>
      </c>
    </row>
    <row r="36">
      <c r="B36" s="1531" t="str">
        <f>INDEX('REVIEW - Complete Role Mapping'!$B:$B,248)</f>
        <v>Karl Reyneke</v>
      </c>
      <c r="C36" s="1531" t="str">
        <f>INDEX('REVIEW - Complete Role Mapping'!$C:$C,248)</f>
        <v>Strategic Delivery Consultant</v>
      </c>
      <c r="D36" s="1531" t="str">
        <f>INDEX('REVIEW - Complete Role Mapping'!$AK:$AK,248)</f>
        <v>Filled</v>
      </c>
      <c r="E36" s="1548" t="inlineStr">
        <is>
          <t>Filled</t>
        </is>
      </c>
      <c r="F36" s="1770">
        <f>INDEX('REVIEW - Complete Role Mapping'!$AA:$AA,248)</f>
        <v>299700</v>
      </c>
      <c r="G36" s="1770">
        <f>$F36*IFERROR(INDEX(Lists!$AD:$AD,MATCH($E36,Lists!$AC:$AC,0)),1)</f>
        <v>299700</v>
      </c>
    </row>
    <row r="37">
      <c r="B37" s="1531" t="str">
        <f>INDEX('REVIEW - Complete Role Mapping'!$B:$B,249)</f>
        <v>michelle Siegman</v>
      </c>
      <c r="C37" s="1531" t="str">
        <f>INDEX('REVIEW - Complete Role Mapping'!$C:$C,249)</f>
        <v>Strategic Delivery Consultant</v>
      </c>
      <c r="D37" s="1531" t="str">
        <f>INDEX('REVIEW - Complete Role Mapping'!$AK:$AK,249)</f>
        <v>Filled</v>
      </c>
      <c r="E37" s="1548" t="inlineStr">
        <is>
          <t>Filled</t>
        </is>
      </c>
      <c r="F37" s="1770">
        <f>INDEX('REVIEW - Complete Role Mapping'!$AA:$AA,249)</f>
        <v>230436</v>
      </c>
      <c r="G37" s="1770">
        <f>$F37*IFERROR(INDEX(Lists!$AD:$AD,MATCH($E37,Lists!$AC:$AC,0)),1)</f>
        <v>230436</v>
      </c>
    </row>
    <row r="38">
      <c r="B38" s="1531" t="str">
        <f>INDEX('REVIEW - Complete Role Mapping'!$B:$B,250)</f>
        <v>Moitri Pal</v>
      </c>
      <c r="C38" s="1531" t="str">
        <f>INDEX('REVIEW - Complete Role Mapping'!$C:$C,250)</f>
        <v>Portfolio Mnager</v>
      </c>
      <c r="D38" s="1531" t="str">
        <f>INDEX('REVIEW - Complete Role Mapping'!$AK:$AK,250)</f>
        <v>Filled</v>
      </c>
      <c r="E38" s="1548" t="inlineStr">
        <is>
          <t>Filled</t>
        </is>
      </c>
      <c r="F38" s="1770">
        <f>INDEX('REVIEW - Complete Role Mapping'!$AA:$AA,250)</f>
        <v>325464.15</v>
      </c>
      <c r="G38" s="1770">
        <f>$F38*IFERROR(INDEX(Lists!$AD:$AD,MATCH($E38,Lists!$AC:$AC,0)),1)</f>
        <v>325464.15</v>
      </c>
    </row>
    <row r="39">
      <c r="B39" s="1531" t="str">
        <f>INDEX('REVIEW - Complete Role Mapping'!$B:$B,251)</f>
        <v>Niall Greene</v>
      </c>
      <c r="C39" s="1531" t="str">
        <f>INDEX('REVIEW - Complete Role Mapping'!$C:$C,251)</f>
        <v>Project Manager (PEP13-EGI-UKG)</v>
      </c>
      <c r="D39" s="1531" t="str">
        <f>INDEX('REVIEW - Complete Role Mapping'!$AK:$AK,251)</f>
        <v>Filled</v>
      </c>
      <c r="E39" s="1548" t="inlineStr">
        <is>
          <t>Filled</t>
        </is>
      </c>
      <c r="F39" s="1770">
        <f>INDEX('REVIEW - Complete Role Mapping'!$AA:$AA,251)</f>
        <v>244200</v>
      </c>
      <c r="G39" s="1770">
        <f>$F39*IFERROR(INDEX(Lists!$AD:$AD,MATCH($E39,Lists!$AC:$AC,0)),1)</f>
        <v>244200</v>
      </c>
    </row>
    <row r="40">
      <c r="B40" s="1531" t="str">
        <f>INDEX('REVIEW - Complete Role Mapping'!$B:$B,252)</f>
        <v>Paul Hassey</v>
      </c>
      <c r="C40" s="1531" t="str">
        <f>INDEX('REVIEW - Complete Role Mapping'!$C:$C,252)</f>
        <v>Program Architect</v>
      </c>
      <c r="D40" s="1531" t="str">
        <f>INDEX('REVIEW - Complete Role Mapping'!$AK:$AK,252)</f>
        <v>Filled</v>
      </c>
      <c r="E40" s="1548" t="inlineStr">
        <is>
          <t>Filled</t>
        </is>
      </c>
      <c r="F40" s="1770">
        <f>INDEX('REVIEW - Complete Role Mapping'!$AA:$AA,252)</f>
        <v>310800</v>
      </c>
      <c r="G40" s="1770">
        <f>$F40*IFERROR(INDEX(Lists!$AD:$AD,MATCH($E40,Lists!$AC:$AC,0)),1)</f>
        <v>310800</v>
      </c>
    </row>
    <row r="41">
      <c r="B41" s="1531" t="str">
        <f>INDEX('REVIEW - Complete Role Mapping'!$B:$B,253)</f>
        <v>vijay Solanki</v>
      </c>
      <c r="C41" s="1531" t="str">
        <f>INDEX('REVIEW - Complete Role Mapping'!$C:$C,253)</f>
        <v>Project Manager Deployment</v>
      </c>
      <c r="D41" s="1531" t="str">
        <f>INDEX('REVIEW - Complete Role Mapping'!$AK:$AK,253)</f>
        <v>Filled</v>
      </c>
      <c r="E41" s="1548" t="inlineStr">
        <is>
          <t>Filled</t>
        </is>
      </c>
      <c r="F41" s="1770">
        <f>INDEX('REVIEW - Complete Role Mapping'!$AA:$AA,253)</f>
        <v>266400</v>
      </c>
      <c r="G41" s="1770">
        <f>$F41*IFERROR(INDEX(Lists!$AD:$AD,MATCH($E41,Lists!$AC:$AC,0)),1)</f>
        <v>266400</v>
      </c>
    </row>
    <row r="42">
      <c r="B42" s="1531" t="str">
        <f>INDEX('REVIEW - Complete Role Mapping'!$B:$B,254)</f>
        <v>Winnie Fernandes</v>
      </c>
      <c r="C42" s="1531" t="str">
        <f>INDEX('REVIEW - Complete Role Mapping'!$C:$C,254)</f>
        <v>Delivery Lead - Integration</v>
      </c>
      <c r="D42" s="1531" t="str">
        <f>INDEX('REVIEW - Complete Role Mapping'!$AK:$AK,254)</f>
        <v>Filled</v>
      </c>
      <c r="E42" s="1548" t="inlineStr">
        <is>
          <t>Filled</t>
        </is>
      </c>
      <c r="F42" s="1770">
        <f>INDEX('REVIEW - Complete Role Mapping'!$AA:$AA,254)</f>
        <v>273504</v>
      </c>
      <c r="G42" s="1770">
        <f>$F42*IFERROR(INDEX(Lists!$AD:$AD,MATCH($E42,Lists!$AC:$AC,0)),1)</f>
        <v>273504</v>
      </c>
    </row>
    <row r="43">
      <c r="B43" s="1531" t="str">
        <f>INDEX('REVIEW - Complete Role Mapping'!$B:$B,446)</f>
        <v>Ashish Gupte</v>
      </c>
      <c r="C43" s="1531" t="str">
        <f>INDEX('REVIEW - Complete Role Mapping'!$C:$C,446)</f>
        <v>DeveloperSAP ECC</v>
      </c>
      <c r="D43" s="1531" t="str">
        <f>INDEX('REVIEW - Complete Role Mapping'!$AK:$AK,446)</f>
        <v>Filled</v>
      </c>
      <c r="E43" s="1548" t="inlineStr">
        <is>
          <t>Filled</t>
        </is>
      </c>
      <c r="F43" s="1770">
        <f>INDEX('REVIEW - Complete Role Mapping'!$AA:$AA,446)</f>
        <v>277500</v>
      </c>
      <c r="G43" s="1770">
        <f>$F43*IFERROR(INDEX(Lists!$AD:$AD,MATCH($E43,Lists!$AC:$AC,0)),1)</f>
        <v>277500</v>
      </c>
    </row>
  </sheetData>
  <dataValidations count="1">
    <dataValidation sqref="E27 E28 E29 E30 E31 E32 E33 E34 E35 E36 E37 E38 E39 E40 E41 E42 E4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5"/>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1"/>
    <row r="2">
      <c r="B2" s="1524" t="inlineStr">
        <is>
          <t>TDD cost bridge - archetype cost to actual cost</t>
        </is>
      </c>
    </row>
    <row r="3"/>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t>
        </is>
      </c>
      <c r="C10" s="1531" t="inlineStr">
        <is>
          <t>TDD Group Functions</t>
        </is>
      </c>
      <c r="D10" s="1769">
        <f>'2.4 TDD Group Functions'!$M$12</f>
        <v>5.7</v>
      </c>
      <c r="E10" s="1769">
        <f>'2.4 TDD Group Functions'!$N$12</f>
        <v>7.5106297224</v>
      </c>
      <c r="F10" s="1769">
        <f>IFERROR(ROUND($E10-$D10,6),"-")</f>
        <v>1.81063</v>
      </c>
      <c r="G10" s="1769">
        <f>'2.4 TDD Group Functions'!$P$12</f>
        <v>7.5106297224</v>
      </c>
      <c r="H10" s="1770">
        <f>'2.4 TDD Group Functions'!$F$12</f>
        <v>36</v>
      </c>
      <c r="I10" s="1770">
        <f>'2.4 TDD Group Functions'!$G$12</f>
        <v>27</v>
      </c>
      <c r="J10" s="1770">
        <f>'2.4 TDD Group Functions'!$H$12</f>
        <v>9</v>
      </c>
      <c r="K10" s="1770">
        <f>'2.4 TDD Group Functions'!$L$12</f>
        <v>36</v>
      </c>
    </row>
    <row r="11">
      <c r="B11" s="1531" t="inlineStr">
        <is>
          <t>P&amp;C</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SUM(D7:D16)</f>
        <v>64.2</v>
      </c>
      <c r="E17" s="1771">
        <f>SUM(E7:E16)</f>
        <v>63.9809976151</v>
      </c>
      <c r="F17" s="1771">
        <f>ROUND($E17-$D17,6)</f>
        <v>-0.219002</v>
      </c>
      <c r="G17" s="1771">
        <f>SUM(G7:G16)</f>
        <v>63.9809976151</v>
      </c>
      <c r="H17" s="1772">
        <f>SUM(H7:H16)</f>
        <v>316</v>
      </c>
      <c r="I17" s="1772">
        <f>SUM(I7:I16)</f>
        <v>221</v>
      </c>
      <c r="J17" s="1772">
        <f>SUM(J7:J16)</f>
        <v>95</v>
      </c>
      <c r="K17" s="1772">
        <f>SUM(K7:K16)</f>
        <v>316</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1.221357614</v>
      </c>
      <c r="E20" s="1769">
        <f>'2.1 Ampol Retail'!$N$18</f>
        <v>1.221357614</v>
      </c>
      <c r="F20" s="1769">
        <f>IFERROR(ROUND($E20-$D20,6),"-")</f>
        <v>0</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f>'2.1 Ampol Retail'!$M$19</f>
        <v>0.2997</v>
      </c>
      <c r="E21" s="1769">
        <f>'2.1 Ampol Retail'!$N$19</f>
        <v>0.2997</v>
      </c>
      <c r="F21" s="1769">
        <f>IFERROR(ROUND($E21-$D21,6),"-")</f>
        <v>0</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f>'2.2 Customer'!$M$17</f>
        <v>2.208135308</v>
      </c>
      <c r="E22" s="1769">
        <f>'2.2 Customer'!$N$17</f>
        <v>2.208135308</v>
      </c>
      <c r="F22" s="1769">
        <f>IFERROR(ROUND($E22-$D22,6),"-")</f>
        <v>0</v>
      </c>
      <c r="G22" s="1769">
        <f>'2.2 Customer'!$P$17</f>
        <v>2.208135308</v>
      </c>
      <c r="H22" s="1770">
        <f>'2.2 Customer'!$F$17</f>
        <v>10</v>
      </c>
      <c r="I22" s="1770">
        <f>'2.2 Customer'!$G$17</f>
        <v>10</v>
      </c>
      <c r="J22" s="1770">
        <f>'2.2 Customer'!$H$17</f>
        <v>0</v>
      </c>
      <c r="K22" s="1770">
        <f>'2.2 Customer'!$L$17</f>
        <v>10</v>
      </c>
    </row>
    <row r="23">
      <c r="B23" s="1531" t="inlineStr">
        <is>
          <t>EGI TDD</t>
        </is>
      </c>
      <c r="C23" s="1531" t="inlineStr">
        <is>
          <t>TDD Group Functions</t>
        </is>
      </c>
      <c r="D23" s="1769">
        <f>'2.4 TDD Group Functions'!$M$14</f>
        <v>1.02484851</v>
      </c>
      <c r="E23" s="1769">
        <f>'2.4 TDD Group Functions'!$N$14</f>
        <v>1.02484851</v>
      </c>
      <c r="F23" s="1769">
        <f>IFERROR(ROUND($E23-$D23,6),"-")</f>
        <v>0</v>
      </c>
      <c r="G23" s="1769">
        <f>'2.4 TDD Group Functions'!$P$14</f>
        <v>1.02484851</v>
      </c>
      <c r="H23" s="1770">
        <f>'2.4 TDD Group Functions'!$F$14</f>
        <v>4</v>
      </c>
      <c r="I23" s="1770">
        <f>'2.4 TDD Group Functions'!$G$14</f>
        <v>4</v>
      </c>
      <c r="J23" s="1770">
        <f>'2.4 TDD Group Functions'!$H$14</f>
        <v>0</v>
      </c>
      <c r="K23" s="1770">
        <f>'2.4 TDD Group Functions'!$L$14</f>
        <v>4</v>
      </c>
    </row>
    <row r="24">
      <c r="B24" s="1531" t="inlineStr">
        <is>
          <t>EGI P&amp;C</t>
        </is>
      </c>
      <c r="C24" s="1531" t="inlineStr">
        <is>
          <t>P&amp;C</t>
        </is>
      </c>
      <c r="D24" s="1769">
        <f>'2.5 P&amp;C'!$M$12</f>
        <v>0.238965</v>
      </c>
      <c r="E24" s="1769">
        <f>'2.5 P&amp;C'!$N$12</f>
        <v>0.238965</v>
      </c>
      <c r="F24" s="1769">
        <f>IFERROR(ROUND($E24-$D24,6),"-")</f>
        <v>0</v>
      </c>
      <c r="G24" s="1769">
        <f>'2.5 P&amp;C'!$P$12</f>
        <v>0.238965</v>
      </c>
      <c r="H24" s="1770">
        <f>'2.5 P&amp;C'!$F$12</f>
        <v>1</v>
      </c>
      <c r="I24" s="1770">
        <f>'2.5 P&amp;C'!$G$12</f>
        <v>1</v>
      </c>
      <c r="J24" s="1770">
        <f>'2.5 P&amp;C'!$H$12</f>
        <v>0</v>
      </c>
      <c r="K24" s="1770">
        <f>'2.5 P&amp;C'!$L$12</f>
        <v>1</v>
      </c>
    </row>
    <row r="25">
      <c r="B25" s="1531" t="inlineStr">
        <is>
          <t>EGI Finance</t>
        </is>
      </c>
      <c r="C25" s="1531" t="inlineStr">
        <is>
          <t>Finance</t>
        </is>
      </c>
      <c r="D25" s="1769">
        <f>'2.6 Finance'!$M$12</f>
        <v>0.24172845</v>
      </c>
      <c r="E25" s="1769">
        <f>'2.6 Finance'!$N$12</f>
        <v>0.24172845</v>
      </c>
      <c r="F25" s="1769">
        <f>IFERROR(ROUND($E25-$D25,6),"-")</f>
        <v>0</v>
      </c>
      <c r="G25" s="1769">
        <f>'2.6 Finance'!$P$12</f>
        <v>0.24172845</v>
      </c>
      <c r="H25" s="1770">
        <f>'2.6 Finance'!$F$12</f>
        <v>1</v>
      </c>
      <c r="I25" s="1770">
        <f>'2.6 Finance'!$G$12</f>
        <v>1</v>
      </c>
      <c r="J25" s="1770">
        <f>'2.6 Finance'!$H$12</f>
        <v>0</v>
      </c>
      <c r="K25" s="1770">
        <f>'2.6 Finance'!$L$12</f>
        <v>1</v>
      </c>
    </row>
    <row r="26">
      <c r="B26" s="1531" t="inlineStr">
        <is>
          <t>CTRM</t>
        </is>
      </c>
      <c r="C26" s="1531" t="inlineStr">
        <is>
          <t>Commercial Fuels</t>
        </is>
      </c>
      <c r="D26" s="1769">
        <f>'2.9 Commercial Fuels'!$M$13</f>
        <v>3.8</v>
      </c>
      <c r="E26" s="1769">
        <f>'2.9 Commercial Fuels'!$N$13</f>
        <v>3.221759232</v>
      </c>
      <c r="F26" s="1769">
        <f>IFERROR(ROUND($E26-$D26,6),"-")</f>
        <v>-0.578241</v>
      </c>
      <c r="G26" s="1769">
        <f>'2.9 Commercial Fuels'!$P$13</f>
        <v>3.221759232</v>
      </c>
      <c r="H26" s="1770">
        <f>'2.9 Commercial Fuels'!$F$13</f>
        <v>14</v>
      </c>
      <c r="I26" s="1770">
        <f>'2.9 Commercial Fuels'!$G$13</f>
        <v>14</v>
      </c>
      <c r="J26" s="1770">
        <f>'2.9 Commercial Fuels'!$H$13</f>
        <v>0</v>
      </c>
      <c r="K26" s="1770">
        <f>'2.9 Commercial Fuels'!$L$13</f>
        <v>14</v>
      </c>
    </row>
    <row r="27">
      <c r="B27" s="1535" t="inlineStr">
        <is>
          <t>Directly funded programmes and platforms</t>
        </is>
      </c>
      <c r="C27" s="1535" t="n"/>
      <c r="D27" s="1771">
        <f>SUM(D19:D26)</f>
        <v>10.438823882</v>
      </c>
      <c r="E27" s="1771">
        <f>SUM(E19:E26)</f>
        <v>10.571523832</v>
      </c>
      <c r="F27" s="1771">
        <f>ROUND($E27-$D27,6)</f>
        <v>0.1327</v>
      </c>
      <c r="G27" s="1771">
        <f>SUM(G19:G26)</f>
        <v>10.571523832</v>
      </c>
      <c r="H27" s="1772">
        <f>SUM(H19:H26)</f>
        <v>47</v>
      </c>
      <c r="I27" s="1772">
        <f>SUM(I19:I26)</f>
        <v>47</v>
      </c>
      <c r="J27" s="1772">
        <f>SUM(J19:J26)</f>
        <v>0</v>
      </c>
      <c r="K27" s="1772">
        <f>SUM(K19:K26)</f>
        <v>47</v>
      </c>
    </row>
    <row r="28">
      <c r="B28" s="1530" t="inlineStr">
        <is>
          <t>COEs and EGI - planned spend on their own 1.x tabs</t>
        </is>
      </c>
      <c r="C28" s="1530" t="n"/>
      <c r="D28" s="1530" t="n"/>
      <c r="E28" s="1530" t="n"/>
      <c r="F28" s="1530" t="n"/>
      <c r="G28" s="1530" t="n"/>
      <c r="H28" s="1530" t="n"/>
      <c r="I28" s="1530" t="n"/>
      <c r="J28" s="1530" t="n"/>
      <c r="K28" s="1530" t="n"/>
    </row>
    <row r="29">
      <c r="B29" s="1531" t="inlineStr">
        <is>
          <t>COE Cyber</t>
        </is>
      </c>
      <c r="C29" s="1531" t="inlineStr">
        <is>
          <t>COE Cyber</t>
        </is>
      </c>
      <c r="D29" s="1769">
        <f>'1.13 Cyber Roles'!$F$6+'1.13 Cyber Roles'!$F$7</f>
        <v>9.897858294</v>
      </c>
      <c r="E29" s="1769">
        <f>'2.11 COE Cyber'!$N$23</f>
        <v>9.897858294</v>
      </c>
      <c r="F29" s="1769">
        <f>IFERROR(ROUND($E29-$D29,6),"-")</f>
        <v>0</v>
      </c>
      <c r="G29" s="1769">
        <f>'2.11 COE Cyber'!$P$23</f>
        <v>9.897858294</v>
      </c>
      <c r="H29" s="1770">
        <f>'2.11 COE Cyber'!$F$23</f>
        <v>46</v>
      </c>
      <c r="I29" s="1770">
        <f>'2.11 COE Cyber'!$G$23</f>
        <v>42</v>
      </c>
      <c r="J29" s="1770">
        <f>'2.11 COE Cyber'!$H$23</f>
        <v>4</v>
      </c>
      <c r="K29" s="1770">
        <f>'2.11 COE Cyber'!$L$23</f>
        <v>46</v>
      </c>
    </row>
    <row r="30">
      <c r="B30" s="1531" t="inlineStr">
        <is>
          <t>COE BP&amp;T</t>
        </is>
      </c>
      <c r="C30" s="1531" t="inlineStr">
        <is>
          <t>COE BP&amp;T</t>
        </is>
      </c>
      <c r="D30" s="1769">
        <f>'1.11 BP&amp;T'!$F$6+'1.11 BP&amp;T'!$F$7</f>
        <v>6.400561822</v>
      </c>
      <c r="E30" s="1769">
        <f>'2.12 COE BP&amp;T'!$N$21</f>
        <v>6.400561822</v>
      </c>
      <c r="F30" s="1769">
        <f>IFERROR(ROUND($E30-$D30,6),"-")</f>
        <v>0</v>
      </c>
      <c r="G30" s="1769">
        <f>'2.12 COE BP&amp;T'!$P$21</f>
        <v>6.400561822</v>
      </c>
      <c r="H30" s="1770">
        <f>'2.12 COE BP&amp;T'!$F$21</f>
        <v>24</v>
      </c>
      <c r="I30" s="1770">
        <f>'2.12 COE BP&amp;T'!$G$21</f>
        <v>15</v>
      </c>
      <c r="J30" s="1770">
        <f>'2.12 COE BP&amp;T'!$H$21</f>
        <v>9</v>
      </c>
      <c r="K30" s="1770">
        <f>'2.12 COE BP&amp;T'!$L$21</f>
        <v>24</v>
      </c>
    </row>
    <row r="31">
      <c r="B31" s="1531" t="inlineStr">
        <is>
          <t>COE SA&amp;D</t>
        </is>
      </c>
      <c r="C31" s="1531" t="inlineStr">
        <is>
          <t>COE SA&amp;D</t>
        </is>
      </c>
      <c r="D31" s="1769">
        <f>'1.12 SA&amp;D'!$G$6+'1.12 SA&amp;D'!$G$7</f>
        <v>6.529494052</v>
      </c>
      <c r="E31" s="1769">
        <f>'2.13 COE SA&amp;D'!$N$23</f>
        <v>6.529494052</v>
      </c>
      <c r="F31" s="1769">
        <f>IFERROR(ROUND($E31-$D31,6),"-")</f>
        <v>0</v>
      </c>
      <c r="G31" s="1769">
        <f>'2.13 COE SA&amp;D'!$P$23</f>
        <v>6.529494052</v>
      </c>
      <c r="H31" s="1770">
        <f>'2.13 COE SA&amp;D'!$F$23</f>
        <v>26</v>
      </c>
      <c r="I31" s="1770">
        <f>'2.13 COE SA&amp;D'!$G$23</f>
        <v>17</v>
      </c>
      <c r="J31" s="1770">
        <f>'2.13 COE SA&amp;D'!$H$23</f>
        <v>9</v>
      </c>
      <c r="K31" s="1770">
        <f>'2.13 COE SA&amp;D'!$L$23</f>
        <v>26</v>
      </c>
    </row>
    <row r="32">
      <c r="B32" s="1531" t="inlineStr">
        <is>
          <t>EGI</t>
        </is>
      </c>
      <c r="C32" s="1531" t="inlineStr">
        <is>
          <t>EGI</t>
        </is>
      </c>
      <c r="D32" s="1769">
        <f>'2.14 EGI'!$N$19</f>
        <v>4.94341935</v>
      </c>
      <c r="E32" s="1769">
        <f>'2.14 EGI'!$N$19</f>
        <v>4.94341935</v>
      </c>
      <c r="F32" s="1769">
        <f>IFERROR(ROUND($E32-$D32,6),"-")</f>
        <v>0</v>
      </c>
      <c r="G32" s="1769">
        <f>'2.14 EGI'!$P$19</f>
        <v>4.94341935</v>
      </c>
      <c r="H32" s="1770">
        <f>'2.14 EGI'!$F$19</f>
        <v>17</v>
      </c>
      <c r="I32" s="1770">
        <f>'2.14 EGI'!$G$19</f>
        <v>17</v>
      </c>
      <c r="J32" s="1770">
        <f>'2.14 EGI'!$H$19</f>
        <v>0</v>
      </c>
      <c r="K32" s="1770">
        <f>'2.14 EGI'!$L$19</f>
        <v>17</v>
      </c>
    </row>
    <row r="33">
      <c r="B33" s="1535" t="inlineStr">
        <is>
          <t>COEs and EGI</t>
        </is>
      </c>
      <c r="C33" s="1535" t="n"/>
      <c r="D33" s="1771">
        <f>SUM(D29:D32)</f>
        <v>27.771333518</v>
      </c>
      <c r="E33" s="1771">
        <f>SUM(E29:E32)</f>
        <v>27.771333518</v>
      </c>
      <c r="F33" s="1771">
        <f>ROUND($E33-$D33,6)</f>
        <v>0</v>
      </c>
      <c r="G33" s="1771">
        <f>SUM(G29:G32)</f>
        <v>27.771333518</v>
      </c>
      <c r="H33" s="1772">
        <f>SUM(H29:H32)</f>
        <v>113</v>
      </c>
      <c r="I33" s="1772">
        <f>SUM(I29:I32)</f>
        <v>91</v>
      </c>
      <c r="J33" s="1772">
        <f>SUM(J29:J32)</f>
        <v>22</v>
      </c>
      <c r="K33" s="1772">
        <f>SUM(K29:K32)</f>
        <v>113</v>
      </c>
    </row>
    <row r="34">
      <c r="B34" s="1535" t="inlineStr">
        <is>
          <t>Overhead roles in the portfolios - the allowance is on 3.2</t>
        </is>
      </c>
      <c r="C34" s="1535" t="n"/>
      <c r="D34" s="1771">
        <f>N(Lists!$AJ$9)</f>
        <v>6.325</v>
      </c>
      <c r="E34" s="1771">
        <f>N('2.1 Ampol Retail'!$N$28)+N('2.2 Customer'!$N$26)+N('2.3 Enterprise Data'!$N$21)+N('2.4 TDD Group Functions'!$N$23)+N('2.5 P&amp;C'!$N$21)+N('2.6 Finance'!$N$19)+N('2.7 Infrastructure'!$N$23)+N('2.8 Energy Solutions &amp; B2B'!$N$22)+N('2.9 Commercial Fuels'!$N$22)+N('2.10 Z Retail'!$N$23)</f>
        <v>11.654230155</v>
      </c>
      <c r="F34" s="1771">
        <f>ROUND($E34-$D34,6)</f>
        <v>5.32923</v>
      </c>
      <c r="G34" s="1771">
        <f>N('2.1 Ampol Retail'!$P$28)+N('2.2 Customer'!$P$26)+N('2.3 Enterprise Data'!$P$21)+N('2.4 TDD Group Functions'!$P$23)+N('2.5 P&amp;C'!$P$21)+N('2.6 Finance'!$P$19)+N('2.7 Infrastructure'!$P$23)+N('2.8 Energy Solutions &amp; B2B'!$P$22)+N('2.9 Commercial Fuels'!$P$22)+N('2.10 Z Retail'!$P$23)</f>
        <v>11.654230155</v>
      </c>
      <c r="H34" s="1772">
        <f>N('2.1 Ampol Retail'!$F$28)+N('2.2 Customer'!$F$26)+N('2.3 Enterprise Data'!$F$21)+N('2.4 TDD Group Functions'!$F$23)+N('2.5 P&amp;C'!$F$21)+N('2.6 Finance'!$F$19)+N('2.7 Infrastructure'!$F$23)+N('2.8 Energy Solutions &amp; B2B'!$F$22)+N('2.9 Commercial Fuels'!$F$22)+N('2.10 Z Retail'!$F$23)</f>
        <v>43</v>
      </c>
      <c r="I34" s="1772">
        <f>N('2.1 Ampol Retail'!$G$28)+N('2.2 Customer'!$G$26)+N('2.3 Enterprise Data'!$G$21)+N('2.4 TDD Group Functions'!$G$23)+N('2.5 P&amp;C'!$G$21)+N('2.6 Finance'!$G$19)+N('2.7 Infrastructure'!$G$23)+N('2.8 Energy Solutions &amp; B2B'!$G$22)+N('2.9 Commercial Fuels'!$G$22)+N('2.10 Z Retail'!$G$23)</f>
        <v>26</v>
      </c>
      <c r="J34" s="1772">
        <f>N('2.1 Ampol Retail'!$H$28)+N('2.2 Customer'!$H$26)+N('2.3 Enterprise Data'!$H$21)+N('2.4 TDD Group Functions'!$H$23)+N('2.5 P&amp;C'!$H$21)+N('2.6 Finance'!$H$19)+N('2.7 Infrastructure'!$H$23)+N('2.8 Energy Solutions &amp; B2B'!$H$22)+N('2.9 Commercial Fuels'!$H$22)+N('2.10 Z Retail'!$H$23)</f>
        <v>17</v>
      </c>
      <c r="K34" s="1772">
        <f>N('2.1 Ampol Retail'!$L$28)+N('2.2 Customer'!$L$26)+N('2.3 Enterprise Data'!$L$21)+N('2.4 TDD Group Functions'!$L$23)+N('2.5 P&amp;C'!$L$21)+N('2.6 Finance'!$L$19)+N('2.7 Infrastructure'!$L$23)+N('2.8 Energy Solutions &amp; B2B'!$L$22)+N('2.9 Commercial Fuels'!$L$22)+N('2.10 Z Retail'!$L$23)</f>
        <v>43</v>
      </c>
    </row>
    <row r="35">
      <c r="B35" s="1541" t="inlineStr">
        <is>
          <t>Everything with a figure to compare</t>
        </is>
      </c>
      <c r="C35" s="1541" t="n"/>
      <c r="D35" s="1773">
        <f>N(D17)+N(D27)+N(D33)+N(D34)</f>
        <v>108.7351574</v>
      </c>
      <c r="E35" s="1773">
        <f>N(E17)+N(E27)+N(E33)+N(E34)</f>
        <v>113.9780851201</v>
      </c>
      <c r="F35" s="1773">
        <f>ROUND($E35-$D35,6)</f>
        <v>5.242928</v>
      </c>
      <c r="G35" s="1773">
        <f>N(G17)+N(G27)+N(G33)+N(G34)</f>
        <v>113.9780851201</v>
      </c>
      <c r="H35" s="1774">
        <f>N(H17)+N(H27)+N(H33)+N(H34)</f>
        <v>519</v>
      </c>
      <c r="I35" s="1774">
        <f>N(I17)+N(I27)+N(I33)+N(I34)</f>
        <v>385</v>
      </c>
      <c r="J35" s="1774">
        <f>N(J17)+N(J27)+N(J33)+N(J34)</f>
        <v>134</v>
      </c>
      <c r="K35" s="1774">
        <f>N(K17)+N(K27)+N(K33)+N(K34)</f>
        <v>519</v>
      </c>
    </row>
    <row r="36">
      <c r="B36" s="1530" t="inlineStr">
        <is>
          <t>Groups with no archetype and no funded figure - nothing to compare to</t>
        </is>
      </c>
      <c r="C36" s="1530" t="n"/>
      <c r="D36" s="1530" t="n"/>
      <c r="E36" s="1530" t="n"/>
      <c r="F36" s="1530" t="n"/>
      <c r="G36" s="1530" t="n"/>
      <c r="H36" s="1530" t="n"/>
      <c r="I36" s="1530" t="n"/>
      <c r="J36" s="1530" t="n"/>
      <c r="K36" s="1530" t="n"/>
    </row>
    <row r="37">
      <c r="B37" s="1531" t="inlineStr">
        <is>
          <t>Leadership</t>
        </is>
      </c>
      <c r="C37" s="1531" t="inlineStr">
        <is>
          <t>Customer</t>
        </is>
      </c>
      <c r="D37" s="1769" t="str">
        <f>"-"</f>
        <v>-</v>
      </c>
      <c r="E37" s="1769">
        <f>'2.2 Customer'!$N$20</f>
        <v>1.048250048</v>
      </c>
      <c r="F37" s="1769" t="str">
        <f>IFERROR(ROUND($E37-$D37,6),"-")</f>
        <v>-</v>
      </c>
      <c r="G37" s="1769">
        <f>'2.2 Customer'!$P$20</f>
        <v>1.048250048</v>
      </c>
      <c r="H37" s="1770">
        <f>'2.2 Customer'!$F$20</f>
        <v>5</v>
      </c>
      <c r="I37" s="1770">
        <f>'2.2 Customer'!$G$20</f>
        <v>4</v>
      </c>
      <c r="J37" s="1770">
        <f>'2.2 Customer'!$H$20</f>
        <v>1</v>
      </c>
      <c r="K37" s="1770">
        <f>'2.2 Customer'!$L$20</f>
        <v>5</v>
      </c>
    </row>
    <row r="38">
      <c r="B38" s="1531" t="inlineStr">
        <is>
          <t>Leadership</t>
        </is>
      </c>
      <c r="C38" s="1531" t="inlineStr">
        <is>
          <t>Infrastructure</t>
        </is>
      </c>
      <c r="D38" s="1769" t="str">
        <f>"-"</f>
        <v>-</v>
      </c>
      <c r="E38" s="1769">
        <f>'2.7 Infrastructure'!$N$17</f>
        <v>0.2566671</v>
      </c>
      <c r="F38" s="1769" t="str">
        <f>IFERROR(ROUND($E38-$D38,6),"-")</f>
        <v>-</v>
      </c>
      <c r="G38" s="1769">
        <f>'2.7 Infrastructure'!$P$17</f>
        <v>0.2566671</v>
      </c>
      <c r="H38" s="1770">
        <f>'2.7 Infrastructure'!$F$17</f>
        <v>1</v>
      </c>
      <c r="I38" s="1770">
        <f>'2.7 Infrastructure'!$G$17</f>
        <v>1</v>
      </c>
      <c r="J38" s="1770">
        <f>'2.7 Infrastructure'!$H$17</f>
        <v>0</v>
      </c>
      <c r="K38" s="1770">
        <f>'2.7 Infrastructure'!$L$17</f>
        <v>1</v>
      </c>
    </row>
    <row r="39">
      <c r="B39" s="1535" t="inlineStr">
        <is>
          <t>Groups with no archetype and no funded figure</t>
        </is>
      </c>
      <c r="C39" s="1535" t="n"/>
      <c r="D39" s="1771" t="str">
        <f>"-"</f>
        <v>-</v>
      </c>
      <c r="E39" s="1771">
        <f>SUM(E37:E38)</f>
        <v>1.304917148</v>
      </c>
      <c r="F39" s="1771" t="str">
        <f>"-"</f>
        <v>-</v>
      </c>
      <c r="G39" s="1771">
        <f>SUM(G37:G38)</f>
        <v>1.304917148</v>
      </c>
      <c r="H39" s="1772">
        <f>SUM(H37:H38)</f>
        <v>6</v>
      </c>
      <c r="I39" s="1772">
        <f>SUM(I37:I38)</f>
        <v>5</v>
      </c>
      <c r="J39" s="1772">
        <f>SUM(J37:J38)</f>
        <v>1</v>
      </c>
      <c r="K39" s="1772">
        <f>SUM(K37:K38)</f>
        <v>6</v>
      </c>
    </row>
    <row r="40">
      <c r="B40" s="1541" t="inlineStr">
        <is>
          <t>Cost of the 525 roles in the ledger</t>
        </is>
      </c>
      <c r="C40" s="1541" t="n"/>
      <c r="D40" s="1773">
        <f>N(D17)+N(D27)+N(D39)+N(D33)+N(D34)</f>
        <v>108.7351574</v>
      </c>
      <c r="E40" s="1773">
        <f>N(E17)+N(E27)+N(E39)+N(E33)+N(E34)</f>
        <v>115.2830022681</v>
      </c>
      <c r="F40" s="1773" t="str">
        <f>"-"</f>
        <v>-</v>
      </c>
      <c r="G40" s="1773">
        <f>N(G17)+N(G27)+N(G39)+N(G33)+N(G34)</f>
        <v>115.2830022681</v>
      </c>
      <c r="H40" s="1774">
        <f>N(H17)+N(H27)+N(H39)+N(H33)+N(H34)</f>
        <v>525</v>
      </c>
      <c r="I40" s="1774">
        <f>N(I17)+N(I27)+N(I39)+N(I33)+N(I34)</f>
        <v>390</v>
      </c>
      <c r="J40" s="1774">
        <f>N(J17)+N(J27)+N(J39)+N(J33)+N(J34)</f>
        <v>135</v>
      </c>
      <c r="K40" s="1774">
        <f>N(K17)+N(K27)+N(K39)+N(K33)+N(K34)</f>
        <v>525</v>
      </c>
    </row>
    <row r="41">
      <c r="B41" s="1775" t="inlineStr">
        <is>
          <t>Leadership - the 8 GMs, outside the 525-role ledger</t>
        </is>
      </c>
      <c r="C41" s="1775" t="n"/>
      <c r="D41" s="1776">
        <f>N(Lists!$AJ$7)</f>
        <v>3</v>
      </c>
      <c r="E41" s="1776">
        <f>N(Lists!$AG$12)</f>
        <v>5.1</v>
      </c>
      <c r="F41" s="1776">
        <f>ROUND($E41-$D41,6)</f>
        <v>2.1</v>
      </c>
      <c r="G41" s="1776">
        <f>N(Lists!$AG$12)</f>
        <v>5.1</v>
      </c>
      <c r="H41" s="1777">
        <f>N(Lists!$AG$11)</f>
        <v>8</v>
      </c>
      <c r="I41" s="1777">
        <f>N(Lists!$AG$11)</f>
        <v>8</v>
      </c>
      <c r="J41" s="1777">
        <f>0</f>
        <v>0</v>
      </c>
      <c r="K41" s="1777">
        <f>N(Lists!$AG$11)</f>
        <v>8</v>
      </c>
    </row>
    <row r="42">
      <c r="B42" s="1541" t="inlineStr">
        <is>
          <t>Total cost of TDD including the GM layer</t>
        </is>
      </c>
      <c r="C42" s="1541" t="n"/>
      <c r="D42" s="1773">
        <f>D40+D41</f>
        <v>111.7351574</v>
      </c>
      <c r="E42" s="1773">
        <f>E40+E41</f>
        <v>120.3830022681</v>
      </c>
      <c r="F42" s="1773" t="str">
        <f>"-"</f>
        <v>-</v>
      </c>
      <c r="G42" s="1773">
        <f>G40+G41</f>
        <v>120.3830022681</v>
      </c>
      <c r="H42" s="1774">
        <f>H40+H41</f>
        <v>533</v>
      </c>
      <c r="I42" s="1774">
        <f>I40+I41</f>
        <v>398</v>
      </c>
      <c r="J42" s="1774">
        <f>J40+J41</f>
        <v>135</v>
      </c>
      <c r="K42" s="1774">
        <f>K40+K41</f>
        <v>533</v>
      </c>
    </row>
    <row r="43"/>
    <row r="44">
      <c r="B44" s="1526" t="inlineStr">
        <is>
          <t>Control - roles against the ledger, must be 0</t>
        </is>
      </c>
      <c r="H44" s="1778">
        <f>$H$40-COUNTA('REVIEW - Complete Role Mapping'!$B$2:$B$528)</f>
        <v>0</v>
      </c>
    </row>
    <row r="45">
      <c r="B45" s="1526" t="inlineStr">
        <is>
          <t>Control - cost against the ledger ($m), must be 0</t>
        </is>
      </c>
      <c r="E45" s="1779">
        <f>ROUND($E$40-SUM('REVIEW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1"/>
    <row r="2">
      <c r="B2" s="1524" t="inlineStr">
        <is>
          <t>Overhead &amp; Leadership - the allowance against what it costs</t>
        </is>
      </c>
    </row>
    <row r="3"/>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1" t="inlineStr">
        <is>
          <t>Every overhead line, including the GM layer</t>
        </is>
      </c>
      <c r="C12" s="1541" t="n"/>
      <c r="D12" s="1541" t="n"/>
      <c r="E12" s="1541" t="n"/>
      <c r="F12" s="1773">
        <f>SUM(F6:F11)</f>
        <v>12.925</v>
      </c>
      <c r="G12" s="1774">
        <f>SUM(G6:G11)</f>
        <v>51</v>
      </c>
      <c r="H12" s="1773">
        <f>SUM(H6:H11)</f>
        <v>16.754230155</v>
      </c>
      <c r="I12" s="1773">
        <f>SUM(I6:I11)</f>
        <v>3.82923</v>
      </c>
      <c r="J12" s="1774">
        <f>SUM(J6:J11)</f>
        <v>19</v>
      </c>
      <c r="K12" s="1773">
        <f>SUM(K6:K11)</f>
        <v>6.166535836</v>
      </c>
      <c r="L12" s="1541" t="n"/>
    </row>
    <row r="13">
      <c r="B13" s="1535" t="inlineStr">
        <is>
          <t>Of which sits in the 525-role ledger - the 3.1 overhead line</t>
        </is>
      </c>
      <c r="C13" s="1535" t="n"/>
      <c r="D13" s="1535" t="n"/>
      <c r="E13" s="1535" t="n"/>
      <c r="F13" s="1771">
        <f>N(Lists!$AJ$9)</f>
        <v>6.325</v>
      </c>
      <c r="G13" s="1772">
        <f>'3.1 Cost Bridge'!$H$34</f>
        <v>43</v>
      </c>
      <c r="H13" s="1771">
        <f>'3.1 Cost Bridge'!$E$34</f>
        <v>11.654230155</v>
      </c>
      <c r="I13" s="1771">
        <f>ROUND($H13-$F13,6)</f>
        <v>5.32923</v>
      </c>
      <c r="J13" s="1535" t="n"/>
      <c r="K13" s="1535" t="n"/>
      <c r="L13" s="1535" t="n"/>
    </row>
    <row r="14"/>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2">
        <f>'0.2 Data Config'!$J$6</f>
        <v>0.275</v>
      </c>
      <c r="E17" s="1782">
        <f>'0.2 Data Config'!$K$6</f>
        <v>0.5</v>
      </c>
      <c r="F17" s="1802">
        <f>Lists!$AG$2</f>
        <v>0.1375</v>
      </c>
    </row>
    <row r="18">
      <c r="B18" s="1531" t="inlineStr">
        <is>
          <t>Business Partner</t>
        </is>
      </c>
      <c r="C18" s="1531" t="inlineStr">
        <is>
          <t>Portfolio Overhead, Business Partner</t>
        </is>
      </c>
      <c r="D18" s="1802">
        <f>'0.2 Data Config'!$J$7</f>
        <v>0.44</v>
      </c>
      <c r="E18" s="1782">
        <f>'0.2 Data Config'!$K$7</f>
        <v>0.5</v>
      </c>
      <c r="F18" s="1802">
        <f>Lists!$AG$3</f>
        <v>0.22</v>
      </c>
    </row>
    <row r="19">
      <c r="B19" s="1531" t="inlineStr">
        <is>
          <t>Domain Architect</t>
        </is>
      </c>
      <c r="C19" s="1531" t="inlineStr">
        <is>
          <t>Portfolio Overhead, Domain Architect</t>
        </is>
      </c>
      <c r="D19" s="1802">
        <f>'0.2 Data Config'!$J$8</f>
        <v>0.28</v>
      </c>
      <c r="E19" s="1782">
        <f>'0.2 Data Config'!$K$8</f>
        <v>0.5</v>
      </c>
      <c r="F19" s="1802">
        <f>Lists!$AG$4</f>
        <v>0.14</v>
      </c>
    </row>
    <row r="20">
      <c r="B20" s="1531" t="inlineStr">
        <is>
          <t>Delivery Manager</t>
        </is>
      </c>
      <c r="C20" s="1531" t="inlineStr">
        <is>
          <t>Platform Overhead, Delivery Manager</t>
        </is>
      </c>
      <c r="D20" s="1802">
        <f>'0.2 Data Config'!$J$14</f>
        <v>0.28</v>
      </c>
      <c r="E20" s="1782">
        <f>'0.2 Data Config'!$K$14</f>
        <v>0.3</v>
      </c>
      <c r="F20" s="1802">
        <f>Lists!$AG$5</f>
        <v>0.084</v>
      </c>
    </row>
    <row r="21">
      <c r="B21" s="1531" t="inlineStr">
        <is>
          <t>Technology Manager</t>
        </is>
      </c>
      <c r="C21" s="1531" t="inlineStr">
        <is>
          <t>Platform Overhead, Tech Manager</t>
        </is>
      </c>
      <c r="D21" s="1802">
        <f>'0.2 Data Config'!$J$15</f>
        <v>0.27</v>
      </c>
      <c r="E21" s="1782">
        <f>'0.2 Data Config'!$K$15</f>
        <v>0.3</v>
      </c>
      <c r="F21" s="1802">
        <f>Lists!$AG$6</f>
        <v>0.081</v>
      </c>
    </row>
    <row r="22">
      <c r="B22" s="1531" t="inlineStr">
        <is>
          <t>Leadership - 8 GMs</t>
        </is>
      </c>
      <c r="C22" s="1531" t="inlineStr">
        <is>
          <t>Portfolio Overhead, Leadership Overhead</t>
        </is>
      </c>
      <c r="D22" s="1802">
        <f>'0.2 Data Config'!$J$9</f>
        <v>1</v>
      </c>
      <c r="E22" s="1782">
        <f>'0.2 Data Config'!$K$9</f>
        <v>0.3</v>
      </c>
      <c r="F22" s="1802">
        <f>Lists!$AG$7</f>
        <v>0.3</v>
      </c>
    </row>
    <row r="23"/>
    <row r="24"/>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O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1.221357614</v>
      </c>
      <c r="M14" s="1769">
        <f>'2.1 Ampol Retail'!$N$18</f>
        <v>1.221357614</v>
      </c>
      <c r="N14" s="1769">
        <f>'2.1 Ampol Retail'!$O$18</f>
        <v>0</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f>'2.1 Ampol Retail'!$M$19</f>
        <v>0.2997</v>
      </c>
      <c r="M15" s="1769">
        <f>'2.1 Ampol Retail'!$N$19</f>
        <v>0.2997</v>
      </c>
      <c r="N15" s="1769">
        <f>'2.1 Ampol Retail'!$O$19</f>
        <v>0</v>
      </c>
      <c r="O15" s="1769">
        <f>'2.1 Ampol Retail'!$P$19</f>
        <v>0.2997</v>
      </c>
    </row>
    <row r="16">
      <c r="B16" s="1531" t="inlineStr">
        <is>
          <t>Ampol Retail</t>
        </is>
      </c>
      <c r="C16" s="1531" t="inlineStr">
        <is>
          <t>Overhead</t>
        </is>
      </c>
      <c r="D16" s="1531" t="str">
        <f>'2.1 Ampol Retail'!$B$25</f>
        <v>Head of Technology</v>
      </c>
      <c r="E16" s="1531" t="str">
        <f>'2.1 Ampol Retail'!$C$25</f>
        <v>-</v>
      </c>
      <c r="F16" s="1531" t="str">
        <f>'2.1 Ampol Retail'!$D$25</f>
        <v>-</v>
      </c>
      <c r="G16" s="1783" t="str">
        <f>'2.1 Ampol Retail'!$E$25</f>
        <v>-</v>
      </c>
      <c r="H16" s="1770">
        <f>'2.1 Ampol Retail'!$F$25</f>
        <v>1</v>
      </c>
      <c r="I16" s="1770">
        <f>'2.1 Ampol Retail'!$G$25</f>
        <v>1</v>
      </c>
      <c r="J16" s="1770">
        <f>'2.1 Ampol Retail'!$H$25</f>
        <v>0</v>
      </c>
      <c r="K16" s="1770">
        <f>'2.1 Ampol Retail'!$L$25</f>
        <v>1</v>
      </c>
      <c r="L16" s="1769" t="str">
        <f>'2.1 Ampol Retail'!$M$25</f>
        <v>-</v>
      </c>
      <c r="M16" s="1769">
        <f>'2.1 Ampol Retail'!$N$25</f>
        <v>0.18603225</v>
      </c>
      <c r="N16" s="1769" t="str">
        <f>'2.1 Ampol Retail'!$O$25</f>
        <v>-</v>
      </c>
      <c r="O16" s="1769">
        <f>'2.1 Ampol Retail'!$P$25</f>
        <v>0.18603225</v>
      </c>
    </row>
    <row r="17">
      <c r="B17" s="1531" t="inlineStr">
        <is>
          <t>Ampol Retail</t>
        </is>
      </c>
      <c r="C17" s="1531" t="inlineStr">
        <is>
          <t>Overhead</t>
        </is>
      </c>
      <c r="D17" s="1531" t="str">
        <f>'2.1 Ampol Retail'!$B$26</f>
        <v>Delivery Manager</v>
      </c>
      <c r="E17" s="1531" t="str">
        <f>'2.1 Ampol Retail'!$C$26</f>
        <v>-</v>
      </c>
      <c r="F17" s="1531" t="str">
        <f>'2.1 Ampol Retail'!$D$26</f>
        <v>-</v>
      </c>
      <c r="G17" s="1783" t="str">
        <f>'2.1 Ampol Retail'!$E$26</f>
        <v>-</v>
      </c>
      <c r="H17" s="1770">
        <f>'2.1 Ampol Retail'!$F$26</f>
        <v>1</v>
      </c>
      <c r="I17" s="1770">
        <f>'2.1 Ampol Retail'!$G$26</f>
        <v>1</v>
      </c>
      <c r="J17" s="1770">
        <f>'2.1 Ampol Retail'!$H$26</f>
        <v>0</v>
      </c>
      <c r="K17" s="1770">
        <f>'2.1 Ampol Retail'!$L$26</f>
        <v>1</v>
      </c>
      <c r="L17" s="1769" t="str">
        <f>'2.1 Ampol Retail'!$M$26</f>
        <v>-</v>
      </c>
      <c r="M17" s="1769">
        <f>'2.1 Ampol Retail'!$N$26</f>
        <v>0.30293735</v>
      </c>
      <c r="N17" s="1769" t="str">
        <f>'2.1 Ampol Retail'!$O$26</f>
        <v>-</v>
      </c>
      <c r="O17" s="1769">
        <f>'2.1 Ampol Retail'!$P$26</f>
        <v>0.30293735</v>
      </c>
    </row>
    <row r="18">
      <c r="B18" s="1531" t="inlineStr">
        <is>
          <t>Ampol Retail</t>
        </is>
      </c>
      <c r="C18" s="1531" t="inlineStr">
        <is>
          <t>Overhead</t>
        </is>
      </c>
      <c r="D18" s="1531" t="str">
        <f>'2.1 Ampol Retail'!$B$27</f>
        <v>Technology Manager</v>
      </c>
      <c r="E18" s="1531" t="str">
        <f>'2.1 Ampol Retail'!$C$27</f>
        <v>-</v>
      </c>
      <c r="F18" s="1531" t="str">
        <f>'2.1 Ampol Retail'!$D$27</f>
        <v>-</v>
      </c>
      <c r="G18" s="1783" t="str">
        <f>'2.1 Ampol Retail'!$E$27</f>
        <v>-</v>
      </c>
      <c r="H18" s="1770">
        <f>'2.1 Ampol Retail'!$F$27</f>
        <v>3</v>
      </c>
      <c r="I18" s="1770">
        <f>'2.1 Ampol Retail'!$G$27</f>
        <v>3</v>
      </c>
      <c r="J18" s="1770">
        <f>'2.1 Ampol Retail'!$H$27</f>
        <v>0</v>
      </c>
      <c r="K18" s="1770">
        <f>'2.1 Ampol Retail'!$L$27</f>
        <v>3</v>
      </c>
      <c r="L18" s="1769" t="str">
        <f>'2.1 Ampol Retail'!$M$27</f>
        <v>-</v>
      </c>
      <c r="M18" s="1769">
        <f>'2.1 Ampol Retail'!$N$27</f>
        <v>0.766646363</v>
      </c>
      <c r="N18" s="1769" t="str">
        <f>'2.1 Ampol Retail'!$O$27</f>
        <v>-</v>
      </c>
      <c r="O18" s="1769">
        <f>'2.1 Ampol Retail'!$P$27</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f>'2.2 Customer'!$M$17</f>
        <v>2.208135308</v>
      </c>
      <c r="M27" s="1769">
        <f>'2.2 Customer'!$N$17</f>
        <v>2.208135308</v>
      </c>
      <c r="N27" s="1769">
        <f>'2.2 Customer'!$O$17</f>
        <v>0</v>
      </c>
      <c r="O27" s="1769">
        <f>'2.2 Customer'!$P$17</f>
        <v>2.208135308</v>
      </c>
    </row>
    <row r="28">
      <c r="B28" s="1531" t="inlineStr">
        <is>
          <t>Customer</t>
        </is>
      </c>
      <c r="C28" s="1531" t="inlineStr">
        <is>
          <t>No figure to compare</t>
        </is>
      </c>
      <c r="D28" s="1531" t="str">
        <f>'2.2 Customer'!$B$20</f>
        <v>Leadership</v>
      </c>
      <c r="E28" s="1531" t="str">
        <f>'2.2 Customer'!$C$20</f>
        <v>Not on the 1.x tab</v>
      </c>
      <c r="F28" s="1531" t="str">
        <f>'2.2 Customer'!$D$20</f>
        <v>-</v>
      </c>
      <c r="G28" s="1783" t="str">
        <f>'2.2 Customer'!$E$20</f>
        <v>-</v>
      </c>
      <c r="H28" s="1770">
        <f>'2.2 Customer'!$F$20</f>
        <v>5</v>
      </c>
      <c r="I28" s="1770">
        <f>'2.2 Customer'!$G$20</f>
        <v>4</v>
      </c>
      <c r="J28" s="1770">
        <f>'2.2 Customer'!$H$20</f>
        <v>1</v>
      </c>
      <c r="K28" s="1770">
        <f>'2.2 Customer'!$L$20</f>
        <v>5</v>
      </c>
      <c r="L28" s="1769" t="str">
        <f>'2.2 Customer'!$M$20</f>
        <v>-</v>
      </c>
      <c r="M28" s="1769">
        <f>'2.2 Customer'!$N$20</f>
        <v>1.048250048</v>
      </c>
      <c r="N28" s="1769" t="str">
        <f>'2.2 Customer'!$O$20</f>
        <v>-</v>
      </c>
      <c r="O28" s="1769">
        <f>'2.2 Customer'!$P$20</f>
        <v>1.048250048</v>
      </c>
    </row>
    <row r="29">
      <c r="B29" s="1531" t="inlineStr">
        <is>
          <t>Customer</t>
        </is>
      </c>
      <c r="C29" s="1531" t="inlineStr">
        <is>
          <t>Overhead</t>
        </is>
      </c>
      <c r="D29" s="1531" t="str">
        <f>'2.2 Customer'!$B$23</f>
        <v>Head of Technology</v>
      </c>
      <c r="E29" s="1531" t="str">
        <f>'2.2 Customer'!$C$23</f>
        <v>-</v>
      </c>
      <c r="F29" s="1531" t="str">
        <f>'2.2 Customer'!$D$23</f>
        <v>-</v>
      </c>
      <c r="G29" s="1783" t="str">
        <f>'2.2 Customer'!$E$23</f>
        <v>-</v>
      </c>
      <c r="H29" s="1770">
        <f>'2.2 Customer'!$F$23</f>
        <v>2</v>
      </c>
      <c r="I29" s="1770">
        <f>'2.2 Customer'!$G$23</f>
        <v>2</v>
      </c>
      <c r="J29" s="1770">
        <f>'2.2 Customer'!$H$23</f>
        <v>0</v>
      </c>
      <c r="K29" s="1770">
        <f>'2.2 Customer'!$L$23</f>
        <v>2</v>
      </c>
      <c r="L29" s="1769" t="str">
        <f>'2.2 Customer'!$M$23</f>
        <v>-</v>
      </c>
      <c r="M29" s="1769">
        <f>'2.2 Customer'!$N$23</f>
        <v>0.5360151</v>
      </c>
      <c r="N29" s="1769" t="str">
        <f>'2.2 Customer'!$O$23</f>
        <v>-</v>
      </c>
      <c r="O29" s="1769">
        <f>'2.2 Customer'!$P$23</f>
        <v>0.5360151</v>
      </c>
    </row>
    <row r="30">
      <c r="B30" s="1531" t="inlineStr">
        <is>
          <t>Customer</t>
        </is>
      </c>
      <c r="C30" s="1531" t="inlineStr">
        <is>
          <t>Overhead</t>
        </is>
      </c>
      <c r="D30" s="1531" t="str">
        <f>'2.2 Customer'!$B$24</f>
        <v>Delivery Manager</v>
      </c>
      <c r="E30" s="1531" t="str">
        <f>'2.2 Customer'!$C$24</f>
        <v>-</v>
      </c>
      <c r="F30" s="1531" t="str">
        <f>'2.2 Customer'!$D$24</f>
        <v>-</v>
      </c>
      <c r="G30" s="1783" t="str">
        <f>'2.2 Customer'!$E$24</f>
        <v>-</v>
      </c>
      <c r="H30" s="1770">
        <f>'2.2 Customer'!$F$24</f>
        <v>2</v>
      </c>
      <c r="I30" s="1770">
        <f>'2.2 Customer'!$G$24</f>
        <v>2</v>
      </c>
      <c r="J30" s="1770">
        <f>'2.2 Customer'!$H$24</f>
        <v>0</v>
      </c>
      <c r="K30" s="1770">
        <f>'2.2 Customer'!$L$24</f>
        <v>2</v>
      </c>
      <c r="L30" s="1769" t="str">
        <f>'2.2 Customer'!$M$24</f>
        <v>-</v>
      </c>
      <c r="M30" s="1769">
        <f>'2.2 Customer'!$N$24</f>
        <v>0.4208721</v>
      </c>
      <c r="N30" s="1769" t="str">
        <f>'2.2 Customer'!$O$24</f>
        <v>-</v>
      </c>
      <c r="O30" s="1769">
        <f>'2.2 Customer'!$P$24</f>
        <v>0.4208721</v>
      </c>
    </row>
    <row r="31">
      <c r="B31" s="1531" t="inlineStr">
        <is>
          <t>Customer</t>
        </is>
      </c>
      <c r="C31" s="1531" t="inlineStr">
        <is>
          <t>Overhead</t>
        </is>
      </c>
      <c r="D31" s="1531" t="str">
        <f>'2.2 Customer'!$B$25</f>
        <v>Technology Manager</v>
      </c>
      <c r="E31" s="1531" t="str">
        <f>'2.2 Customer'!$C$25</f>
        <v>-</v>
      </c>
      <c r="F31" s="1531" t="str">
        <f>'2.2 Customer'!$D$25</f>
        <v>-</v>
      </c>
      <c r="G31" s="1783" t="str">
        <f>'2.2 Customer'!$E$25</f>
        <v>-</v>
      </c>
      <c r="H31" s="1770">
        <f>'2.2 Customer'!$F$25</f>
        <v>4</v>
      </c>
      <c r="I31" s="1770">
        <f>'2.2 Customer'!$G$25</f>
        <v>3</v>
      </c>
      <c r="J31" s="1770">
        <f>'2.2 Customer'!$H$25</f>
        <v>1</v>
      </c>
      <c r="K31" s="1770">
        <f>'2.2 Customer'!$L$25</f>
        <v>4</v>
      </c>
      <c r="L31" s="1769" t="str">
        <f>'2.2 Customer'!$M$25</f>
        <v>-</v>
      </c>
      <c r="M31" s="1769">
        <f>'2.2 Customer'!$N$25</f>
        <v>0.816085638</v>
      </c>
      <c r="N31" s="1769" t="str">
        <f>'2.2 Customer'!$O$25</f>
        <v>-</v>
      </c>
      <c r="O31" s="1769">
        <f>'2.2 Customer'!$P$25</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Data'!$B$19</f>
        <v>Head of Technology</v>
      </c>
      <c r="E36" s="1531" t="str">
        <f>'2.3 Enterprise Data'!$C$19</f>
        <v>-</v>
      </c>
      <c r="F36" s="1531" t="str">
        <f>'2.3 Enterprise Data'!$D$19</f>
        <v>-</v>
      </c>
      <c r="G36" s="1783" t="str">
        <f>'2.3 Enterprise Data'!$E$19</f>
        <v>-</v>
      </c>
      <c r="H36" s="1770">
        <f>'2.3 Enterprise Data'!$F$19</f>
        <v>1</v>
      </c>
      <c r="I36" s="1770">
        <f>'2.3 Enterprise Data'!$G$19</f>
        <v>1</v>
      </c>
      <c r="J36" s="1770">
        <f>'2.3 Enterprise Data'!$H$19</f>
        <v>0</v>
      </c>
      <c r="K36" s="1770">
        <f>'2.3 Enterprise Data'!$L$19</f>
        <v>1</v>
      </c>
      <c r="L36" s="1769" t="str">
        <f>'2.3 Enterprise Data'!$M$19</f>
        <v>-</v>
      </c>
      <c r="M36" s="1769">
        <f>'2.3 Enterprise Data'!$N$19</f>
        <v>0.4097557</v>
      </c>
      <c r="N36" s="1769" t="str">
        <f>'2.3 Enterprise Data'!$O$19</f>
        <v>-</v>
      </c>
      <c r="O36" s="1769">
        <f>'2.3 Enterprise Data'!$P$19</f>
        <v>0.4097557</v>
      </c>
    </row>
    <row r="37">
      <c r="B37" s="1531" t="inlineStr">
        <is>
          <t>Enterprise Data</t>
        </is>
      </c>
      <c r="C37" s="1531" t="inlineStr">
        <is>
          <t>Overhead</t>
        </is>
      </c>
      <c r="D37" s="1531" t="str">
        <f>'2.3 Enterprise Data'!$B$20</f>
        <v>Technology Manager</v>
      </c>
      <c r="E37" s="1531" t="str">
        <f>'2.3 Enterprise Data'!$C$20</f>
        <v>-</v>
      </c>
      <c r="F37" s="1531" t="str">
        <f>'2.3 Enterprise Data'!$D$20</f>
        <v>-</v>
      </c>
      <c r="G37" s="1783" t="str">
        <f>'2.3 Enterprise Data'!$E$20</f>
        <v>-</v>
      </c>
      <c r="H37" s="1770">
        <f>'2.3 Enterprise Data'!$F$20</f>
        <v>2</v>
      </c>
      <c r="I37" s="1770">
        <f>'2.3 Enterprise Data'!$G$20</f>
        <v>2</v>
      </c>
      <c r="J37" s="1770">
        <f>'2.3 Enterprise Data'!$H$20</f>
        <v>0</v>
      </c>
      <c r="K37" s="1770">
        <f>'2.3 Enterprise Data'!$L$20</f>
        <v>2</v>
      </c>
      <c r="L37" s="1769" t="str">
        <f>'2.3 Enterprise Data'!$M$20</f>
        <v>-</v>
      </c>
      <c r="M37" s="1769">
        <f>'2.3 Enterprise Data'!$N$20</f>
        <v>0.65127875</v>
      </c>
      <c r="N37" s="1769" t="str">
        <f>'2.3 Enterprise Data'!$O$20</f>
        <v>-</v>
      </c>
      <c r="O37" s="1769">
        <f>'2.3 Enterprise Data'!$P$20</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1.984987746</v>
      </c>
      <c r="N41" s="1769">
        <f>'2.4 TDD Group Functions'!$O$10</f>
        <v>-0.115012</v>
      </c>
      <c r="O41" s="1769">
        <f>'2.4 TDD Group Functions'!$P$10</f>
        <v>1.984987746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f>'2.4 TDD Group Functions'!$M$14</f>
        <v>1.02484851</v>
      </c>
      <c r="M43" s="1769">
        <f>'2.4 TDD Group Functions'!$N$14</f>
        <v>1.02484851</v>
      </c>
      <c r="N43" s="1769">
        <f>'2.4 TDD Group Functions'!$O$14</f>
        <v>0</v>
      </c>
      <c r="O43" s="1769">
        <f>'2.4 TDD Group Functions'!$P$14</f>
        <v>1.02484851</v>
      </c>
    </row>
    <row r="44">
      <c r="B44" s="1531" t="inlineStr">
        <is>
          <t>TDD Group Functions</t>
        </is>
      </c>
      <c r="C44" s="1531" t="inlineStr">
        <is>
          <t>Overhead</t>
        </is>
      </c>
      <c r="D44" s="1531" t="str">
        <f>'2.4 TDD Group Functions'!$B$20</f>
        <v>Head of Technology</v>
      </c>
      <c r="E44" s="1531" t="str">
        <f>'2.4 TDD Group Functions'!$C$20</f>
        <v>-</v>
      </c>
      <c r="F44" s="1531" t="str">
        <f>'2.4 TDD Group Functions'!$D$20</f>
        <v>-</v>
      </c>
      <c r="G44" s="1783" t="str">
        <f>'2.4 TDD Group Functions'!$E$20</f>
        <v>-</v>
      </c>
      <c r="H44" s="1770">
        <f>'2.4 TDD Group Functions'!$F$20</f>
        <v>1</v>
      </c>
      <c r="I44" s="1770">
        <f>'2.4 TDD Group Functions'!$G$20</f>
        <v>0</v>
      </c>
      <c r="J44" s="1770">
        <f>'2.4 TDD Group Functions'!$H$20</f>
        <v>1</v>
      </c>
      <c r="K44" s="1770">
        <f>'2.4 TDD Group Functions'!$L$20</f>
        <v>1</v>
      </c>
      <c r="L44" s="1769" t="str">
        <f>'2.4 TDD Group Functions'!$M$20</f>
        <v>-</v>
      </c>
      <c r="M44" s="1769">
        <f>'2.4 TDD Group Functions'!$N$20</f>
        <v>0.33302025</v>
      </c>
      <c r="N44" s="1769" t="str">
        <f>'2.4 TDD Group Functions'!$O$20</f>
        <v>-</v>
      </c>
      <c r="O44" s="1769">
        <f>'2.4 TDD Group Functions'!$P$20</f>
        <v>0.33302025</v>
      </c>
    </row>
    <row r="45">
      <c r="B45" s="1531" t="inlineStr">
        <is>
          <t>TDD Group Functions</t>
        </is>
      </c>
      <c r="C45" s="1531" t="inlineStr">
        <is>
          <t>Overhead</t>
        </is>
      </c>
      <c r="D45" s="1531" t="str">
        <f>'2.4 TDD Group Functions'!$B$21</f>
        <v>Delivery Manager</v>
      </c>
      <c r="E45" s="1531" t="str">
        <f>'2.4 TDD Group Functions'!$C$21</f>
        <v>-</v>
      </c>
      <c r="F45" s="1531" t="str">
        <f>'2.4 TDD Group Functions'!$D$21</f>
        <v>-</v>
      </c>
      <c r="G45" s="1783" t="str">
        <f>'2.4 TDD Group Functions'!$E$21</f>
        <v>-</v>
      </c>
      <c r="H45" s="1770">
        <f>'2.4 TDD Group Functions'!$F$21</f>
        <v>1</v>
      </c>
      <c r="I45" s="1770">
        <f>'2.4 TDD Group Functions'!$G$21</f>
        <v>0</v>
      </c>
      <c r="J45" s="1770">
        <f>'2.4 TDD Group Functions'!$H$21</f>
        <v>1</v>
      </c>
      <c r="K45" s="1770">
        <f>'2.4 TDD Group Functions'!$L$21</f>
        <v>1</v>
      </c>
      <c r="L45" s="1769" t="str">
        <f>'2.4 TDD Group Functions'!$M$21</f>
        <v>-</v>
      </c>
      <c r="M45" s="1769">
        <f>'2.4 TDD Group Functions'!$N$21</f>
        <v>0.27581025</v>
      </c>
      <c r="N45" s="1769" t="str">
        <f>'2.4 TDD Group Functions'!$O$21</f>
        <v>-</v>
      </c>
      <c r="O45" s="1769">
        <f>'2.4 TDD Group Functions'!$P$21</f>
        <v>0.27581025</v>
      </c>
    </row>
    <row r="46">
      <c r="B46" s="1531" t="inlineStr">
        <is>
          <t>TDD Group Functions</t>
        </is>
      </c>
      <c r="C46" s="1531" t="inlineStr">
        <is>
          <t>Overhead</t>
        </is>
      </c>
      <c r="D46" s="1531" t="str">
        <f>'2.4 TDD Group Functions'!$B$22</f>
        <v>Technology Manager</v>
      </c>
      <c r="E46" s="1531" t="str">
        <f>'2.4 TDD Group Functions'!$C$22</f>
        <v>-</v>
      </c>
      <c r="F46" s="1531" t="str">
        <f>'2.4 TDD Group Functions'!$D$22</f>
        <v>-</v>
      </c>
      <c r="G46" s="1783" t="str">
        <f>'2.4 TDD Group Functions'!$E$22</f>
        <v>-</v>
      </c>
      <c r="H46" s="1770">
        <f>'2.4 TDD Group Functions'!$F$22</f>
        <v>4</v>
      </c>
      <c r="I46" s="1770">
        <f>'2.4 TDD Group Functions'!$G$22</f>
        <v>1</v>
      </c>
      <c r="J46" s="1770">
        <f>'2.4 TDD Group Functions'!$H$22</f>
        <v>3</v>
      </c>
      <c r="K46" s="1770">
        <f>'2.4 TDD Group Functions'!$L$22</f>
        <v>4</v>
      </c>
      <c r="L46" s="1769" t="str">
        <f>'2.4 TDD Group Functions'!$M$22</f>
        <v>-</v>
      </c>
      <c r="M46" s="1769">
        <f>'2.4 TDD Group Functions'!$N$22</f>
        <v>1.05666075</v>
      </c>
      <c r="N46" s="1769" t="str">
        <f>'2.4 TDD Group Functions'!$O$22</f>
        <v>-</v>
      </c>
      <c r="O46" s="1769">
        <f>'2.4 TDD Group Functions'!$P$22</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10.2009694824</v>
      </c>
      <c r="N47" s="1771" t="str">
        <f>"-"</f>
        <v>-</v>
      </c>
      <c r="O47" s="1771">
        <f>SUM(O39:O46)</f>
        <v>10.2009694824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f>'2.5 P&amp;C'!$M$12</f>
        <v>0.238965</v>
      </c>
      <c r="M50" s="1769">
        <f>'2.5 P&amp;C'!$N$12</f>
        <v>0.238965</v>
      </c>
      <c r="N50" s="1769">
        <f>'2.5 P&amp;C'!$O$12</f>
        <v>0</v>
      </c>
      <c r="O50" s="1769">
        <f>'2.5 P&amp;C'!$P$12</f>
        <v>0.238965</v>
      </c>
    </row>
    <row r="51">
      <c r="B51" s="1531" t="inlineStr">
        <is>
          <t>P&amp;C</t>
        </is>
      </c>
      <c r="C51" s="1531" t="inlineStr">
        <is>
          <t>Overhead</t>
        </is>
      </c>
      <c r="D51" s="1531" t="str">
        <f>'2.5 P&amp;C'!$B$18</f>
        <v>Head of Technology</v>
      </c>
      <c r="E51" s="1531" t="str">
        <f>'2.5 P&amp;C'!$C$18</f>
        <v>-</v>
      </c>
      <c r="F51" s="1531" t="str">
        <f>'2.5 P&amp;C'!$D$18</f>
        <v>-</v>
      </c>
      <c r="G51" s="1783" t="str">
        <f>'2.5 P&amp;C'!$E$18</f>
        <v>-</v>
      </c>
      <c r="H51" s="1770">
        <f>'2.5 P&amp;C'!$F$18</f>
        <v>1</v>
      </c>
      <c r="I51" s="1770">
        <f>'2.5 P&amp;C'!$G$18</f>
        <v>1</v>
      </c>
      <c r="J51" s="1770">
        <f>'2.5 P&amp;C'!$H$18</f>
        <v>0</v>
      </c>
      <c r="K51" s="1770">
        <f>'2.5 P&amp;C'!$L$18</f>
        <v>1</v>
      </c>
      <c r="L51" s="1769" t="str">
        <f>'2.5 P&amp;C'!$M$18</f>
        <v>-</v>
      </c>
      <c r="M51" s="1769">
        <f>'2.5 P&amp;C'!$N$18</f>
        <v>0.3642493</v>
      </c>
      <c r="N51" s="1769" t="str">
        <f>'2.5 P&amp;C'!$O$18</f>
        <v>-</v>
      </c>
      <c r="O51" s="1769">
        <f>'2.5 P&amp;C'!$P$18</f>
        <v>0.3642493</v>
      </c>
    </row>
    <row r="52">
      <c r="B52" s="1531" t="inlineStr">
        <is>
          <t>P&amp;C</t>
        </is>
      </c>
      <c r="C52" s="1531" t="inlineStr">
        <is>
          <t>Overhead</t>
        </is>
      </c>
      <c r="D52" s="1531" t="str">
        <f>'2.5 P&amp;C'!$B$19</f>
        <v>Delivery Manager</v>
      </c>
      <c r="E52" s="1531" t="str">
        <f>'2.5 P&amp;C'!$C$19</f>
        <v>-</v>
      </c>
      <c r="F52" s="1531" t="str">
        <f>'2.5 P&amp;C'!$D$19</f>
        <v>-</v>
      </c>
      <c r="G52" s="1783" t="str">
        <f>'2.5 P&amp;C'!$E$19</f>
        <v>-</v>
      </c>
      <c r="H52" s="1770">
        <f>'2.5 P&amp;C'!$F$19</f>
        <v>1</v>
      </c>
      <c r="I52" s="1770">
        <f>'2.5 P&amp;C'!$G$19</f>
        <v>0</v>
      </c>
      <c r="J52" s="1770">
        <f>'2.5 P&amp;C'!$H$19</f>
        <v>1</v>
      </c>
      <c r="K52" s="1770">
        <f>'2.5 P&amp;C'!$L$19</f>
        <v>1</v>
      </c>
      <c r="L52" s="1769" t="str">
        <f>'2.5 P&amp;C'!$M$19</f>
        <v>-</v>
      </c>
      <c r="M52" s="1769">
        <f>'2.5 P&amp;C'!$N$19</f>
        <v>0.27581025</v>
      </c>
      <c r="N52" s="1769" t="str">
        <f>'2.5 P&amp;C'!$O$19</f>
        <v>-</v>
      </c>
      <c r="O52" s="1769">
        <f>'2.5 P&amp;C'!$P$19</f>
        <v>0.27581025</v>
      </c>
    </row>
    <row r="53">
      <c r="B53" s="1531" t="inlineStr">
        <is>
          <t>P&amp;C</t>
        </is>
      </c>
      <c r="C53" s="1531" t="inlineStr">
        <is>
          <t>Overhead</t>
        </is>
      </c>
      <c r="D53" s="1531" t="str">
        <f>'2.5 P&amp;C'!$B$20</f>
        <v>Technology Manager</v>
      </c>
      <c r="E53" s="1531" t="str">
        <f>'2.5 P&amp;C'!$C$20</f>
        <v>-</v>
      </c>
      <c r="F53" s="1531" t="str">
        <f>'2.5 P&amp;C'!$D$20</f>
        <v>-</v>
      </c>
      <c r="G53" s="1783" t="str">
        <f>'2.5 P&amp;C'!$E$20</f>
        <v>-</v>
      </c>
      <c r="H53" s="1770">
        <f>'2.5 P&amp;C'!$F$20</f>
        <v>1</v>
      </c>
      <c r="I53" s="1770">
        <f>'2.5 P&amp;C'!$G$20</f>
        <v>0</v>
      </c>
      <c r="J53" s="1770">
        <f>'2.5 P&amp;C'!$H$20</f>
        <v>1</v>
      </c>
      <c r="K53" s="1770">
        <f>'2.5 P&amp;C'!$L$20</f>
        <v>1</v>
      </c>
      <c r="L53" s="1769" t="str">
        <f>'2.5 P&amp;C'!$M$20</f>
        <v>-</v>
      </c>
      <c r="M53" s="1769">
        <f>'2.5 P&amp;C'!$N$20</f>
        <v>0.27581025</v>
      </c>
      <c r="N53" s="1769" t="str">
        <f>'2.5 P&amp;C'!$O$20</f>
        <v>-</v>
      </c>
      <c r="O53" s="1769">
        <f>'2.5 P&amp;C'!$P$20</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f>'2.6 Finance'!$M$12</f>
        <v>0.24172845</v>
      </c>
      <c r="M57" s="1769">
        <f>'2.6 Finance'!$N$12</f>
        <v>0.24172845</v>
      </c>
      <c r="N57" s="1769">
        <f>'2.6 Finance'!$O$12</f>
        <v>0</v>
      </c>
      <c r="O57" s="1769">
        <f>'2.6 Finance'!$P$12</f>
        <v>0.24172845</v>
      </c>
    </row>
    <row r="58">
      <c r="B58" s="1531" t="inlineStr">
        <is>
          <t>Finance</t>
        </is>
      </c>
      <c r="C58" s="1531" t="inlineStr">
        <is>
          <t>Overhead</t>
        </is>
      </c>
      <c r="D58" s="1531" t="str">
        <f>'2.6 Finance'!$B$18</f>
        <v>Technology Manager</v>
      </c>
      <c r="E58" s="1531" t="str">
        <f>'2.6 Finance'!$C$18</f>
        <v>-</v>
      </c>
      <c r="F58" s="1531" t="str">
        <f>'2.6 Finance'!$D$18</f>
        <v>-</v>
      </c>
      <c r="G58" s="1783" t="str">
        <f>'2.6 Finance'!$E$18</f>
        <v>-</v>
      </c>
      <c r="H58" s="1770">
        <f>'2.6 Finance'!$F$18</f>
        <v>1</v>
      </c>
      <c r="I58" s="1770">
        <f>'2.6 Finance'!$G$18</f>
        <v>1</v>
      </c>
      <c r="J58" s="1770">
        <f>'2.6 Finance'!$H$18</f>
        <v>0</v>
      </c>
      <c r="K58" s="1770">
        <f>'2.6 Finance'!$L$18</f>
        <v>1</v>
      </c>
      <c r="L58" s="1769" t="str">
        <f>'2.6 Finance'!$M$18</f>
        <v>-</v>
      </c>
      <c r="M58" s="1769">
        <f>'2.6 Finance'!$N$18</f>
        <v>0.32356045</v>
      </c>
      <c r="N58" s="1769" t="str">
        <f>'2.6 Finance'!$O$18</f>
        <v>-</v>
      </c>
      <c r="O58" s="1769">
        <f>'2.6 Finance'!$P$18</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No figure to compare</t>
        </is>
      </c>
      <c r="D64" s="1531" t="str">
        <f>'2.7 Infrastructure'!$B$17</f>
        <v>Leadership</v>
      </c>
      <c r="E64" s="1531" t="str">
        <f>'2.7 Infrastructure'!$C$17</f>
        <v>Not on the 1.x tab</v>
      </c>
      <c r="F64" s="1531" t="str">
        <f>'2.7 Infrastructure'!$D$17</f>
        <v>-</v>
      </c>
      <c r="G64" s="1783" t="str">
        <f>'2.7 Infrastructure'!$E$17</f>
        <v>-</v>
      </c>
      <c r="H64" s="1770">
        <f>'2.7 Infrastructure'!$F$17</f>
        <v>1</v>
      </c>
      <c r="I64" s="1770">
        <f>'2.7 Infrastructure'!$G$17</f>
        <v>1</v>
      </c>
      <c r="J64" s="1770">
        <f>'2.7 Infrastructure'!$H$17</f>
        <v>0</v>
      </c>
      <c r="K64" s="1770">
        <f>'2.7 Infrastructure'!$L$17</f>
        <v>1</v>
      </c>
      <c r="L64" s="1769" t="str">
        <f>'2.7 Infrastructure'!$M$17</f>
        <v>-</v>
      </c>
      <c r="M64" s="1769">
        <f>'2.7 Infrastructure'!$N$17</f>
        <v>0.2566671</v>
      </c>
      <c r="N64" s="1769" t="str">
        <f>'2.7 Infrastructure'!$O$17</f>
        <v>-</v>
      </c>
      <c r="O64" s="1769">
        <f>'2.7 Infrastructure'!$P$17</f>
        <v>0.2566671</v>
      </c>
    </row>
    <row r="65">
      <c r="B65" s="1531" t="inlineStr">
        <is>
          <t>Infrastructure</t>
        </is>
      </c>
      <c r="C65" s="1531" t="inlineStr">
        <is>
          <t>Overhead</t>
        </is>
      </c>
      <c r="D65" s="1531" t="str">
        <f>'2.7 Infrastructure'!$B$20</f>
        <v>Head of Technology</v>
      </c>
      <c r="E65" s="1531" t="str">
        <f>'2.7 Infrastructure'!$C$20</f>
        <v>-</v>
      </c>
      <c r="F65" s="1531" t="str">
        <f>'2.7 Infrastructure'!$D$20</f>
        <v>-</v>
      </c>
      <c r="G65" s="1783" t="str">
        <f>'2.7 Infrastructure'!$E$20</f>
        <v>-</v>
      </c>
      <c r="H65" s="1770">
        <f>'2.7 Infrastructure'!$F$20</f>
        <v>1</v>
      </c>
      <c r="I65" s="1770">
        <f>'2.7 Infrastructure'!$G$20</f>
        <v>1</v>
      </c>
      <c r="J65" s="1770">
        <f>'2.7 Infrastructure'!$H$20</f>
        <v>0</v>
      </c>
      <c r="K65" s="1770">
        <f>'2.7 Infrastructure'!$L$20</f>
        <v>1</v>
      </c>
      <c r="L65" s="1769" t="str">
        <f>'2.7 Infrastructure'!$M$20</f>
        <v>-</v>
      </c>
      <c r="M65" s="1769">
        <f>'2.7 Infrastructure'!$N$20</f>
        <v>0.3636267</v>
      </c>
      <c r="N65" s="1769" t="str">
        <f>'2.7 Infrastructure'!$O$20</f>
        <v>-</v>
      </c>
      <c r="O65" s="1769">
        <f>'2.7 Infrastructure'!$P$20</f>
        <v>0.3636267</v>
      </c>
    </row>
    <row r="66">
      <c r="B66" s="1531" t="inlineStr">
        <is>
          <t>Infrastructure</t>
        </is>
      </c>
      <c r="C66" s="1531" t="inlineStr">
        <is>
          <t>Overhead</t>
        </is>
      </c>
      <c r="D66" s="1531" t="str">
        <f>'2.7 Infrastructure'!$B$21</f>
        <v>Delivery Manager</v>
      </c>
      <c r="E66" s="1531" t="str">
        <f>'2.7 Infrastructure'!$C$21</f>
        <v>-</v>
      </c>
      <c r="F66" s="1531" t="str">
        <f>'2.7 Infrastructure'!$D$21</f>
        <v>-</v>
      </c>
      <c r="G66" s="1783" t="str">
        <f>'2.7 Infrastructure'!$E$21</f>
        <v>-</v>
      </c>
      <c r="H66" s="1770">
        <f>'2.7 Infrastructure'!$F$21</f>
        <v>1</v>
      </c>
      <c r="I66" s="1770">
        <f>'2.7 Infrastructure'!$G$21</f>
        <v>0</v>
      </c>
      <c r="J66" s="1770">
        <f>'2.7 Infrastructure'!$H$21</f>
        <v>1</v>
      </c>
      <c r="K66" s="1770">
        <f>'2.7 Infrastructure'!$L$21</f>
        <v>1</v>
      </c>
      <c r="L66" s="1769" t="str">
        <f>'2.7 Infrastructure'!$M$21</f>
        <v>-</v>
      </c>
      <c r="M66" s="1769">
        <f>'2.7 Infrastructure'!$N$21</f>
        <v>0.27581025</v>
      </c>
      <c r="N66" s="1769" t="str">
        <f>'2.7 Infrastructure'!$O$21</f>
        <v>-</v>
      </c>
      <c r="O66" s="1769">
        <f>'2.7 Infrastructure'!$P$21</f>
        <v>0.27581025</v>
      </c>
    </row>
    <row r="67">
      <c r="B67" s="1531" t="inlineStr">
        <is>
          <t>Infrastructure</t>
        </is>
      </c>
      <c r="C67" s="1531" t="inlineStr">
        <is>
          <t>Overhead</t>
        </is>
      </c>
      <c r="D67" s="1531" t="str">
        <f>'2.7 Infrastructure'!$B$22</f>
        <v>Technology Manager</v>
      </c>
      <c r="E67" s="1531" t="str">
        <f>'2.7 Infrastructure'!$C$22</f>
        <v>-</v>
      </c>
      <c r="F67" s="1531" t="str">
        <f>'2.7 Infrastructure'!$D$22</f>
        <v>-</v>
      </c>
      <c r="G67" s="1783" t="str">
        <f>'2.7 Infrastructure'!$E$22</f>
        <v>-</v>
      </c>
      <c r="H67" s="1770">
        <f>'2.7 Infrastructure'!$F$22</f>
        <v>2</v>
      </c>
      <c r="I67" s="1770">
        <f>'2.7 Infrastructure'!$G$22</f>
        <v>0</v>
      </c>
      <c r="J67" s="1770">
        <f>'2.7 Infrastructure'!$H$22</f>
        <v>2</v>
      </c>
      <c r="K67" s="1770">
        <f>'2.7 Infrastructure'!$L$22</f>
        <v>2</v>
      </c>
      <c r="L67" s="1769" t="str">
        <f>'2.7 Infrastructure'!$M$22</f>
        <v>-</v>
      </c>
      <c r="M67" s="1769">
        <f>'2.7 Infrastructure'!$N$22</f>
        <v>0.5516205</v>
      </c>
      <c r="N67" s="1769" t="str">
        <f>'2.7 Infrastructure'!$O$22</f>
        <v>-</v>
      </c>
      <c r="O67" s="1769">
        <f>'2.7 Infrastructure'!$P$22</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B2B'!$B$19</f>
        <v>Head of Technology</v>
      </c>
      <c r="E72" s="1531" t="str">
        <f>'2.8 Energy Solutions &amp; B2B'!$C$19</f>
        <v>-</v>
      </c>
      <c r="F72" s="1531" t="str">
        <f>'2.8 Energy Solutions &amp; B2B'!$D$19</f>
        <v>-</v>
      </c>
      <c r="G72" s="1783" t="str">
        <f>'2.8 Energy Solutions &amp; B2B'!$E$19</f>
        <v>-</v>
      </c>
      <c r="H72" s="1770">
        <f>'2.8 Energy Solutions &amp; B2B'!$F$19</f>
        <v>1</v>
      </c>
      <c r="I72" s="1770">
        <f>'2.8 Energy Solutions &amp; B2B'!$G$19</f>
        <v>1</v>
      </c>
      <c r="J72" s="1770">
        <f>'2.8 Energy Solutions &amp; B2B'!$H$19</f>
        <v>0</v>
      </c>
      <c r="K72" s="1770">
        <f>'2.8 Energy Solutions &amp; B2B'!$L$19</f>
        <v>1</v>
      </c>
      <c r="L72" s="1769" t="str">
        <f>'2.8 Energy Solutions &amp; B2B'!$M$19</f>
        <v>-</v>
      </c>
      <c r="M72" s="1769">
        <f>'2.8 Energy Solutions &amp; B2B'!$N$19</f>
        <v>0.273758</v>
      </c>
      <c r="N72" s="1769" t="str">
        <f>'2.8 Energy Solutions &amp; B2B'!$O$19</f>
        <v>-</v>
      </c>
      <c r="O72" s="1769">
        <f>'2.8 Energy Solutions &amp; B2B'!$P$19</f>
        <v>0.273758</v>
      </c>
    </row>
    <row r="73">
      <c r="B73" s="1531" t="inlineStr">
        <is>
          <t>Energy Solutions &amp; B2B</t>
        </is>
      </c>
      <c r="C73" s="1531" t="inlineStr">
        <is>
          <t>Overhead</t>
        </is>
      </c>
      <c r="D73" s="1531" t="str">
        <f>'2.8 Energy Solutions &amp; B2B'!$B$20</f>
        <v>Delivery Manager</v>
      </c>
      <c r="E73" s="1531" t="str">
        <f>'2.8 Energy Solutions &amp; B2B'!$C$20</f>
        <v>-</v>
      </c>
      <c r="F73" s="1531" t="str">
        <f>'2.8 Energy Solutions &amp; B2B'!$D$20</f>
        <v>-</v>
      </c>
      <c r="G73" s="1783" t="str">
        <f>'2.8 Energy Solutions &amp; B2B'!$E$20</f>
        <v>-</v>
      </c>
      <c r="H73" s="1770">
        <f>'2.8 Energy Solutions &amp; B2B'!$F$20</f>
        <v>1</v>
      </c>
      <c r="I73" s="1770">
        <f>'2.8 Energy Solutions &amp; B2B'!$G$20</f>
        <v>0</v>
      </c>
      <c r="J73" s="1770">
        <f>'2.8 Energy Solutions &amp; B2B'!$H$20</f>
        <v>1</v>
      </c>
      <c r="K73" s="1770">
        <f>'2.8 Energy Solutions &amp; B2B'!$L$20</f>
        <v>1</v>
      </c>
      <c r="L73" s="1769" t="str">
        <f>'2.8 Energy Solutions &amp; B2B'!$M$20</f>
        <v>-</v>
      </c>
      <c r="M73" s="1769">
        <f>'2.8 Energy Solutions &amp; B2B'!$N$20</f>
        <v>0.27581025</v>
      </c>
      <c r="N73" s="1769" t="str">
        <f>'2.8 Energy Solutions &amp; B2B'!$O$20</f>
        <v>-</v>
      </c>
      <c r="O73" s="1769">
        <f>'2.8 Energy Solutions &amp; B2B'!$P$20</f>
        <v>0.27581025</v>
      </c>
    </row>
    <row r="74">
      <c r="B74" s="1531" t="inlineStr">
        <is>
          <t>Energy Solutions &amp; B2B</t>
        </is>
      </c>
      <c r="C74" s="1531" t="inlineStr">
        <is>
          <t>Overhead</t>
        </is>
      </c>
      <c r="D74" s="1531" t="str">
        <f>'2.8 Energy Solutions &amp; B2B'!$B$21</f>
        <v>Technology Manager</v>
      </c>
      <c r="E74" s="1531" t="str">
        <f>'2.8 Energy Solutions &amp; B2B'!$C$21</f>
        <v>-</v>
      </c>
      <c r="F74" s="1531" t="str">
        <f>'2.8 Energy Solutions &amp; B2B'!$D$21</f>
        <v>-</v>
      </c>
      <c r="G74" s="1783" t="str">
        <f>'2.8 Energy Solutions &amp; B2B'!$E$21</f>
        <v>-</v>
      </c>
      <c r="H74" s="1770">
        <f>'2.8 Energy Solutions &amp; B2B'!$F$21</f>
        <v>2</v>
      </c>
      <c r="I74" s="1770">
        <f>'2.8 Energy Solutions &amp; B2B'!$G$21</f>
        <v>1</v>
      </c>
      <c r="J74" s="1770">
        <f>'2.8 Energy Solutions &amp; B2B'!$H$21</f>
        <v>1</v>
      </c>
      <c r="K74" s="1770">
        <f>'2.8 Energy Solutions &amp; B2B'!$L$21</f>
        <v>2</v>
      </c>
      <c r="L74" s="1769" t="str">
        <f>'2.8 Energy Solutions &amp; B2B'!$M$21</f>
        <v>-</v>
      </c>
      <c r="M74" s="1769">
        <f>'2.8 Energy Solutions &amp; B2B'!$N$21</f>
        <v>0.5703737</v>
      </c>
      <c r="N74" s="1769" t="str">
        <f>'2.8 Energy Solutions &amp; B2B'!$O$21</f>
        <v>-</v>
      </c>
      <c r="O74" s="1769">
        <f>'2.8 Energy Solutions &amp; B2B'!$P$21</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Fuels'!$B$19</f>
        <v>Head of Technology</v>
      </c>
      <c r="E80" s="1531" t="str">
        <f>'2.9 Commercial Fuels'!$C$19</f>
        <v>-</v>
      </c>
      <c r="F80" s="1531" t="str">
        <f>'2.9 Commercial Fuels'!$D$19</f>
        <v>-</v>
      </c>
      <c r="G80" s="1783" t="str">
        <f>'2.9 Commercial Fuels'!$E$19</f>
        <v>-</v>
      </c>
      <c r="H80" s="1770">
        <f>'2.9 Commercial Fuels'!$F$19</f>
        <v>1</v>
      </c>
      <c r="I80" s="1770">
        <f>'2.9 Commercial Fuels'!$G$19</f>
        <v>1</v>
      </c>
      <c r="J80" s="1770">
        <f>'2.9 Commercial Fuels'!$H$19</f>
        <v>0</v>
      </c>
      <c r="K80" s="1770">
        <f>'2.9 Commercial Fuels'!$L$19</f>
        <v>1</v>
      </c>
      <c r="L80" s="1769" t="str">
        <f>'2.9 Commercial Fuels'!$M$19</f>
        <v>-</v>
      </c>
      <c r="M80" s="1769">
        <f>'2.9 Commercial Fuels'!$N$19</f>
        <v>0.292434736</v>
      </c>
      <c r="N80" s="1769" t="str">
        <f>'2.9 Commercial Fuels'!$O$19</f>
        <v>-</v>
      </c>
      <c r="O80" s="1769">
        <f>'2.9 Commercial Fuels'!$P$19</f>
        <v>0.292434736</v>
      </c>
    </row>
    <row r="81">
      <c r="B81" s="1531" t="inlineStr">
        <is>
          <t>Commercial Fuels</t>
        </is>
      </c>
      <c r="C81" s="1531" t="inlineStr">
        <is>
          <t>Overhead</t>
        </is>
      </c>
      <c r="D81" s="1531" t="str">
        <f>'2.9 Commercial Fuels'!$B$20</f>
        <v>Delivery Manager</v>
      </c>
      <c r="E81" s="1531" t="str">
        <f>'2.9 Commercial Fuels'!$C$20</f>
        <v>-</v>
      </c>
      <c r="F81" s="1531" t="str">
        <f>'2.9 Commercial Fuels'!$D$20</f>
        <v>-</v>
      </c>
      <c r="G81" s="1783" t="str">
        <f>'2.9 Commercial Fuels'!$E$20</f>
        <v>-</v>
      </c>
      <c r="H81" s="1770">
        <f>'2.9 Commercial Fuels'!$F$20</f>
        <v>1</v>
      </c>
      <c r="I81" s="1770">
        <f>'2.9 Commercial Fuels'!$G$20</f>
        <v>0</v>
      </c>
      <c r="J81" s="1770">
        <f>'2.9 Commercial Fuels'!$H$20</f>
        <v>1</v>
      </c>
      <c r="K81" s="1770">
        <f>'2.9 Commercial Fuels'!$L$20</f>
        <v>1</v>
      </c>
      <c r="L81" s="1769" t="str">
        <f>'2.9 Commercial Fuels'!$M$20</f>
        <v>-</v>
      </c>
      <c r="M81" s="1769">
        <f>'2.9 Commercial Fuels'!$N$20</f>
        <v>0.27581025</v>
      </c>
      <c r="N81" s="1769" t="str">
        <f>'2.9 Commercial Fuels'!$O$20</f>
        <v>-</v>
      </c>
      <c r="O81" s="1769">
        <f>'2.9 Commercial Fuels'!$P$20</f>
        <v>0.27581025</v>
      </c>
    </row>
    <row r="82">
      <c r="B82" s="1531" t="inlineStr">
        <is>
          <t>Commercial Fuels</t>
        </is>
      </c>
      <c r="C82" s="1531" t="inlineStr">
        <is>
          <t>Overhead</t>
        </is>
      </c>
      <c r="D82" s="1531" t="str">
        <f>'2.9 Commercial Fuels'!$B$21</f>
        <v>Technology Manager</v>
      </c>
      <c r="E82" s="1531" t="str">
        <f>'2.9 Commercial Fuels'!$C$21</f>
        <v>-</v>
      </c>
      <c r="F82" s="1531" t="str">
        <f>'2.9 Commercial Fuels'!$D$21</f>
        <v>-</v>
      </c>
      <c r="G82" s="1783" t="str">
        <f>'2.9 Commercial Fuels'!$E$21</f>
        <v>-</v>
      </c>
      <c r="H82" s="1770">
        <f>'2.9 Commercial Fuels'!$F$21</f>
        <v>2</v>
      </c>
      <c r="I82" s="1770">
        <f>'2.9 Commercial Fuels'!$G$21</f>
        <v>1</v>
      </c>
      <c r="J82" s="1770">
        <f>'2.9 Commercial Fuels'!$H$21</f>
        <v>1</v>
      </c>
      <c r="K82" s="1770">
        <f>'2.9 Commercial Fuels'!$L$21</f>
        <v>2</v>
      </c>
      <c r="L82" s="1769" t="str">
        <f>'2.9 Commercial Fuels'!$M$21</f>
        <v>-</v>
      </c>
      <c r="M82" s="1769">
        <f>'2.9 Commercial Fuels'!$N$21</f>
        <v>0.56309735</v>
      </c>
      <c r="N82" s="1769" t="str">
        <f>'2.9 Commercial Fuels'!$O$21</f>
        <v>-</v>
      </c>
      <c r="O82" s="1769">
        <f>'2.9 Commercial Fuels'!$P$21</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Retail'!$B$20</f>
        <v>Head of Technology</v>
      </c>
      <c r="E88" s="1531" t="str">
        <f>'2.10 Z Retail'!$C$20</f>
        <v>-</v>
      </c>
      <c r="F88" s="1531" t="str">
        <f>'2.10 Z Retail'!$D$20</f>
        <v>-</v>
      </c>
      <c r="G88" s="1783" t="str">
        <f>'2.10 Z Retail'!$E$20</f>
        <v>-</v>
      </c>
      <c r="H88" s="1770">
        <f>'2.10 Z Retail'!$F$20</f>
        <v>1</v>
      </c>
      <c r="I88" s="1770">
        <f>'2.10 Z Retail'!$G$20</f>
        <v>0</v>
      </c>
      <c r="J88" s="1770">
        <f>'2.10 Z Retail'!$H$20</f>
        <v>1</v>
      </c>
      <c r="K88" s="1770">
        <f>'2.10 Z Retail'!$L$20</f>
        <v>1</v>
      </c>
      <c r="L88" s="1769" t="str">
        <f>'2.10 Z Retail'!$M$20</f>
        <v>-</v>
      </c>
      <c r="M88" s="1769">
        <f>'2.10 Z Retail'!$N$20</f>
        <v>0.291422</v>
      </c>
      <c r="N88" s="1769" t="str">
        <f>'2.10 Z Retail'!$O$20</f>
        <v>-</v>
      </c>
      <c r="O88" s="1769">
        <f>'2.10 Z Retail'!$P$20</f>
        <v>0.291422</v>
      </c>
    </row>
    <row r="89">
      <c r="B89" s="1531" t="inlineStr">
        <is>
          <t>Z Retail</t>
        </is>
      </c>
      <c r="C89" s="1531" t="inlineStr">
        <is>
          <t>Overhead</t>
        </is>
      </c>
      <c r="D89" s="1531" t="str">
        <f>'2.10 Z Retail'!$B$21</f>
        <v>Delivery Manager</v>
      </c>
      <c r="E89" s="1531" t="str">
        <f>'2.10 Z Retail'!$C$21</f>
        <v>-</v>
      </c>
      <c r="F89" s="1531" t="str">
        <f>'2.10 Z Retail'!$D$21</f>
        <v>-</v>
      </c>
      <c r="G89" s="1783" t="str">
        <f>'2.10 Z Retail'!$E$21</f>
        <v>-</v>
      </c>
      <c r="H89" s="1770">
        <f>'2.10 Z Retail'!$F$21</f>
        <v>1</v>
      </c>
      <c r="I89" s="1770">
        <f>'2.10 Z Retail'!$G$21</f>
        <v>0</v>
      </c>
      <c r="J89" s="1770">
        <f>'2.10 Z Retail'!$H$21</f>
        <v>1</v>
      </c>
      <c r="K89" s="1770">
        <f>'2.10 Z Retail'!$L$21</f>
        <v>1</v>
      </c>
      <c r="L89" s="1769" t="str">
        <f>'2.10 Z Retail'!$M$21</f>
        <v>-</v>
      </c>
      <c r="M89" s="1769">
        <f>'2.10 Z Retail'!$N$21</f>
        <v>0.20285325</v>
      </c>
      <c r="N89" s="1769" t="str">
        <f>'2.10 Z Retail'!$O$21</f>
        <v>-</v>
      </c>
      <c r="O89" s="1769">
        <f>'2.10 Z Retail'!$P$21</f>
        <v>0.20285325</v>
      </c>
    </row>
    <row r="90">
      <c r="B90" s="1531" t="inlineStr">
        <is>
          <t>Z Retail</t>
        </is>
      </c>
      <c r="C90" s="1531" t="inlineStr">
        <is>
          <t>Overhead</t>
        </is>
      </c>
      <c r="D90" s="1531" t="str">
        <f>'2.10 Z Retail'!$B$22</f>
        <v>Technology Manager</v>
      </c>
      <c r="E90" s="1531" t="str">
        <f>'2.10 Z Retail'!$C$22</f>
        <v>-</v>
      </c>
      <c r="F90" s="1531" t="str">
        <f>'2.10 Z Retail'!$D$22</f>
        <v>-</v>
      </c>
      <c r="G90" s="1783" t="str">
        <f>'2.10 Z Retail'!$E$22</f>
        <v>-</v>
      </c>
      <c r="H90" s="1770">
        <f>'2.10 Z Retail'!$F$22</f>
        <v>3</v>
      </c>
      <c r="I90" s="1770">
        <f>'2.10 Z Retail'!$G$22</f>
        <v>3</v>
      </c>
      <c r="J90" s="1770">
        <f>'2.10 Z Retail'!$H$22</f>
        <v>0</v>
      </c>
      <c r="K90" s="1770">
        <f>'2.10 Z Retail'!$L$22</f>
        <v>3</v>
      </c>
      <c r="L90" s="1769" t="str">
        <f>'2.10 Z Retail'!$M$22</f>
        <v>-</v>
      </c>
      <c r="M90" s="1769">
        <f>'2.10 Z Retail'!$N$22</f>
        <v>0.723068418</v>
      </c>
      <c r="N90" s="1769" t="str">
        <f>'2.10 Z Retail'!$O$22</f>
        <v>-</v>
      </c>
      <c r="O90" s="1769">
        <f>'2.10 Z Retail'!$P$22</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f>'2.11 COE Cyber'!$M$11</f>
        <v>1.071477788</v>
      </c>
      <c r="M92" s="1769">
        <f>'2.11 COE Cyber'!$N$11</f>
        <v>1.071477788</v>
      </c>
      <c r="N92" s="1769">
        <f>'2.11 COE Cyber'!$O$11</f>
        <v>0</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f>'2.11 COE Cyber'!$M$12</f>
        <v>0.475558232</v>
      </c>
      <c r="M93" s="1769">
        <f>'2.11 COE Cyber'!$N$12</f>
        <v>0.475558232</v>
      </c>
      <c r="N93" s="1769">
        <f>'2.11 COE Cyber'!$O$12</f>
        <v>0</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f>'2.11 COE Cyber'!$M$13</f>
        <v>1.111589344</v>
      </c>
      <c r="M94" s="1769">
        <f>'2.11 COE Cyber'!$N$13</f>
        <v>1.111589344</v>
      </c>
      <c r="N94" s="1769">
        <f>'2.11 COE Cyber'!$O$13</f>
        <v>0</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f>'2.11 COE Cyber'!$M$14</f>
        <v>3.31576355</v>
      </c>
      <c r="M95" s="1769">
        <f>'2.11 COE Cyber'!$N$14</f>
        <v>3.31576355</v>
      </c>
      <c r="N95" s="1769">
        <f>'2.11 COE Cyber'!$O$14</f>
        <v>0</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f>'2.11 COE Cyber'!$M$15</f>
        <v>3.92346938</v>
      </c>
      <c r="M96" s="1769">
        <f>'2.11 COE Cyber'!$N$15</f>
        <v>3.92346938</v>
      </c>
      <c r="N96" s="1769">
        <f>'2.11 COE Cyber'!$O$15</f>
        <v>0</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f>'2.12 COE BP&amp;T'!$M$11</f>
        <v>0.979014192</v>
      </c>
      <c r="M98" s="1769">
        <f>'2.12 COE BP&amp;T'!$N$11</f>
        <v>0.979014192</v>
      </c>
      <c r="N98" s="1769">
        <f>'2.12 COE BP&amp;T'!$O$11</f>
        <v>0</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f>'2.12 COE BP&amp;T'!$M$12</f>
        <v>2.3135484</v>
      </c>
      <c r="M99" s="1769">
        <f>'2.12 COE BP&amp;T'!$N$12</f>
        <v>2.3135484</v>
      </c>
      <c r="N99" s="1769">
        <f>'2.12 COE BP&amp;T'!$O$12</f>
        <v>0</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f>'2.12 COE BP&amp;T'!$M$13</f>
        <v>3.10799923</v>
      </c>
      <c r="M100" s="1769">
        <f>'2.12 COE BP&amp;T'!$N$13</f>
        <v>3.10799923</v>
      </c>
      <c r="N100" s="1769">
        <f>'2.12 COE BP&amp;T'!$O$13</f>
        <v>0</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f>'2.13 COE SA&amp;D'!$M$11</f>
        <v>1.664746536</v>
      </c>
      <c r="M102" s="1769">
        <f>'2.13 COE SA&amp;D'!$N$11</f>
        <v>1.664746536</v>
      </c>
      <c r="N102" s="1769">
        <f>'2.13 COE SA&amp;D'!$O$11</f>
        <v>0</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f>'2.13 COE SA&amp;D'!$M$12</f>
        <v>0.2655849</v>
      </c>
      <c r="M103" s="1769">
        <f>'2.13 COE SA&amp;D'!$N$12</f>
        <v>0.2655849</v>
      </c>
      <c r="N103" s="1769">
        <f>'2.13 COE SA&amp;D'!$O$12</f>
        <v>0</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f>'2.13 COE SA&amp;D'!$M$13</f>
        <v>2.305292066</v>
      </c>
      <c r="M104" s="1769">
        <f>'2.13 COE SA&amp;D'!$N$13</f>
        <v>2.305292066</v>
      </c>
      <c r="N104" s="1769">
        <f>'2.13 COE SA&amp;D'!$O$13</f>
        <v>0</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f>'2.13 COE SA&amp;D'!$M$14</f>
        <v>1.2239818</v>
      </c>
      <c r="M105" s="1769">
        <f>'2.13 COE SA&amp;D'!$N$14</f>
        <v>1.2239818</v>
      </c>
      <c r="N105" s="1769">
        <f>'2.13 COE SA&amp;D'!$O$14</f>
        <v>0</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f>'2.13 COE SA&amp;D'!$M$15</f>
        <v>1.06988875</v>
      </c>
      <c r="M106" s="1769">
        <f>'2.13 COE SA&amp;D'!$N$15</f>
        <v>1.06988875</v>
      </c>
      <c r="N106" s="1769">
        <f>'2.13 COE SA&amp;D'!$O$15</f>
        <v>0</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f>'2.14 EGI'!$M$11</f>
        <v>4.94341935</v>
      </c>
      <c r="M108" s="1769">
        <f>'2.14 EGI'!$N$11</f>
        <v>4.94341935</v>
      </c>
      <c r="N108" s="1769">
        <f>'2.14 EGI'!$O$11</f>
        <v>0</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1" t="inlineStr">
        <is>
          <t>Group total</t>
        </is>
      </c>
      <c r="C110" s="1541" t="n"/>
      <c r="D110" s="1541" t="n"/>
      <c r="E110" s="1541"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115.2830022681</v>
      </c>
      <c r="N110" s="1773" t="str">
        <f>"-"</f>
        <v>-</v>
      </c>
      <c r="O110" s="1773">
        <f>O19+O32+O38+O47+O54+O59+O68+O75+O83+O91+O97+O101+O107+O109</f>
        <v>115.2830022681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1" t="inlineStr">
        <is>
          <t>COEs and EGI total</t>
        </is>
      </c>
      <c r="C24" s="1541"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5"/>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Bridge'!$H$40</f>
        <v>525</v>
      </c>
      <c r="D5" s="1790">
        <f>COUNTA('REVIEW - Complete Role Mapping'!$B$2:$B$528)</f>
        <v>525</v>
      </c>
      <c r="E5" s="1805">
        <f>ROUND($C5-$D5,6)</f>
        <v>0</v>
      </c>
    </row>
    <row r="6">
      <c r="B6" s="1788" t="inlineStr">
        <is>
          <t>Filled on 3.1 against the ledger</t>
        </is>
      </c>
      <c r="C6" s="1790">
        <f>'3.1 Cost Bridge'!$I$40</f>
        <v>390</v>
      </c>
      <c r="D6" s="1790">
        <f>COUNTIFS('REVIEW - Complete Role Mapping'!$AK$2:$AK$528,"Filled")</f>
        <v>390</v>
      </c>
      <c r="E6" s="1805">
        <f>ROUND($C6-$D6,6)</f>
        <v>0</v>
      </c>
    </row>
    <row r="7">
      <c r="B7" s="1788" t="inlineStr">
        <is>
          <t>Vacant on 3.1 against the ledger</t>
        </is>
      </c>
      <c r="C7" s="1790">
        <f>'3.1 Cost Bridge'!$J$40</f>
        <v>135</v>
      </c>
      <c r="D7" s="1790">
        <f>COUNTIFS('REVIEW - Complete Role Mapping'!$AK$2:$AK$528,"Vacant")</f>
        <v>135</v>
      </c>
      <c r="E7" s="1805">
        <f>ROUND($C7-$D7,6)</f>
        <v>0</v>
      </c>
    </row>
    <row r="8">
      <c r="B8" s="1788" t="inlineStr">
        <is>
          <t>Filled plus vacant against roles on 3.1</t>
        </is>
      </c>
      <c r="C8" s="1790">
        <f>'3.1 Cost Bridge'!$I$40+'3.1 Cost Bridge'!$J$40</f>
        <v>525</v>
      </c>
      <c r="D8" s="1790">
        <f>'3.1 Cost Bridge'!$H$40</f>
        <v>525</v>
      </c>
      <c r="E8" s="1805">
        <f>ROUND($C8-$D8,6)</f>
        <v>0</v>
      </c>
    </row>
    <row r="9">
      <c r="B9" s="1788" t="inlineStr">
        <is>
          <t>Cost on 3.1 against the ledger ($m)</t>
        </is>
      </c>
      <c r="C9" s="1791">
        <f>'3.1 Cost Bridge'!$E$40</f>
        <v>115.2830022681</v>
      </c>
      <c r="D9" s="1791">
        <f>SUM('REVIEW - Complete Role Mapping'!$AA$2:$AA$528)/1000000</f>
        <v>115.2830022681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115.2830022681</v>
      </c>
      <c r="D10" s="1791">
        <f>'3.1 Cost Bridge'!$E$40</f>
        <v>115.2830022681</v>
      </c>
      <c r="E10" s="1806">
        <f>ROUND($C10-$D10,6)</f>
        <v>0</v>
      </c>
    </row>
    <row r="11">
      <c r="B11" s="1788" t="inlineStr">
        <is>
          <t>Roles on 3.3 against 3.1</t>
        </is>
      </c>
      <c r="C11" s="1790">
        <f>'3.3 Squad Detail'!$H$110</f>
        <v>525</v>
      </c>
      <c r="D11" s="1790">
        <f>'3.1 Cost Bridge'!$H$40</f>
        <v>525</v>
      </c>
      <c r="E11" s="1805">
        <f>ROUND($C11-$D11,6)</f>
        <v>0</v>
      </c>
    </row>
    <row r="12">
      <c r="B12" s="1788" t="inlineStr">
        <is>
          <t>Cost on 3.3 against 3.1 ($m)</t>
        </is>
      </c>
      <c r="C12" s="1791">
        <f>'3.3 Squad Detail'!$M$110</f>
        <v>115.2830022681</v>
      </c>
      <c r="D12" s="1791">
        <f>'3.1 Cost Bridge'!$E$40</f>
        <v>115.2830022681</v>
      </c>
      <c r="E12" s="1806">
        <f>ROUND($C12-$D12,6)</f>
        <v>0</v>
      </c>
    </row>
    <row r="13">
      <c r="B13" s="1788" t="inlineStr">
        <is>
          <t>Total including the GM layer against the ledger plus the GM input ($m)</t>
        </is>
      </c>
      <c r="C13" s="1791">
        <f>'3.1 Cost Bridge'!$E$42</f>
        <v>120.3830022681</v>
      </c>
      <c r="D13" s="1791">
        <f>SUM('REVIEW - Complete Role Mapping'!$AA$2:$AA$528)/1000000+N(Lists!$AG$12)</f>
        <v>120.3830022681</v>
      </c>
      <c r="E13" s="1806">
        <f>ROUND($C13-$D13,6)</f>
        <v>0</v>
      </c>
    </row>
    <row r="14">
      <c r="B14" s="1788" t="inlineStr">
        <is>
          <t>Archetype variance - the four steps against the comparable subtotal ($m)</t>
        </is>
      </c>
      <c r="C14" s="1791">
        <f>N('3.1 Cost Bridge'!$F$17)+N('3.1 Cost Bridge'!$F$27)+N('3.1 Cost Bridge'!$F$33)+N('3.1 Cost Bridge'!$F$34)</f>
        <v>5.242928</v>
      </c>
      <c r="D14" s="1791">
        <f>'3.1 Cost Bridge'!$F$35</f>
        <v>5.242928</v>
      </c>
      <c r="E14" s="1806">
        <f>ROUND($C14-$D14,6)</f>
        <v>0</v>
      </c>
    </row>
    <row r="15">
      <c r="B15" s="1788" t="inlineStr">
        <is>
          <t>Roles including the GM layer against 525 plus the GM count</t>
        </is>
      </c>
      <c r="C15" s="1790">
        <f>'3.1 Cost Bridge'!$H$42</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38.2101574</v>
      </c>
      <c r="D17" s="1791">
        <f>'3.1 Cost Bridge'!$D$27+'3.1 Cost Bridge'!$D$33</f>
        <v>38.2101574</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Bridge'!$E$34</f>
        <v>11.654230155</v>
      </c>
      <c r="D24" s="1791">
        <f>'3.2 Overhead &amp; Leadership'!$H$13</f>
        <v>11.654230155</v>
      </c>
      <c r="E24" s="1806">
        <f>ROUND($C24-$D24,6)</f>
        <v>0</v>
      </c>
    </row>
    <row r="25">
      <c r="B25" s="1788" t="inlineStr">
        <is>
          <t>Roles after decisions against roles less anything on hold</t>
        </is>
      </c>
      <c r="C25" s="1790">
        <f>'3.1 Cost Bridge'!$K$40</f>
        <v>525</v>
      </c>
      <c r="D25" s="1790">
        <f>'3.1 Cost Bridge'!$H$40-N('2.1 Ampol Retail'!$K$29)-N('2.2 Customer'!$K$27)-N('2.3 Enterprise Data'!$K$22)-N('2.4 TDD Group Functions'!$K$24)-N('2.5 P&amp;C'!$K$22)-N('2.6 Finance'!$K$20)-N('2.7 Infrastructure'!$K$24)-N('2.8 Energy Solutions &amp; B2B'!$K$23)-N('2.9 Commercial Fuels'!$K$23)-N('2.10 Z Retail'!$K$24)-N('2.11 COE Cyber'!$K$23)-N('2.12 COE BP&amp;T'!$K$21)-N('2.13 COE SA&amp;D'!$K$23)-N('2.14 EGI'!$K$19)</f>
        <v>525</v>
      </c>
      <c r="E25" s="1805">
        <f>ROUND($C25-$D25,6)</f>
        <v>0</v>
      </c>
    </row>
    <row r="26">
      <c r="B26" s="1788" t="inlineStr">
        <is>
          <t>Cost after decisions against cost today, with no lever pulled ($m)</t>
        </is>
      </c>
      <c r="C26" s="1791">
        <f>'3.1 Cost Bridge'!$G$40</f>
        <v>115.2830022681</v>
      </c>
      <c r="D26" s="1791">
        <f>'3.1 Cost Bridge'!$E$40</f>
        <v>115.2830022681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Retail'!$F$29</f>
        <v>70</v>
      </c>
      <c r="D33" s="1790">
        <f>COUNTIFS('REVIEW - Complete Role Mapping'!$AJ$2:$AJ$528,"Ampol Retail")</f>
        <v>70</v>
      </c>
      <c r="E33" s="1805">
        <f>ROUND($C33-$D33,6)</f>
        <v>0</v>
      </c>
    </row>
    <row r="34">
      <c r="B34" s="1788" t="inlineStr">
        <is>
          <t>2.1 Ampol Retail cost against the ledger ($m)</t>
        </is>
      </c>
      <c r="C34" s="1791">
        <f>'2.1 Ampol Retail'!$N$29</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Customer'!$F$27</f>
        <v>83</v>
      </c>
      <c r="D35" s="1790">
        <f>COUNTIFS('REVIEW - Complete Role Mapping'!$AJ$2:$AJ$528,"Customer")</f>
        <v>83</v>
      </c>
      <c r="E35" s="1805">
        <f>ROUND($C35-$D35,6)</f>
        <v>0</v>
      </c>
    </row>
    <row r="36">
      <c r="B36" s="1788" t="inlineStr">
        <is>
          <t>2.2 Customer cost against the ledger ($m)</t>
        </is>
      </c>
      <c r="C36" s="1791">
        <f>'2.2 Customer'!$N$27</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Data'!$F$22</f>
        <v>28</v>
      </c>
      <c r="D37" s="1790">
        <f>COUNTIFS('REVIEW - Complete Role Mapping'!$AJ$2:$AJ$528,"Enterprise Data")</f>
        <v>28</v>
      </c>
      <c r="E37" s="1805">
        <f>ROUND($C37-$D37,6)</f>
        <v>0</v>
      </c>
    </row>
    <row r="38">
      <c r="B38" s="1788" t="inlineStr">
        <is>
          <t>2.3 Enterprise Data cost against the ledger ($m)</t>
        </is>
      </c>
      <c r="C38" s="1791">
        <f>'2.3 Enterprise Data'!$N$22</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Functions'!$F$24</f>
        <v>46</v>
      </c>
      <c r="D39" s="1790">
        <f>COUNTIFS('REVIEW - Complete Role Mapping'!$AJ$2:$AJ$528,"TDD Group Functions")</f>
        <v>46</v>
      </c>
      <c r="E39" s="1805">
        <f>ROUND($C39-$D39,6)</f>
        <v>0</v>
      </c>
    </row>
    <row r="40">
      <c r="B40" s="1788" t="inlineStr">
        <is>
          <t>2.4 TDD Group Functions cost against the ledger ($m)</t>
        </is>
      </c>
      <c r="C40" s="1791">
        <f>'2.4 TDD Group Functions'!$N$24</f>
        <v>10.2009694824</v>
      </c>
      <c r="D40" s="1791">
        <f>SUMIFS('REVIEW - Complete Role Mapping'!$AA$2:$AA$528,'REVIEW - Complete Role Mapping'!$AJ$2:$AJ$528,"TDD Group Functions")/1000000</f>
        <v>10.2009694824</v>
      </c>
      <c r="E40" s="1806">
        <f>ROUND($C40-$D40,6)</f>
        <v>0</v>
      </c>
    </row>
    <row r="41">
      <c r="B41" s="1788" t="inlineStr">
        <is>
          <t>2.5 P&amp;C roles against the ledger</t>
        </is>
      </c>
      <c r="C41" s="1790">
        <f>'2.5 P&amp;C'!$F$22</f>
        <v>18</v>
      </c>
      <c r="D41" s="1790">
        <f>COUNTIFS('REVIEW - Complete Role Mapping'!$AJ$2:$AJ$528,"P&amp;C")</f>
        <v>18</v>
      </c>
      <c r="E41" s="1805">
        <f>ROUND($C41-$D41,6)</f>
        <v>0</v>
      </c>
    </row>
    <row r="42">
      <c r="B42" s="1788" t="inlineStr">
        <is>
          <t>2.5 P&amp;C cost against the ledger ($m)</t>
        </is>
      </c>
      <c r="C42" s="1791">
        <f>'2.5 P&amp;C'!$N$22</f>
        <v>4.18444088</v>
      </c>
      <c r="D42" s="1791">
        <f>SUMIFS('REVIEW - Complete Role Mapping'!$AA$2:$AA$528,'REVIEW - Complete Role Mapping'!$AJ$2:$AJ$528,"P&amp;C")/1000000</f>
        <v>4.18444088</v>
      </c>
      <c r="E42" s="1806">
        <f>ROUND($C42-$D42,6)</f>
        <v>0</v>
      </c>
    </row>
    <row r="43">
      <c r="B43" s="1788" t="inlineStr">
        <is>
          <t>2.6 Finance roles against the ledger</t>
        </is>
      </c>
      <c r="C43" s="1790">
        <f>'2.6 Finance'!$F$20</f>
        <v>17</v>
      </c>
      <c r="D43" s="1790">
        <f>COUNTIFS('REVIEW - Complete Role Mapping'!$AJ$2:$AJ$528,"Finance")</f>
        <v>17</v>
      </c>
      <c r="E43" s="1805">
        <f>ROUND($C43-$D43,6)</f>
        <v>0</v>
      </c>
    </row>
    <row r="44">
      <c r="B44" s="1788" t="inlineStr">
        <is>
          <t>2.6 Finance cost against the ledger ($m)</t>
        </is>
      </c>
      <c r="C44" s="1791">
        <f>'2.6 Finance'!$N$20</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Infrastructure'!$F$24</f>
        <v>36</v>
      </c>
      <c r="D45" s="1790">
        <f>COUNTIFS('REVIEW - Complete Role Mapping'!$AJ$2:$AJ$528,"Infrastructure")</f>
        <v>36</v>
      </c>
      <c r="E45" s="1805">
        <f>ROUND($C45-$D45,6)</f>
        <v>0</v>
      </c>
    </row>
    <row r="46">
      <c r="B46" s="1788" t="inlineStr">
        <is>
          <t>2.7 Infrastructure cost against the ledger ($m)</t>
        </is>
      </c>
      <c r="C46" s="1791">
        <f>'2.7 Infrastructure'!$N$24</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B2B'!$F$23</f>
        <v>33</v>
      </c>
      <c r="D47" s="1790">
        <f>COUNTIFS('REVIEW - Complete Role Mapping'!$AJ$2:$AJ$528,"Energy Solutions &amp; B2B")</f>
        <v>33</v>
      </c>
      <c r="E47" s="1805">
        <f>ROUND($C47-$D47,6)</f>
        <v>0</v>
      </c>
    </row>
    <row r="48">
      <c r="B48" s="1788" t="inlineStr">
        <is>
          <t>2.8 Energy Solutions &amp; B2B cost against the ledger ($m)</t>
        </is>
      </c>
      <c r="C48" s="1791">
        <f>'2.8 Energy Solutions &amp; B2B'!$N$23</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Fuels'!$F$23</f>
        <v>42</v>
      </c>
      <c r="D49" s="1790">
        <f>COUNTIFS('REVIEW - Complete Role Mapping'!$AJ$2:$AJ$528,"Commercial Fuels")</f>
        <v>42</v>
      </c>
      <c r="E49" s="1805">
        <f>ROUND($C49-$D49,6)</f>
        <v>0</v>
      </c>
    </row>
    <row r="50">
      <c r="B50" s="1788" t="inlineStr">
        <is>
          <t>2.9 Commercial Fuels cost against the ledger ($m)</t>
        </is>
      </c>
      <c r="C50" s="1791">
        <f>'2.9 Commercial Fuels'!$N$23</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Retail'!$F$24</f>
        <v>39</v>
      </c>
      <c r="D51" s="1790">
        <f>COUNTIFS('REVIEW - Complete Role Mapping'!$AJ$2:$AJ$528,"Z Retail")</f>
        <v>39</v>
      </c>
      <c r="E51" s="1805">
        <f>ROUND($C51-$D51,6)</f>
        <v>0</v>
      </c>
    </row>
    <row r="52">
      <c r="B52" s="1788" t="inlineStr">
        <is>
          <t>2.10 Z Retail cost against the ledger ($m)</t>
        </is>
      </c>
      <c r="C52" s="1791">
        <f>'2.10 Z Retail'!$N$24</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Cyber'!$F$23</f>
        <v>46</v>
      </c>
      <c r="D53" s="1790">
        <f>COUNTIFS('REVIEW - Complete Role Mapping'!$AJ$2:$AJ$528,"COE Cyber")</f>
        <v>46</v>
      </c>
      <c r="E53" s="1805">
        <f>ROUND($C53-$D53,6)</f>
        <v>0</v>
      </c>
    </row>
    <row r="54">
      <c r="B54" s="1788" t="inlineStr">
        <is>
          <t>2.11 COE Cyber cost against the ledger ($m)</t>
        </is>
      </c>
      <c r="C54" s="1791">
        <f>'2.11 COE Cyber'!$N$23</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BP&amp;T'!$F$21</f>
        <v>24</v>
      </c>
      <c r="D55" s="1790">
        <f>COUNTIFS('REVIEW - Complete Role Mapping'!$AJ$2:$AJ$528,"COE BP&amp;T")</f>
        <v>24</v>
      </c>
      <c r="E55" s="1805">
        <f>ROUND($C55-$D55,6)</f>
        <v>0</v>
      </c>
    </row>
    <row r="56">
      <c r="B56" s="1788" t="inlineStr">
        <is>
          <t>2.12 COE BP&amp;T cost against the ledger ($m)</t>
        </is>
      </c>
      <c r="C56" s="1791">
        <f>'2.12 COE BP&amp;T'!$N$21</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SA&amp;D'!$F$23</f>
        <v>26</v>
      </c>
      <c r="D57" s="1790">
        <f>COUNTIFS('REVIEW - Complete Role Mapping'!$AJ$2:$AJ$528,"COE SA&amp;D")</f>
        <v>26</v>
      </c>
      <c r="E57" s="1805">
        <f>ROUND($C57-$D57,6)</f>
        <v>0</v>
      </c>
    </row>
    <row r="58">
      <c r="B58" s="1788" t="inlineStr">
        <is>
          <t>2.13 COE SA&amp;D cost against the ledger ($m)</t>
        </is>
      </c>
      <c r="C58" s="1791">
        <f>'2.13 COE SA&amp;D'!$N$23</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EGI'!$F$19</f>
        <v>17</v>
      </c>
      <c r="D59" s="1790">
        <f>COUNTIFS('REVIEW - Complete Role Mapping'!$AJ$2:$AJ$528,"EGI")</f>
        <v>17</v>
      </c>
      <c r="E59" s="1805">
        <f>ROUND($C59-$D59,6)</f>
        <v>0</v>
      </c>
    </row>
    <row r="60">
      <c r="B60" s="1788" t="inlineStr">
        <is>
          <t>2.14 EGI cost against the ledger ($m)</t>
        </is>
      </c>
      <c r="C60" s="1791">
        <f>'2.14 EGI'!$N$19</f>
        <v>4.94341935</v>
      </c>
      <c r="D60" s="1791">
        <f>SUMIFS('REVIEW - Complete Role Mapping'!$AA$2:$AA$528,'REVIEW - Complete Role Mapping'!$AJ$2:$AJ$528,"EGI")/1000000</f>
        <v>4.94341935</v>
      </c>
      <c r="E60" s="1806">
        <f>ROUND($C60-$D60,6)</f>
        <v>0</v>
      </c>
    </row>
    <row r="61">
      <c r="B61" s="1541" t="inlineStr">
        <is>
          <t>Checks failing</t>
        </is>
      </c>
      <c r="C61" s="1541" t="n"/>
      <c r="D61" s="1541"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2026-07-26T14:48:53Z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