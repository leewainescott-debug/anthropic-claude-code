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omments/comment1.xml" ContentType="application/vnd.openxmlformats-officedocument.spreadsheetml.comments+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4.0 Data QA" sheetId="43" state="visible" r:id="rId43"/>
    <sheet name="REVIEW - Complete Role Mapping" sheetId="44" state="visible" r:id="rId44"/>
    <sheet name="Squads" sheetId="45" state="visible" r:id="rId45"/>
    <sheet name="Added data" sheetId="46" state="visible" r:id="rId46"/>
    <sheet name="Sheet2" sheetId="47" state="visible" r:id="rId47"/>
    <sheet name="FY26 Budget (superseded)" sheetId="48" state="hidden" r:id="rId48"/>
    <sheet name="squad mapping (superseded)"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'REVIEW - Complete Role Mapping'!$A$1:$AH$528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iterateDelta="0.0001"/>
  <pivotCaches>
    <pivotCache cacheId="57" r:id="rId51"/>
    <pivotCache cacheId="58" r:id="rId52"/>
  </pivotCaches>
</workbook>
</file>

<file path=xl/styles.xml><?xml version="1.0" encoding="utf-8"?>
<styleSheet xmlns="http://schemas.openxmlformats.org/spreadsheetml/2006/main">
  <numFmts count="21">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Red](#,##0.00);&quot;-&quot;"/>
  </numFmts>
  <fonts count="95">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b val="1"/>
      <sz val="15"/>
    </font>
    <font>
      <b val="1"/>
      <color rgb="00FFFFFF"/>
    </font>
    <font/>
    <font>
      <b val="1"/>
    </font>
    <font>
      <i val="1"/>
      <sz val="10"/>
    </font>
    <font>
      <b val="1"/>
      <sz val="12"/>
    </font>
    <font>
      <color rgb="000000FF"/>
    </font>
  </fonts>
  <fills count="52">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001F4E79"/>
      </patternFill>
    </fill>
    <fill>
      <patternFill patternType="solid">
        <fgColor rgb="00EDEDED"/>
      </patternFill>
    </fill>
    <fill>
      <patternFill patternType="solid">
        <fgColor rgb="00F2F2F2"/>
      </patternFill>
    </fill>
    <fill>
      <patternFill patternType="solid">
        <fgColor rgb="00D9D9D9"/>
      </patternFill>
    </fill>
    <fill>
      <patternFill patternType="solid">
        <fgColor rgb="00DDEBF7"/>
      </patternFill>
    </fill>
    <fill>
      <patternFill patternType="solid">
        <fgColor rgb="00FFF2CC"/>
      </patternFill>
    </fill>
  </fills>
  <borders count="116">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border>
      <left style="thin">
        <color rgb="00BFBFBF"/>
      </left>
      <right style="thin">
        <color rgb="00BFBFBF"/>
      </right>
      <top style="thin">
        <color rgb="00BFBFBF"/>
      </top>
      <bottom style="thin">
        <color rgb="00BFBFBF"/>
      </bottom>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1010">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0" pivotButton="0" quotePrefix="0" xfId="0"/>
    <xf numFmtId="0" fontId="0" fillId="0" borderId="114" pivotButton="0" quotePrefix="0" xfId="0"/>
    <xf numFmtId="0" fontId="89" fillId="46" borderId="114" pivotButton="0" quotePrefix="0" xfId="0"/>
    <xf numFmtId="0" fontId="62" fillId="0" borderId="114" pivotButton="0" quotePrefix="0" xfId="0"/>
    <xf numFmtId="0" fontId="89" fillId="46" borderId="115" applyAlignment="1" pivotButton="0" quotePrefix="0" xfId="0">
      <alignment horizontal="center" vertical="center"/>
    </xf>
    <xf numFmtId="0" fontId="90" fillId="0" borderId="115" pivotButton="0" quotePrefix="0" xfId="0"/>
    <xf numFmtId="0" fontId="90" fillId="47" borderId="115" applyAlignment="1" pivotButton="0" quotePrefix="0" xfId="0">
      <alignment horizontal="center" vertical="center"/>
    </xf>
    <xf numFmtId="183" fontId="90" fillId="47" borderId="115" applyAlignment="1" pivotButton="0" quotePrefix="0" xfId="0">
      <alignment horizontal="center" vertical="center"/>
    </xf>
    <xf numFmtId="183" fontId="90" fillId="0" borderId="115" applyAlignment="1" pivotButton="0" quotePrefix="0" xfId="0">
      <alignment horizontal="center" vertical="center"/>
    </xf>
    <xf numFmtId="184" fontId="90" fillId="47" borderId="115" applyAlignment="1" pivotButton="0" quotePrefix="0" xfId="0">
      <alignment horizontal="right"/>
    </xf>
    <xf numFmtId="184" fontId="90" fillId="0" borderId="115" applyAlignment="1" pivotButton="0" quotePrefix="0" xfId="0">
      <alignment horizontal="right"/>
    </xf>
    <xf numFmtId="0" fontId="90" fillId="48" borderId="115" pivotButton="0" quotePrefix="0" xfId="0"/>
    <xf numFmtId="0" fontId="91" fillId="49" borderId="115" pivotButton="0" quotePrefix="0" xfId="0"/>
    <xf numFmtId="183" fontId="91" fillId="49" borderId="115" applyAlignment="1" pivotButton="0" quotePrefix="0" xfId="0">
      <alignment horizontal="center" vertical="center"/>
    </xf>
    <xf numFmtId="184" fontId="91" fillId="49" borderId="115" applyAlignment="1" pivotButton="0" quotePrefix="0" xfId="0">
      <alignment horizontal="right"/>
    </xf>
    <xf numFmtId="0" fontId="90" fillId="0" borderId="114" pivotButton="0" quotePrefix="0" xfId="0"/>
    <xf numFmtId="184" fontId="90" fillId="0" borderId="114" applyAlignment="1" pivotButton="0" quotePrefix="0" xfId="0">
      <alignment horizontal="right"/>
    </xf>
    <xf numFmtId="0" fontId="92" fillId="0" borderId="114" pivotButton="0" quotePrefix="0" xfId="0"/>
    <xf numFmtId="0" fontId="74" fillId="0" borderId="114" pivotButton="0" quotePrefix="0" xfId="0"/>
    <xf numFmtId="0" fontId="72" fillId="0" borderId="114" pivotButton="0" quotePrefix="0" xfId="0"/>
    <xf numFmtId="0" fontId="61" fillId="0" borderId="114" pivotButton="0" quotePrefix="0" xfId="0"/>
    <xf numFmtId="0" fontId="93" fillId="0" borderId="114" pivotButton="0" quotePrefix="0" xfId="0"/>
    <xf numFmtId="0" fontId="63" fillId="0" borderId="114" pivotButton="0" quotePrefix="0" xfId="0"/>
    <xf numFmtId="0" fontId="91" fillId="50" borderId="115" pivotButton="0" quotePrefix="0" xfId="0"/>
    <xf numFmtId="0" fontId="90" fillId="0" borderId="115" applyAlignment="1" pivotButton="0" quotePrefix="0" xfId="0">
      <alignment horizontal="center" vertical="center"/>
    </xf>
    <xf numFmtId="0" fontId="94" fillId="51" borderId="115" applyAlignment="1" pivotButton="0" quotePrefix="0" xfId="0">
      <alignment horizontal="center" vertical="center"/>
    </xf>
    <xf numFmtId="3" fontId="90" fillId="0" borderId="115" applyAlignment="1" pivotButton="0" quotePrefix="0" xfId="0">
      <alignment horizontal="right"/>
    </xf>
    <xf numFmtId="0" fontId="73" fillId="0" borderId="114" pivotButton="0" quotePrefix="0" xfId="0"/>
    <xf numFmtId="0" fontId="88" fillId="0" borderId="0" applyAlignment="1" pivotButton="0" quotePrefix="0" xfId="0">
      <alignmen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
      </c>
      <c r="D5" s="421" t="n"/>
      <c r="E5" s="421" t="n"/>
      <c r="F5" s="421" t="n"/>
      <c r="G5" s="421" t="n"/>
    </row>
    <row r="6" ht="15.5" customHeight="1" s="849">
      <c r="B6" s="572" t="inlineStr">
        <is>
          <t>2. What happened: roles actually raised across squads, leadership and COEs - a third vacant</t>
        </is>
      </c>
      <c r="C6" s="885">
        <f>'3.3 FTE View'!$C$4</f>
        <v/>
      </c>
      <c r="D6" s="421" t="n"/>
      <c r="E6" s="421" t="n"/>
      <c r="F6" s="421" t="n"/>
      <c r="G6" s="421" t="n"/>
    </row>
    <row r="7" ht="15.5" customHeight="1" s="849">
      <c r="B7" s="572" t="inlineStr">
        <is>
          <t>3. What the raised organisation costs today ($m)</t>
        </is>
      </c>
      <c r="C7" s="885">
        <f>'3.2 Total Cost'!$D$24</f>
        <v/>
      </c>
      <c r="D7" s="421" t="n"/>
      <c r="E7" s="421" t="n"/>
      <c r="F7" s="421" t="n"/>
      <c r="G7" s="421" t="n"/>
    </row>
    <row r="8" ht="15.5" customHeight="1" s="849">
      <c r="B8" s="572" t="inlineStr">
        <is>
          <t>4. Over the archetype design by ($m)</t>
        </is>
      </c>
      <c r="C8" s="885">
        <f>'3.2 Total Cost'!$E$24</f>
        <v/>
      </c>
      <c r="D8" s="421" t="n"/>
      <c r="E8" s="421" t="n"/>
      <c r="F8" s="421" t="n"/>
      <c r="G8" s="421" t="n"/>
    </row>
    <row r="9" ht="15.5" customHeight="1" s="849">
      <c r="B9" s="574" t="inlineStr">
        <is>
          <t>5. The decision: hire, hold or offshore every vacancy on the 2.x working copies - value on the table ($m)</t>
        </is>
      </c>
      <c r="C9" s="886">
        <f>'3.2 Total Cost'!$L$24</f>
        <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
      </c>
    </row>
    <row r="20">
      <c r="B20" s="417" t="inlineStr">
        <is>
          <t>Allocated to portfolios + COEs ($m)</t>
        </is>
      </c>
      <c r="C20" s="429">
        <f>'3.1 Group Summary'!$C$30</f>
        <v/>
      </c>
    </row>
    <row r="21">
      <c r="B21" s="417" t="inlineStr">
        <is>
          <t>Not yet allocated ($m)</t>
        </is>
      </c>
      <c r="C21" s="429">
        <f>'0.2 Data Config'!$E$27-'3.1 Group Summary'!$C$30</f>
        <v/>
      </c>
    </row>
    <row r="22">
      <c r="B22" s="448" t="inlineStr">
        <is>
          <t>What the archetype model costs</t>
        </is>
      </c>
      <c r="C22" s="449" t="n"/>
    </row>
    <row r="23">
      <c r="B23" s="417" t="inlineStr">
        <is>
          <t>TDD Cost - funded by TDD ($m)</t>
        </is>
      </c>
      <c r="C23" s="429">
        <f>'3.1 Group Summary'!$D$24</f>
        <v/>
      </c>
    </row>
    <row r="24">
      <c r="B24" s="417" t="inlineStr">
        <is>
          <t>Funded outside TDD ($m)</t>
        </is>
      </c>
      <c r="C24" s="429">
        <f>'3.1 Group Summary'!$G$24</f>
        <v/>
      </c>
    </row>
    <row r="25">
      <c r="B25" s="417" t="inlineStr">
        <is>
          <t>Less: BP &amp; Domain Architect already funded in portfolio overheads ($m)</t>
        </is>
      </c>
      <c r="C25" s="429">
        <f>'3.2 Total Cost'!$C$23</f>
        <v/>
      </c>
    </row>
    <row r="26">
      <c r="B26" s="417" t="inlineStr">
        <is>
          <t>Total archetype model cost ($m)</t>
        </is>
      </c>
      <c r="C26" s="429">
        <f>'3.2 Total Cost'!$C$24</f>
        <v/>
      </c>
    </row>
    <row r="27">
      <c r="B27" s="417" t="inlineStr">
        <is>
          <t>of which TDD pays - after the double-count ($m)</t>
        </is>
      </c>
      <c r="C27" s="429">
        <f>'3.1 Group Summary'!$D$24+'3.2 Total Cost'!$C$23</f>
        <v/>
      </c>
    </row>
    <row r="28">
      <c r="B28" s="417" t="inlineStr">
        <is>
          <t>Left to fund - portfolios + COEs ($m)</t>
        </is>
      </c>
      <c r="C28" s="429">
        <f>'3.1 Group Summary'!$I$24</f>
        <v/>
      </c>
    </row>
    <row r="29">
      <c r="B29" s="448" t="inlineStr">
        <is>
          <t>What the org actually costs today</t>
        </is>
      </c>
      <c r="C29" s="449" t="n"/>
    </row>
    <row r="30">
      <c r="B30" s="417" t="inlineStr">
        <is>
          <t>All roles today - filled + vacant ($m)</t>
        </is>
      </c>
      <c r="C30" s="429">
        <f>'3.2 Total Cost'!$D$24</f>
        <v/>
      </c>
    </row>
    <row r="31">
      <c r="B31" s="417" t="inlineStr">
        <is>
          <t>of which filled ($m)</t>
        </is>
      </c>
      <c r="C31" s="429">
        <f>'3.2 Total Cost'!$K$24</f>
        <v/>
      </c>
    </row>
    <row r="32">
      <c r="B32" s="417" t="inlineStr">
        <is>
          <t>of which vacant ($m)</t>
        </is>
      </c>
      <c r="C32" s="429">
        <f>'3.2 Total Cost'!$L$24</f>
        <v/>
      </c>
    </row>
    <row r="33">
      <c r="B33" s="417" t="inlineStr">
        <is>
          <t>Difference vs archetype model ($m)</t>
        </is>
      </c>
      <c r="C33" s="429">
        <f>'3.2 Total Cost'!$E$24</f>
        <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
      </c>
    </row>
    <row r="37">
      <c r="B37" s="417" t="inlineStr">
        <is>
          <t>Roles actually raised in those squads - filled + vacant</t>
        </is>
      </c>
      <c r="C37" s="443">
        <f>'3.3 FTE View'!$G$95+'3.3 FTE View'!$K$95</f>
        <v/>
      </c>
    </row>
    <row r="38">
      <c r="B38" s="417" t="inlineStr">
        <is>
          <t>Roles raised beyond the archetypes</t>
        </is>
      </c>
      <c r="C38" s="443">
        <f>'3.3 FTE View'!$H$4</f>
        <v/>
      </c>
    </row>
    <row r="39">
      <c r="B39" s="417" t="inlineStr">
        <is>
          <t>Roles in squads priced outside archetypes (AmPOS, EGI, cyber)</t>
        </is>
      </c>
      <c r="C39" s="443">
        <f>'3.3 FTE View'!$J$95-'3.3 FTE View'!$G$95-'3.3 FTE View'!$K$95</f>
        <v/>
      </c>
    </row>
    <row r="40">
      <c r="B40" s="417" t="inlineStr">
        <is>
          <t>All org roles (squads + leadership + COEs + unmapped)</t>
        </is>
      </c>
      <c r="C40" s="443">
        <f>'3.3 FTE View'!$C$4</f>
        <v/>
      </c>
    </row>
    <row r="41">
      <c r="B41" s="417" t="inlineStr">
        <is>
          <t>Filled - people in roles today</t>
        </is>
      </c>
      <c r="C41" s="443">
        <f>'3.3 FTE View'!$D$4</f>
        <v/>
      </c>
    </row>
    <row r="42">
      <c r="B42" s="417" t="inlineStr">
        <is>
          <t>Vacant - raised, not yet hired</t>
        </is>
      </c>
      <c r="C42" s="443">
        <f>'3.3 FTE View'!$E$4</f>
        <v/>
      </c>
    </row>
    <row r="43">
      <c r="B43" s="417" t="inlineStr">
        <is>
          <t>of which squad roles - the GM hire or hold lever</t>
        </is>
      </c>
      <c r="C43" s="443">
        <f>COUNTIFS(Squads!$Q:$Q,"Squad",Squads!$R:$R,"Vacant")+COUNTIFS(Squads!$Q:$Q,"Strategic Program",Squads!$R:$R,"Vacant")</f>
        <v/>
      </c>
    </row>
    <row r="44">
      <c r="B44" s="417" t="inlineStr">
        <is>
          <t>of which leadership, COE and unmapped roles</t>
        </is>
      </c>
      <c r="C44" s="443">
        <f>'3.3 FTE View'!$E$4-COUNTIFS(Squads!$Q:$Q,"Squad",Squads!$R:$R,"Vacant")-COUNTIFS(Squads!$Q:$Q,"Strategic Program",Squads!$R:$R,"Vacant")</f>
        <v/>
      </c>
    </row>
    <row r="45">
      <c r="B45" s="417" t="inlineStr">
        <is>
          <t>Vacancy rate</t>
        </is>
      </c>
      <c r="C45" s="444">
        <f>'3.3 FTE View'!$F$4</f>
        <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
      </c>
    </row>
    <row r="50">
      <c r="B50" s="417" t="inlineStr">
        <is>
          <t>Filled roles over/(under) the archetype cost ($m)</t>
        </is>
      </c>
      <c r="C50" s="429">
        <f>ROUND('3.2 Total Cost'!$K$24-'3.2 Total Cost'!$C$24,6)</f>
        <v/>
      </c>
    </row>
    <row r="51">
      <c r="B51" s="417" t="inlineStr">
        <is>
          <t>Hiring every vacancy would add ($m)</t>
        </is>
      </c>
      <c r="C51" s="429">
        <f>'3.2 Total Cost'!$L$24</f>
        <v/>
      </c>
    </row>
    <row r="52">
      <c r="B52" s="417" t="inlineStr">
        <is>
          <t>of which squad roles - the 2.x working tab lever ($m)</t>
        </is>
      </c>
      <c r="C52" s="429">
        <f>'2.1 Ampol Retail'!$E$18+'2.2 Customer'!$E$17+'2.3 Enterprise Data'!$E$11+'2.4 TDD Group Functions'!$E$14+'2.5 P&amp;C'!$E$11+'2.6 Finance'!$E$11+'2.7 Infrastructure'!$E$12+'2.8 Energy Solutions &amp; B2B'!$E$11+'2.9 Commercial Fuels'!$E$12+'2.10 Z Retail'!$E$12+'2.11 TDD Cyber'!$E$8</f>
        <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
      </c>
    </row>
    <row r="58">
      <c r="B58" s="417" t="inlineStr">
        <is>
          <t>TDD Cyber - needs more than its buckets, see 1.13 Cyber Roles ($m)</t>
        </is>
      </c>
      <c r="C58" s="429">
        <f>'1.13 Cyber Roles'!$C$15</f>
        <v/>
      </c>
    </row>
    <row r="59">
      <c r="B59" s="417" t="inlineStr">
        <is>
          <t>COEs - left to fund after budgets, see 2.4 ($m)</t>
        </is>
      </c>
      <c r="C59" s="429">
        <f>'3.4 COE Summary'!$H$11</f>
        <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
      </c>
    </row>
    <row r="65">
      <c r="B65" s="417" t="inlineStr">
        <is>
          <t>TDD Cost ($m)</t>
        </is>
      </c>
      <c r="C65" s="429">
        <f>INDEX('3.1 Group Summary'!$D$6:$D$16,MATCH($C$63,'3.1 Group Summary'!$B$6:$B$16,0))</f>
        <v/>
      </c>
    </row>
    <row r="66">
      <c r="B66" s="417" t="inlineStr">
        <is>
          <t>TDD Variance - to fund ($m)</t>
        </is>
      </c>
      <c r="C66" s="887">
        <f>-INDEX('3.1 Group Summary'!$E$6:$E$16,MATCH($C$63,'3.1 Group Summary'!$B$6:$B$16,0))</f>
        <v/>
      </c>
    </row>
    <row r="67">
      <c r="B67" s="417" t="inlineStr">
        <is>
          <t>Funded outside TDD ($m)</t>
        </is>
      </c>
      <c r="C67" s="429">
        <f>INDEX('3.1 Group Summary'!$G$6:$G$16,MATCH($C$63,'3.1 Group Summary'!$B$6:$B$16,0))</f>
        <v/>
      </c>
    </row>
    <row r="68">
      <c r="B68" s="417" t="inlineStr">
        <is>
          <t>Allocated outside TDD ($m)</t>
        </is>
      </c>
      <c r="C68" s="429">
        <f>INDEX('3.1 Group Summary'!$H$6:$H$16,MATCH($C$63,'3.1 Group Summary'!$B$6:$B$16,0))</f>
        <v/>
      </c>
    </row>
    <row r="69">
      <c r="B69" s="417" t="inlineStr">
        <is>
          <t>Left to fund ($m)</t>
        </is>
      </c>
      <c r="C69" s="429">
        <f>INDEX('3.1 Group Summary'!$I$6:$I$16,MATCH($C$63,'3.1 Group Summary'!$B$6:$B$16,0))</f>
        <v/>
      </c>
    </row>
    <row r="70">
      <c r="B70" s="417" t="inlineStr">
        <is>
          <t>Total cost ($m)</t>
        </is>
      </c>
      <c r="C70" s="429">
        <f>INDEX('3.1 Group Summary'!$K$6:$K$16,MATCH($C$63,'3.1 Group Summary'!$B$6:$B$16,0))</f>
        <v/>
      </c>
    </row>
    <row r="71">
      <c r="B71" s="417" t="inlineStr">
        <is>
          <t>Archetype squad roles allowed</t>
        </is>
      </c>
      <c r="C71" s="888">
        <f>INDEX(Lists!$K$2:$K$12,MATCH($C$63,Lists!$J$2:$J$12,0))</f>
        <v/>
      </c>
    </row>
    <row r="72">
      <c r="B72" s="417" t="inlineStr">
        <is>
          <t>Org roles (excl leadership)</t>
        </is>
      </c>
      <c r="C72" s="443">
        <f>COUNTIFS(Squads!$N:$N,$C$63)-COUNTIFS(Squads!$N:$N,$C$63,Squads!$Q:$Q,"Leadership")</f>
        <v/>
      </c>
    </row>
    <row r="73">
      <c r="B73" s="417" t="inlineStr">
        <is>
          <t>Filled</t>
        </is>
      </c>
      <c r="C73" s="443">
        <f>COUNTIFS(Squads!$N:$N,$C$63,Squads!$R:$R,"Filled")-COUNTIFS(Squads!$N:$N,$C$63,Squads!$Q:$Q,"Leadership",Squads!$R:$R,"Filled")</f>
        <v/>
      </c>
    </row>
    <row r="74">
      <c r="B74" s="417" t="inlineStr">
        <is>
          <t>Vacant</t>
        </is>
      </c>
      <c r="C74" s="443">
        <f>COUNTIFS(Squads!$N:$N,$C$63,Squads!$R:$R,"Vacant")-COUNTIFS(Squads!$N:$N,$C$63,Squads!$Q:$Q,"Leadership",Squads!$R:$R,"Vacant")</f>
        <v/>
      </c>
    </row>
    <row r="75">
      <c r="B75" s="417" t="inlineStr">
        <is>
          <t>Leadership roles</t>
        </is>
      </c>
      <c r="C75" s="443">
        <f>COUNTIFS(Squads!$N:$N,$C$63,Squads!$Q:$Q,"Leadership")</f>
        <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
      </c>
      <c r="M5" s="113" t="n">
        <v>5.8</v>
      </c>
      <c r="N5" s="113" t="n">
        <v>3</v>
      </c>
      <c r="O5" s="113" t="n">
        <v>20.2</v>
      </c>
      <c r="P5" s="113" t="n">
        <v>4.9</v>
      </c>
      <c r="Q5" s="114">
        <f>SUM(L5:P5)</f>
        <v/>
      </c>
      <c r="R5" s="108" t="n"/>
      <c r="S5" s="115" t="n"/>
      <c r="T5" s="116" t="n"/>
      <c r="U5" s="117">
        <f>SUM(W25:W29)</f>
        <v/>
      </c>
      <c r="V5" s="114">
        <f>SUM(S5:U5)</f>
        <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
      </c>
      <c r="M6" s="113" t="n">
        <v>11.3</v>
      </c>
      <c r="N6" s="113" t="n">
        <v>1.4</v>
      </c>
      <c r="O6" s="113" t="inlineStr">
        <is>
          <t>-</t>
        </is>
      </c>
      <c r="P6" s="113" t="n">
        <v>11.7</v>
      </c>
      <c r="Q6" s="114">
        <f>SUM(L6:P6)</f>
        <v/>
      </c>
      <c r="R6" s="108" t="n"/>
      <c r="S6" s="118">
        <f>Q6</f>
        <v/>
      </c>
      <c r="T6" s="116" t="n"/>
      <c r="U6" s="116" t="n"/>
      <c r="V6" s="114">
        <f>SUM(S6:U6)</f>
        <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
      </c>
      <c r="M7" s="119" t="n"/>
      <c r="N7" s="113" t="n">
        <v>1</v>
      </c>
      <c r="O7" s="119" t="n"/>
      <c r="P7" s="113" t="n">
        <v>2.3</v>
      </c>
      <c r="Q7" s="114">
        <f>SUM(L7:P7)</f>
        <v/>
      </c>
      <c r="R7" s="108" t="n"/>
      <c r="S7" s="118">
        <f>Q7</f>
        <v/>
      </c>
      <c r="T7" s="116" t="n"/>
      <c r="U7" s="116" t="n"/>
      <c r="V7" s="114">
        <f>SUM(S7:U7)</f>
        <v/>
      </c>
      <c r="Y7" s="101">
        <f>SUM(L9,N9,O9,P9)</f>
        <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
      </c>
      <c r="M8" s="119" t="n"/>
      <c r="N8" s="113" t="n">
        <v>6.1</v>
      </c>
      <c r="O8" s="113" t="n">
        <v>14.2</v>
      </c>
      <c r="P8" s="113" t="n">
        <v>6.8</v>
      </c>
      <c r="Q8" s="114">
        <f>SUM(L8:P8)</f>
        <v/>
      </c>
      <c r="R8" s="108" t="n"/>
      <c r="S8" s="118">
        <f>Q8</f>
        <v/>
      </c>
      <c r="T8" s="120">
        <f>S19</f>
        <v/>
      </c>
      <c r="U8" s="116" t="n"/>
      <c r="V8" s="114">
        <f>SUM(S8:U8)</f>
        <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
      </c>
      <c r="M9" s="119" t="n"/>
      <c r="N9" s="113" t="n">
        <v>1.3</v>
      </c>
      <c r="O9" s="113" t="n">
        <v>6.8</v>
      </c>
      <c r="P9" s="113" t="n">
        <v>11.8</v>
      </c>
      <c r="Q9" s="114">
        <f>SUM(L9:P9)</f>
        <v/>
      </c>
      <c r="R9" s="108" t="n"/>
      <c r="S9" s="118">
        <f>Q9</f>
        <v/>
      </c>
      <c r="T9" s="120">
        <f>S20</f>
        <v/>
      </c>
      <c r="U9" s="116" t="n"/>
      <c r="V9" s="114">
        <f>SUM(S9:U9)</f>
        <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
      </c>
      <c r="M10" s="119" t="n"/>
      <c r="N10" s="113" t="n">
        <v>0.4</v>
      </c>
      <c r="O10" s="119" t="n"/>
      <c r="P10" s="113" t="n">
        <v>5</v>
      </c>
      <c r="Q10" s="114">
        <f>SUM(L10:P10)</f>
        <v/>
      </c>
      <c r="R10" s="108" t="n"/>
      <c r="S10" s="118">
        <f>Q10</f>
        <v/>
      </c>
      <c r="T10" s="120">
        <f>S21</f>
        <v/>
      </c>
      <c r="U10" s="116" t="n"/>
      <c r="V10" s="114">
        <f>SUM(S10:U10)</f>
        <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
      </c>
      <c r="M11" s="119" t="n"/>
      <c r="N11" s="113" t="n">
        <v>0.9</v>
      </c>
      <c r="O11" s="119" t="n"/>
      <c r="P11" s="119" t="n"/>
      <c r="Q11" s="114">
        <f>SUM(L11:P11)</f>
        <v/>
      </c>
      <c r="R11" s="108" t="n"/>
      <c r="S11" s="118">
        <f>Q11</f>
        <v/>
      </c>
      <c r="T11" s="120">
        <f>S22</f>
        <v/>
      </c>
      <c r="U11" s="116" t="n"/>
      <c r="V11" s="114">
        <f>SUM(S11:U11)</f>
        <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
      </c>
      <c r="M12" s="119" t="n"/>
      <c r="N12" s="113" t="n">
        <v>2</v>
      </c>
      <c r="O12" s="113" t="n">
        <v>1.4</v>
      </c>
      <c r="P12" s="113" t="n">
        <v>0.3</v>
      </c>
      <c r="Q12" s="114">
        <f>SUM(L12:P12)</f>
        <v/>
      </c>
      <c r="R12" s="108" t="n"/>
      <c r="S12" s="118">
        <f>Q12</f>
        <v/>
      </c>
      <c r="T12" s="120">
        <f>S23</f>
        <v/>
      </c>
      <c r="U12" s="116" t="n"/>
      <c r="V12" s="114">
        <f>SUM(S12:U12)</f>
        <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
      </c>
      <c r="M13" s="126" t="n"/>
      <c r="N13" s="126" t="n"/>
      <c r="O13" s="125" t="n">
        <v>5</v>
      </c>
      <c r="P13" s="125" t="n">
        <v>5</v>
      </c>
      <c r="Q13" s="127">
        <f>SUM(L13:P13)</f>
        <v/>
      </c>
      <c r="R13" s="128" t="n"/>
      <c r="S13" s="129">
        <f>Q13</f>
        <v/>
      </c>
      <c r="T13" s="130">
        <f>S24</f>
        <v/>
      </c>
      <c r="U13" s="123" t="n"/>
      <c r="V13" s="127">
        <f>SUM(S13:U13)</f>
        <v/>
      </c>
    </row>
    <row r="14" ht="22.5" customHeight="1" s="849">
      <c r="B14" s="131" t="inlineStr">
        <is>
          <t>Total Technology</t>
        </is>
      </c>
      <c r="C14" s="132" t="n"/>
      <c r="D14" s="132" t="n"/>
      <c r="E14" s="132" t="n"/>
      <c r="F14" s="132" t="n"/>
      <c r="G14" s="133">
        <f>SUM(G5:G13)</f>
        <v/>
      </c>
      <c r="H14" s="133">
        <f>SUM(H5:H13)</f>
        <v/>
      </c>
      <c r="I14" s="133">
        <f>SUM(I5:I13)</f>
        <v/>
      </c>
      <c r="J14" s="133">
        <f>SUM(J5:J13)</f>
        <v/>
      </c>
      <c r="K14" s="133">
        <f>SUM(K5:K13)</f>
        <v/>
      </c>
      <c r="L14" s="134">
        <f>SUM(L5:L13)</f>
        <v/>
      </c>
      <c r="M14" s="134">
        <f>SUM(M5:M13)</f>
        <v/>
      </c>
      <c r="N14" s="134">
        <f>SUM(N5:N13)</f>
        <v/>
      </c>
      <c r="O14" s="134">
        <f>SUM(O5:O13)</f>
        <v/>
      </c>
      <c r="P14" s="134">
        <f>SUM(P5:P13)</f>
        <v/>
      </c>
      <c r="Q14" s="135">
        <f>SUM(Q5:Q13)</f>
        <v/>
      </c>
      <c r="R14" s="136" t="n"/>
      <c r="S14" s="137">
        <f>SUM(S6:S13)</f>
        <v/>
      </c>
      <c r="T14" s="138">
        <f>SUM(T8:T13)</f>
        <v/>
      </c>
      <c r="U14" s="138">
        <f>U5</f>
        <v/>
      </c>
      <c r="V14" s="135">
        <f>SUM(V5:V13)</f>
        <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
      </c>
      <c r="O19" s="150" t="inlineStr">
        <is>
          <t>-</t>
        </is>
      </c>
      <c r="P19" s="151" t="n"/>
      <c r="Q19" s="151" t="n"/>
      <c r="R19" s="152" t="n"/>
      <c r="S19" s="153">
        <f>SUM(N19:R19)</f>
        <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
      </c>
      <c r="O20" s="159" t="inlineStr">
        <is>
          <t>-</t>
        </is>
      </c>
      <c r="P20" s="155" t="n"/>
      <c r="Q20" s="155" t="n"/>
      <c r="R20" s="160" t="n"/>
      <c r="S20" s="161">
        <f>SUM(N20:R20)</f>
        <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
      </c>
      <c r="O21" s="159" t="inlineStr">
        <is>
          <t>-</t>
        </is>
      </c>
      <c r="P21" s="155" t="n"/>
      <c r="Q21" s="155" t="n"/>
      <c r="R21" s="160" t="n"/>
      <c r="S21" s="161">
        <f>SUM(N21:R21)</f>
        <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
      </c>
      <c r="O22" s="159" t="inlineStr">
        <is>
          <t>-</t>
        </is>
      </c>
      <c r="P22" s="155" t="n"/>
      <c r="Q22" s="155" t="n"/>
      <c r="R22" s="160" t="n"/>
      <c r="S22" s="161">
        <f>SUM(N22:R22)</f>
        <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
      </c>
      <c r="O23" s="159" t="inlineStr">
        <is>
          <t>-</t>
        </is>
      </c>
      <c r="P23" s="155" t="n"/>
      <c r="Q23" s="155" t="n"/>
      <c r="R23" s="160" t="n"/>
      <c r="S23" s="161">
        <f>SUM(N23:R23)</f>
        <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
      </c>
      <c r="O24" s="159" t="n">
        <v>0.9</v>
      </c>
      <c r="P24" s="155" t="n"/>
      <c r="Q24" s="155" t="n"/>
      <c r="R24" s="160" t="n"/>
      <c r="S24" s="161">
        <f>SUM(N24:R24)</f>
        <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
      </c>
      <c r="O25" s="159" t="n">
        <v>4.9</v>
      </c>
      <c r="P25" s="155" t="n"/>
      <c r="Q25" s="155" t="n"/>
      <c r="R25" s="160" t="n"/>
      <c r="S25" s="165">
        <f>SUM(N25:R25)</f>
        <v/>
      </c>
      <c r="T25" s="145" t="n"/>
      <c r="U25" s="154" t="n"/>
      <c r="V25" s="155" t="n"/>
      <c r="W25" s="166">
        <f>S25</f>
        <v/>
      </c>
      <c r="X25" s="156">
        <f>W25</f>
        <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
      </c>
      <c r="O26" s="159" t="inlineStr">
        <is>
          <t>-</t>
        </is>
      </c>
      <c r="P26" s="159" t="n">
        <v>3</v>
      </c>
      <c r="Q26" s="159" t="n">
        <v>20.2</v>
      </c>
      <c r="R26" s="167" t="n">
        <v>4.9</v>
      </c>
      <c r="S26" s="165">
        <f>SUM(N26:R26)</f>
        <v/>
      </c>
      <c r="T26" s="145" t="n"/>
      <c r="U26" s="154" t="n"/>
      <c r="V26" s="155" t="n"/>
      <c r="W26" s="166">
        <f>S26</f>
        <v/>
      </c>
      <c r="X26" s="156">
        <f>W26</f>
        <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
      </c>
      <c r="O27" s="159" t="inlineStr">
        <is>
          <t>-</t>
        </is>
      </c>
      <c r="P27" s="155" t="n"/>
      <c r="Q27" s="155" t="n"/>
      <c r="R27" s="160" t="n"/>
      <c r="S27" s="165">
        <f>SUM(N27:R27)</f>
        <v/>
      </c>
      <c r="T27" s="145" t="n"/>
      <c r="U27" s="154" t="n"/>
      <c r="V27" s="155" t="n"/>
      <c r="W27" s="166">
        <f>S27</f>
        <v/>
      </c>
      <c r="X27" s="156">
        <f>W27</f>
        <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
      </c>
      <c r="O28" s="159" t="inlineStr">
        <is>
          <t>-</t>
        </is>
      </c>
      <c r="P28" s="155" t="n"/>
      <c r="Q28" s="155" t="n"/>
      <c r="R28" s="160" t="n"/>
      <c r="S28" s="165">
        <f>SUM(N28:R28)</f>
        <v/>
      </c>
      <c r="T28" s="145" t="n"/>
      <c r="U28" s="154" t="n"/>
      <c r="V28" s="155" t="n"/>
      <c r="W28" s="166">
        <f>S28</f>
        <v/>
      </c>
      <c r="X28" s="156">
        <f>W28</f>
        <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
      </c>
      <c r="O29" s="171" t="inlineStr">
        <is>
          <t>-</t>
        </is>
      </c>
      <c r="P29" s="172" t="n"/>
      <c r="Q29" s="172" t="n"/>
      <c r="R29" s="173" t="n"/>
      <c r="S29" s="174">
        <f>SUM(N29:R29)</f>
        <v/>
      </c>
      <c r="T29" s="175" t="n"/>
      <c r="U29" s="176" t="n"/>
      <c r="V29" s="172" t="n"/>
      <c r="W29" s="177">
        <f>S29</f>
        <v/>
      </c>
      <c r="X29" s="178">
        <f>W29</f>
        <v/>
      </c>
    </row>
    <row r="30" ht="13.5" customHeight="1" s="849">
      <c r="B30" s="831" t="inlineStr">
        <is>
          <t>TDD Corporate (1)</t>
        </is>
      </c>
      <c r="C30" s="832" t="n"/>
      <c r="D30" s="833" t="n"/>
      <c r="E30" s="179" t="inlineStr">
        <is>
          <t>Brad Blyth</t>
        </is>
      </c>
      <c r="F30" s="180" t="n"/>
      <c r="G30" s="180" t="n"/>
      <c r="H30" s="180" t="n"/>
      <c r="I30" s="181">
        <f>G5</f>
        <v/>
      </c>
      <c r="J30" s="181">
        <f>H5</f>
        <v/>
      </c>
      <c r="K30" s="181">
        <f>I5</f>
        <v/>
      </c>
      <c r="L30" s="181">
        <f>J5</f>
        <v/>
      </c>
      <c r="M30" s="181">
        <f>K5</f>
        <v/>
      </c>
      <c r="N30" s="181">
        <f>L5</f>
        <v/>
      </c>
      <c r="O30" s="181">
        <f>M5</f>
        <v/>
      </c>
      <c r="P30" s="181">
        <f>N5</f>
        <v/>
      </c>
      <c r="Q30" s="181">
        <f>O5</f>
        <v/>
      </c>
      <c r="R30" s="182">
        <f>P5</f>
        <v/>
      </c>
      <c r="S30" s="143">
        <f>Q5</f>
        <v/>
      </c>
      <c r="T30" s="183" t="n"/>
      <c r="U30" s="184" t="n"/>
      <c r="V30" s="185" t="n"/>
      <c r="W30" s="181">
        <f>U5</f>
        <v/>
      </c>
      <c r="X30" s="182">
        <f>W30</f>
        <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
      </c>
      <c r="J33" s="181">
        <f>H6</f>
        <v/>
      </c>
      <c r="K33" s="181">
        <f>I6</f>
        <v/>
      </c>
      <c r="L33" s="181">
        <f>J6</f>
        <v/>
      </c>
      <c r="M33" s="181">
        <f>K6</f>
        <v/>
      </c>
      <c r="N33" s="181">
        <f>L6</f>
        <v/>
      </c>
      <c r="O33" s="181">
        <f>M6</f>
        <v/>
      </c>
      <c r="P33" s="181">
        <f>N6</f>
        <v/>
      </c>
      <c r="Q33" s="181">
        <f>O6</f>
        <v/>
      </c>
      <c r="R33" s="182">
        <f>P6</f>
        <v/>
      </c>
      <c r="S33" s="143">
        <f>Q6</f>
        <v/>
      </c>
      <c r="T33" s="183" t="n"/>
      <c r="U33" s="196">
        <f>S6</f>
        <v/>
      </c>
      <c r="V33" s="185" t="n"/>
      <c r="W33" s="185" t="n"/>
      <c r="X33" s="182">
        <f>U33</f>
        <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
      </c>
      <c r="F6" s="7">
        <f>'3.4 COE Summary'!$F$8</f>
        <v/>
      </c>
      <c r="G6" s="7">
        <f>SUM(E6-F6)</f>
        <v/>
      </c>
      <c r="I6" s="8" t="inlineStr">
        <is>
          <t>Head of Tech</t>
        </is>
      </c>
      <c r="J6" s="580" t="n">
        <v>0.275</v>
      </c>
      <c r="K6" s="581" t="n">
        <v>0.5</v>
      </c>
      <c r="L6" s="9">
        <f>J6*K6</f>
        <v/>
      </c>
    </row>
    <row r="7">
      <c r="B7" s="10" t="inlineStr">
        <is>
          <t>COE - Cyber, Risk &amp; Service Ops (see 1.13 Cyber Roles)</t>
        </is>
      </c>
      <c r="C7" s="580" t="n">
        <v>0</v>
      </c>
      <c r="D7" s="580" t="n">
        <v>0</v>
      </c>
      <c r="E7" s="11">
        <f>C7+D7</f>
        <v/>
      </c>
      <c r="F7" s="7">
        <f>'3.4 COE Summary'!$F$10</f>
        <v/>
      </c>
      <c r="G7" s="7">
        <f>SUM(E7-F7)</f>
        <v/>
      </c>
      <c r="I7" s="8" t="inlineStr">
        <is>
          <t>Business Partner</t>
        </is>
      </c>
      <c r="J7" s="580" t="n">
        <v>0.43</v>
      </c>
      <c r="K7" s="581" t="n">
        <v>0.4</v>
      </c>
      <c r="L7" s="9">
        <f>J7*K7</f>
        <v/>
      </c>
    </row>
    <row r="8">
      <c r="B8" s="6" t="inlineStr">
        <is>
          <t>COE - Transformation</t>
        </is>
      </c>
      <c r="C8" s="580" t="n">
        <v>1.5</v>
      </c>
      <c r="D8" s="580" t="n">
        <v>0.5</v>
      </c>
      <c r="E8" s="7">
        <f>C8+D8</f>
        <v/>
      </c>
      <c r="F8" s="7">
        <f>'3.4 COE Summary'!$F$7</f>
        <v/>
      </c>
      <c r="G8" s="7">
        <f>SUM(E8-F8)</f>
        <v/>
      </c>
      <c r="I8" s="8" t="inlineStr">
        <is>
          <t>Domain Architect</t>
        </is>
      </c>
      <c r="J8" s="580" t="n">
        <v>0.28</v>
      </c>
      <c r="K8" s="581" t="n">
        <v>0.5</v>
      </c>
      <c r="L8" s="9">
        <f>J8*K8</f>
        <v/>
      </c>
    </row>
    <row r="9">
      <c r="B9" s="10" t="inlineStr">
        <is>
          <t>COE - Business Partnering</t>
        </is>
      </c>
      <c r="C9" s="580" t="n">
        <v>1.5</v>
      </c>
      <c r="D9" s="580" t="n">
        <v>0.5</v>
      </c>
      <c r="E9" s="11">
        <f>C9+D9</f>
        <v/>
      </c>
      <c r="F9" s="7">
        <f>'3.4 COE Summary'!$F$6</f>
        <v/>
      </c>
      <c r="G9" s="7">
        <f>SUM(E9-F9)</f>
        <v/>
      </c>
      <c r="I9" s="8" t="inlineStr">
        <is>
          <t>Leadership Overhead</t>
        </is>
      </c>
      <c r="J9" s="580" t="n">
        <v>1</v>
      </c>
      <c r="K9" s="581" t="n">
        <v>0.3</v>
      </c>
      <c r="L9" s="9">
        <f>J9*K9</f>
        <v/>
      </c>
    </row>
    <row r="10">
      <c r="B10" s="6" t="inlineStr">
        <is>
          <t>COE - Data</t>
        </is>
      </c>
      <c r="C10" s="580" t="n">
        <v>1.5</v>
      </c>
      <c r="D10" s="580" t="n">
        <v>0.5</v>
      </c>
      <c r="E10" s="7">
        <f>C10+D10</f>
        <v/>
      </c>
      <c r="F10" s="7">
        <f>'3.4 COE Summary'!$F$9</f>
        <v/>
      </c>
      <c r="G10" s="7">
        <f>SUM(E10-F10)</f>
        <v/>
      </c>
      <c r="I10" s="12" t="inlineStr">
        <is>
          <t>Portfolio overhead subtotal</t>
        </is>
      </c>
      <c r="L10" s="13">
        <f>SUM(L6:L9)</f>
        <v/>
      </c>
    </row>
    <row r="11">
      <c r="B11" s="10" t="inlineStr">
        <is>
          <t>Ampol Retail</t>
        </is>
      </c>
      <c r="C11" s="580" t="n">
        <v>2.5</v>
      </c>
      <c r="D11" s="580" t="n">
        <v>0</v>
      </c>
      <c r="E11" s="11">
        <f>C11+D11</f>
        <v/>
      </c>
      <c r="F11" s="7">
        <f>('1.1 Ampol Retail'!$C$9+'1.1 Ampol Retail'!$D$9)</f>
        <v/>
      </c>
      <c r="G11" s="7">
        <f>SUM(E11-F11)</f>
        <v/>
      </c>
    </row>
    <row r="12">
      <c r="B12" s="6" t="inlineStr">
        <is>
          <t>Z Retail</t>
        </is>
      </c>
      <c r="C12" s="580" t="n">
        <v>0</v>
      </c>
      <c r="D12" s="580" t="n">
        <v>2.5</v>
      </c>
      <c r="E12" s="7">
        <f>C12+D12</f>
        <v/>
      </c>
      <c r="F12" s="7">
        <f>('1.10 Z Retail'!$C$9+'1.10 Z Retail'!$D$9)</f>
        <v/>
      </c>
      <c r="G12" s="7">
        <f>SUM(E12-F12)</f>
        <v/>
      </c>
      <c r="I12" s="850" t="inlineStr">
        <is>
          <t>Platform Overhead (roles, $m)</t>
        </is>
      </c>
      <c r="J12" s="851" t="n"/>
      <c r="K12" s="851" t="n"/>
      <c r="L12" s="852" t="n"/>
    </row>
    <row r="13">
      <c r="B13" s="10" t="inlineStr">
        <is>
          <t>Ampol Customer</t>
        </is>
      </c>
      <c r="C13" s="580" t="n">
        <v>2.5</v>
      </c>
      <c r="D13" s="580" t="n">
        <v>0</v>
      </c>
      <c r="E13" s="11">
        <f>C13+D13</f>
        <v/>
      </c>
      <c r="F13" s="7">
        <f>('1.2 Customer'!$C$9+'1.2 Customer'!$D$9)</f>
        <v/>
      </c>
      <c r="G13" s="7">
        <f>SUM(E13:E14)-F13</f>
        <v/>
      </c>
      <c r="I13" s="5" t="inlineStr">
        <is>
          <t>Role</t>
        </is>
      </c>
      <c r="J13" s="5" t="inlineStr">
        <is>
          <t>Cost ($m)</t>
        </is>
      </c>
      <c r="K13" s="5" t="inlineStr">
        <is>
          <t>Alloc %</t>
        </is>
      </c>
      <c r="L13" s="5" t="inlineStr">
        <is>
          <t>Platform cost ($m)</t>
        </is>
      </c>
    </row>
    <row r="14">
      <c r="B14" s="6" t="inlineStr">
        <is>
          <t>Z Customer</t>
        </is>
      </c>
      <c r="C14" s="580" t="n">
        <v>0</v>
      </c>
      <c r="D14" s="580" t="n">
        <v>4</v>
      </c>
      <c r="E14" s="7">
        <f>C14+D14</f>
        <v/>
      </c>
      <c r="F14" s="7" t="n"/>
      <c r="G14" s="7" t="n"/>
      <c r="I14" s="8" t="inlineStr">
        <is>
          <t>Delivery Manager</t>
        </is>
      </c>
      <c r="J14" s="580" t="n">
        <v>0.28</v>
      </c>
      <c r="K14" s="581" t="n">
        <v>0.3</v>
      </c>
      <c r="L14" s="9">
        <f>J14*K14</f>
        <v/>
      </c>
    </row>
    <row r="15">
      <c r="B15" s="10" t="inlineStr">
        <is>
          <t>Commercial Fuels</t>
        </is>
      </c>
      <c r="C15" s="580" t="n">
        <v>2.5</v>
      </c>
      <c r="D15" s="580" t="n">
        <v>0</v>
      </c>
      <c r="E15" s="11">
        <f>C15+D15</f>
        <v/>
      </c>
      <c r="F15" s="7">
        <f>'1.9 Commercial Fuels'!C9</f>
        <v/>
      </c>
      <c r="G15" s="7">
        <f>SUM(E15-F15)</f>
        <v/>
      </c>
      <c r="I15" s="8" t="inlineStr">
        <is>
          <t>Tech Manager</t>
        </is>
      </c>
      <c r="J15" s="580" t="n">
        <v>0.27</v>
      </c>
      <c r="K15" s="581" t="n">
        <v>0.3</v>
      </c>
      <c r="L15" s="9">
        <f>J15*K15</f>
        <v/>
      </c>
    </row>
    <row r="16">
      <c r="B16" s="6" t="inlineStr">
        <is>
          <t>Energy Solutions &amp; B2B</t>
        </is>
      </c>
      <c r="C16" s="580" t="n">
        <v>2.5</v>
      </c>
      <c r="D16" s="580" t="n">
        <v>0</v>
      </c>
      <c r="E16" s="7">
        <f>C16+D16</f>
        <v/>
      </c>
      <c r="F16" s="7">
        <f>('1.8 Energy Solutions &amp; B2B'!$C$9+'1.8 Energy Solutions &amp; B2B'!$D$9)</f>
        <v/>
      </c>
      <c r="G16" s="7">
        <f>SUM(E16-F16)</f>
        <v/>
      </c>
      <c r="I16" s="12" t="inlineStr">
        <is>
          <t>Platform overhead subtotal (per platform)</t>
        </is>
      </c>
      <c r="L16" s="13">
        <f>SUM(L14:L15)</f>
        <v/>
      </c>
    </row>
    <row r="17">
      <c r="B17" s="10" t="inlineStr">
        <is>
          <t>Infrastructure</t>
        </is>
      </c>
      <c r="C17" s="580" t="n">
        <v>2.5</v>
      </c>
      <c r="D17" s="580" t="n">
        <v>0</v>
      </c>
      <c r="E17" s="11">
        <f>C17+D17</f>
        <v/>
      </c>
      <c r="F17" s="7">
        <f>('1.7 Infrastructure'!$C$10+'1.7 Infrastructure'!$D$10)</f>
        <v/>
      </c>
      <c r="G17" s="7">
        <f>SUM(E17-F17)</f>
        <v/>
      </c>
    </row>
    <row r="18">
      <c r="B18" s="6" t="inlineStr">
        <is>
          <t>P&amp;C</t>
        </is>
      </c>
      <c r="C18" s="580" t="n">
        <v>1</v>
      </c>
      <c r="D18" s="580" t="n">
        <v>1</v>
      </c>
      <c r="E18" s="7">
        <f>C18+D18</f>
        <v/>
      </c>
      <c r="F18" s="7">
        <f>('1.5 P&amp;C'!$C$9+'1.5 P&amp;C'!$D$9)</f>
        <v/>
      </c>
      <c r="G18" s="7">
        <f>SUM(E18-F18)</f>
        <v/>
      </c>
    </row>
    <row r="19">
      <c r="B19" s="10" t="inlineStr">
        <is>
          <t>Finance</t>
        </is>
      </c>
      <c r="C19" s="580" t="n">
        <v>1</v>
      </c>
      <c r="D19" s="580" t="n">
        <v>1</v>
      </c>
      <c r="E19" s="11">
        <f>C19+D19</f>
        <v/>
      </c>
      <c r="F19" s="7">
        <f>('1.6 Finance'!$C$9+'1.6 Finance'!$D$9)</f>
        <v/>
      </c>
      <c r="G19" s="7">
        <f>SUM(E19-F19)</f>
        <v/>
      </c>
    </row>
    <row r="20">
      <c r="B20" s="6" t="inlineStr">
        <is>
          <t>Legal</t>
        </is>
      </c>
      <c r="C20" s="580" t="n">
        <v>0</v>
      </c>
      <c r="D20" s="580" t="n">
        <v>0</v>
      </c>
      <c r="E20" s="7">
        <f>C20+D20</f>
        <v/>
      </c>
      <c r="F20" s="7" t="n"/>
      <c r="G20" s="7" t="n"/>
    </row>
    <row r="21">
      <c r="B21" s="10" t="inlineStr">
        <is>
          <t>TDD</t>
        </is>
      </c>
      <c r="C21" s="580" t="n">
        <v>4.5</v>
      </c>
      <c r="D21" s="580" t="n">
        <v>1</v>
      </c>
      <c r="E21" s="11">
        <f>C21+D21</f>
        <v/>
      </c>
      <c r="F21" s="7">
        <f>('1.4 TDD Group Functions'!$C$9+'1.4 TDD Group Functions'!$D$9)</f>
        <v/>
      </c>
      <c r="G21" s="7">
        <f>SUM(E21-F21)</f>
        <v/>
      </c>
    </row>
    <row r="22">
      <c r="B22" s="6" t="inlineStr">
        <is>
          <t>TDD Data</t>
        </is>
      </c>
      <c r="C22" s="580" t="n">
        <v>2.5</v>
      </c>
      <c r="D22" s="580" t="n">
        <v>1</v>
      </c>
      <c r="E22" s="7">
        <f>C22+D22</f>
        <v/>
      </c>
      <c r="F22" s="7">
        <f>('1.3 Enterprise Data'!$C$9+'1.3 Enterprise Data'!$D$9)</f>
        <v/>
      </c>
      <c r="G22" s="7">
        <f>SUM(E22-F22)</f>
        <v/>
      </c>
    </row>
    <row r="23">
      <c r="B23" s="14" t="inlineStr">
        <is>
          <t>TDD Cyber</t>
        </is>
      </c>
      <c r="C23" s="580" t="n">
        <v>2.5</v>
      </c>
      <c r="D23" s="580" t="n">
        <v>1</v>
      </c>
      <c r="E23" s="11">
        <f>C23+D23</f>
        <v/>
      </c>
      <c r="F23" s="7">
        <f>'1.13 Cyber Roles'!$F$8</f>
        <v/>
      </c>
      <c r="G23" s="7">
        <f>SUM(E23-F23)</f>
        <v/>
      </c>
    </row>
    <row r="24">
      <c r="B24" s="6" t="inlineStr">
        <is>
          <t>EG</t>
        </is>
      </c>
      <c r="C24" s="580" t="n">
        <v>0</v>
      </c>
      <c r="D24" s="580" t="n">
        <v>0</v>
      </c>
      <c r="E24" s="7">
        <f>C24+D24</f>
        <v/>
      </c>
      <c r="F24" s="7" t="n"/>
      <c r="G24" s="7" t="n"/>
    </row>
    <row r="25">
      <c r="B25" s="10" t="inlineStr">
        <is>
          <t>EGI</t>
        </is>
      </c>
      <c r="C25" s="580" t="n">
        <v>0</v>
      </c>
      <c r="D25" s="580" t="n">
        <v>0</v>
      </c>
      <c r="E25" s="11">
        <f>C25+D25</f>
        <v/>
      </c>
      <c r="F25" s="7" t="n"/>
      <c r="G25" s="7" t="n"/>
    </row>
    <row r="26">
      <c r="B26" s="15" t="inlineStr">
        <is>
          <t>Total</t>
        </is>
      </c>
      <c r="C26" s="16">
        <f>SUM(C6:C25)</f>
        <v/>
      </c>
      <c r="D26" s="16">
        <f>SUM(D6:D25)</f>
        <v/>
      </c>
      <c r="E26" s="16">
        <f>SUM(E6:E25)</f>
        <v/>
      </c>
      <c r="F26" s="7">
        <f>SUM(F6:F25)</f>
        <v/>
      </c>
      <c r="G26" s="7">
        <f>SUM(G6:G25)</f>
        <v/>
      </c>
    </row>
    <row r="27">
      <c r="B27" t="inlineStr">
        <is>
          <t>Budget</t>
        </is>
      </c>
      <c r="C27" s="451">
        <f>'0.1 Budget Table (Fin)'!G5+'0.1 Budget Table (Fin)'!G7</f>
        <v/>
      </c>
      <c r="D27" s="451">
        <f>'0.1 Budget Table (Fin)'!G6</f>
        <v/>
      </c>
      <c r="E27" s="451">
        <f>'0.1 Budget Table (Fin)'!G14</f>
        <v/>
      </c>
    </row>
    <row r="28">
      <c r="B28" t="inlineStr">
        <is>
          <t>Variance</t>
        </is>
      </c>
      <c r="C28" s="451">
        <f>C27-C26</f>
        <v/>
      </c>
      <c r="D28" s="451">
        <f>D27-D26</f>
        <v/>
      </c>
      <c r="E28" s="451">
        <f>E27-E26</f>
        <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
      </c>
      <c r="E5" s="34">
        <f>J5+AD5+AI5+Y5</f>
        <v/>
      </c>
      <c r="F5" s="34">
        <f>E5-D5</f>
        <v/>
      </c>
      <c r="G5" s="35">
        <f>IFERROR(F5/E5,"-")</f>
        <v/>
      </c>
      <c r="H5" s="36" t="inlineStr">
        <is>
          <t>G</t>
        </is>
      </c>
      <c r="I5" s="34" t="n">
        <v>41.77379708</v>
      </c>
      <c r="J5" s="34" t="n">
        <v>41.9336938</v>
      </c>
      <c r="K5" s="34">
        <f>J5-I5</f>
        <v/>
      </c>
      <c r="L5" s="35">
        <f>IFERROR(K5/J5,"-")</f>
        <v/>
      </c>
      <c r="M5" s="37" t="inlineStr">
        <is>
          <t>G</t>
        </is>
      </c>
      <c r="N5" s="34">
        <f>I5-S5</f>
        <v/>
      </c>
      <c r="O5" s="34">
        <f>J5-T5</f>
        <v/>
      </c>
      <c r="P5" s="34">
        <f>O5-N5</f>
        <v/>
      </c>
      <c r="Q5" s="35">
        <f>IFERROR(P5/O5,"-")</f>
        <v/>
      </c>
      <c r="R5" s="38" t="inlineStr">
        <is>
          <t>A</t>
        </is>
      </c>
      <c r="S5" s="34" t="n">
        <v>0.80084123</v>
      </c>
      <c r="T5" s="34" t="n">
        <v>1.5</v>
      </c>
      <c r="U5" s="34">
        <f>T5-S5</f>
        <v/>
      </c>
      <c r="V5" s="35">
        <f>IFERROR(U5/T5,"-")</f>
        <v/>
      </c>
      <c r="W5" s="36" t="inlineStr">
        <is>
          <t>G</t>
        </is>
      </c>
      <c r="X5" s="34" t="n">
        <v>2.78522111</v>
      </c>
      <c r="Y5" s="34" t="n">
        <v>2.9338979</v>
      </c>
      <c r="Z5" s="34">
        <f>Y5-X5</f>
        <v/>
      </c>
      <c r="AA5" s="35">
        <f>IFERROR(Z5/Y5,"-")</f>
        <v/>
      </c>
      <c r="AB5" s="36" t="inlineStr">
        <is>
          <t>G</t>
        </is>
      </c>
      <c r="AC5" s="34" t="n">
        <v>8.8400082</v>
      </c>
      <c r="AD5" s="34" t="n">
        <v>9.2622</v>
      </c>
      <c r="AE5" s="34">
        <f>AD5-AC5</f>
        <v/>
      </c>
      <c r="AF5" s="35">
        <f>IFERROR(AE5/AD5,"-")</f>
        <v/>
      </c>
      <c r="AG5" s="36" t="inlineStr">
        <is>
          <t>G</t>
        </is>
      </c>
      <c r="AH5" s="34" t="n">
        <v>0.17597979</v>
      </c>
      <c r="AI5" s="34" t="n">
        <v>2.02833343</v>
      </c>
      <c r="AJ5" s="34">
        <f>AI5-AH5</f>
        <v/>
      </c>
      <c r="AK5" s="35">
        <f>IFERROR(AJ5/AI5,"-")</f>
        <v/>
      </c>
      <c r="AL5" s="39" t="inlineStr">
        <is>
          <t>G</t>
        </is>
      </c>
      <c r="AN5" s="40">
        <f>I21+AC21+AH21+X21</f>
        <v/>
      </c>
      <c r="AO5" s="41">
        <f>J21+AD21+AI21+Y21</f>
        <v/>
      </c>
      <c r="AP5" s="41">
        <f>AO5-AN5</f>
        <v/>
      </c>
      <c r="AQ5" s="35">
        <f>IFERROR(AP5/AO5,"-")</f>
        <v/>
      </c>
      <c r="AR5" s="42" t="inlineStr">
        <is>
          <t>A</t>
        </is>
      </c>
    </row>
    <row r="6" ht="21" customFormat="1" customHeight="1" s="30">
      <c r="A6" s="30" t="inlineStr">
        <is>
          <t>Z-Energy</t>
        </is>
      </c>
      <c r="B6" s="43" t="inlineStr">
        <is>
          <t>Z- Energy</t>
        </is>
      </c>
      <c r="C6" s="44" t="inlineStr">
        <is>
          <t>Vance Anderson
Harley Giles</t>
        </is>
      </c>
      <c r="D6" s="40">
        <f>I6+AC6+AH6+X6</f>
        <v/>
      </c>
      <c r="E6" s="41">
        <f>J6+AD6+AI6+Y6</f>
        <v/>
      </c>
      <c r="F6" s="41">
        <f>E6-D6</f>
        <v/>
      </c>
      <c r="G6" s="45">
        <f>IFERROR(F6/E6,"-")</f>
        <v/>
      </c>
      <c r="H6" s="37" t="inlineStr">
        <is>
          <t>G</t>
        </is>
      </c>
      <c r="I6" s="41" t="n">
        <v>26.4555130724</v>
      </c>
      <c r="J6" s="41" t="n">
        <v>26.8009903019695</v>
      </c>
      <c r="K6" s="41">
        <f>J6-I6</f>
        <v/>
      </c>
      <c r="L6" s="45">
        <f>IFERROR(K6/J6,"-")</f>
        <v/>
      </c>
      <c r="M6" s="37" t="inlineStr">
        <is>
          <t>G</t>
        </is>
      </c>
      <c r="N6" s="34">
        <f>I6-S6</f>
        <v/>
      </c>
      <c r="O6" s="34">
        <f>J6-T6</f>
        <v/>
      </c>
      <c r="P6" s="41">
        <f>O6-N6</f>
        <v/>
      </c>
      <c r="Q6" s="45">
        <f>IFERROR(P6/O6,"-")</f>
        <v/>
      </c>
      <c r="R6" s="38" t="inlineStr">
        <is>
          <t>A</t>
        </is>
      </c>
      <c r="S6" s="34" t="n">
        <v>0</v>
      </c>
      <c r="T6" s="34" t="n">
        <v>0.72312</v>
      </c>
      <c r="U6" s="41">
        <f>T6-S6</f>
        <v/>
      </c>
      <c r="V6" s="45">
        <f>IFERROR(U6/T6,"-")</f>
        <v/>
      </c>
      <c r="W6" s="37" t="inlineStr">
        <is>
          <t>G</t>
        </is>
      </c>
      <c r="X6" s="41" t="n">
        <v>4.835755244</v>
      </c>
      <c r="Y6" s="41" t="n">
        <v>5.14368626517918</v>
      </c>
      <c r="Z6" s="41">
        <f>Y6-X6</f>
        <v/>
      </c>
      <c r="AA6" s="45">
        <f>IFERROR(Z6/Y6,"-")</f>
        <v/>
      </c>
      <c r="AB6" s="37" t="inlineStr">
        <is>
          <t>G</t>
        </is>
      </c>
      <c r="AC6" s="41" t="n">
        <v>0</v>
      </c>
      <c r="AD6" s="41" t="n">
        <v>0</v>
      </c>
      <c r="AE6" s="41">
        <f>AD6-AC6</f>
        <v/>
      </c>
      <c r="AF6" s="45">
        <f>IFERROR(AE6/AD6,"-")</f>
        <v/>
      </c>
      <c r="AG6" s="46" t="n"/>
      <c r="AH6" s="34" t="n">
        <v>3.966589936</v>
      </c>
      <c r="AI6" s="34" t="n">
        <v>6.30948328</v>
      </c>
      <c r="AJ6" s="41">
        <f>AI6-AH6</f>
        <v/>
      </c>
      <c r="AK6" s="45">
        <f>IFERROR(AJ6/AI6,"-")</f>
        <v/>
      </c>
      <c r="AL6" s="47" t="inlineStr">
        <is>
          <t>G</t>
        </is>
      </c>
      <c r="AN6" s="40">
        <f>I22+AC22+AH22+X22</f>
        <v/>
      </c>
      <c r="AO6" s="41">
        <f>J22+AD22+AI22+Y22</f>
        <v/>
      </c>
      <c r="AP6" s="41">
        <f>AO6-AN6</f>
        <v/>
      </c>
      <c r="AQ6" s="45">
        <f>IFERROR(AP6/AO6,"-")</f>
        <v/>
      </c>
      <c r="AR6" s="47" t="inlineStr">
        <is>
          <t>G</t>
        </is>
      </c>
    </row>
    <row r="7" ht="24" customFormat="1" customHeight="1" s="30">
      <c r="A7" s="30" t="inlineStr">
        <is>
          <t>Commercial Fuels</t>
        </is>
      </c>
      <c r="B7" s="43" t="inlineStr">
        <is>
          <t>Commercial Fuels</t>
        </is>
      </c>
      <c r="C7" s="44" t="inlineStr">
        <is>
          <t>Roanne Steele</t>
        </is>
      </c>
      <c r="D7" s="40">
        <f>I7+AC7+AH7+X7</f>
        <v/>
      </c>
      <c r="E7" s="41">
        <f>J7+AD7+AI7+Y7</f>
        <v/>
      </c>
      <c r="F7" s="41">
        <f>E7-D7</f>
        <v/>
      </c>
      <c r="G7" s="45">
        <f>IFERROR(F7/E7,"-")</f>
        <v/>
      </c>
      <c r="H7" s="37" t="inlineStr">
        <is>
          <t>G</t>
        </is>
      </c>
      <c r="I7" s="41" t="n">
        <v>7.1072414</v>
      </c>
      <c r="J7" s="41" t="n">
        <v>8.284722285454549</v>
      </c>
      <c r="K7" s="41">
        <f>J7-I7</f>
        <v/>
      </c>
      <c r="L7" s="45">
        <f>IFERROR(K7/J7,"-")</f>
        <v/>
      </c>
      <c r="M7" s="37" t="inlineStr">
        <is>
          <t>G</t>
        </is>
      </c>
      <c r="N7" s="34">
        <f>I7-S7</f>
        <v/>
      </c>
      <c r="O7" s="34">
        <f>J7-T7</f>
        <v/>
      </c>
      <c r="P7" s="41">
        <f>O7-N7</f>
        <v/>
      </c>
      <c r="Q7" s="45">
        <f>IFERROR(P7/O7,"-")</f>
        <v/>
      </c>
      <c r="R7" s="37" t="inlineStr">
        <is>
          <t>G</t>
        </is>
      </c>
      <c r="S7" s="34" t="n">
        <v>2.08855684692308</v>
      </c>
      <c r="T7" s="34" t="n">
        <v>2.93086046153846</v>
      </c>
      <c r="U7" s="41">
        <f>T7-S7</f>
        <v/>
      </c>
      <c r="V7" s="45">
        <f>IFERROR(U7/T7,"-")</f>
        <v/>
      </c>
      <c r="W7" s="37" t="inlineStr">
        <is>
          <t>G</t>
        </is>
      </c>
      <c r="X7" s="41" t="n"/>
      <c r="Y7" s="41" t="n"/>
      <c r="Z7" s="41">
        <f>Y7-X7</f>
        <v/>
      </c>
      <c r="AA7" s="45">
        <f>IFERROR(Z7/Y7,"-")</f>
        <v/>
      </c>
      <c r="AB7" s="46" t="n"/>
      <c r="AC7" s="41" t="n">
        <v>4.72854146969697</v>
      </c>
      <c r="AD7" s="41" t="n">
        <v>7.109604</v>
      </c>
      <c r="AE7" s="41">
        <f>AD7-AC7</f>
        <v/>
      </c>
      <c r="AF7" s="45">
        <f>IFERROR(AE7/AD7,"-")</f>
        <v/>
      </c>
      <c r="AG7" s="37" t="inlineStr">
        <is>
          <t>G</t>
        </is>
      </c>
      <c r="AH7" s="34" t="n">
        <v>0.56577941</v>
      </c>
      <c r="AI7" s="34" t="n">
        <v>3.38305128363636</v>
      </c>
      <c r="AJ7" s="41">
        <f>AI7-AH7</f>
        <v/>
      </c>
      <c r="AK7" s="45">
        <f>IFERROR(AJ7/AI7,"-")</f>
        <v/>
      </c>
      <c r="AL7" s="47" t="inlineStr">
        <is>
          <t>G</t>
        </is>
      </c>
      <c r="AN7" s="40">
        <f>I23+AC23+AH23+X23</f>
        <v/>
      </c>
      <c r="AO7" s="41">
        <f>J23+AD23+AI23+Y23</f>
        <v/>
      </c>
      <c r="AP7" s="41">
        <f>AO7-AN7</f>
        <v/>
      </c>
      <c r="AQ7" s="45">
        <f>IFERROR(AP7/AO7,"-")</f>
        <v/>
      </c>
      <c r="AR7" s="47" t="inlineStr">
        <is>
          <t>G</t>
        </is>
      </c>
    </row>
    <row r="8" ht="24" customFormat="1" customHeight="1" s="30">
      <c r="A8" s="30" t="inlineStr">
        <is>
          <t>Retail</t>
        </is>
      </c>
      <c r="B8" s="43" t="inlineStr">
        <is>
          <t>Retail</t>
        </is>
      </c>
      <c r="C8" s="44" t="inlineStr">
        <is>
          <t>Vance Anderson</t>
        </is>
      </c>
      <c r="D8" s="40">
        <f>I8+AC8+AH8+X8</f>
        <v/>
      </c>
      <c r="E8" s="41">
        <f>J8+AD8+AI8+Y8</f>
        <v/>
      </c>
      <c r="F8" s="41">
        <f>E8-D8</f>
        <v/>
      </c>
      <c r="G8" s="45">
        <f>IFERROR(F8/E8,"-")</f>
        <v/>
      </c>
      <c r="H8" s="37" t="inlineStr">
        <is>
          <t>G</t>
        </is>
      </c>
      <c r="I8" s="41" t="n">
        <v>6.854453</v>
      </c>
      <c r="J8" s="41" t="n">
        <v>7.08529514</v>
      </c>
      <c r="K8" s="41">
        <f>J8-I8</f>
        <v/>
      </c>
      <c r="L8" s="45">
        <f>IFERROR(K8/J8,"-")</f>
        <v/>
      </c>
      <c r="M8" s="37" t="inlineStr">
        <is>
          <t>G</t>
        </is>
      </c>
      <c r="N8" s="34">
        <f>I8-S8</f>
        <v/>
      </c>
      <c r="O8" s="34">
        <f>J8-T8</f>
        <v/>
      </c>
      <c r="P8" s="41">
        <f>O8-N8</f>
        <v/>
      </c>
      <c r="Q8" s="45">
        <f>IFERROR(P8/O8,"-")</f>
        <v/>
      </c>
      <c r="R8" s="37" t="inlineStr">
        <is>
          <t>G</t>
        </is>
      </c>
      <c r="S8" s="34" t="n">
        <v>0.39484559</v>
      </c>
      <c r="T8" s="34" t="n">
        <v>0.655</v>
      </c>
      <c r="U8" s="41">
        <f>T8-S8</f>
        <v/>
      </c>
      <c r="V8" s="45">
        <f>IFERROR(U8/T8,"-")</f>
        <v/>
      </c>
      <c r="W8" s="37" t="inlineStr">
        <is>
          <t>G</t>
        </is>
      </c>
      <c r="X8" s="41" t="n"/>
      <c r="Y8" s="41" t="n"/>
      <c r="Z8" s="41">
        <f>Y8-X8</f>
        <v/>
      </c>
      <c r="AA8" s="45">
        <f>IFERROR(Z8/Y8,"-")</f>
        <v/>
      </c>
      <c r="AB8" s="46" t="n"/>
      <c r="AC8" s="41" t="n">
        <v>3.35460589</v>
      </c>
      <c r="AD8" s="41" t="n">
        <v>5.08</v>
      </c>
      <c r="AE8" s="41">
        <f>AD8-AC8</f>
        <v/>
      </c>
      <c r="AF8" s="45">
        <f>IFERROR(AE8/AD8,"-")</f>
        <v/>
      </c>
      <c r="AG8" s="37" t="inlineStr">
        <is>
          <t>G</t>
        </is>
      </c>
      <c r="AH8" s="34" t="n">
        <v>4.08148973</v>
      </c>
      <c r="AI8" s="34" t="n">
        <v>5.9</v>
      </c>
      <c r="AJ8" s="41">
        <f>AI8-AH8</f>
        <v/>
      </c>
      <c r="AK8" s="45">
        <f>IFERROR(AJ8/AI8,"-")</f>
        <v/>
      </c>
      <c r="AL8" s="47" t="inlineStr">
        <is>
          <t>G</t>
        </is>
      </c>
      <c r="AN8" s="40">
        <f>I24+AC24+AH24+X24</f>
        <v/>
      </c>
      <c r="AO8" s="41">
        <f>J24+AD24+AI24+Y24</f>
        <v/>
      </c>
      <c r="AP8" s="41">
        <f>AO8-AN8</f>
        <v/>
      </c>
      <c r="AQ8" s="45">
        <f>IFERROR(AP8/AO8,"-")</f>
        <v/>
      </c>
      <c r="AR8" s="48" t="inlineStr">
        <is>
          <t>R</t>
        </is>
      </c>
    </row>
    <row r="9" ht="24" customFormat="1" customHeight="1" s="30">
      <c r="A9" s="30" t="inlineStr">
        <is>
          <t>Energy Solutions</t>
        </is>
      </c>
      <c r="B9" s="43" t="inlineStr">
        <is>
          <t>Energy Solutions</t>
        </is>
      </c>
      <c r="C9" s="44" t="inlineStr">
        <is>
          <t>Roanne Steele</t>
        </is>
      </c>
      <c r="D9" s="40">
        <f>I9+AC9+AH9+X9</f>
        <v/>
      </c>
      <c r="E9" s="41">
        <f>J9+AD9+AI9+Y9</f>
        <v/>
      </c>
      <c r="F9" s="41">
        <f>E9-D9</f>
        <v/>
      </c>
      <c r="G9" s="45">
        <f>IFERROR(F9/E9,"-")</f>
        <v/>
      </c>
      <c r="H9" s="49" t="inlineStr">
        <is>
          <t>R</t>
        </is>
      </c>
      <c r="I9" s="41" t="n">
        <v>2.87890034</v>
      </c>
      <c r="J9" s="41" t="n">
        <v>2.51601915</v>
      </c>
      <c r="K9" s="41">
        <f>J9-I9</f>
        <v/>
      </c>
      <c r="L9" s="45">
        <f>IFERROR(K9/J9,"-")</f>
        <v/>
      </c>
      <c r="M9" s="50" t="inlineStr">
        <is>
          <t>R</t>
        </is>
      </c>
      <c r="N9" s="34">
        <f>I9-S9</f>
        <v/>
      </c>
      <c r="O9" s="34">
        <f>J9-T9</f>
        <v/>
      </c>
      <c r="P9" s="41">
        <f>O9-N9</f>
        <v/>
      </c>
      <c r="Q9" s="45">
        <f>IFERROR(P9/O9,"-")</f>
        <v/>
      </c>
      <c r="R9" s="49" t="inlineStr">
        <is>
          <t>R</t>
        </is>
      </c>
      <c r="S9" s="34" t="n">
        <v>0.33360872</v>
      </c>
      <c r="T9" s="34" t="n">
        <v>0.485</v>
      </c>
      <c r="U9" s="41">
        <f>T9-S9</f>
        <v/>
      </c>
      <c r="V9" s="45">
        <f>IFERROR(U9/T9,"-")</f>
        <v/>
      </c>
      <c r="W9" s="37" t="inlineStr">
        <is>
          <t>G</t>
        </is>
      </c>
      <c r="X9" s="41" t="n"/>
      <c r="Y9" s="41" t="n"/>
      <c r="Z9" s="41">
        <f>Y9-X9</f>
        <v/>
      </c>
      <c r="AA9" s="45">
        <f>IFERROR(Z9/Y9,"-")</f>
        <v/>
      </c>
      <c r="AB9" s="46" t="n"/>
      <c r="AC9" s="41" t="n"/>
      <c r="AD9" s="41" t="n"/>
      <c r="AE9" s="41">
        <f>AD9-AC9</f>
        <v/>
      </c>
      <c r="AF9" s="45">
        <f>IFERROR(AE9/AD9,"-")</f>
        <v/>
      </c>
      <c r="AG9" s="46" t="n"/>
      <c r="AH9" s="34" t="n">
        <v>1.259603658274</v>
      </c>
      <c r="AI9" s="34" t="n">
        <v>1.29066039</v>
      </c>
      <c r="AJ9" s="41">
        <f>AI9-AH9</f>
        <v/>
      </c>
      <c r="AK9" s="45">
        <f>IFERROR(AJ9/AI9,"-")</f>
        <v/>
      </c>
      <c r="AL9" s="47" t="inlineStr">
        <is>
          <t>G</t>
        </is>
      </c>
      <c r="AN9" s="40">
        <f>I25+AC25+AH25+X25</f>
        <v/>
      </c>
      <c r="AO9" s="41">
        <f>J25+AD25+AI25+Y25</f>
        <v/>
      </c>
      <c r="AP9" s="41">
        <f>AO9-AN9</f>
        <v/>
      </c>
      <c r="AQ9" s="45">
        <f>IFERROR(AP9/AO9,"-")</f>
        <v/>
      </c>
      <c r="AR9" s="48" t="inlineStr">
        <is>
          <t>R</t>
        </is>
      </c>
    </row>
    <row r="10" ht="24" customFormat="1" customHeight="1" s="30">
      <c r="A10" s="30" t="inlineStr">
        <is>
          <t>Infrastructure</t>
        </is>
      </c>
      <c r="B10" s="43" t="inlineStr">
        <is>
          <t>Infrastructure</t>
        </is>
      </c>
      <c r="C10" s="44" t="inlineStr">
        <is>
          <t>Roanne Steele</t>
        </is>
      </c>
      <c r="D10" s="40">
        <f>I10+AC10+AH10+X10</f>
        <v/>
      </c>
      <c r="E10" s="41">
        <f>J10+AD10+AI10+Y10</f>
        <v/>
      </c>
      <c r="F10" s="41">
        <f>E10-D10</f>
        <v/>
      </c>
      <c r="G10" s="45">
        <f>IFERROR(F10/E10,"-")</f>
        <v/>
      </c>
      <c r="H10" s="37" t="inlineStr">
        <is>
          <t>G</t>
        </is>
      </c>
      <c r="I10" s="41" t="n">
        <v>1.75620822</v>
      </c>
      <c r="J10" s="41" t="n">
        <v>1.831374</v>
      </c>
      <c r="K10" s="41">
        <f>J10-I10</f>
        <v/>
      </c>
      <c r="L10" s="45">
        <f>IFERROR(K10/J10,"-")</f>
        <v/>
      </c>
      <c r="M10" s="37" t="inlineStr">
        <is>
          <t>G</t>
        </is>
      </c>
      <c r="N10" s="34">
        <f>I10-S10</f>
        <v/>
      </c>
      <c r="O10" s="34">
        <f>J10-T10</f>
        <v/>
      </c>
      <c r="P10" s="41">
        <f>O10-N10</f>
        <v/>
      </c>
      <c r="Q10" s="45">
        <f>IFERROR(P10/O10,"-")</f>
        <v/>
      </c>
      <c r="R10" s="37" t="inlineStr">
        <is>
          <t>G</t>
        </is>
      </c>
      <c r="S10" s="34" t="n">
        <v>0.3157583</v>
      </c>
      <c r="T10" s="34" t="n">
        <v>0.381681</v>
      </c>
      <c r="U10" s="41">
        <f>T10-S10</f>
        <v/>
      </c>
      <c r="V10" s="45">
        <f>IFERROR(U10/T10,"-")</f>
        <v/>
      </c>
      <c r="W10" s="37" t="inlineStr">
        <is>
          <t>G</t>
        </is>
      </c>
      <c r="X10" s="41" t="n"/>
      <c r="Y10" s="41" t="n"/>
      <c r="Z10" s="41">
        <f>Y10-X10</f>
        <v/>
      </c>
      <c r="AA10" s="45">
        <f>IFERROR(Z10/Y10,"-")</f>
        <v/>
      </c>
      <c r="AB10" s="46" t="n"/>
      <c r="AC10" s="41" t="n"/>
      <c r="AD10" s="41" t="n"/>
      <c r="AE10" s="41">
        <f>AD10-AC10</f>
        <v/>
      </c>
      <c r="AF10" s="45">
        <f>IFERROR(AE10/AD10,"-")</f>
        <v/>
      </c>
      <c r="AG10" s="46" t="n"/>
      <c r="AH10" s="34" t="n">
        <v>0.93436839</v>
      </c>
      <c r="AI10" s="34" t="n">
        <v>2.44570898</v>
      </c>
      <c r="AJ10" s="41">
        <f>AI10-AH10</f>
        <v/>
      </c>
      <c r="AK10" s="45">
        <f>IFERROR(AJ10/AI10,"-")</f>
        <v/>
      </c>
      <c r="AL10" s="47" t="inlineStr">
        <is>
          <t>G</t>
        </is>
      </c>
      <c r="AN10" s="40">
        <f>I26+AC26+AH26+X26</f>
        <v/>
      </c>
      <c r="AO10" s="41">
        <f>J26+AD26+AI26+Y26</f>
        <v/>
      </c>
      <c r="AP10" s="41">
        <f>AO10-AN10</f>
        <v/>
      </c>
      <c r="AQ10" s="45">
        <f>IFERROR(AP10/AO10,"-")</f>
        <v/>
      </c>
      <c r="AR10" s="47" t="inlineStr">
        <is>
          <t>G</t>
        </is>
      </c>
    </row>
    <row r="11" ht="24" customFormat="1" customHeight="1" s="30">
      <c r="A11" s="30" t="inlineStr">
        <is>
          <t>Finance &amp; Other Corp</t>
        </is>
      </c>
      <c r="B11" s="43" t="inlineStr">
        <is>
          <t>Finance &amp; Other Corp</t>
        </is>
      </c>
      <c r="C11" s="44" t="inlineStr">
        <is>
          <t>Emily Mogic</t>
        </is>
      </c>
      <c r="D11" s="40">
        <f>I11+AC11+AH11+X11</f>
        <v/>
      </c>
      <c r="E11" s="41">
        <f>J11+AD11+AI11+Y11</f>
        <v/>
      </c>
      <c r="F11" s="41">
        <f>E11-D11</f>
        <v/>
      </c>
      <c r="G11" s="45">
        <f>IFERROR(F11/E11,"-")</f>
        <v/>
      </c>
      <c r="H11" s="49" t="inlineStr">
        <is>
          <t>R</t>
        </is>
      </c>
      <c r="I11" s="41" t="n">
        <v>2.84685292</v>
      </c>
      <c r="J11" s="41" t="n">
        <v>2.12235381</v>
      </c>
      <c r="K11" s="41">
        <f>J11-I11</f>
        <v/>
      </c>
      <c r="L11" s="45">
        <f>IFERROR(K11/J11,"-")</f>
        <v/>
      </c>
      <c r="M11" s="49" t="inlineStr">
        <is>
          <t>R</t>
        </is>
      </c>
      <c r="N11" s="34">
        <f>I11-S11</f>
        <v/>
      </c>
      <c r="O11" s="34">
        <f>J11-T11</f>
        <v/>
      </c>
      <c r="P11" s="41">
        <f>O11-N11</f>
        <v/>
      </c>
      <c r="Q11" s="45">
        <f>IFERROR(P11/O11,"-")</f>
        <v/>
      </c>
      <c r="R11" s="49" t="inlineStr">
        <is>
          <t>R</t>
        </is>
      </c>
      <c r="S11" s="34" t="n">
        <v>0.76825227</v>
      </c>
      <c r="T11" s="34" t="n">
        <v>0.467743305</v>
      </c>
      <c r="U11" s="41">
        <f>T11-S11</f>
        <v/>
      </c>
      <c r="V11" s="45">
        <f>IFERROR(U11/T11,"-")</f>
        <v/>
      </c>
      <c r="W11" s="49" t="inlineStr">
        <is>
          <t>R</t>
        </is>
      </c>
      <c r="X11" s="41" t="n"/>
      <c r="Y11" s="41" t="n"/>
      <c r="Z11" s="41">
        <f>Y11-X11</f>
        <v/>
      </c>
      <c r="AA11" s="45">
        <f>IFERROR(Z11/Y11,"-")</f>
        <v/>
      </c>
      <c r="AB11" s="46" t="n"/>
      <c r="AC11" s="41" t="n"/>
      <c r="AD11" s="41" t="n"/>
      <c r="AE11" s="41">
        <f>AD11-AC11</f>
        <v/>
      </c>
      <c r="AF11" s="45">
        <f>IFERROR(AE11/AD11,"-")</f>
        <v/>
      </c>
      <c r="AG11" s="46" t="n"/>
      <c r="AH11" s="34" t="n">
        <v>0</v>
      </c>
      <c r="AI11" s="34" t="n">
        <v>0</v>
      </c>
      <c r="AJ11" s="41">
        <f>AI11-AH11</f>
        <v/>
      </c>
      <c r="AK11" s="45">
        <f>IFERROR(AJ11/AI11,"-")</f>
        <v/>
      </c>
      <c r="AL11" s="51" t="n"/>
      <c r="AN11" s="40">
        <f>I27+AC27+AH27+X27</f>
        <v/>
      </c>
      <c r="AO11" s="41">
        <f>J27+AD27+AI27+Y27</f>
        <v/>
      </c>
      <c r="AP11" s="41">
        <f>AO11-AN11</f>
        <v/>
      </c>
      <c r="AQ11" s="45">
        <f>IFERROR(AP11/AO11,"-")</f>
        <v/>
      </c>
      <c r="AR11" s="47" t="inlineStr">
        <is>
          <t>G</t>
        </is>
      </c>
    </row>
    <row r="12" ht="24" customFormat="1" customHeight="1" s="30">
      <c r="A12" s="30" t="inlineStr">
        <is>
          <t>People &amp; Culture</t>
        </is>
      </c>
      <c r="B12" s="43" t="inlineStr">
        <is>
          <t>P&amp;C</t>
        </is>
      </c>
      <c r="C12" s="44" t="inlineStr">
        <is>
          <t>Emily Mogic</t>
        </is>
      </c>
      <c r="D12" s="40">
        <f>I12+AC12+AH12+X12</f>
        <v/>
      </c>
      <c r="E12" s="41">
        <f>J12+AD12+AI12+Y12</f>
        <v/>
      </c>
      <c r="F12" s="41">
        <f>E12-D12</f>
        <v/>
      </c>
      <c r="G12" s="45">
        <f>IFERROR(F12/E12,"-")</f>
        <v/>
      </c>
      <c r="H12" s="37" t="inlineStr">
        <is>
          <t>G</t>
        </is>
      </c>
      <c r="I12" s="41" t="n">
        <v>1.61781844</v>
      </c>
      <c r="J12" s="41" t="n">
        <v>1.86060804</v>
      </c>
      <c r="K12" s="41">
        <f>J12-I12</f>
        <v/>
      </c>
      <c r="L12" s="45">
        <f>IFERROR(K12/J12,"-")</f>
        <v/>
      </c>
      <c r="M12" s="37" t="inlineStr">
        <is>
          <t>G</t>
        </is>
      </c>
      <c r="N12" s="34">
        <f>I12-S12</f>
        <v/>
      </c>
      <c r="O12" s="34">
        <f>J12-T12</f>
        <v/>
      </c>
      <c r="P12" s="41">
        <f>O12-N12</f>
        <v/>
      </c>
      <c r="Q12" s="45">
        <f>IFERROR(P12/O12,"-")</f>
        <v/>
      </c>
      <c r="R12" s="37" t="inlineStr">
        <is>
          <t>G</t>
        </is>
      </c>
      <c r="S12" s="34" t="n">
        <v>0.9174630499999999</v>
      </c>
      <c r="T12" s="34" t="n">
        <v>0.9875</v>
      </c>
      <c r="U12" s="41">
        <f>T12-S12</f>
        <v/>
      </c>
      <c r="V12" s="45">
        <f>IFERROR(U12/T12,"-")</f>
        <v/>
      </c>
      <c r="W12" s="37" t="inlineStr">
        <is>
          <t>G</t>
        </is>
      </c>
      <c r="X12" s="41" t="n"/>
      <c r="Y12" s="41" t="n"/>
      <c r="Z12" s="41">
        <f>Y12-X12</f>
        <v/>
      </c>
      <c r="AA12" s="45">
        <f>IFERROR(Z12/Y12,"-")</f>
        <v/>
      </c>
      <c r="AB12" s="46" t="n"/>
      <c r="AC12" s="41" t="n">
        <v>0.34732126</v>
      </c>
      <c r="AD12" s="41" t="n">
        <v>0.4624</v>
      </c>
      <c r="AE12" s="41">
        <f>AD12-AC12</f>
        <v/>
      </c>
      <c r="AF12" s="45">
        <f>IFERROR(AE12/AD12,"-")</f>
        <v/>
      </c>
      <c r="AG12" s="37" t="inlineStr">
        <is>
          <t>G</t>
        </is>
      </c>
      <c r="AH12" s="34" t="n">
        <v>0</v>
      </c>
      <c r="AI12" s="34" t="n">
        <v>0.1375</v>
      </c>
      <c r="AJ12" s="41">
        <f>AI12-AH12</f>
        <v/>
      </c>
      <c r="AK12" s="45">
        <f>IFERROR(AJ12/AI12,"-")</f>
        <v/>
      </c>
      <c r="AL12" s="47" t="inlineStr">
        <is>
          <t>G</t>
        </is>
      </c>
      <c r="AN12" s="40">
        <f>I28+AC28+AH28+X28</f>
        <v/>
      </c>
      <c r="AO12" s="41">
        <f>J28+AD28+AI28+Y28</f>
        <v/>
      </c>
      <c r="AP12" s="41">
        <f>AO12-AN12</f>
        <v/>
      </c>
      <c r="AQ12" s="45">
        <f>IFERROR(AP12/AO12,"-")</f>
        <v/>
      </c>
      <c r="AR12" s="47" t="inlineStr">
        <is>
          <t>G</t>
        </is>
      </c>
    </row>
    <row r="13" ht="24" customFormat="1" customHeight="1" s="30">
      <c r="A13" s="30" t="inlineStr">
        <is>
          <t>Customer</t>
        </is>
      </c>
      <c r="B13" s="52" t="inlineStr">
        <is>
          <t>Customer</t>
        </is>
      </c>
      <c r="C13" s="53" t="inlineStr">
        <is>
          <t>Harley Giles</t>
        </is>
      </c>
      <c r="D13" s="54">
        <f>I13+AC13+AH13+X13</f>
        <v/>
      </c>
      <c r="E13" s="55">
        <f>J13+AD13+AI13+Y13</f>
        <v/>
      </c>
      <c r="F13" s="55">
        <f>E13-D13</f>
        <v/>
      </c>
      <c r="G13" s="56">
        <f>IFERROR(F13/E13,"-")</f>
        <v/>
      </c>
      <c r="H13" s="57" t="inlineStr">
        <is>
          <t>G</t>
        </is>
      </c>
      <c r="I13" s="55" t="n">
        <v>0.98861064</v>
      </c>
      <c r="J13" s="55" t="n">
        <v>0.82141236</v>
      </c>
      <c r="K13" s="55">
        <f>J13-I13</f>
        <v/>
      </c>
      <c r="L13" s="56">
        <f>IFERROR(K13/J13,"-")</f>
        <v/>
      </c>
      <c r="M13" s="50" t="inlineStr">
        <is>
          <t>R</t>
        </is>
      </c>
      <c r="N13" s="58">
        <f>I13-S13</f>
        <v/>
      </c>
      <c r="O13" s="58">
        <f>J13-T13</f>
        <v/>
      </c>
      <c r="P13" s="55">
        <f>O13-N13</f>
        <v/>
      </c>
      <c r="Q13" s="56">
        <f>IFERROR(P13/O13,"-")</f>
        <v/>
      </c>
      <c r="R13" s="50" t="inlineStr">
        <is>
          <t>R</t>
        </is>
      </c>
      <c r="S13" s="58" t="n">
        <v>0</v>
      </c>
      <c r="T13" s="58" t="n">
        <v>0</v>
      </c>
      <c r="U13" s="55">
        <f>T13-S13</f>
        <v/>
      </c>
      <c r="V13" s="56">
        <f>IFERROR(U13/T13,"-")</f>
        <v/>
      </c>
      <c r="W13" s="59" t="n"/>
      <c r="X13" s="55" t="n"/>
      <c r="Y13" s="55" t="n"/>
      <c r="Z13" s="55">
        <f>Y13-X13</f>
        <v/>
      </c>
      <c r="AA13" s="56">
        <f>IFERROR(Z13/Y13,"-")</f>
        <v/>
      </c>
      <c r="AB13" s="59" t="n"/>
      <c r="AC13" s="55" t="n">
        <v>0</v>
      </c>
      <c r="AD13" s="55" t="n">
        <v>2.50000002</v>
      </c>
      <c r="AE13" s="55">
        <f>AD13-AC13</f>
        <v/>
      </c>
      <c r="AF13" s="56">
        <f>IFERROR(AE13/AD13,"-")</f>
        <v/>
      </c>
      <c r="AG13" s="57" t="inlineStr">
        <is>
          <t>G</t>
        </is>
      </c>
      <c r="AH13" s="58" t="n">
        <v>1.42191769</v>
      </c>
      <c r="AI13" s="58" t="n">
        <v>2.08333333</v>
      </c>
      <c r="AJ13" s="55">
        <f>AI13-AH13</f>
        <v/>
      </c>
      <c r="AK13" s="56">
        <f>IFERROR(AJ13/AI13,"-")</f>
        <v/>
      </c>
      <c r="AL13" s="60" t="inlineStr">
        <is>
          <t>G</t>
        </is>
      </c>
      <c r="AN13" s="54">
        <f>I29+AC29+AH29+X29</f>
        <v/>
      </c>
      <c r="AO13" s="55">
        <f>J29+AD29+AI29+Y29</f>
        <v/>
      </c>
      <c r="AP13" s="55">
        <f>AO13-AN13</f>
        <v/>
      </c>
      <c r="AQ13" s="56">
        <f>IFERROR(AP13/AO13,"-")</f>
        <v/>
      </c>
      <c r="AR13" s="60" t="inlineStr">
        <is>
          <t>G</t>
        </is>
      </c>
    </row>
    <row r="14" ht="26.25" customFormat="1" customHeight="1" s="61">
      <c r="B14" s="62" t="inlineStr">
        <is>
          <t>Total Technology</t>
        </is>
      </c>
      <c r="C14" s="62" t="n"/>
      <c r="D14" s="63">
        <f>SUM(D5:D13)</f>
        <v/>
      </c>
      <c r="E14" s="64">
        <f>SUM(E5:E13)</f>
        <v/>
      </c>
      <c r="F14" s="64">
        <f>SUM(F5:F13)</f>
        <v/>
      </c>
      <c r="G14" s="65">
        <f>F14/E14</f>
        <v/>
      </c>
      <c r="H14" s="66" t="inlineStr">
        <is>
          <t>G</t>
        </is>
      </c>
      <c r="I14" s="67">
        <f>SUM(I5:I13)</f>
        <v/>
      </c>
      <c r="J14" s="64">
        <f>SUM(J5:J13)</f>
        <v/>
      </c>
      <c r="K14" s="64">
        <f>SUM(K5:K13)</f>
        <v/>
      </c>
      <c r="L14" s="65">
        <f>K14/J14</f>
        <v/>
      </c>
      <c r="M14" s="66" t="inlineStr">
        <is>
          <t>G</t>
        </is>
      </c>
      <c r="N14" s="67">
        <f>SUM(N5:N13)</f>
        <v/>
      </c>
      <c r="O14" s="64">
        <f>SUM(O5:O13)</f>
        <v/>
      </c>
      <c r="P14" s="64">
        <f>SUM(P5:P13)</f>
        <v/>
      </c>
      <c r="Q14" s="65">
        <f>P14/O14</f>
        <v/>
      </c>
      <c r="R14" s="68" t="inlineStr">
        <is>
          <t>A</t>
        </is>
      </c>
      <c r="S14" s="67">
        <f>SUM(S5:S13)</f>
        <v/>
      </c>
      <c r="T14" s="64">
        <f>SUM(T5:T13)</f>
        <v/>
      </c>
      <c r="U14" s="64">
        <f>SUM(U5:U13)</f>
        <v/>
      </c>
      <c r="V14" s="65">
        <f>U14/T14</f>
        <v/>
      </c>
      <c r="W14" s="66" t="inlineStr">
        <is>
          <t>G</t>
        </is>
      </c>
      <c r="X14" s="67">
        <f>SUM(X5:X13)</f>
        <v/>
      </c>
      <c r="Y14" s="64">
        <f>SUM(Y5:Y13)</f>
        <v/>
      </c>
      <c r="Z14" s="64">
        <f>SUM(Z5:Z13)</f>
        <v/>
      </c>
      <c r="AA14" s="65">
        <f>Z14/Y14</f>
        <v/>
      </c>
      <c r="AB14" s="66" t="inlineStr">
        <is>
          <t>G</t>
        </is>
      </c>
      <c r="AC14" s="67">
        <f>SUM(AC5:AC13)</f>
        <v/>
      </c>
      <c r="AD14" s="64">
        <f>SUM(AD5:AD13)</f>
        <v/>
      </c>
      <c r="AE14" s="64">
        <f>SUM(AE5:AE13)</f>
        <v/>
      </c>
      <c r="AF14" s="65">
        <f>AE14/AD14</f>
        <v/>
      </c>
      <c r="AG14" s="66" t="inlineStr">
        <is>
          <t>G</t>
        </is>
      </c>
      <c r="AH14" s="67">
        <f>SUM(AH5:AH13)</f>
        <v/>
      </c>
      <c r="AI14" s="64">
        <f>SUM(AI5:AI13)</f>
        <v/>
      </c>
      <c r="AJ14" s="64">
        <f>SUM(AJ5:AJ13)</f>
        <v/>
      </c>
      <c r="AK14" s="65">
        <f>AJ14/AI14</f>
        <v/>
      </c>
      <c r="AL14" s="69" t="inlineStr">
        <is>
          <t>G</t>
        </is>
      </c>
      <c r="AN14" s="63">
        <f>SUM(AN5:AN13)</f>
        <v/>
      </c>
      <c r="AO14" s="64">
        <f>SUM(AO5:AO13)</f>
        <v/>
      </c>
      <c r="AP14" s="64">
        <f>SUM(AP5:AP13)</f>
        <v/>
      </c>
      <c r="AQ14" s="70">
        <f>AP14/AO14</f>
        <v/>
      </c>
      <c r="AR14" s="69" t="inlineStr">
        <is>
          <t>G</t>
        </is>
      </c>
    </row>
    <row r="15" ht="24" customHeight="1" s="849">
      <c r="F15" s="71">
        <f>F14/E14</f>
        <v/>
      </c>
      <c r="I15" s="71">
        <f>I14/$D14</f>
        <v/>
      </c>
      <c r="J15" s="72" t="inlineStr">
        <is>
          <t>`</t>
        </is>
      </c>
      <c r="K15" s="71">
        <f>K14/J14</f>
        <v/>
      </c>
      <c r="L15" s="72" t="n"/>
      <c r="M15" s="72" t="n"/>
      <c r="N15" s="71">
        <f>N14/$D14</f>
        <v/>
      </c>
      <c r="O15" s="72" t="n"/>
      <c r="P15" s="71">
        <f>P14/O14</f>
        <v/>
      </c>
      <c r="Q15" s="72" t="n"/>
      <c r="R15" s="72" t="n"/>
      <c r="S15" s="71">
        <f>S14/$D14</f>
        <v/>
      </c>
      <c r="T15" s="72" t="n"/>
      <c r="U15" s="71">
        <f>U14/T14</f>
        <v/>
      </c>
      <c r="V15" s="72" t="n"/>
      <c r="W15" s="72" t="n"/>
      <c r="X15" s="71">
        <f>X14/$D14</f>
        <v/>
      </c>
      <c r="Z15" s="71">
        <f>Z14/Y14</f>
        <v/>
      </c>
      <c r="AC15" s="71">
        <f>AC14/$D14</f>
        <v/>
      </c>
      <c r="AD15" s="72" t="n"/>
      <c r="AE15" s="71">
        <f>AE14/AD14</f>
        <v/>
      </c>
      <c r="AF15" s="72" t="n"/>
      <c r="AG15" s="72" t="n"/>
      <c r="AH15" s="71">
        <f>AH14/$D14</f>
        <v/>
      </c>
      <c r="AI15" s="72" t="n"/>
      <c r="AJ15" s="71">
        <f>AJ14/AI14</f>
        <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
      </c>
      <c r="E21" s="34">
        <f>J21+AD21+AI21+Y21</f>
        <v/>
      </c>
      <c r="F21" s="34">
        <f>E21-D21</f>
        <v/>
      </c>
      <c r="G21" s="35">
        <f>IFERROR(F21/E21,"-")</f>
        <v/>
      </c>
      <c r="H21" s="49" t="inlineStr">
        <is>
          <t>R</t>
        </is>
      </c>
      <c r="I21" s="34" t="n">
        <v>82.08787687</v>
      </c>
      <c r="J21" s="34" t="n">
        <v>81.89486321</v>
      </c>
      <c r="K21" s="34">
        <f>J21-I21</f>
        <v/>
      </c>
      <c r="L21" s="35">
        <f>IFERROR(K21/J21,"-")</f>
        <v/>
      </c>
      <c r="M21" s="36" t="inlineStr">
        <is>
          <t>G</t>
        </is>
      </c>
      <c r="N21" s="34">
        <f>I21-S21</f>
        <v/>
      </c>
      <c r="O21" s="34">
        <f>J21-T21</f>
        <v/>
      </c>
      <c r="P21" s="34">
        <f>O21-N21</f>
        <v/>
      </c>
      <c r="Q21" s="35">
        <f>IFERROR(P21/O21,"-")</f>
        <v/>
      </c>
      <c r="R21" s="38" t="inlineStr">
        <is>
          <t>A</t>
        </is>
      </c>
      <c r="S21" s="34" t="n">
        <v>2.77744123</v>
      </c>
      <c r="T21" s="34" t="n">
        <v>3</v>
      </c>
      <c r="U21" s="34">
        <f>T21-S21</f>
        <v/>
      </c>
      <c r="V21" s="35">
        <f>IFERROR(U21/T21,"-")</f>
        <v/>
      </c>
      <c r="W21" s="36" t="inlineStr">
        <is>
          <t>G</t>
        </is>
      </c>
      <c r="X21" s="34" t="n">
        <v>5.68651106</v>
      </c>
      <c r="Y21" s="34" t="n">
        <v>5.80004988</v>
      </c>
      <c r="Z21" s="34">
        <f>Y21-X21</f>
        <v/>
      </c>
      <c r="AA21" s="35">
        <f>IFERROR(Z21/Y21,"-")</f>
        <v/>
      </c>
      <c r="AB21" s="36" t="inlineStr">
        <is>
          <t>G</t>
        </is>
      </c>
      <c r="AC21" s="34" t="n">
        <v>25.39577262</v>
      </c>
      <c r="AD21" s="34" t="n">
        <v>20.1966</v>
      </c>
      <c r="AE21" s="34">
        <f>AD21-AC21</f>
        <v/>
      </c>
      <c r="AF21" s="35">
        <f>IFERROR(AE21/AD21,"-")</f>
        <v/>
      </c>
      <c r="AG21" s="49" t="inlineStr">
        <is>
          <t>R</t>
        </is>
      </c>
      <c r="AH21" s="34" t="n">
        <v>4.78697983</v>
      </c>
      <c r="AI21" s="34" t="n">
        <v>4.868</v>
      </c>
      <c r="AJ21" s="34">
        <f>AI21-AH21</f>
        <v/>
      </c>
      <c r="AK21" s="35">
        <f>IFERROR(AJ21/AI21,"-")</f>
        <v/>
      </c>
      <c r="AL21" s="39" t="inlineStr">
        <is>
          <t>G</t>
        </is>
      </c>
      <c r="AM21" s="76">
        <f>I21+X21</f>
        <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
      </c>
      <c r="E22" s="41">
        <f>J22+AD22+AI22+Y22</f>
        <v/>
      </c>
      <c r="F22" s="41">
        <f>E22-D22</f>
        <v/>
      </c>
      <c r="G22" s="45">
        <f>IFERROR(F22/E22,"-")</f>
        <v/>
      </c>
      <c r="H22" s="37" t="inlineStr">
        <is>
          <t>G</t>
        </is>
      </c>
      <c r="I22" s="41" t="n">
        <v>53.465433886</v>
      </c>
      <c r="J22" s="41" t="n">
        <v>53.6714996190862</v>
      </c>
      <c r="K22" s="41">
        <f>J22-I22</f>
        <v/>
      </c>
      <c r="L22" s="45">
        <f>IFERROR(K22/J22,"-")</f>
        <v/>
      </c>
      <c r="M22" s="37" t="inlineStr">
        <is>
          <t>G</t>
        </is>
      </c>
      <c r="N22" s="34">
        <f>I22-S22</f>
        <v/>
      </c>
      <c r="O22" s="34">
        <f>J22-T22</f>
        <v/>
      </c>
      <c r="P22" s="41">
        <f>O22-N22</f>
        <v/>
      </c>
      <c r="Q22" s="45">
        <f>IFERROR(P22/O22,"-")</f>
        <v/>
      </c>
      <c r="R22" s="38" t="inlineStr">
        <is>
          <t>A</t>
        </is>
      </c>
      <c r="S22" s="41" t="n">
        <v>0</v>
      </c>
      <c r="T22" s="41" t="n">
        <v>1.44624</v>
      </c>
      <c r="U22" s="41">
        <f>T22-S22</f>
        <v/>
      </c>
      <c r="V22" s="45">
        <f>IFERROR(U22/T22,"-")</f>
        <v/>
      </c>
      <c r="W22" s="37" t="inlineStr">
        <is>
          <t>G</t>
        </is>
      </c>
      <c r="X22" s="41" t="n">
        <v>10.1614981916</v>
      </c>
      <c r="Y22" s="41" t="n">
        <v>11.3065205892871</v>
      </c>
      <c r="Z22" s="34">
        <f>Y22-X22</f>
        <v/>
      </c>
      <c r="AA22" s="45">
        <f>IFERROR(Z22/Y22,"-")</f>
        <v/>
      </c>
      <c r="AB22" s="37" t="inlineStr">
        <is>
          <t>G</t>
        </is>
      </c>
      <c r="AC22" s="41" t="n">
        <v>0</v>
      </c>
      <c r="AD22" s="41" t="n">
        <v>0</v>
      </c>
      <c r="AE22" s="41">
        <f>AD22-AC22</f>
        <v/>
      </c>
      <c r="AF22" s="45">
        <f>IFERROR(AE22/AD22,"-")</f>
        <v/>
      </c>
      <c r="AG22" s="46" t="n"/>
      <c r="AH22" s="41" t="n">
        <v>9.4814593996</v>
      </c>
      <c r="AI22" s="41" t="n">
        <v>11.72549384</v>
      </c>
      <c r="AJ22" s="41">
        <f>AI22-AH22</f>
        <v/>
      </c>
      <c r="AK22" s="45">
        <f>IFERROR(AJ22/AI22,"-")</f>
        <v/>
      </c>
      <c r="AL22" s="47" t="inlineStr">
        <is>
          <t>G</t>
        </is>
      </c>
      <c r="AM22" s="76">
        <f>I22+X22</f>
        <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
      </c>
      <c r="E23" s="41">
        <f>J23+AD23+AI23+Y23</f>
        <v/>
      </c>
      <c r="F23" s="41">
        <f>E23-D23</f>
        <v/>
      </c>
      <c r="G23" s="45">
        <f>IFERROR(F23/E23,"-")</f>
        <v/>
      </c>
      <c r="H23" s="37" t="inlineStr">
        <is>
          <t>G</t>
        </is>
      </c>
      <c r="I23" s="41" t="n">
        <v>18.0758203839394</v>
      </c>
      <c r="J23" s="41" t="n">
        <v>19.5173022039394</v>
      </c>
      <c r="K23" s="41">
        <f>J23-I23</f>
        <v/>
      </c>
      <c r="L23" s="45">
        <f>IFERROR(K23/J23,"-")</f>
        <v/>
      </c>
      <c r="M23" s="37" t="inlineStr">
        <is>
          <t>G</t>
        </is>
      </c>
      <c r="N23" s="34">
        <f>I23-S23</f>
        <v/>
      </c>
      <c r="O23" s="34">
        <f>J23-T23</f>
        <v/>
      </c>
      <c r="P23" s="41">
        <f>O23-N23</f>
        <v/>
      </c>
      <c r="Q23" s="45">
        <f>IFERROR(P23/O23,"-")</f>
        <v/>
      </c>
      <c r="R23" s="37" t="inlineStr">
        <is>
          <t>G</t>
        </is>
      </c>
      <c r="S23" s="41" t="n">
        <v>5.95380614362638</v>
      </c>
      <c r="T23" s="41" t="n">
        <v>5.86172092307692</v>
      </c>
      <c r="U23" s="41">
        <f>T23-S23</f>
        <v/>
      </c>
      <c r="V23" s="45">
        <f>IFERROR(U23/T23,"-")</f>
        <v/>
      </c>
      <c r="W23" s="38" t="inlineStr">
        <is>
          <t>A</t>
        </is>
      </c>
      <c r="X23" s="41" t="n"/>
      <c r="Y23" s="41" t="n"/>
      <c r="Z23" s="41">
        <f>Y23-X23</f>
        <v/>
      </c>
      <c r="AA23" s="45">
        <f>IFERROR(Z23/Y23,"-")</f>
        <v/>
      </c>
      <c r="AB23" s="46" t="n"/>
      <c r="AC23" s="41" t="n">
        <v>8.927315999999999</v>
      </c>
      <c r="AD23" s="41" t="n">
        <v>14.219208</v>
      </c>
      <c r="AE23" s="41">
        <f>AD23-AC23</f>
        <v/>
      </c>
      <c r="AF23" s="45">
        <f>IFERROR(AE23/AD23,"-")</f>
        <v/>
      </c>
      <c r="AG23" s="37" t="inlineStr">
        <is>
          <t>G</t>
        </is>
      </c>
      <c r="AH23" s="41" t="n">
        <v>5.76586117923077</v>
      </c>
      <c r="AI23" s="41" t="n">
        <v>6.79771284</v>
      </c>
      <c r="AJ23" s="41">
        <f>AI23-AH23</f>
        <v/>
      </c>
      <c r="AK23" s="45">
        <f>IFERROR(AJ23/AI23,"-")</f>
        <v/>
      </c>
      <c r="AL23" s="47" t="inlineStr">
        <is>
          <t>G</t>
        </is>
      </c>
    </row>
    <row r="24" ht="24" customFormat="1" customHeight="1" s="30">
      <c r="A24" s="30" t="inlineStr">
        <is>
          <t>Retail</t>
        </is>
      </c>
      <c r="B24" s="77" t="inlineStr">
        <is>
          <t>Retail</t>
        </is>
      </c>
      <c r="C24" s="44" t="inlineStr">
        <is>
          <t>Vance Anderson</t>
        </is>
      </c>
      <c r="D24" s="41">
        <f>I24+AC24+AH24+X24</f>
        <v/>
      </c>
      <c r="E24" s="41">
        <f>J24+AD24+AI24+Y24</f>
        <v/>
      </c>
      <c r="F24" s="41">
        <f>E24-D24</f>
        <v/>
      </c>
      <c r="G24" s="45">
        <f>IFERROR(F24/E24,"-")</f>
        <v/>
      </c>
      <c r="H24" s="38" t="inlineStr">
        <is>
          <t>A</t>
        </is>
      </c>
      <c r="I24" s="41" t="n">
        <v>15.23072269</v>
      </c>
      <c r="J24" s="41" t="n">
        <v>15.23585459</v>
      </c>
      <c r="K24" s="41">
        <f>J24-I24</f>
        <v/>
      </c>
      <c r="L24" s="45">
        <f>IFERROR(K24/J24,"-")</f>
        <v/>
      </c>
      <c r="M24" s="37" t="inlineStr">
        <is>
          <t>G</t>
        </is>
      </c>
      <c r="N24" s="34">
        <f>I24-S24</f>
        <v/>
      </c>
      <c r="O24" s="34">
        <f>J24-T24</f>
        <v/>
      </c>
      <c r="P24" s="41">
        <f>O24-N24</f>
        <v/>
      </c>
      <c r="Q24" s="45">
        <f>IFERROR(P24/O24,"-")</f>
        <v/>
      </c>
      <c r="R24" s="38" t="inlineStr">
        <is>
          <t>A</t>
        </is>
      </c>
      <c r="S24" s="41" t="n">
        <v>0.74963759</v>
      </c>
      <c r="T24" s="41" t="n">
        <v>1.31</v>
      </c>
      <c r="U24" s="41">
        <f>T24-S24</f>
        <v/>
      </c>
      <c r="V24" s="45">
        <f>IFERROR(U24/T24,"-")</f>
        <v/>
      </c>
      <c r="W24" s="37" t="inlineStr">
        <is>
          <t>G</t>
        </is>
      </c>
      <c r="X24" s="41" t="n"/>
      <c r="Y24" s="41" t="n"/>
      <c r="Z24" s="41">
        <f>Y24-X24</f>
        <v/>
      </c>
      <c r="AA24" s="45">
        <f>IFERROR(Z24/Y24,"-")</f>
        <v/>
      </c>
      <c r="AB24" s="46" t="n"/>
      <c r="AC24" s="41" t="n">
        <v>8.640000000000001</v>
      </c>
      <c r="AD24" s="41" t="n">
        <v>6.845</v>
      </c>
      <c r="AE24" s="41">
        <f>AD24-AC24</f>
        <v/>
      </c>
      <c r="AF24" s="45">
        <f>IFERROR(AE24/AD24,"-")</f>
        <v/>
      </c>
      <c r="AG24" s="49" t="inlineStr">
        <is>
          <t>R</t>
        </is>
      </c>
      <c r="AH24" s="41" t="n">
        <v>11.38963308</v>
      </c>
      <c r="AI24" s="41" t="n">
        <v>11.8</v>
      </c>
      <c r="AJ24" s="41">
        <f>AI24-AH24</f>
        <v/>
      </c>
      <c r="AK24" s="45">
        <f>IFERROR(AJ24/AI24,"-")</f>
        <v/>
      </c>
      <c r="AL24" s="47" t="inlineStr">
        <is>
          <t>G</t>
        </is>
      </c>
    </row>
    <row r="25" ht="24" customFormat="1" customHeight="1" s="30">
      <c r="A25" s="30" t="inlineStr">
        <is>
          <t>Energy Solutions</t>
        </is>
      </c>
      <c r="B25" s="77" t="inlineStr">
        <is>
          <t>Energy Solutions</t>
        </is>
      </c>
      <c r="C25" s="44" t="inlineStr">
        <is>
          <t>Roanne Steele</t>
        </is>
      </c>
      <c r="D25" s="41">
        <f>I25+AC25+AH25+X25</f>
        <v/>
      </c>
      <c r="E25" s="41">
        <f>J25+AD25+AI25+Y25</f>
        <v/>
      </c>
      <c r="F25" s="41">
        <f>E25-D25</f>
        <v/>
      </c>
      <c r="G25" s="45">
        <f>IFERROR(F25/E25,"-")</f>
        <v/>
      </c>
      <c r="H25" s="37" t="inlineStr">
        <is>
          <t>G</t>
        </is>
      </c>
      <c r="I25" s="41" t="n">
        <v>5.04409835</v>
      </c>
      <c r="J25" s="41" t="n">
        <v>5.01193945</v>
      </c>
      <c r="K25" s="41">
        <f>J25-I25</f>
        <v/>
      </c>
      <c r="L25" s="45">
        <f>IFERROR(K25/J25,"-")</f>
        <v/>
      </c>
      <c r="M25" s="38" t="inlineStr">
        <is>
          <t>A</t>
        </is>
      </c>
      <c r="N25" s="34">
        <f>I25-S25</f>
        <v/>
      </c>
      <c r="O25" s="34">
        <f>J25-T25</f>
        <v/>
      </c>
      <c r="P25" s="41">
        <f>O25-N25</f>
        <v/>
      </c>
      <c r="Q25" s="45">
        <f>IFERROR(P25/O25,"-")</f>
        <v/>
      </c>
      <c r="R25" s="49" t="inlineStr">
        <is>
          <t>R</t>
        </is>
      </c>
      <c r="S25" s="41" t="n">
        <v>0.50788272</v>
      </c>
      <c r="T25" s="41" t="n">
        <v>0.97</v>
      </c>
      <c r="U25" s="41">
        <f>T25-S25</f>
        <v/>
      </c>
      <c r="V25" s="45">
        <f>IFERROR(U25/T25,"-")</f>
        <v/>
      </c>
      <c r="W25" s="37" t="inlineStr">
        <is>
          <t>G</t>
        </is>
      </c>
      <c r="X25" s="41" t="n"/>
      <c r="Y25" s="41" t="n"/>
      <c r="Z25" s="41">
        <f>Y25-X25</f>
        <v/>
      </c>
      <c r="AA25" s="45">
        <f>IFERROR(Z25/Y25,"-")</f>
        <v/>
      </c>
      <c r="AB25" s="46" t="n"/>
      <c r="AC25" s="41" t="n"/>
      <c r="AD25" s="41" t="n"/>
      <c r="AE25" s="41">
        <f>AD25-AC25</f>
        <v/>
      </c>
      <c r="AF25" s="45">
        <f>IFERROR(AE25/AD25,"-")</f>
        <v/>
      </c>
      <c r="AG25" s="46" t="n"/>
      <c r="AH25" s="41" t="n">
        <v>2.786567658274</v>
      </c>
      <c r="AI25" s="41" t="n">
        <v>2.99758492</v>
      </c>
      <c r="AJ25" s="41">
        <f>AI25-AH25</f>
        <v/>
      </c>
      <c r="AK25" s="45">
        <f>IFERROR(AJ25/AI25,"-")</f>
        <v/>
      </c>
      <c r="AL25" s="47" t="inlineStr">
        <is>
          <t>G</t>
        </is>
      </c>
    </row>
    <row r="26" ht="24" customFormat="1" customHeight="1" s="30">
      <c r="A26" s="30" t="inlineStr">
        <is>
          <t>Infrastructure</t>
        </is>
      </c>
      <c r="B26" s="77" t="inlineStr">
        <is>
          <t>Infrastructure</t>
        </is>
      </c>
      <c r="C26" s="44" t="inlineStr">
        <is>
          <t>Roanne Steele</t>
        </is>
      </c>
      <c r="D26" s="41">
        <f>I26+AC26+AH26+X26</f>
        <v/>
      </c>
      <c r="E26" s="41">
        <f>J26+AD26+AI26+Y26</f>
        <v/>
      </c>
      <c r="F26" s="41">
        <f>E26-D26</f>
        <v/>
      </c>
      <c r="G26" s="45">
        <f>IFERROR(F26/E26,"-")</f>
        <v/>
      </c>
      <c r="H26" s="37" t="inlineStr">
        <is>
          <t>G</t>
        </is>
      </c>
      <c r="I26" s="41" t="n">
        <v>4.27497864</v>
      </c>
      <c r="J26" s="41" t="n">
        <v>4.357958</v>
      </c>
      <c r="K26" s="41">
        <f>J26-I26</f>
        <v/>
      </c>
      <c r="L26" s="45">
        <f>IFERROR(K26/J26,"-")</f>
        <v/>
      </c>
      <c r="M26" s="37" t="inlineStr">
        <is>
          <t>G</t>
        </is>
      </c>
      <c r="N26" s="34">
        <f>I26-S26</f>
        <v/>
      </c>
      <c r="O26" s="34">
        <f>J26-T26</f>
        <v/>
      </c>
      <c r="P26" s="41">
        <f>O26-N26</f>
        <v/>
      </c>
      <c r="Q26" s="45">
        <f>IFERROR(P26/O26,"-")</f>
        <v/>
      </c>
      <c r="R26" s="37" t="inlineStr">
        <is>
          <t>G</t>
        </is>
      </c>
      <c r="S26" s="41" t="n">
        <v>0.9739533</v>
      </c>
      <c r="T26" s="41" t="n">
        <v>0.763362</v>
      </c>
      <c r="U26" s="41">
        <f>T26-S26</f>
        <v/>
      </c>
      <c r="V26" s="45">
        <f>IFERROR(U26/T26,"-")</f>
        <v/>
      </c>
      <c r="W26" s="49" t="inlineStr">
        <is>
          <t>R</t>
        </is>
      </c>
      <c r="X26" s="41" t="n"/>
      <c r="Y26" s="41" t="n"/>
      <c r="Z26" s="41">
        <f>Y26-X26</f>
        <v/>
      </c>
      <c r="AA26" s="45">
        <f>IFERROR(Z26/Y26,"-")</f>
        <v/>
      </c>
      <c r="AB26" s="46" t="n"/>
      <c r="AC26" s="41" t="n"/>
      <c r="AD26" s="41" t="n"/>
      <c r="AE26" s="41">
        <f>AD26-AC26</f>
        <v/>
      </c>
      <c r="AF26" s="45">
        <f>IFERROR(AE26/AD26,"-")</f>
        <v/>
      </c>
      <c r="AG26" s="46" t="n"/>
      <c r="AH26" s="41" t="n">
        <v>4.1435685</v>
      </c>
      <c r="AI26" s="41" t="n">
        <v>4.89141796</v>
      </c>
      <c r="AJ26" s="41">
        <f>AI26-AH26</f>
        <v/>
      </c>
      <c r="AK26" s="45">
        <f>IFERROR(AJ26/AI26,"-")</f>
        <v/>
      </c>
      <c r="AL26" s="47" t="inlineStr">
        <is>
          <t>G</t>
        </is>
      </c>
    </row>
    <row r="27" ht="24" customFormat="1" customHeight="1" s="30">
      <c r="A27" s="30" t="inlineStr">
        <is>
          <t>Finance &amp; Other Corp</t>
        </is>
      </c>
      <c r="B27" s="77" t="inlineStr">
        <is>
          <t>Finance &amp; Other Corp</t>
        </is>
      </c>
      <c r="C27" s="44" t="inlineStr">
        <is>
          <t>Emily Mogic</t>
        </is>
      </c>
      <c r="D27" s="41">
        <f>I27+AC27+AH27+X27</f>
        <v/>
      </c>
      <c r="E27" s="41">
        <f>J27+AD27+AI27+Y27</f>
        <v/>
      </c>
      <c r="F27" s="41">
        <f>E27-D27</f>
        <v/>
      </c>
      <c r="G27" s="45">
        <f>IFERROR(F27/E27,"-")</f>
        <v/>
      </c>
      <c r="H27" s="49" t="inlineStr">
        <is>
          <t>R</t>
        </is>
      </c>
      <c r="I27" s="41" t="n">
        <v>5.27211191</v>
      </c>
      <c r="J27" s="41" t="n">
        <v>3.88077368</v>
      </c>
      <c r="K27" s="41">
        <f>J27-I27</f>
        <v/>
      </c>
      <c r="L27" s="45">
        <f>IFERROR(K27/J27,"-")</f>
        <v/>
      </c>
      <c r="M27" s="49" t="inlineStr">
        <is>
          <t>R</t>
        </is>
      </c>
      <c r="N27" s="34">
        <f>I27-S27</f>
        <v/>
      </c>
      <c r="O27" s="34">
        <f>J27-T27</f>
        <v/>
      </c>
      <c r="P27" s="41">
        <f>O27-N27</f>
        <v/>
      </c>
      <c r="Q27" s="45">
        <f>IFERROR(P27/O27,"-")</f>
        <v/>
      </c>
      <c r="R27" s="49" t="inlineStr">
        <is>
          <t>R</t>
        </is>
      </c>
      <c r="S27" s="41" t="n">
        <v>0.9132162700000001</v>
      </c>
      <c r="T27" s="41" t="n">
        <v>0.93548661</v>
      </c>
      <c r="U27" s="41">
        <f>T27-S27</f>
        <v/>
      </c>
      <c r="V27" s="45">
        <f>IFERROR(U27/T27,"-")</f>
        <v/>
      </c>
      <c r="W27" s="37" t="inlineStr">
        <is>
          <t>G</t>
        </is>
      </c>
      <c r="X27" s="41" t="n"/>
      <c r="Y27" s="41" t="n"/>
      <c r="Z27" s="41">
        <f>Y27-X27</f>
        <v/>
      </c>
      <c r="AA27" s="45">
        <f>IFERROR(Z27/Y27,"-")</f>
        <v/>
      </c>
      <c r="AB27" s="46" t="n"/>
      <c r="AC27" s="41" t="n"/>
      <c r="AD27" s="41" t="n"/>
      <c r="AE27" s="41">
        <f>AD27-AC27</f>
        <v/>
      </c>
      <c r="AF27" s="45">
        <f>IFERROR(AE27/AD27,"-")</f>
        <v/>
      </c>
      <c r="AG27" s="46" t="n"/>
      <c r="AH27" s="41" t="n">
        <v>0</v>
      </c>
      <c r="AI27" s="41" t="n">
        <v>0</v>
      </c>
      <c r="AJ27" s="41">
        <f>AI27-AH27</f>
        <v/>
      </c>
      <c r="AK27" s="45">
        <f>IFERROR(AJ27/AI27,"-")</f>
        <v/>
      </c>
      <c r="AL27" s="47" t="inlineStr">
        <is>
          <t>G</t>
        </is>
      </c>
    </row>
    <row r="28" ht="24" customFormat="1" customHeight="1" s="30">
      <c r="A28" s="30" t="inlineStr">
        <is>
          <t>People &amp; Culture</t>
        </is>
      </c>
      <c r="B28" s="77" t="inlineStr">
        <is>
          <t>P&amp;C</t>
        </is>
      </c>
      <c r="C28" s="44" t="inlineStr">
        <is>
          <t>Emily Mogic</t>
        </is>
      </c>
      <c r="D28" s="41">
        <f>I28+AC28+AH28+X28</f>
        <v/>
      </c>
      <c r="E28" s="41">
        <f>J28+AD28+AI28+Y28</f>
        <v/>
      </c>
      <c r="F28" s="41">
        <f>E28-D28</f>
        <v/>
      </c>
      <c r="G28" s="45">
        <f>IFERROR(F28/E28,"-")</f>
        <v/>
      </c>
      <c r="H28" s="37" t="inlineStr">
        <is>
          <t>G</t>
        </is>
      </c>
      <c r="I28" s="41" t="n">
        <v>3.85168615</v>
      </c>
      <c r="J28" s="41" t="n">
        <v>4.12303803</v>
      </c>
      <c r="K28" s="41">
        <f>J28-I28</f>
        <v/>
      </c>
      <c r="L28" s="45">
        <f>IFERROR(K28/J28,"-")</f>
        <v/>
      </c>
      <c r="M28" s="37" t="inlineStr">
        <is>
          <t>G</t>
        </is>
      </c>
      <c r="N28" s="34">
        <f>I28-S28</f>
        <v/>
      </c>
      <c r="O28" s="34">
        <f>J28-T28</f>
        <v/>
      </c>
      <c r="P28" s="41">
        <f>O28-N28</f>
        <v/>
      </c>
      <c r="Q28" s="45">
        <f>IFERROR(P28/O28,"-")</f>
        <v/>
      </c>
      <c r="R28" s="37" t="inlineStr">
        <is>
          <t>G</t>
        </is>
      </c>
      <c r="S28" s="41" t="n">
        <v>1.93955084601614</v>
      </c>
      <c r="T28" s="41" t="n">
        <v>1.975</v>
      </c>
      <c r="U28" s="41">
        <f>T28-S28</f>
        <v/>
      </c>
      <c r="V28" s="45">
        <f>IFERROR(U28/T28,"-")</f>
        <v/>
      </c>
      <c r="W28" s="37" t="inlineStr">
        <is>
          <t>G</t>
        </is>
      </c>
      <c r="X28" s="41" t="n"/>
      <c r="Y28" s="41" t="n"/>
      <c r="Z28" s="41">
        <f>Y28-X28</f>
        <v/>
      </c>
      <c r="AA28" s="45">
        <f>IFERROR(Z28/Y28,"-")</f>
        <v/>
      </c>
      <c r="AB28" s="46" t="n"/>
      <c r="AC28" s="41" t="n">
        <v>1.31153945</v>
      </c>
      <c r="AD28" s="41" t="n">
        <v>1.36</v>
      </c>
      <c r="AE28" s="41">
        <f>AD28-AC28</f>
        <v/>
      </c>
      <c r="AF28" s="45">
        <f>IFERROR(AE28/AD28,"-")</f>
        <v/>
      </c>
      <c r="AG28" s="37" t="inlineStr">
        <is>
          <t>G</t>
        </is>
      </c>
      <c r="AH28" s="41" t="n">
        <v>0.33</v>
      </c>
      <c r="AI28" s="41" t="n">
        <v>0.33</v>
      </c>
      <c r="AJ28" s="41">
        <f>AI28-AH28</f>
        <v/>
      </c>
      <c r="AK28" s="45">
        <f>IFERROR(AJ28/AI28,"-")</f>
        <v/>
      </c>
      <c r="AL28" s="47" t="inlineStr">
        <is>
          <t>G</t>
        </is>
      </c>
    </row>
    <row r="29" ht="24" customFormat="1" customHeight="1" s="30">
      <c r="A29" s="30" t="inlineStr">
        <is>
          <t>Customer</t>
        </is>
      </c>
      <c r="B29" s="78" t="inlineStr">
        <is>
          <t>Customer</t>
        </is>
      </c>
      <c r="C29" s="53" t="inlineStr">
        <is>
          <t>Harley Giles</t>
        </is>
      </c>
      <c r="D29" s="55">
        <f>I29+AC29+AH29+X29</f>
        <v/>
      </c>
      <c r="E29" s="55">
        <f>J29+AD29+AI29+Y29</f>
        <v/>
      </c>
      <c r="F29" s="55">
        <f>E29-D29</f>
        <v/>
      </c>
      <c r="G29" s="56">
        <f>IFERROR(F29/E29,"-")</f>
        <v/>
      </c>
      <c r="H29" s="57" t="inlineStr">
        <is>
          <t>G</t>
        </is>
      </c>
      <c r="I29" s="55" t="n">
        <v>2.74505002</v>
      </c>
      <c r="J29" s="55" t="n">
        <v>1.69153283</v>
      </c>
      <c r="K29" s="55">
        <f>J29-I29</f>
        <v/>
      </c>
      <c r="L29" s="56">
        <f>IFERROR(K29/J29,"-")</f>
        <v/>
      </c>
      <c r="M29" s="79" t="inlineStr">
        <is>
          <t>R</t>
        </is>
      </c>
      <c r="N29" s="58">
        <f>I29-S29</f>
        <v/>
      </c>
      <c r="O29" s="58">
        <f>J29-T29</f>
        <v/>
      </c>
      <c r="P29" s="55">
        <f>O29-N29</f>
        <v/>
      </c>
      <c r="Q29" s="56">
        <f>IFERROR(P29/O29,"-")</f>
        <v/>
      </c>
      <c r="R29" s="79" t="inlineStr">
        <is>
          <t>R</t>
        </is>
      </c>
      <c r="S29" s="55" t="n">
        <v>0</v>
      </c>
      <c r="T29" s="55" t="n">
        <v>0</v>
      </c>
      <c r="U29" s="55">
        <f>T29-S29</f>
        <v/>
      </c>
      <c r="V29" s="56">
        <f>IFERROR(U29/T29,"-")</f>
        <v/>
      </c>
      <c r="W29" s="59" t="n"/>
      <c r="X29" s="55" t="n"/>
      <c r="Y29" s="55" t="n"/>
      <c r="Z29" s="55">
        <f>Y29-X29</f>
        <v/>
      </c>
      <c r="AA29" s="56">
        <f>IFERROR(Z29/Y29,"-")</f>
        <v/>
      </c>
      <c r="AB29" s="59" t="n"/>
      <c r="AC29" s="55" t="n">
        <v>3.83238698</v>
      </c>
      <c r="AD29" s="55" t="n">
        <v>5.00000004</v>
      </c>
      <c r="AE29" s="55">
        <f>AD29-AC29</f>
        <v/>
      </c>
      <c r="AF29" s="56">
        <f>IFERROR(AE29/AD29,"-")</f>
        <v/>
      </c>
      <c r="AG29" s="80" t="inlineStr">
        <is>
          <t>G</t>
        </is>
      </c>
      <c r="AH29" s="55" t="n">
        <v>4.40634569</v>
      </c>
      <c r="AI29" s="55" t="n">
        <v>5</v>
      </c>
      <c r="AJ29" s="55">
        <f>AI29-AH29</f>
        <v/>
      </c>
      <c r="AK29" s="56">
        <f>IFERROR(AJ29/AI29,"-")</f>
        <v/>
      </c>
      <c r="AL29" s="60" t="inlineStr">
        <is>
          <t>G</t>
        </is>
      </c>
    </row>
    <row r="30" ht="26.25" customFormat="1" customHeight="1" s="61">
      <c r="B30" s="62" t="inlineStr">
        <is>
          <t>Total Technology</t>
        </is>
      </c>
      <c r="C30" s="62" t="n"/>
      <c r="D30" s="67">
        <f>SUM(D21:D29)</f>
        <v/>
      </c>
      <c r="E30" s="64">
        <f>SUM(E21:E29)</f>
        <v/>
      </c>
      <c r="F30" s="64">
        <f>SUM(F21:F29)</f>
        <v/>
      </c>
      <c r="G30" s="70">
        <f>F30/E30</f>
        <v/>
      </c>
      <c r="H30" s="66" t="inlineStr">
        <is>
          <t>G</t>
        </is>
      </c>
      <c r="I30" s="67">
        <f>SUM(I21:I29)</f>
        <v/>
      </c>
      <c r="J30" s="64">
        <f>SUM(J21:J29)</f>
        <v/>
      </c>
      <c r="K30" s="64">
        <f>SUM(K21:K29)</f>
        <v/>
      </c>
      <c r="L30" s="65">
        <f>K30/J30</f>
        <v/>
      </c>
      <c r="M30" s="68" t="inlineStr">
        <is>
          <t>A</t>
        </is>
      </c>
      <c r="N30" s="67">
        <f>SUM(N21:N29)</f>
        <v/>
      </c>
      <c r="O30" s="64">
        <f>SUM(O21:O29)</f>
        <v/>
      </c>
      <c r="P30" s="64">
        <f>SUM(P21:P29)</f>
        <v/>
      </c>
      <c r="Q30" s="65">
        <f>P30/O30</f>
        <v/>
      </c>
      <c r="R30" s="68" t="inlineStr">
        <is>
          <t>A</t>
        </is>
      </c>
      <c r="S30" s="67">
        <f>SUM(S21:S29)</f>
        <v/>
      </c>
      <c r="T30" s="64">
        <f>SUM(T21:T29)</f>
        <v/>
      </c>
      <c r="U30" s="64">
        <f>SUM(U21:U29)</f>
        <v/>
      </c>
      <c r="V30" s="65">
        <f>U30/T30</f>
        <v/>
      </c>
      <c r="W30" s="66" t="inlineStr">
        <is>
          <t>G</t>
        </is>
      </c>
      <c r="X30" s="67">
        <f>SUM(X21:X29)</f>
        <v/>
      </c>
      <c r="Y30" s="64">
        <f>SUM(Y21:Y29)</f>
        <v/>
      </c>
      <c r="Z30" s="64">
        <f>SUM(Z21:Z29)</f>
        <v/>
      </c>
      <c r="AA30" s="65">
        <f>Z30/Y30</f>
        <v/>
      </c>
      <c r="AB30" s="66" t="inlineStr">
        <is>
          <t>G</t>
        </is>
      </c>
      <c r="AC30" s="67">
        <f>SUM(AC21:AC29)</f>
        <v/>
      </c>
      <c r="AD30" s="64">
        <f>SUM(AD21:AD29)</f>
        <v/>
      </c>
      <c r="AE30" s="64">
        <f>SUM(AE21:AE29)</f>
        <v/>
      </c>
      <c r="AF30" s="65">
        <f>AE30/AD30</f>
        <v/>
      </c>
      <c r="AG30" s="68" t="inlineStr">
        <is>
          <t>A</t>
        </is>
      </c>
      <c r="AH30" s="67">
        <f>SUM(AH21:AH29)</f>
        <v/>
      </c>
      <c r="AI30" s="64">
        <f>SUM(AI21:AI29)</f>
        <v/>
      </c>
      <c r="AJ30" s="64">
        <f>SUM(AJ21:AJ29)</f>
        <v/>
      </c>
      <c r="AK30" s="65">
        <f>AJ30/AI30</f>
        <v/>
      </c>
      <c r="AL30" s="69" t="inlineStr">
        <is>
          <t>G</t>
        </is>
      </c>
    </row>
    <row r="31" ht="15.75" customHeight="1" s="849">
      <c r="I31" s="71">
        <f>I30/$D30</f>
        <v/>
      </c>
      <c r="J31" s="72" t="n"/>
      <c r="K31" s="72" t="n"/>
      <c r="L31" s="72" t="n"/>
      <c r="M31" s="72" t="n"/>
      <c r="N31" s="71">
        <f>N30/$D30</f>
        <v/>
      </c>
      <c r="O31" s="72" t="n"/>
      <c r="P31" s="72" t="n"/>
      <c r="Q31" s="72" t="n"/>
      <c r="R31" s="72" t="n"/>
      <c r="S31" s="71">
        <f>S30/$D30</f>
        <v/>
      </c>
      <c r="T31" s="72" t="n"/>
      <c r="U31" s="72" t="n"/>
      <c r="V31" s="72" t="n"/>
      <c r="W31" s="72" t="n"/>
      <c r="X31" s="71">
        <f>X30/$D30</f>
        <v/>
      </c>
      <c r="AC31" s="71">
        <f>AC30/$D30</f>
        <v/>
      </c>
      <c r="AD31" s="72" t="n"/>
      <c r="AE31" s="72" t="n"/>
      <c r="AF31" s="72" t="n"/>
      <c r="AG31" s="72" t="n"/>
      <c r="AH31" s="71">
        <f>AH30/$D30</f>
        <v/>
      </c>
      <c r="AI31" s="72" t="n"/>
      <c r="AJ31" s="72" t="n"/>
      <c r="AK31" s="72" t="n"/>
      <c r="AL31" s="72" t="n"/>
    </row>
    <row r="32">
      <c r="AO32" s="81">
        <f>E30-297</f>
        <v/>
      </c>
    </row>
    <row r="35" ht="38.25" customHeight="1" s="849">
      <c r="B35" s="82" t="n"/>
      <c r="C35" s="82" t="n"/>
      <c r="D35" s="861">
        <f>D3</f>
        <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
      </c>
      <c r="E37" s="40">
        <f>O14</f>
        <v/>
      </c>
      <c r="F37" s="41">
        <f>E37-D37</f>
        <v/>
      </c>
      <c r="G37" s="45">
        <f>IFERROR(F37/E37,"-")</f>
        <v/>
      </c>
      <c r="H37" s="88" t="inlineStr">
        <is>
          <t>A</t>
        </is>
      </c>
      <c r="I37" s="40">
        <f>N30</f>
        <v/>
      </c>
      <c r="J37" s="40">
        <f>O30</f>
        <v/>
      </c>
      <c r="K37" s="41">
        <f>J37-I37</f>
        <v/>
      </c>
      <c r="L37" s="45">
        <f>IFERROR(K37/J37,"-")</f>
        <v/>
      </c>
      <c r="M37" s="88" t="inlineStr">
        <is>
          <t>A</t>
        </is>
      </c>
    </row>
    <row r="38" ht="19.5" customHeight="1" s="849">
      <c r="B38" s="89" t="inlineStr">
        <is>
          <t>Depreciation</t>
        </is>
      </c>
      <c r="C38" s="89" t="n"/>
      <c r="D38" s="54">
        <f>X14</f>
        <v/>
      </c>
      <c r="E38" s="55">
        <f>Y14</f>
        <v/>
      </c>
      <c r="F38" s="55">
        <f>E38-D38</f>
        <v/>
      </c>
      <c r="G38" s="56">
        <f>IFERROR(F38/E38,"-")</f>
        <v/>
      </c>
      <c r="H38" s="60" t="inlineStr">
        <is>
          <t>G</t>
        </is>
      </c>
      <c r="I38" s="54">
        <f>X30</f>
        <v/>
      </c>
      <c r="J38" s="55">
        <f>Y30</f>
        <v/>
      </c>
      <c r="K38" s="55">
        <f>J38-I38</f>
        <v/>
      </c>
      <c r="L38" s="56">
        <f>IFERROR(K38/J38,"-")</f>
        <v/>
      </c>
      <c r="M38" s="60" t="inlineStr">
        <is>
          <t>G</t>
        </is>
      </c>
    </row>
    <row r="39" ht="19.5" customHeight="1" s="849">
      <c r="B39" s="90" t="inlineStr">
        <is>
          <t>Lights on + Depreciation</t>
        </is>
      </c>
      <c r="C39" s="90" t="n"/>
      <c r="D39" s="91">
        <f>SUM(D37:D38)</f>
        <v/>
      </c>
      <c r="E39" s="92">
        <f>SUM(E37:E38)</f>
        <v/>
      </c>
      <c r="F39" s="92">
        <f>SUM(F37:F38)</f>
        <v/>
      </c>
      <c r="G39" s="93">
        <f>IFERROR(F39/E39,"-")</f>
        <v/>
      </c>
      <c r="H39" s="94" t="inlineStr">
        <is>
          <t>A</t>
        </is>
      </c>
      <c r="I39" s="91">
        <f>SUM(I37:I38)</f>
        <v/>
      </c>
      <c r="J39" s="92">
        <f>SUM(J37:J38)</f>
        <v/>
      </c>
      <c r="K39" s="92">
        <f>SUM(K37:K38)</f>
        <v/>
      </c>
      <c r="L39" s="93">
        <f>IFERROR(K39/J39,"-")</f>
        <v/>
      </c>
      <c r="M39" s="94" t="inlineStr">
        <is>
          <t>A</t>
        </is>
      </c>
    </row>
    <row r="40" ht="19.5" customHeight="1" s="849">
      <c r="B40" s="87" t="inlineStr">
        <is>
          <t>Opex Initiatives</t>
        </is>
      </c>
      <c r="C40" s="87" t="n"/>
      <c r="D40" s="33">
        <f>S14</f>
        <v/>
      </c>
      <c r="E40" s="34">
        <f>T14</f>
        <v/>
      </c>
      <c r="F40" s="34">
        <f>E40-D40</f>
        <v/>
      </c>
      <c r="G40" s="35">
        <f>IFERROR(F40/E40,"-")</f>
        <v/>
      </c>
      <c r="H40" s="39" t="inlineStr">
        <is>
          <t>G</t>
        </is>
      </c>
      <c r="I40" s="33">
        <f>S30</f>
        <v/>
      </c>
      <c r="J40" s="34">
        <f>T30</f>
        <v/>
      </c>
      <c r="K40" s="34">
        <f>J40-I40</f>
        <v/>
      </c>
      <c r="L40" s="35">
        <f>IFERROR(K40/J40,"-")</f>
        <v/>
      </c>
      <c r="M40" s="39" t="inlineStr">
        <is>
          <t>G</t>
        </is>
      </c>
    </row>
    <row r="41" ht="19.5" customHeight="1" s="849">
      <c r="B41" s="95" t="inlineStr">
        <is>
          <t>Capex</t>
        </is>
      </c>
      <c r="C41" s="87" t="n"/>
      <c r="D41" s="40">
        <f>AH14</f>
        <v/>
      </c>
      <c r="E41" s="41">
        <f>AI14</f>
        <v/>
      </c>
      <c r="F41" s="41">
        <f>E41-D41</f>
        <v/>
      </c>
      <c r="G41" s="45">
        <f>IFERROR(F41/E41,"-")</f>
        <v/>
      </c>
      <c r="H41" s="47" t="inlineStr">
        <is>
          <t>G</t>
        </is>
      </c>
      <c r="I41" s="40">
        <f>AH30</f>
        <v/>
      </c>
      <c r="J41" s="41">
        <f>AI30</f>
        <v/>
      </c>
      <c r="K41" s="41">
        <f>J41-I41</f>
        <v/>
      </c>
      <c r="L41" s="45">
        <f>IFERROR(K41/J41,"-")</f>
        <v/>
      </c>
      <c r="M41" s="47" t="inlineStr">
        <is>
          <t>G</t>
        </is>
      </c>
    </row>
    <row r="42" ht="19.5" customHeight="1" s="849">
      <c r="B42" s="96" t="inlineStr">
        <is>
          <t>Significant Items</t>
        </is>
      </c>
      <c r="C42" s="89" t="n"/>
      <c r="D42" s="54">
        <f>AC14</f>
        <v/>
      </c>
      <c r="E42" s="55">
        <f>AD14</f>
        <v/>
      </c>
      <c r="F42" s="55">
        <f>E42-D42</f>
        <v/>
      </c>
      <c r="G42" s="56">
        <f>IFERROR(F42/E42,"-")</f>
        <v/>
      </c>
      <c r="H42" s="60" t="inlineStr">
        <is>
          <t>G</t>
        </is>
      </c>
      <c r="I42" s="54">
        <f>AC30</f>
        <v/>
      </c>
      <c r="J42" s="55">
        <f>AD30</f>
        <v/>
      </c>
      <c r="K42" s="55">
        <f>J42-I42</f>
        <v/>
      </c>
      <c r="L42" s="56">
        <f>IFERROR(K42/J42,"-")</f>
        <v/>
      </c>
      <c r="M42" s="42" t="inlineStr">
        <is>
          <t>A</t>
        </is>
      </c>
    </row>
    <row r="43" ht="19.5" customHeight="1" s="849">
      <c r="B43" s="90" t="inlineStr">
        <is>
          <t>Projects</t>
        </is>
      </c>
      <c r="C43" s="90" t="n"/>
      <c r="D43" s="91">
        <f>SUM(D40:D42)</f>
        <v/>
      </c>
      <c r="E43" s="92">
        <f>SUM(E40:E42)</f>
        <v/>
      </c>
      <c r="F43" s="92">
        <f>SUM(F40:F42)</f>
        <v/>
      </c>
      <c r="G43" s="93">
        <f>IFERROR(F43/E43,"-")</f>
        <v/>
      </c>
      <c r="H43" s="97" t="inlineStr">
        <is>
          <t>G</t>
        </is>
      </c>
      <c r="I43" s="91">
        <f>SUM(I40:I42)</f>
        <v/>
      </c>
      <c r="J43" s="92">
        <f>SUM(J40:J42)</f>
        <v/>
      </c>
      <c r="K43" s="92">
        <f>SUM(K40:K42)</f>
        <v/>
      </c>
      <c r="L43" s="93">
        <f>IFERROR(K43/J43,"-")</f>
        <v/>
      </c>
      <c r="M43" s="97" t="inlineStr">
        <is>
          <t>G</t>
        </is>
      </c>
    </row>
    <row r="44" ht="19.5" customHeight="1" s="849">
      <c r="B44" s="98" t="inlineStr">
        <is>
          <t>Total Technology</t>
        </is>
      </c>
      <c r="C44" s="98" t="n"/>
      <c r="D44" s="91">
        <f>SUM(D43,D39)</f>
        <v/>
      </c>
      <c r="E44" s="92">
        <f>SUM(E43,E39)</f>
        <v/>
      </c>
      <c r="F44" s="92">
        <f>SUM(F43,F39)</f>
        <v/>
      </c>
      <c r="G44" s="93">
        <f>IFERROR(F44/E44,"-")</f>
        <v/>
      </c>
      <c r="H44" s="97" t="inlineStr">
        <is>
          <t>G</t>
        </is>
      </c>
      <c r="I44" s="91">
        <f>SUM(I43,I39)</f>
        <v/>
      </c>
      <c r="J44" s="92">
        <f>SUM(J43,J39)</f>
        <v/>
      </c>
      <c r="K44" s="92">
        <f>SUM(K43,K39)</f>
        <v/>
      </c>
      <c r="L44" s="93">
        <f>IFERROR(K44/J44,"-")</f>
        <v/>
      </c>
      <c r="M44" s="97" t="inlineStr">
        <is>
          <t>G</t>
        </is>
      </c>
    </row>
    <row r="47" ht="38.25" customHeight="1" s="849">
      <c r="B47" s="863" t="inlineStr">
        <is>
          <t>SPEND CATEGORY</t>
        </is>
      </c>
      <c r="C47" s="99" t="n"/>
      <c r="D47" s="861">
        <f>D3</f>
        <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
      </c>
      <c r="E49" s="40">
        <f>J14+Y14</f>
        <v/>
      </c>
      <c r="F49" s="41">
        <f>E49-D49</f>
        <v/>
      </c>
      <c r="G49" s="45">
        <f>IFERROR(F49/E49,"-")</f>
        <v/>
      </c>
      <c r="H49" s="47" t="inlineStr">
        <is>
          <t>G</t>
        </is>
      </c>
      <c r="I49" s="40">
        <f>I30+X30</f>
        <v/>
      </c>
      <c r="J49" s="40">
        <f>J30+Y30</f>
        <v/>
      </c>
      <c r="K49" s="41">
        <f>J49-I49</f>
        <v/>
      </c>
      <c r="L49" s="45">
        <f>IFERROR(K49/J49,"-")</f>
        <v/>
      </c>
      <c r="M49" s="47" t="inlineStr">
        <is>
          <t>G</t>
        </is>
      </c>
    </row>
    <row r="50" ht="19.5" customHeight="1" s="849">
      <c r="B50" s="89" t="inlineStr">
        <is>
          <t>Significant Items</t>
        </is>
      </c>
      <c r="C50" s="89" t="n"/>
      <c r="D50" s="40">
        <f>AC14</f>
        <v/>
      </c>
      <c r="E50" s="40">
        <f>AD14</f>
        <v/>
      </c>
      <c r="F50" s="41">
        <f>E50-D50</f>
        <v/>
      </c>
      <c r="G50" s="45">
        <f>IFERROR(F50/E50,"-")</f>
        <v/>
      </c>
      <c r="H50" s="47" t="inlineStr">
        <is>
          <t>G</t>
        </is>
      </c>
      <c r="I50" s="40">
        <f>AC30</f>
        <v/>
      </c>
      <c r="J50" s="40">
        <f>AD30</f>
        <v/>
      </c>
      <c r="K50" s="41">
        <f>J50-I50</f>
        <v/>
      </c>
      <c r="L50" s="45">
        <f>IFERROR(K50/J50,"-")</f>
        <v/>
      </c>
      <c r="M50" s="88" t="inlineStr">
        <is>
          <t>A</t>
        </is>
      </c>
    </row>
    <row r="51" ht="19.5" customHeight="1" s="849">
      <c r="B51" s="89" t="inlineStr">
        <is>
          <t>Capex</t>
        </is>
      </c>
      <c r="C51" s="89" t="n"/>
      <c r="D51" s="40">
        <f>AH14</f>
        <v/>
      </c>
      <c r="E51" s="40">
        <f>AI14</f>
        <v/>
      </c>
      <c r="F51" s="41">
        <f>E51-D51</f>
        <v/>
      </c>
      <c r="G51" s="45">
        <f>IFERROR(F51/E51,"-")</f>
        <v/>
      </c>
      <c r="H51" s="47" t="inlineStr">
        <is>
          <t>G</t>
        </is>
      </c>
      <c r="I51" s="40">
        <f>AH30</f>
        <v/>
      </c>
      <c r="J51" s="40">
        <f>AI30</f>
        <v/>
      </c>
      <c r="K51" s="41">
        <f>J51-I51</f>
        <v/>
      </c>
      <c r="L51" s="45">
        <f>IFERROR(K51/J51,"-")</f>
        <v/>
      </c>
      <c r="M51" s="47" t="inlineStr">
        <is>
          <t>G</t>
        </is>
      </c>
    </row>
    <row r="52" ht="19.5" customHeight="1" s="849">
      <c r="B52" s="98" t="inlineStr">
        <is>
          <t>Total Technology</t>
        </is>
      </c>
      <c r="C52" s="98" t="n"/>
      <c r="D52" s="91">
        <f>SUM(D49:D51)</f>
        <v/>
      </c>
      <c r="E52" s="91">
        <f>SUM(E49:E51)</f>
        <v/>
      </c>
      <c r="F52" s="91">
        <f>SUM(F49:F51)</f>
        <v/>
      </c>
      <c r="G52" s="93">
        <f>IFERROR(F52/E52,"-")</f>
        <v/>
      </c>
      <c r="H52" s="97" t="inlineStr">
        <is>
          <t>G</t>
        </is>
      </c>
      <c r="I52" s="91">
        <f>SUM(I49:I51)</f>
        <v/>
      </c>
      <c r="J52" s="91">
        <f>SUM(J49:J51)</f>
        <v/>
      </c>
      <c r="K52" s="91">
        <f>SUM(K49:K51)</f>
        <v/>
      </c>
      <c r="L52" s="93">
        <f>IFERROR(K52/J52,"-")</f>
        <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
      </c>
      <c r="J5" s="101" t="n"/>
      <c r="K5" s="101" t="n"/>
      <c r="L5" s="583" t="n"/>
      <c r="M5" s="583" t="n"/>
      <c r="N5" s="583" t="n"/>
      <c r="O5" s="583" t="n"/>
    </row>
    <row r="6">
      <c r="B6" s="8" t="inlineStr">
        <is>
          <t>Portfolio Overhead (see 0.2 Data Config)</t>
        </is>
      </c>
      <c r="C6" s="551">
        <f>IF(('0.2 Data Config'!$D$11)&gt;('0.2 Data Config'!$C$11),0,'0.2 Data Config'!$L$10)</f>
        <v/>
      </c>
      <c r="D6" s="551">
        <f>IF(('0.2 Data Config'!$D$11)&gt;('0.2 Data Config'!$C$11),'0.2 Data Config'!$L$10,0)</f>
        <v/>
      </c>
      <c r="E6" s="551">
        <f>0</f>
        <v/>
      </c>
      <c r="F6" s="551">
        <f>C6+D6+E6</f>
        <v/>
      </c>
      <c r="H6" s="563" t="inlineStr">
        <is>
          <t>AU Budget ($m)</t>
        </is>
      </c>
      <c r="I6" s="551">
        <f>'0.2 Data Config'!$C$11</f>
        <v/>
      </c>
      <c r="J6" s="101" t="n"/>
      <c r="K6" s="101" t="n"/>
      <c r="L6" s="583" t="n"/>
      <c r="M6" s="583" t="n"/>
      <c r="N6" s="583" t="n"/>
      <c r="O6" s="583" t="n"/>
    </row>
    <row r="7">
      <c r="B7" s="8" t="inlineStr">
        <is>
          <t>Platform Overheads</t>
        </is>
      </c>
      <c r="C7" s="551">
        <f>IF(('0.2 Data Config'!$D$11)&gt;('0.2 Data Config'!$C$11),0,SUM(I28,I35,I48,I54,I60))</f>
        <v/>
      </c>
      <c r="D7" s="551">
        <f>IF(('0.2 Data Config'!$D$11)&gt;('0.2 Data Config'!$C$11),SUM(I28,I35,I48,I54,I60),0)</f>
        <v/>
      </c>
      <c r="E7" s="551">
        <f>0</f>
        <v/>
      </c>
      <c r="F7" s="551">
        <f>C7+D7+E7</f>
        <v/>
      </c>
      <c r="H7" s="584" t="inlineStr">
        <is>
          <t>NZ Budget ($m)</t>
        </is>
      </c>
      <c r="I7" s="585">
        <f>'0.2 Data Config'!$D$11</f>
        <v/>
      </c>
      <c r="J7" s="101" t="n"/>
      <c r="K7" s="101" t="n"/>
      <c r="L7" s="583" t="n"/>
      <c r="M7" s="583" t="n"/>
      <c r="N7" s="583" t="n"/>
      <c r="O7" s="583" t="n"/>
    </row>
    <row r="8">
      <c r="B8" s="8" t="inlineStr">
        <is>
          <t>Squad Support Costs</t>
        </is>
      </c>
      <c r="C8" s="551">
        <f>SUMIF(F24:F27,"AU",I24:I27)+SUMIF(F33:F33,"AU",I33:I33)+SUMIF(F47:F47,"AU",I47:I47)+SUMIF(F53:F53,"AU",I53:I53)+SUMIF(F59:F59,"AU",I59:I59)+SUMIF(F65:F65,"AU",I65:I65)</f>
        <v/>
      </c>
      <c r="D8" s="551">
        <f>SUMIF(F24:F27,"NZ",I24:I27)+SUMIF(F33:F33,"NZ",I33:I33)+SUMIF(F47:F47,"NZ",I47:I47)+SUMIF(F53:F53,"NZ",I53:I53)+SUMIF(F59:F59,"NZ",I59:I59)+SUMIF(F65:F65,"NZ",I65:I65)</f>
        <v/>
      </c>
      <c r="E8" s="551">
        <f>SUM(J24,J25,J26,J27,J33,J34,J47,J53,J59,J65)</f>
        <v/>
      </c>
      <c r="F8" s="551">
        <f>C8+D8+E8</f>
        <v/>
      </c>
      <c r="H8" s="626" t="inlineStr">
        <is>
          <t>AU Variance ($m)</t>
        </is>
      </c>
      <c r="I8" s="892">
        <f>I6-C9</f>
        <v/>
      </c>
      <c r="J8" s="101" t="n"/>
      <c r="K8" s="101"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
      </c>
      <c r="F13" s="547" t="n"/>
      <c r="G13" s="101" t="n"/>
      <c r="H13" s="8" t="inlineStr">
        <is>
          <t>Retail Lights On</t>
        </is>
      </c>
      <c r="I13" s="586">
        <f>'0.1 Budget Table (Fin)'!L9</f>
        <v/>
      </c>
      <c r="J13" s="587">
        <f>'0.1 Budget Table (Fin)'!G9</f>
        <v/>
      </c>
      <c r="K13" s="9">
        <f>IFERROR(I13-J13,0)</f>
        <v/>
      </c>
      <c r="L13" s="583" t="n"/>
      <c r="M13" s="583" t="n"/>
      <c r="N13" s="583" t="n"/>
      <c r="O13" s="583" t="n"/>
    </row>
    <row r="14">
      <c r="B14" s="101" t="n"/>
      <c r="C14" s="101" t="n"/>
      <c r="D14" s="101" t="n"/>
      <c r="E14" s="101" t="n"/>
      <c r="F14" s="547" t="n"/>
      <c r="G14" s="101" t="n"/>
      <c r="H14" s="8" t="inlineStr">
        <is>
          <t>OpEx Initiatives</t>
        </is>
      </c>
      <c r="I14" s="201">
        <f>'0.1 Budget Table (Fin)'!N9</f>
        <v/>
      </c>
      <c r="J14" s="207" t="n">
        <v>0</v>
      </c>
      <c r="K14" s="9">
        <f>IFERROR(I14-J14,0)</f>
        <v/>
      </c>
      <c r="L14" s="583" t="n"/>
      <c r="M14" s="583" t="n"/>
      <c r="N14" s="583" t="n"/>
      <c r="O14" s="583" t="n"/>
    </row>
    <row r="15">
      <c r="B15" s="415" t="inlineStr">
        <is>
          <t>Total to fund</t>
        </is>
      </c>
      <c r="C15" s="416" t="n"/>
      <c r="D15" s="101" t="n"/>
      <c r="E15" s="101" t="n"/>
      <c r="F15" s="547" t="n"/>
      <c r="G15" s="101" t="n"/>
      <c r="H15" s="8" t="inlineStr">
        <is>
          <t>Retail CapEx</t>
        </is>
      </c>
      <c r="I15" s="201">
        <f>'0.1 Budget Table (Fin)'!P9</f>
        <v/>
      </c>
      <c r="J15" s="207" t="n">
        <v>5.26</v>
      </c>
      <c r="K15" s="9">
        <f>IFERROR(I15-J15,0)</f>
        <v/>
      </c>
      <c r="L15" s="583" t="n"/>
      <c r="M15" s="583" t="n"/>
      <c r="N15" s="583" t="n"/>
      <c r="O15" s="583" t="n"/>
    </row>
    <row r="16">
      <c r="B16" s="417" t="inlineStr">
        <is>
          <t>TDD Variance</t>
        </is>
      </c>
      <c r="C16" s="894">
        <f>-(I8+I9)</f>
        <v/>
      </c>
      <c r="D16" s="101" t="n"/>
      <c r="E16" s="101" t="n"/>
      <c r="F16" s="547" t="n"/>
      <c r="G16" s="101" t="n"/>
      <c r="H16" s="8" t="inlineStr">
        <is>
          <t>Significant Items</t>
        </is>
      </c>
      <c r="I16" s="201">
        <f>'0.1 Budget Table (Fin)'!O9</f>
        <v/>
      </c>
      <c r="J16" s="588">
        <f>J47</f>
        <v/>
      </c>
      <c r="K16" s="9">
        <f>IFERROR(I16-J16,0)</f>
        <v/>
      </c>
      <c r="L16" s="583" t="n"/>
      <c r="M16" s="583" t="n"/>
      <c r="N16" s="583" t="n"/>
      <c r="O16" s="583" t="n"/>
    </row>
    <row r="17">
      <c r="B17" s="417" t="inlineStr">
        <is>
          <t>Other Variance</t>
        </is>
      </c>
      <c r="C17" s="894">
        <f>J20</f>
        <v/>
      </c>
      <c r="D17" s="101" t="n"/>
      <c r="E17" s="101" t="n"/>
      <c r="F17" s="547" t="n"/>
      <c r="G17" s="101" t="n"/>
      <c r="H17" s="8" t="inlineStr">
        <is>
          <t>Significant Items EGI</t>
        </is>
      </c>
      <c r="I17" s="201" t="n"/>
      <c r="J17" s="588">
        <f>J65</f>
        <v/>
      </c>
      <c r="K17" s="9" t="n"/>
      <c r="L17" s="583" t="n"/>
      <c r="M17" s="583" t="n"/>
      <c r="N17" s="583" t="n"/>
      <c r="O17" s="583" t="n"/>
    </row>
    <row r="18">
      <c r="B18" s="419" t="inlineStr">
        <is>
          <t>Total</t>
        </is>
      </c>
      <c r="C18" s="895">
        <f>C16+C17</f>
        <v/>
      </c>
      <c r="D18" s="101" t="n"/>
      <c r="E18" s="101" t="n"/>
      <c r="F18" s="547" t="n"/>
      <c r="G18" s="101" t="n"/>
      <c r="H18" s="8" t="inlineStr">
        <is>
          <t>Total applied</t>
        </is>
      </c>
      <c r="I18" s="201" t="n"/>
      <c r="J18" s="588">
        <f>SUM(J13:J17)</f>
        <v/>
      </c>
      <c r="K18" s="9" t="n"/>
      <c r="L18" s="583" t="n"/>
      <c r="M18" s="583" t="n"/>
      <c r="N18" s="583" t="n"/>
      <c r="O18" s="583" t="n"/>
    </row>
    <row r="19">
      <c r="B19" s="101" t="n"/>
      <c r="C19" s="101" t="n"/>
      <c r="D19" s="101" t="n"/>
      <c r="E19" s="101" t="n"/>
      <c r="F19" s="547" t="n"/>
      <c r="G19" s="101" t="n"/>
      <c r="H19" s="8" t="inlineStr">
        <is>
          <t>Other cost (this model)</t>
        </is>
      </c>
      <c r="I19" s="201" t="n"/>
      <c r="J19" s="588">
        <f>E9</f>
        <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
      </c>
      <c r="I24" s="9">
        <f>IFERROR($H24*$G24,"")</f>
        <v/>
      </c>
      <c r="J24" s="9">
        <f>IFERROR($H24*(1-$G24),"")</f>
        <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
      </c>
      <c r="I27" s="9">
        <f>IFERROR($H27*$G27,"")</f>
        <v/>
      </c>
      <c r="J27" s="9">
        <f>IFERROR($H27*(1-$G27),"")</f>
        <v/>
      </c>
      <c r="K27" s="101" t="n"/>
      <c r="L27" s="559" t="n"/>
      <c r="M27" s="583" t="n"/>
      <c r="N27" s="583" t="n"/>
      <c r="O27" s="583" t="n"/>
    </row>
    <row r="28">
      <c r="B28" s="454" t="inlineStr">
        <is>
          <t>Platform Overhead</t>
        </is>
      </c>
      <c r="C28" s="209" t="n"/>
      <c r="D28" s="200" t="n"/>
      <c r="E28" s="200" t="n"/>
      <c r="F28" s="547" t="n"/>
      <c r="G28" s="200" t="n"/>
      <c r="H28" s="200" t="n"/>
      <c r="I28" s="201">
        <f>'0.2 Data Config'!$L$16</f>
        <v/>
      </c>
      <c r="J28" s="200" t="n"/>
      <c r="K28" s="101" t="n"/>
      <c r="L28" s="583" t="n"/>
      <c r="M28" s="583" t="n"/>
      <c r="N28" s="583" t="n"/>
      <c r="O28" s="583" t="n"/>
    </row>
    <row r="29">
      <c r="B29" s="202" t="inlineStr">
        <is>
          <t>Store Operations Total</t>
        </is>
      </c>
      <c r="D29" s="209" t="n"/>
      <c r="E29" s="209" t="n"/>
      <c r="F29" s="547" t="n"/>
      <c r="G29" s="209" t="n"/>
      <c r="H29" s="203">
        <f>SUM(H24:H27)</f>
        <v/>
      </c>
      <c r="I29" s="203">
        <f>SUM(I24:I28)</f>
        <v/>
      </c>
      <c r="J29" s="203">
        <f>SUM(J24:J27)</f>
        <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
      </c>
      <c r="I33" s="9">
        <f>IFERROR($H33*$G33,"")</f>
        <v/>
      </c>
      <c r="J33" s="9">
        <f>IFERROR($H33*(1-$G33),"")</f>
        <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
      </c>
      <c r="J35" s="200" t="n"/>
      <c r="K35" s="101" t="n"/>
      <c r="L35" s="583" t="n"/>
      <c r="M35" s="583" t="n"/>
      <c r="N35" s="583" t="n"/>
      <c r="O35" s="583" t="n"/>
    </row>
    <row r="36">
      <c r="B36" s="202" t="inlineStr">
        <is>
          <t>Above Store Total</t>
        </is>
      </c>
      <c r="C36" s="209" t="n"/>
      <c r="D36" s="209" t="n"/>
      <c r="E36" s="209" t="n"/>
      <c r="F36" s="547" t="n"/>
      <c r="G36" s="209" t="n"/>
      <c r="H36" s="203">
        <f>SUM(H33:H34)</f>
        <v/>
      </c>
      <c r="I36" s="203">
        <f>SUM(I33:I35)</f>
        <v/>
      </c>
      <c r="J36" s="203">
        <f>SUM(J33:J34)</f>
        <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
      </c>
      <c r="J47" s="9">
        <f>IFERROR($H47*(1-$G47),"")</f>
        <v/>
      </c>
      <c r="K47" s="101" t="n"/>
      <c r="L47" s="559" t="n"/>
      <c r="M47" s="583" t="inlineStr">
        <is>
          <t>7 FTE in AmPOS</t>
        </is>
      </c>
      <c r="N47" s="570">
        <f>"People in this program today cost "&amp;TEXT(SUMIFS('Added data'!$AA:$AA,'Added data'!$AE:$AE,$B47)/1000000,"0.00")&amp;"m. Set the agreed cost in the yellow cell."</f>
        <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
      </c>
      <c r="I49" s="203">
        <f>SUM(I47:I48)</f>
        <v/>
      </c>
      <c r="J49" s="203">
        <f>SUM(J47:J47)</f>
        <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
      </c>
      <c r="I53" s="9">
        <f>IFERROR($H53*$G53,"")</f>
        <v/>
      </c>
      <c r="J53" s="9">
        <f>IFERROR($H53*(1-$G53),"")</f>
        <v/>
      </c>
      <c r="K53" s="101" t="n"/>
      <c r="L53" s="559" t="n"/>
      <c r="M53" s="583" t="n"/>
      <c r="N53" s="583" t="n"/>
      <c r="O53" s="583" t="n"/>
    </row>
    <row r="54">
      <c r="B54" s="454" t="inlineStr">
        <is>
          <t>Platform Overhead</t>
        </is>
      </c>
      <c r="C54" s="200" t="n"/>
      <c r="D54" s="200" t="n"/>
      <c r="E54" s="200" t="n"/>
      <c r="F54" s="547" t="n"/>
      <c r="G54" s="200" t="n"/>
      <c r="H54" s="200" t="n"/>
      <c r="I54" s="201">
        <f>'0.2 Data Config'!$L$16</f>
        <v/>
      </c>
      <c r="J54" s="200" t="n"/>
      <c r="K54" s="101" t="n"/>
      <c r="L54" s="583" t="n"/>
      <c r="M54" s="583" t="n"/>
      <c r="N54" s="583" t="n"/>
      <c r="O54" s="583" t="n"/>
    </row>
    <row r="55">
      <c r="B55" s="202" t="inlineStr">
        <is>
          <t>Network / QSR Total</t>
        </is>
      </c>
      <c r="C55" s="209" t="n"/>
      <c r="D55" s="209" t="n"/>
      <c r="E55" s="209" t="n"/>
      <c r="F55" s="547" t="n"/>
      <c r="G55" s="209" t="n"/>
      <c r="H55" s="203">
        <f>SUM(H53:H53)</f>
        <v/>
      </c>
      <c r="I55" s="203">
        <f>SUM(I53:I54)</f>
        <v/>
      </c>
      <c r="J55" s="203">
        <f>SUM(J53:J53)</f>
        <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
      </c>
      <c r="I59" s="9">
        <f>IFERROR($H59*$G59,"")</f>
        <v/>
      </c>
      <c r="J59" s="9">
        <f>IFERROR($H59*(1-$G59),"")</f>
        <v/>
      </c>
      <c r="K59" s="583" t="n"/>
      <c r="L59" s="559" t="n"/>
      <c r="M59" s="583" t="n"/>
      <c r="N59" s="583" t="n"/>
      <c r="O59" s="583" t="n"/>
    </row>
    <row r="60">
      <c r="B60" s="454" t="inlineStr">
        <is>
          <t>Platform Overhead</t>
        </is>
      </c>
      <c r="C60" s="200" t="n"/>
      <c r="D60" s="200" t="n"/>
      <c r="E60" s="200" t="n"/>
      <c r="F60" s="547" t="n"/>
      <c r="G60" s="200" t="n"/>
      <c r="H60" s="200" t="n"/>
      <c r="I60" s="201">
        <f>'0.2 Data Config'!$L$16</f>
        <v/>
      </c>
      <c r="J60" s="200" t="n"/>
      <c r="K60" s="583" t="n"/>
      <c r="L60" s="583" t="n"/>
      <c r="M60" s="583" t="n"/>
      <c r="N60" s="583" t="n"/>
      <c r="O60" s="583" t="n"/>
    </row>
    <row r="61">
      <c r="B61" s="202" t="inlineStr">
        <is>
          <t>Data AU Total</t>
        </is>
      </c>
      <c r="C61" s="209" t="n"/>
      <c r="D61" s="209" t="n"/>
      <c r="E61" s="209" t="n"/>
      <c r="F61" s="547" t="n"/>
      <c r="G61" s="209" t="n"/>
      <c r="H61" s="203">
        <f>SUM(H59:H59)</f>
        <v/>
      </c>
      <c r="I61" s="203">
        <f>SUM(I59:I60)</f>
        <v/>
      </c>
      <c r="J61" s="203">
        <f>SUM(J59:J59)</f>
        <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
      </c>
      <c r="J65" s="9">
        <f>IFERROR($H65*(1-$G65),"")</f>
        <v/>
      </c>
      <c r="K65" s="583" t="n"/>
      <c r="L65" s="559" t="n"/>
      <c r="M65" s="583" t="n"/>
      <c r="N65" s="570">
        <f>"People in this program today cost "&amp;TEXT(SUMIFS('Added data'!$AA:$AA,'Added data'!$AE:$AE,$B65)/1000000,"0.00")&amp;"m. Set the agreed cost in the yellow cell."</f>
        <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
      </c>
      <c r="I67" s="203">
        <f>SUM(I65:I65)</f>
        <v/>
      </c>
      <c r="J67" s="203">
        <f>SUM(J65:J65)</f>
        <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
      </c>
      <c r="J5" s="583" t="n"/>
      <c r="K5" s="583" t="n"/>
      <c r="L5" s="583" t="n"/>
      <c r="M5" s="583" t="n"/>
      <c r="N5" s="583" t="n"/>
      <c r="O5" s="583" t="n"/>
    </row>
    <row r="6">
      <c r="B6" s="8" t="inlineStr">
        <is>
          <t>Portfolio Overhead (see 0.2 Data Config)</t>
        </is>
      </c>
      <c r="C6" s="551">
        <f>IF(('0.2 Data Config'!$D$13+'0.2 Data Config'!$D$14)&gt;('0.2 Data Config'!$C$13+'0.2 Data Config'!$C$14),0,'0.2 Data Config'!$L$10)</f>
        <v/>
      </c>
      <c r="D6" s="551">
        <f>IF(('0.2 Data Config'!$D$13+'0.2 Data Config'!$D$14)&gt;('0.2 Data Config'!$C$13+'0.2 Data Config'!$C$14),'0.2 Data Config'!$L$10,0)</f>
        <v/>
      </c>
      <c r="E6" s="551">
        <f>0</f>
        <v/>
      </c>
      <c r="F6" s="551">
        <f>C6+D6+E6</f>
        <v/>
      </c>
      <c r="H6" s="563" t="inlineStr">
        <is>
          <t>AU Budget ($m)</t>
        </is>
      </c>
      <c r="I6" s="551">
        <f>'0.2 Data Config'!$C$13+'0.2 Data Config'!$C$14</f>
        <v/>
      </c>
      <c r="J6" s="583" t="n"/>
      <c r="K6" s="583" t="n"/>
      <c r="L6" s="583" t="n"/>
      <c r="M6" s="583" t="n"/>
      <c r="N6" s="583" t="n"/>
      <c r="O6" s="583" t="n"/>
    </row>
    <row r="7">
      <c r="B7" s="8" t="inlineStr">
        <is>
          <t>Platform Overheads</t>
        </is>
      </c>
      <c r="C7" s="551">
        <f>IF(('0.2 Data Config'!$D$13+'0.2 Data Config'!$D$14)&gt;('0.2 Data Config'!$C$13+'0.2 Data Config'!$C$14),0,SUM(I33,I41,I48))</f>
        <v/>
      </c>
      <c r="D7" s="551">
        <f>IF(('0.2 Data Config'!$D$13+'0.2 Data Config'!$D$14)&gt;('0.2 Data Config'!$C$13+'0.2 Data Config'!$C$14),SUM(I33,I41,I48),0)</f>
        <v/>
      </c>
      <c r="E7" s="551">
        <f>0</f>
        <v/>
      </c>
      <c r="F7" s="551">
        <f>C7+D7+E7</f>
        <v/>
      </c>
      <c r="H7" s="584" t="inlineStr">
        <is>
          <t>NZ Budget ($m)</t>
        </is>
      </c>
      <c r="I7" s="585">
        <f>'0.2 Data Config'!$D$13+'0.2 Data Config'!$D$14</f>
        <v/>
      </c>
      <c r="J7" s="583" t="n"/>
      <c r="K7" s="583" t="n"/>
      <c r="L7" s="583" t="n"/>
      <c r="M7" s="583" t="n"/>
      <c r="N7" s="583" t="n"/>
      <c r="O7" s="583" t="n"/>
    </row>
    <row r="8">
      <c r="B8" s="8" t="inlineStr">
        <is>
          <t>Squad Support Costs</t>
        </is>
      </c>
      <c r="C8" s="551">
        <f>SUMIF(F30:F32,"AU",I30:I32)+SUMIF(F38:F40,"AU",I38:I40)+SUMIF(F46:F47,"AU",I46:I47)+SUMIF(F53:F53,"AU",I53:I53)</f>
        <v/>
      </c>
      <c r="D8" s="551">
        <f>SUMIF(F30:F32,"NZ",I30:I32)+SUMIF(F38:F40,"NZ",I38:I40)+SUMIF(F46:F47,"NZ",I46:I47)+SUMIF(F53:F53,"NZ",I53:I53)</f>
        <v/>
      </c>
      <c r="E8" s="551">
        <f>SUM(J30,J31,J32,J38,J39,J40,J46,J47,J53)</f>
        <v/>
      </c>
      <c r="F8" s="551">
        <f>C8+D8+E8</f>
        <v/>
      </c>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
      </c>
      <c r="F13" s="547" t="n"/>
      <c r="G13" s="583" t="n"/>
      <c r="H13" s="8" t="inlineStr">
        <is>
          <t>Customer Lights On</t>
        </is>
      </c>
      <c r="I13" s="201">
        <f>'0.1 Budget Table (Fin)'!L13</f>
        <v/>
      </c>
      <c r="J13" s="587">
        <f>'0.1 Budget Table (Fin)'!G13</f>
        <v/>
      </c>
      <c r="K13" s="9">
        <f>IFERROR(I13-J13,0)</f>
        <v/>
      </c>
      <c r="L13" s="593" t="inlineStr">
        <is>
          <t>Agreed by / date</t>
        </is>
      </c>
      <c r="M13" s="583" t="n"/>
      <c r="N13" s="583" t="n"/>
      <c r="O13" s="583" t="n"/>
    </row>
    <row r="14">
      <c r="F14" s="547" t="n"/>
      <c r="G14" s="583" t="n"/>
      <c r="H14" s="8" t="inlineStr">
        <is>
          <t>OpEx Initiatives</t>
        </is>
      </c>
      <c r="I14" s="201">
        <f>'0.1 Budget Table (Fin)'!N13</f>
        <v/>
      </c>
      <c r="J14" s="207" t="n">
        <v>0</v>
      </c>
      <c r="K14" s="9">
        <f>IFERROR(I14-J14,0)</f>
        <v/>
      </c>
      <c r="L14" s="594" t="n"/>
      <c r="M14" s="583" t="n"/>
      <c r="N14" s="583" t="n"/>
      <c r="O14" s="583" t="n"/>
    </row>
    <row r="15">
      <c r="B15" s="415" t="inlineStr">
        <is>
          <t>Total to fund</t>
        </is>
      </c>
      <c r="C15" s="416" t="n"/>
      <c r="F15" s="547" t="n"/>
      <c r="G15" s="583" t="n"/>
      <c r="H15" s="8" t="inlineStr">
        <is>
          <t>CapEx</t>
        </is>
      </c>
      <c r="I15" s="201">
        <f>'0.1 Budget Table (Fin)'!P13</f>
        <v/>
      </c>
      <c r="J15" s="207" t="n">
        <v>2</v>
      </c>
      <c r="K15" s="9">
        <f>IFERROR(I15-J15,0)</f>
        <v/>
      </c>
      <c r="L15" s="594" t="n"/>
      <c r="M15" s="583" t="n"/>
      <c r="N15" s="583" t="n"/>
      <c r="O15" s="583" t="n"/>
    </row>
    <row r="16">
      <c r="B16" s="417" t="inlineStr">
        <is>
          <t>TDD Variance</t>
        </is>
      </c>
      <c r="C16" s="894">
        <f>-(I8+I9)</f>
        <v/>
      </c>
      <c r="F16" s="547" t="n"/>
      <c r="G16" s="583" t="n"/>
      <c r="H16" s="8" t="inlineStr">
        <is>
          <t>Significant Items EGI</t>
        </is>
      </c>
      <c r="I16" s="201" t="n"/>
      <c r="J16" s="588">
        <f>J53</f>
        <v/>
      </c>
      <c r="K16" s="9" t="n"/>
      <c r="L16" s="594" t="n"/>
      <c r="M16" s="583" t="n"/>
      <c r="N16" s="583" t="n"/>
      <c r="O16" s="583" t="n"/>
    </row>
    <row r="17">
      <c r="B17" s="417" t="inlineStr">
        <is>
          <t>Other Variance</t>
        </is>
      </c>
      <c r="C17" s="894">
        <f>J25</f>
        <v/>
      </c>
      <c r="F17" s="547" t="n"/>
      <c r="G17" s="583" t="n"/>
      <c r="H17" s="8" t="inlineStr">
        <is>
          <t xml:space="preserve">Significant Items </t>
        </is>
      </c>
      <c r="I17" s="201">
        <f>'0.1 Budget Table (Fin)'!O13</f>
        <v/>
      </c>
      <c r="J17" s="207" t="n">
        <v>2</v>
      </c>
      <c r="K17" s="9">
        <f>IFERROR(I17-J17,0)</f>
        <v/>
      </c>
      <c r="L17" s="594" t="n"/>
      <c r="M17" s="583" t="n"/>
      <c r="N17" s="583" t="n"/>
      <c r="O17" s="583" t="n"/>
    </row>
    <row r="18">
      <c r="B18" s="419" t="inlineStr">
        <is>
          <t>Total</t>
        </is>
      </c>
      <c r="C18" s="895">
        <f>C16+C17</f>
        <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
      </c>
      <c r="J22" s="207" t="n">
        <v>0</v>
      </c>
      <c r="K22" s="9">
        <f>IFERROR(I22-J22,0)</f>
        <v/>
      </c>
      <c r="L22" s="594" t="n"/>
      <c r="M22" s="583" t="n"/>
      <c r="N22" s="583" t="n"/>
      <c r="O22" s="583" t="n"/>
    </row>
    <row r="23">
      <c r="F23" s="547" t="n"/>
      <c r="G23" s="583" t="n"/>
      <c r="H23" s="208" t="inlineStr">
        <is>
          <t>Total applied</t>
        </is>
      </c>
      <c r="I23" s="583" t="n"/>
      <c r="J23" s="21">
        <f>SUM(J13:J22)</f>
        <v/>
      </c>
      <c r="K23" s="583" t="n"/>
      <c r="L23" s="583" t="n"/>
      <c r="M23" s="583" t="n"/>
      <c r="N23" s="583" t="n"/>
      <c r="O23" s="583" t="n"/>
    </row>
    <row r="24">
      <c r="F24" s="547" t="n"/>
      <c r="G24" s="583" t="n"/>
      <c r="H24" s="8" t="inlineStr">
        <is>
          <t>Other cost (this model)</t>
        </is>
      </c>
      <c r="I24" s="583" t="n"/>
      <c r="J24" s="9">
        <f>E9</f>
        <v/>
      </c>
      <c r="K24" s="583" t="n"/>
      <c r="L24" s="583" t="n"/>
      <c r="M24" s="583" t="n"/>
      <c r="N24" s="583" t="n"/>
      <c r="O24" s="583" t="n"/>
    </row>
    <row r="25">
      <c r="F25" s="547" t="n"/>
      <c r="G25" s="583" t="n"/>
      <c r="H25" s="202" t="inlineStr">
        <is>
          <t>Left to fund</t>
        </is>
      </c>
      <c r="I25" s="202" t="n"/>
      <c r="J25" s="203">
        <f>E9-(J23-J13)</f>
        <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
      </c>
      <c r="I30" s="9">
        <f>IFERROR($H30*$G30,"")</f>
        <v/>
      </c>
      <c r="J30" s="9">
        <f>IFERROR($H30*(1-$G30),"")</f>
        <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
      </c>
      <c r="I31" s="9">
        <f>IFERROR($H31*$G31,"")</f>
        <v/>
      </c>
      <c r="J31" s="9">
        <f>IFERROR($H31*(1-$G31),"")</f>
        <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
      </c>
      <c r="I32" s="9">
        <f>IFERROR($H32*$G32,"")</f>
        <v/>
      </c>
      <c r="J32" s="9">
        <f>IFERROR($H32*(1-$G32),"")</f>
        <v/>
      </c>
      <c r="K32" s="583" t="n">
        <v>6</v>
      </c>
      <c r="L32" s="583" t="n"/>
      <c r="M32" s="559" t="n"/>
      <c r="N32" s="583" t="n"/>
      <c r="O32" s="583" t="n"/>
    </row>
    <row r="33">
      <c r="B33" s="454" t="inlineStr">
        <is>
          <t>Platform Overhead</t>
        </is>
      </c>
      <c r="F33" s="547" t="n"/>
      <c r="G33" s="583" t="n"/>
      <c r="H33" s="583" t="n"/>
      <c r="I33" s="201">
        <f>'0.2 Data Config'!$L$16</f>
        <v/>
      </c>
      <c r="J33" s="583" t="n"/>
      <c r="K33" s="583" t="n"/>
      <c r="L33" s="583" t="n"/>
      <c r="M33" s="583" t="n"/>
      <c r="N33" s="583" t="n"/>
      <c r="O33" s="583" t="n"/>
    </row>
    <row r="34">
      <c r="B34" s="202" t="inlineStr">
        <is>
          <t>Ampol Digital Total</t>
        </is>
      </c>
      <c r="C34" s="209" t="n"/>
      <c r="D34" s="209" t="n"/>
      <c r="E34" s="209" t="n"/>
      <c r="F34" s="547" t="n"/>
      <c r="G34" s="209" t="n"/>
      <c r="H34" s="466">
        <f>SUM(H30:H32)</f>
        <v/>
      </c>
      <c r="I34" s="203">
        <f>SUM(I30:I33)</f>
        <v/>
      </c>
      <c r="J34" s="203">
        <f>SUM(J30:J32)</f>
        <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
      </c>
      <c r="I38" s="9">
        <f>IFERROR($H38*$G38,"")</f>
        <v/>
      </c>
      <c r="J38" s="9">
        <f>IFERROR($H38*(1-$G38),"")</f>
        <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
      </c>
      <c r="I39" s="9">
        <f>IFERROR($H39*$G39,"")</f>
        <v/>
      </c>
      <c r="J39" s="9">
        <f>IFERROR($H39*(1-$G39),"")</f>
        <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
      </c>
      <c r="I40" s="9">
        <f>IFERROR($H40*$G40,"")</f>
        <v/>
      </c>
      <c r="J40" s="9">
        <f>IFERROR($H40*(1-$G40),"")</f>
        <v/>
      </c>
      <c r="K40" s="583" t="n"/>
      <c r="L40" s="583" t="n"/>
      <c r="M40" s="559" t="n"/>
      <c r="N40" s="583" t="n"/>
      <c r="O40" s="583" t="n"/>
    </row>
    <row r="41">
      <c r="B41" s="454" t="inlineStr">
        <is>
          <t>Platform Overhead</t>
        </is>
      </c>
      <c r="F41" s="547" t="n"/>
      <c r="G41" s="583" t="n"/>
      <c r="H41" s="583" t="n"/>
      <c r="I41" s="201">
        <f>'0.2 Data Config'!$L$16</f>
        <v/>
      </c>
      <c r="J41" s="583" t="n"/>
      <c r="K41" s="583" t="n"/>
      <c r="L41" s="583" t="n"/>
      <c r="M41" s="583" t="n"/>
      <c r="N41" s="583" t="n"/>
      <c r="O41" s="583" t="n"/>
    </row>
    <row r="42">
      <c r="B42" s="202" t="inlineStr">
        <is>
          <t>Customer Z Total</t>
        </is>
      </c>
      <c r="C42" s="209" t="n"/>
      <c r="D42" s="209" t="n"/>
      <c r="E42" s="209" t="n"/>
      <c r="F42" s="547" t="n"/>
      <c r="G42" s="209" t="n"/>
      <c r="H42" s="203">
        <f>SUM(H38:H40)</f>
        <v/>
      </c>
      <c r="I42" s="203">
        <f>SUM(I38:I41)</f>
        <v/>
      </c>
      <c r="J42" s="203">
        <f>SUM(J38:J40)</f>
        <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
      </c>
      <c r="I46" s="218">
        <f>IFERROR($H46*$G46,"")</f>
        <v/>
      </c>
      <c r="J46" s="218">
        <f>IFERROR($H46*(1-$G46),"")</f>
        <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
      </c>
      <c r="I47" s="218">
        <f>IFERROR($H47*$G47,"")</f>
        <v/>
      </c>
      <c r="J47" s="218">
        <f>IFERROR($H47*(1-$G47),"")</f>
        <v/>
      </c>
      <c r="K47" s="583" t="n"/>
      <c r="L47" s="583" t="n"/>
      <c r="M47" s="559" t="n"/>
      <c r="N47" s="583" t="n"/>
      <c r="O47" s="583" t="n"/>
    </row>
    <row r="48">
      <c r="B48" s="468" t="inlineStr">
        <is>
          <t>Platform Overhead</t>
        </is>
      </c>
      <c r="C48" s="200" t="n"/>
      <c r="D48" s="200" t="n"/>
      <c r="E48" s="200" t="n"/>
      <c r="F48" s="547" t="n"/>
      <c r="G48" s="200" t="n"/>
      <c r="H48" s="595" t="n"/>
      <c r="I48" s="217">
        <f>'0.2 Data Config'!$L$16</f>
        <v/>
      </c>
      <c r="J48" s="595" t="n"/>
      <c r="K48" s="583" t="n"/>
      <c r="L48" s="583" t="n"/>
      <c r="M48" s="583" t="n"/>
      <c r="N48" s="583" t="n"/>
      <c r="O48" s="583" t="n"/>
    </row>
    <row r="49">
      <c r="B49" s="221" t="inlineStr">
        <is>
          <t>Group Customer Platforms Total</t>
        </is>
      </c>
      <c r="C49" s="209" t="n"/>
      <c r="D49" s="209" t="n"/>
      <c r="E49" s="209" t="n"/>
      <c r="F49" s="547" t="n"/>
      <c r="G49" s="209" t="n"/>
      <c r="H49" s="222">
        <f>SUM(H46:H47)</f>
        <v/>
      </c>
      <c r="I49" s="222">
        <f>SUM(I46:I48)</f>
        <v/>
      </c>
      <c r="J49" s="222">
        <f>SUM(J46:J47)</f>
        <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
      </c>
      <c r="J53" s="218">
        <f>IFERROR($H53*(1-$G53),"")</f>
        <v/>
      </c>
      <c r="K53" s="583" t="n">
        <v>9</v>
      </c>
      <c r="L53" s="583" t="inlineStr">
        <is>
          <t>EGI completely separate funded by EGI not within sig items budget</t>
        </is>
      </c>
      <c r="M53" s="559" t="n"/>
      <c r="N53" s="570">
        <f>"People in this program today cost "&amp;TEXT(SUMIFS('Added data'!$AA:$AA,'Added data'!$AE:$AE,$B53)/1000000,"0.00")&amp;"m. Set the agreed cost in the yellow cell."</f>
        <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
      </c>
      <c r="I55" s="222">
        <f>SUM(I53:I53)</f>
        <v/>
      </c>
      <c r="J55" s="222">
        <f>SUM(J53:J53)</f>
        <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
      </c>
      <c r="J5" s="583" t="n"/>
      <c r="K5" s="583" t="n"/>
      <c r="L5" s="583" t="n"/>
      <c r="M5" s="583" t="n"/>
    </row>
    <row r="6">
      <c r="B6" s="8" t="inlineStr">
        <is>
          <t>Portfolio Overhead (see 0.2 Data Config)</t>
        </is>
      </c>
      <c r="C6" s="551">
        <f>IF(('0.2 Data Config'!$D$22)&gt;('0.2 Data Config'!$C$22),0,'0.2 Data Config'!$L$10)</f>
        <v/>
      </c>
      <c r="D6" s="551">
        <f>IF(('0.2 Data Config'!$D$22)&gt;('0.2 Data Config'!$C$22),'0.2 Data Config'!$L$10,0)</f>
        <v/>
      </c>
      <c r="E6" s="551">
        <f>0</f>
        <v/>
      </c>
      <c r="F6" s="551">
        <f>C6+D6+E6</f>
        <v/>
      </c>
      <c r="H6" s="563" t="inlineStr">
        <is>
          <t>AU Budget ($m)</t>
        </is>
      </c>
      <c r="I6" s="551">
        <f>'0.2 Data Config'!$C$22</f>
        <v/>
      </c>
      <c r="J6" s="583" t="n"/>
      <c r="K6" s="583" t="n"/>
      <c r="L6" s="583" t="n"/>
      <c r="M6" s="583" t="n"/>
    </row>
    <row r="7">
      <c r="B7" s="8" t="inlineStr">
        <is>
          <t>Platform Overheads</t>
        </is>
      </c>
      <c r="C7" s="551">
        <f>IF(('0.2 Data Config'!$D$22)&gt;('0.2 Data Config'!$C$22),0,SUM(I30))</f>
        <v/>
      </c>
      <c r="D7" s="551">
        <f>IF(('0.2 Data Config'!$D$22)&gt;('0.2 Data Config'!$C$22),SUM(I30),0)</f>
        <v/>
      </c>
      <c r="E7" s="551">
        <f>0</f>
        <v/>
      </c>
      <c r="F7" s="551">
        <f>C7+D7+E7</f>
        <v/>
      </c>
      <c r="H7" s="584" t="inlineStr">
        <is>
          <t>NZ Budget ($m)</t>
        </is>
      </c>
      <c r="I7" s="585">
        <f>'0.2 Data Config'!$D$22</f>
        <v/>
      </c>
      <c r="J7" s="583" t="n"/>
      <c r="K7" s="583" t="n"/>
      <c r="L7" s="583" t="n"/>
      <c r="M7" s="583" t="n"/>
    </row>
    <row r="8">
      <c r="B8" s="8" t="inlineStr">
        <is>
          <t>Squad Support Costs</t>
        </is>
      </c>
      <c r="C8" s="551">
        <f>SUMIF(F25:F29,"AU",I25:I29)</f>
        <v/>
      </c>
      <c r="D8" s="551">
        <f>SUMIF(F25:F29,"NZ",I25:I29)</f>
        <v/>
      </c>
      <c r="E8" s="551">
        <f>SUM(J25,J26,J27,J28,J29)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
      </c>
      <c r="D15" s="547" t="n"/>
      <c r="F15" s="547" t="n"/>
      <c r="G15" s="583" t="n"/>
      <c r="H15" s="202" t="inlineStr">
        <is>
          <t>Left to fund</t>
        </is>
      </c>
      <c r="I15" s="217" t="n"/>
      <c r="J15" s="203">
        <f>J13-J14</f>
        <v/>
      </c>
      <c r="K15" s="218" t="n"/>
      <c r="L15" s="583" t="n"/>
      <c r="M15" s="583" t="n"/>
    </row>
    <row r="16">
      <c r="B16" s="417" t="inlineStr">
        <is>
          <t>Other Variance</t>
        </is>
      </c>
      <c r="C16" s="894">
        <f>J15</f>
        <v/>
      </c>
      <c r="D16" s="547" t="n"/>
      <c r="F16" s="547" t="n"/>
      <c r="G16" s="583" t="n"/>
      <c r="H16" s="214" t="n"/>
      <c r="I16" s="217" t="n"/>
      <c r="J16" s="224" t="n"/>
      <c r="K16" s="218" t="n"/>
      <c r="L16" s="583" t="n"/>
      <c r="M16" s="583" t="n"/>
    </row>
    <row r="17">
      <c r="B17" s="419" t="inlineStr">
        <is>
          <t>Total</t>
        </is>
      </c>
      <c r="C17" s="895">
        <f>C15+C16</f>
        <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
      </c>
      <c r="I28" s="9">
        <f>IFERROR($H28*$G28,"")</f>
        <v/>
      </c>
      <c r="J28" s="9">
        <f>IFERROR($H28*(1-$G28),"")</f>
        <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
      </c>
      <c r="I29" s="9">
        <f>IFERROR($H29*$G29,"")</f>
        <v/>
      </c>
      <c r="J29" s="9">
        <f>IFERROR($H29*(1-$G29),"")</f>
        <v/>
      </c>
      <c r="K29" s="583" t="n"/>
      <c r="L29" s="559" t="n"/>
      <c r="M29" s="583" t="n"/>
    </row>
    <row r="30">
      <c r="B30" s="454" t="inlineStr">
        <is>
          <t>Platform Overhead</t>
        </is>
      </c>
      <c r="F30" s="547" t="n"/>
      <c r="G30" s="583" t="n"/>
      <c r="H30" s="583" t="n"/>
      <c r="I30" s="201">
        <f>'0.2 Data Config'!$L$16</f>
        <v/>
      </c>
      <c r="J30" s="583" t="n"/>
      <c r="K30" s="583" t="n"/>
      <c r="L30" s="583" t="n"/>
      <c r="M30" s="583" t="n"/>
    </row>
    <row r="31">
      <c r="B31" s="202" t="inlineStr">
        <is>
          <t>Group Data Total</t>
        </is>
      </c>
      <c r="C31" s="209" t="n"/>
      <c r="D31" s="209" t="n"/>
      <c r="E31" s="209" t="n"/>
      <c r="F31" s="547" t="n"/>
      <c r="G31" s="209" t="n"/>
      <c r="H31" s="203">
        <f>SUM(H25:H29)</f>
        <v/>
      </c>
      <c r="I31" s="203">
        <f>SUM(I25:I30)</f>
        <v/>
      </c>
      <c r="J31" s="203">
        <f>SUM(J25:J29)</f>
        <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
      </c>
      <c r="J5" s="583" t="n"/>
      <c r="K5" s="583" t="n"/>
      <c r="L5" s="583" t="n"/>
      <c r="M5" s="583" t="n"/>
      <c r="N5" s="583" t="n"/>
      <c r="O5" s="583" t="n"/>
    </row>
    <row r="6">
      <c r="B6" s="8" t="inlineStr">
        <is>
          <t>Portfolio Overhead (see 0.2 Data Config)</t>
        </is>
      </c>
      <c r="C6" s="551">
        <f>IF(('0.2 Data Config'!$D$21)&gt;('0.2 Data Config'!$C$21),0,'0.2 Data Config'!$L$10)</f>
        <v/>
      </c>
      <c r="D6" s="551">
        <f>IF(('0.2 Data Config'!$D$21)&gt;('0.2 Data Config'!$C$21),'0.2 Data Config'!$L$10,0)</f>
        <v/>
      </c>
      <c r="E6" s="551">
        <f>0</f>
        <v/>
      </c>
      <c r="F6" s="551">
        <f>C6+D6+E6</f>
        <v/>
      </c>
      <c r="G6" s="630" t="n"/>
      <c r="H6" s="563" t="inlineStr">
        <is>
          <t>AU Budget ($m)</t>
        </is>
      </c>
      <c r="I6" s="551">
        <f>'0.2 Data Config'!$C$21</f>
        <v/>
      </c>
      <c r="J6" s="583" t="n"/>
      <c r="K6" s="583" t="n"/>
      <c r="L6" s="583" t="n"/>
      <c r="M6" s="583" t="n"/>
      <c r="N6" s="583" t="n"/>
      <c r="O6" s="583" t="n"/>
    </row>
    <row r="7">
      <c r="B7" s="8" t="inlineStr">
        <is>
          <t>Platform Overheads</t>
        </is>
      </c>
      <c r="C7" s="551">
        <f>IF(('0.2 Data Config'!$D$21)&gt;('0.2 Data Config'!$C$21),0,SUM(I28))</f>
        <v/>
      </c>
      <c r="D7" s="551">
        <f>IF(('0.2 Data Config'!$D$21)&gt;('0.2 Data Config'!$C$21),SUM(I28),0)</f>
        <v/>
      </c>
      <c r="E7" s="551">
        <f>0</f>
        <v/>
      </c>
      <c r="F7" s="551">
        <f>C7+D7+E7</f>
        <v/>
      </c>
      <c r="G7" s="630" t="n"/>
      <c r="H7" s="584" t="inlineStr">
        <is>
          <t>NZ Budget ($m)</t>
        </is>
      </c>
      <c r="I7" s="585">
        <f>'0.2 Data Config'!$D$21</f>
        <v/>
      </c>
      <c r="J7" s="583" t="n"/>
      <c r="K7" s="583" t="n"/>
      <c r="L7" s="583" t="n"/>
      <c r="M7" s="583" t="n"/>
      <c r="N7" s="583" t="n"/>
      <c r="O7" s="583" t="n"/>
    </row>
    <row r="8">
      <c r="B8" s="8" t="inlineStr">
        <is>
          <t>Squad Support Costs</t>
        </is>
      </c>
      <c r="C8" s="551">
        <f>SUMIF(F24:F27,"AU",I24:I27)+SUMIF(F33:F33,"AU",I33:I33)</f>
        <v/>
      </c>
      <c r="D8" s="551">
        <f>SUMIF(F24:F27,"NZ",I24:I27)+SUMIF(F33:F33,"NZ",I33:I33)</f>
        <v/>
      </c>
      <c r="E8" s="551">
        <f>SUM(J24,J25,J26,J27,J33)</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
      </c>
      <c r="K13" s="9" t="n"/>
      <c r="L13" s="583" t="n"/>
      <c r="M13" s="583" t="n"/>
      <c r="N13" s="583" t="n"/>
      <c r="O13" s="583" t="n"/>
    </row>
    <row r="14">
      <c r="B14" s="417" t="inlineStr">
        <is>
          <t>TDD Variance</t>
        </is>
      </c>
      <c r="C14" s="894">
        <f>-(I8+I9)</f>
        <v/>
      </c>
      <c r="F14" s="547" t="n"/>
      <c r="G14" s="583" t="n"/>
      <c r="H14" s="202" t="inlineStr">
        <is>
          <t>Left to fund</t>
        </is>
      </c>
      <c r="I14" s="201" t="n"/>
      <c r="J14" s="203">
        <f>J12-J13</f>
        <v/>
      </c>
      <c r="K14" s="9" t="n"/>
      <c r="L14" s="583" t="n"/>
      <c r="M14" s="583" t="n"/>
      <c r="N14" s="583" t="n"/>
      <c r="O14" s="583" t="n"/>
    </row>
    <row r="15">
      <c r="B15" s="417" t="inlineStr">
        <is>
          <t>Other Variance</t>
        </is>
      </c>
      <c r="C15" s="894">
        <f>J14</f>
        <v/>
      </c>
      <c r="F15" s="547" t="n"/>
      <c r="G15" s="583" t="n"/>
      <c r="H15" s="8" t="n"/>
      <c r="I15" s="201" t="n"/>
      <c r="J15" s="207" t="n"/>
      <c r="K15" s="9" t="n"/>
      <c r="L15" s="583" t="n"/>
      <c r="M15" s="583" t="n"/>
      <c r="N15" s="583" t="n"/>
      <c r="O15" s="583" t="n"/>
    </row>
    <row r="16">
      <c r="B16" s="419" t="inlineStr">
        <is>
          <t>Total</t>
        </is>
      </c>
      <c r="C16" s="895">
        <f>C14+C15</f>
        <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
      </c>
      <c r="I24" s="9">
        <f>IFERROR($H24*$G24,"")</f>
        <v/>
      </c>
      <c r="J24" s="9">
        <f>IFERROR($H24*(1-$G24),"")</f>
        <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c r="N27" s="583" t="n"/>
      <c r="O27" s="583" t="n"/>
    </row>
    <row r="28">
      <c r="B28" s="454" t="inlineStr">
        <is>
          <t>Platform Overhead</t>
        </is>
      </c>
      <c r="F28" s="547" t="n"/>
      <c r="G28" s="583" t="n"/>
      <c r="H28" s="583" t="n"/>
      <c r="I28" s="201">
        <f>'0.2 Data Config'!$L$16</f>
        <v/>
      </c>
      <c r="J28" s="583" t="n"/>
      <c r="K28" s="583" t="n"/>
      <c r="L28" s="583" t="n"/>
      <c r="M28" s="583" t="n"/>
      <c r="N28" s="583" t="n"/>
      <c r="O28" s="583" t="n"/>
    </row>
    <row r="29">
      <c r="B29" s="202" t="inlineStr">
        <is>
          <t>TDD Group Functions Total</t>
        </is>
      </c>
      <c r="C29" s="209" t="n"/>
      <c r="D29" s="209" t="n"/>
      <c r="E29" s="209" t="n"/>
      <c r="F29" s="547" t="n"/>
      <c r="G29" s="209" t="n"/>
      <c r="H29" s="203">
        <f>SUM(H24:H27)</f>
        <v/>
      </c>
      <c r="I29" s="203">
        <f>SUM(I24:I28)</f>
        <v/>
      </c>
      <c r="J29" s="203">
        <f>SUM(J24:J27)</f>
        <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
      </c>
      <c r="J33" s="9">
        <f>IFERROR($H33*(1-$G33),"")</f>
        <v/>
      </c>
      <c r="K33" s="583" t="n"/>
      <c r="L33" s="559" t="n"/>
      <c r="M33" s="583" t="n"/>
      <c r="N33" s="570">
        <f>"People in this program today cost "&amp;TEXT(SUMIFS('Added data'!$AA:$AA,'Added data'!$AE:$AE,$B33)/1000000,"0.00")&amp;"m. Set the agreed cost in the yellow cell."</f>
        <v/>
      </c>
      <c r="O33" s="583" t="n"/>
    </row>
    <row r="34">
      <c r="B34" s="202" t="inlineStr">
        <is>
          <t>EGI TDD Total</t>
        </is>
      </c>
      <c r="F34" s="547" t="n"/>
      <c r="G34" s="583" t="n"/>
      <c r="H34" s="203">
        <f>SUM(H33:H33)</f>
        <v/>
      </c>
      <c r="I34" s="203">
        <f>SUM(I33:I33)</f>
        <v/>
      </c>
      <c r="J34" s="203">
        <f>SUM(J33:J33)</f>
        <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
      </c>
      <c r="J5" s="583" t="n"/>
      <c r="K5" s="583" t="n"/>
      <c r="L5" s="583" t="n"/>
      <c r="M5" s="583" t="n"/>
      <c r="N5" s="583" t="n"/>
      <c r="O5" s="583" t="n"/>
    </row>
    <row r="6">
      <c r="B6" s="8" t="inlineStr">
        <is>
          <t>Portfolio Overhead (see 0.2 Data Config)</t>
        </is>
      </c>
      <c r="C6" s="551">
        <f>IF(('0.2 Data Config'!$D$18)&gt;('0.2 Data Config'!$C$18),0,'0.2 Data Config'!$L$10)</f>
        <v/>
      </c>
      <c r="D6" s="551">
        <f>IF(('0.2 Data Config'!$D$18)&gt;('0.2 Data Config'!$C$18),'0.2 Data Config'!$L$10,0)</f>
        <v/>
      </c>
      <c r="E6" s="551">
        <f>0</f>
        <v/>
      </c>
      <c r="F6" s="551">
        <f>C6+D6+E6</f>
        <v/>
      </c>
      <c r="G6" s="630" t="n"/>
      <c r="H6" s="563" t="inlineStr">
        <is>
          <t>AU Budget ($m)</t>
        </is>
      </c>
      <c r="I6" s="551">
        <f>'0.2 Data Config'!$C$18</f>
        <v/>
      </c>
      <c r="J6" s="583" t="n"/>
      <c r="K6" s="583" t="n"/>
      <c r="L6" s="583" t="n"/>
      <c r="M6" s="583" t="n"/>
      <c r="N6" s="583" t="n"/>
      <c r="O6" s="583" t="n"/>
    </row>
    <row r="7">
      <c r="B7" s="8" t="inlineStr">
        <is>
          <t>Platform Overheads</t>
        </is>
      </c>
      <c r="C7" s="551">
        <f>IF(('0.2 Data Config'!$D$18)&gt;('0.2 Data Config'!$C$18),0,SUM(I26))</f>
        <v/>
      </c>
      <c r="D7" s="551">
        <f>IF(('0.2 Data Config'!$D$18)&gt;('0.2 Data Config'!$C$18),SUM(I26),0)</f>
        <v/>
      </c>
      <c r="E7" s="551">
        <f>0</f>
        <v/>
      </c>
      <c r="F7" s="551">
        <f>C7+D7+E7</f>
        <v/>
      </c>
      <c r="G7" s="630" t="n"/>
      <c r="H7" s="584" t="inlineStr">
        <is>
          <t>NZ Budget ($m)</t>
        </is>
      </c>
      <c r="I7" s="585">
        <f>'0.2 Data Config'!$D$18</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
      </c>
      <c r="F12" s="547" t="n"/>
      <c r="G12" s="583" t="n"/>
      <c r="H12" s="214" t="inlineStr">
        <is>
          <t>P&amp;C Lights On</t>
        </is>
      </c>
      <c r="I12" s="217">
        <f>'0.1 Budget Table (Fin)'!L12</f>
        <v/>
      </c>
      <c r="J12" s="597">
        <f>'0.1 Budget Table (Fin)'!G12</f>
        <v/>
      </c>
      <c r="K12" s="218">
        <f>IFERROR(I12-J12,0)</f>
        <v/>
      </c>
      <c r="L12" s="583" t="n"/>
      <c r="M12" s="583" t="n"/>
      <c r="N12" s="583" t="n"/>
      <c r="O12" s="583" t="n"/>
    </row>
    <row r="13">
      <c r="F13" s="547" t="n"/>
      <c r="G13" s="583" t="n"/>
      <c r="H13" s="214" t="inlineStr">
        <is>
          <t>OpEx Initiatives</t>
        </is>
      </c>
      <c r="I13" s="217">
        <f>'0.1 Budget Table (Fin)'!N12</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(Fin)'!P12</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(Fin)'!O12</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(Fin)'!M12</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F26" s="547" t="n"/>
      <c r="G26" s="583" t="n"/>
      <c r="H26" s="595" t="n"/>
      <c r="I26" s="217">
        <f>'0.2 Data Config'!$L$16</f>
        <v/>
      </c>
      <c r="J26" s="595" t="n"/>
      <c r="K26" s="583" t="n"/>
      <c r="L26" s="583" t="n"/>
      <c r="M26" s="583" t="n"/>
      <c r="N26" s="583" t="n"/>
      <c r="O26" s="583" t="n"/>
    </row>
    <row r="27">
      <c r="B27" s="221" t="inlineStr">
        <is>
          <t>P&amp;C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P&amp;C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
      </c>
      <c r="J5" s="583" t="n"/>
      <c r="K5" s="583" t="n"/>
      <c r="L5" s="583" t="n"/>
      <c r="M5" s="583" t="n"/>
      <c r="N5" s="583" t="n"/>
      <c r="O5" s="583" t="n"/>
    </row>
    <row r="6">
      <c r="B6" s="8" t="inlineStr">
        <is>
          <t>Portfolio Overhead (see 0.2 Data Config)</t>
        </is>
      </c>
      <c r="C6" s="551">
        <f>IF(('0.2 Data Config'!$D$19)&gt;('0.2 Data Config'!$C$19),0,'0.2 Data Config'!$L$10)</f>
        <v/>
      </c>
      <c r="D6" s="551">
        <f>IF(('0.2 Data Config'!$D$19)&gt;('0.2 Data Config'!$C$19),'0.2 Data Config'!$L$10,0)</f>
        <v/>
      </c>
      <c r="E6" s="551">
        <f>0</f>
        <v/>
      </c>
      <c r="F6" s="551">
        <f>C6+D6+E6</f>
        <v/>
      </c>
      <c r="G6" s="630" t="n"/>
      <c r="H6" s="563" t="inlineStr">
        <is>
          <t>AU Budget ($m)</t>
        </is>
      </c>
      <c r="I6" s="551">
        <f>'0.2 Data Config'!$C$19</f>
        <v/>
      </c>
      <c r="J6" s="583" t="n"/>
      <c r="K6" s="583" t="n"/>
      <c r="L6" s="583" t="n"/>
      <c r="M6" s="583" t="n"/>
      <c r="N6" s="583" t="n"/>
      <c r="O6" s="583" t="n"/>
    </row>
    <row r="7">
      <c r="B7" s="8" t="inlineStr">
        <is>
          <t>Platform Overheads</t>
        </is>
      </c>
      <c r="C7" s="551">
        <f>IF(('0.2 Data Config'!$D$19)&gt;('0.2 Data Config'!$C$19),0,SUM(I26))</f>
        <v/>
      </c>
      <c r="D7" s="551">
        <f>IF(('0.2 Data Config'!$D$19)&gt;('0.2 Data Config'!$C$19),SUM(I26),0)</f>
        <v/>
      </c>
      <c r="E7" s="551">
        <f>0</f>
        <v/>
      </c>
      <c r="F7" s="551">
        <f>C7+D7+E7</f>
        <v/>
      </c>
      <c r="G7" s="630" t="n"/>
      <c r="H7" s="584" t="inlineStr">
        <is>
          <t>NZ Budget ($m)</t>
        </is>
      </c>
      <c r="I7" s="585">
        <f>'0.2 Data Config'!$D$19</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
      </c>
      <c r="F12" s="547" t="n"/>
      <c r="G12" s="583" t="n"/>
      <c r="H12" s="214" t="inlineStr">
        <is>
          <t>Corporate Finance Lights On</t>
        </is>
      </c>
      <c r="I12" s="217">
        <f>'0.1 Budget Table (Fin)'!L11</f>
        <v/>
      </c>
      <c r="J12" s="597">
        <f>'0.1 Budget Table (Fin)'!G11</f>
        <v/>
      </c>
      <c r="K12" s="218">
        <f>IFERROR(I12-J12,0)</f>
        <v/>
      </c>
      <c r="L12" s="583" t="n"/>
      <c r="M12" s="583" t="n"/>
      <c r="N12" s="583" t="n"/>
      <c r="O12" s="583" t="n"/>
    </row>
    <row r="13">
      <c r="F13" s="547" t="n"/>
      <c r="G13" s="583" t="n"/>
      <c r="H13" s="214" t="inlineStr">
        <is>
          <t>OpEx Initiatives</t>
        </is>
      </c>
      <c r="I13" s="217">
        <f>'0.1 Budget Table (Fin)'!N11</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(Fin)'!P11</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(Fin)'!O11</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(Fin)'!M11</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C26" s="220" t="n"/>
      <c r="D26" s="220" t="n"/>
      <c r="E26" s="220" t="n"/>
      <c r="F26" s="547" t="n"/>
      <c r="G26" s="595" t="n"/>
      <c r="H26" s="595" t="n"/>
      <c r="I26" s="217">
        <f>'0.2 Data Config'!$L$16</f>
        <v/>
      </c>
      <c r="J26" s="595" t="n"/>
      <c r="K26" s="583" t="n"/>
      <c r="L26" s="583" t="n"/>
      <c r="M26" s="583" t="n"/>
      <c r="N26" s="583" t="n"/>
      <c r="O26" s="583" t="n"/>
    </row>
    <row r="27">
      <c r="B27" s="221" t="inlineStr">
        <is>
          <t>Finance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Finance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
      </c>
      <c r="J6" s="583" t="n"/>
      <c r="K6" s="583" t="n"/>
      <c r="L6" s="583" t="n"/>
      <c r="M6" s="583" t="n"/>
    </row>
    <row r="7">
      <c r="B7" s="227" t="inlineStr">
        <is>
          <t>Portfolio Overhead (see 0.2 Data Config)</t>
        </is>
      </c>
      <c r="C7" s="551">
        <f>IF(('0.2 Data Config'!$D$17)&gt;('0.2 Data Config'!$C$17),0,'0.2 Data Config'!$L$10)</f>
        <v/>
      </c>
      <c r="D7" s="551">
        <f>IF(('0.2 Data Config'!$D$17)&gt;('0.2 Data Config'!$C$17),'0.2 Data Config'!$L$10,0)</f>
        <v/>
      </c>
      <c r="E7" s="551">
        <f>0</f>
        <v/>
      </c>
      <c r="F7" s="551">
        <f>C7+D7+E7</f>
        <v/>
      </c>
      <c r="G7" s="630" t="n"/>
      <c r="H7" s="563" t="inlineStr">
        <is>
          <t>NZ Budget ($m)</t>
        </is>
      </c>
      <c r="I7" s="551">
        <f>'0.2 Data Config'!$D$17</f>
        <v/>
      </c>
      <c r="J7" s="583" t="n"/>
      <c r="K7" s="583" t="n"/>
      <c r="L7" s="583" t="n"/>
      <c r="M7" s="583" t="n"/>
    </row>
    <row r="8">
      <c r="B8" s="227" t="inlineStr">
        <is>
          <t>Platform Overheads</t>
        </is>
      </c>
      <c r="C8" s="551">
        <f>IF(('0.2 Data Config'!$D$17)&gt;('0.2 Data Config'!$C$17),0,SUM(I26,I33,I39))</f>
        <v/>
      </c>
      <c r="D8" s="551">
        <f>IF(('0.2 Data Config'!$D$17)&gt;('0.2 Data Config'!$C$17),SUM(I26,I33,I39),0)</f>
        <v/>
      </c>
      <c r="E8" s="551">
        <f>0</f>
        <v/>
      </c>
      <c r="F8" s="551">
        <f>C8+D8+E8</f>
        <v/>
      </c>
      <c r="G8" s="630" t="n"/>
      <c r="H8" s="599" t="inlineStr">
        <is>
          <t>AU Variance ($m)</t>
        </is>
      </c>
      <c r="I8" s="896">
        <f>I6-C10</f>
        <v/>
      </c>
      <c r="J8" s="583" t="n"/>
      <c r="K8" s="583" t="n"/>
      <c r="L8" s="583" t="n"/>
      <c r="M8" s="583" t="n"/>
    </row>
    <row r="9">
      <c r="B9" s="8" t="inlineStr">
        <is>
          <t>Squad Support Costs</t>
        </is>
      </c>
      <c r="C9" s="551">
        <f>SUMIF(F25:F25,"AU",I25:I25)+SUMIF(F31:F32,"AU",I31:I32)+SUMIF(F38:F38,"AU",I38:I38)</f>
        <v/>
      </c>
      <c r="D9" s="551">
        <f>SUMIF(F25:F25,"NZ",I25:I25)+SUMIF(F31:F32,"NZ",I31:I32)+SUMIF(F38:F38,"NZ",I38:I38)</f>
        <v/>
      </c>
      <c r="E9" s="551">
        <f>SUM(J25,J31,J32,J38)</f>
        <v/>
      </c>
      <c r="F9" s="551">
        <f>C9+D9+E9</f>
        <v/>
      </c>
      <c r="G9" s="630" t="n"/>
      <c r="H9" s="550" t="inlineStr">
        <is>
          <t>NZ Variance ($m)</t>
        </is>
      </c>
      <c r="I9" s="893">
        <f>I7-D10</f>
        <v/>
      </c>
      <c r="J9" s="583" t="n"/>
      <c r="K9" s="583" t="n"/>
      <c r="L9" s="583" t="n"/>
      <c r="M9" s="583" t="n"/>
    </row>
    <row r="10">
      <c r="B10" s="202" t="inlineStr">
        <is>
          <t>Total Cost</t>
        </is>
      </c>
      <c r="C10" s="553">
        <f>SUM(C7:C9)</f>
        <v/>
      </c>
      <c r="D10" s="553">
        <f>SUM(D7:D9)</f>
        <v/>
      </c>
      <c r="E10" s="553">
        <f>SUM(E7:E9)</f>
        <v/>
      </c>
      <c r="F10" s="553">
        <f>SUM(F7:F9)</f>
        <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
      </c>
      <c r="F13" s="547" t="n"/>
      <c r="G13" s="583" t="n"/>
      <c r="H13" s="214" t="inlineStr">
        <is>
          <t>Infrastructure Lights On</t>
        </is>
      </c>
      <c r="I13" s="217">
        <f>'0.1 Budget Table (Fin)'!L10</f>
        <v/>
      </c>
      <c r="J13" s="595">
        <f>'0.1 Budget Table (Fin)'!G10</f>
        <v/>
      </c>
      <c r="K13" s="218">
        <f>IFERROR(I13-J13,0)</f>
        <v/>
      </c>
      <c r="L13" s="583" t="n"/>
      <c r="M13" s="583" t="n"/>
    </row>
    <row r="14">
      <c r="F14" s="547" t="n"/>
      <c r="G14" s="583" t="n"/>
      <c r="H14" s="214" t="inlineStr">
        <is>
          <t>OpEx Initiatives</t>
        </is>
      </c>
      <c r="I14" s="217">
        <f>'0.1 Budget Table (Fin)'!N10</f>
        <v/>
      </c>
      <c r="J14" s="224" t="n">
        <v>0</v>
      </c>
      <c r="K14" s="218">
        <f>IFERROR(I14-J14,0)</f>
        <v/>
      </c>
      <c r="L14" s="583" t="n"/>
      <c r="M14" s="583" t="n"/>
    </row>
    <row r="15">
      <c r="B15" s="415" t="inlineStr">
        <is>
          <t>Total to fund</t>
        </is>
      </c>
      <c r="C15" s="416" t="n"/>
      <c r="F15" s="547" t="n"/>
      <c r="G15" s="583" t="n"/>
      <c r="H15" s="214" t="inlineStr">
        <is>
          <t>CapEx</t>
        </is>
      </c>
      <c r="I15" s="217">
        <f>'0.1 Budget Table (Fin)'!P10</f>
        <v/>
      </c>
      <c r="J15" s="224" t="n">
        <v>0</v>
      </c>
      <c r="K15" s="218">
        <f>IFERROR(I15-J15,0)</f>
        <v/>
      </c>
      <c r="L15" s="583" t="n"/>
      <c r="M15" s="583" t="n"/>
    </row>
    <row r="16">
      <c r="B16" s="417" t="inlineStr">
        <is>
          <t>TDD Variance</t>
        </is>
      </c>
      <c r="C16" s="894">
        <f>-(I8+I9)</f>
        <v/>
      </c>
      <c r="F16" s="547" t="n"/>
      <c r="G16" s="583" t="n"/>
      <c r="H16" s="214" t="inlineStr">
        <is>
          <t>Significant Items</t>
        </is>
      </c>
      <c r="I16" s="217">
        <f>'0.1 Budget Table (Fin)'!O10</f>
        <v/>
      </c>
      <c r="J16" s="224" t="n">
        <v>0</v>
      </c>
      <c r="K16" s="218">
        <f>IFERROR(I16-J16,0)</f>
        <v/>
      </c>
      <c r="L16" s="583" t="n"/>
      <c r="M16" s="583" t="n"/>
    </row>
    <row r="17">
      <c r="B17" s="417" t="inlineStr">
        <is>
          <t>Other Variance</t>
        </is>
      </c>
      <c r="C17" s="894">
        <f>J20</f>
        <v/>
      </c>
      <c r="F17" s="547" t="n"/>
      <c r="G17" s="583" t="n"/>
      <c r="H17" s="214" t="inlineStr">
        <is>
          <t>Depreciation</t>
        </is>
      </c>
      <c r="I17" s="217">
        <f>'0.1 Budget Table (Fin)'!M10</f>
        <v/>
      </c>
      <c r="J17" s="224" t="n">
        <v>0</v>
      </c>
      <c r="K17" s="218">
        <f>IFERROR(I17-J17,0)</f>
        <v/>
      </c>
      <c r="L17" s="583" t="n"/>
      <c r="M17" s="583" t="n"/>
    </row>
    <row r="18">
      <c r="B18" s="419" t="inlineStr">
        <is>
          <t>Total</t>
        </is>
      </c>
      <c r="C18" s="895">
        <f>C16+C17</f>
        <v/>
      </c>
      <c r="F18" s="547" t="n"/>
      <c r="G18" s="583" t="n"/>
      <c r="H18" s="225" t="inlineStr">
        <is>
          <t>Total applied</t>
        </is>
      </c>
      <c r="I18" s="595" t="n"/>
      <c r="J18" s="226">
        <f>SUM(J13:J17)</f>
        <v/>
      </c>
      <c r="K18" s="595" t="n"/>
      <c r="L18" s="583" t="n"/>
      <c r="M18" s="583" t="n"/>
    </row>
    <row r="19">
      <c r="F19" s="547" t="n"/>
      <c r="G19" s="583" t="n"/>
      <c r="H19" s="214" t="inlineStr">
        <is>
          <t>Other cost (this model)</t>
        </is>
      </c>
      <c r="I19" s="595" t="n"/>
      <c r="J19" s="218">
        <f>E10</f>
        <v/>
      </c>
      <c r="K19" s="595" t="n"/>
      <c r="L19" s="583" t="n"/>
      <c r="M19" s="583" t="n"/>
    </row>
    <row r="20">
      <c r="F20" s="547" t="n"/>
      <c r="G20" s="583" t="n"/>
      <c r="H20" s="221" t="inlineStr">
        <is>
          <t>Left to fund</t>
        </is>
      </c>
      <c r="I20" s="595" t="n"/>
      <c r="J20" s="222">
        <f>E10-(J18-J13)</f>
        <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83" t="n"/>
      <c r="L25" s="559" t="n"/>
      <c r="M25" s="583" t="n"/>
    </row>
    <row r="26">
      <c r="B26" s="468" t="inlineStr">
        <is>
          <t>Platform Overhead</t>
        </is>
      </c>
      <c r="C26" s="220" t="n"/>
      <c r="D26" s="220" t="n"/>
      <c r="E26" s="220" t="n"/>
      <c r="F26" s="547" t="n"/>
      <c r="G26" s="595" t="n"/>
      <c r="H26" s="595" t="n"/>
      <c r="I26" s="217">
        <f>'0.2 Data Config'!$L$16</f>
        <v/>
      </c>
      <c r="J26" s="595" t="n"/>
      <c r="K26" s="583" t="n"/>
      <c r="L26" s="583" t="n"/>
      <c r="M26" s="583" t="n"/>
    </row>
    <row r="27">
      <c r="B27" s="221" t="inlineStr">
        <is>
          <t>Distribution Total</t>
        </is>
      </c>
      <c r="C27" s="209" t="n"/>
      <c r="D27" s="209" t="n"/>
      <c r="E27" s="209" t="n"/>
      <c r="F27" s="547" t="n"/>
      <c r="G27" s="209" t="n"/>
      <c r="H27" s="222">
        <f>SUM(H25:H25)</f>
        <v/>
      </c>
      <c r="I27" s="222">
        <f>SUM(I25:I26)</f>
        <v/>
      </c>
      <c r="J27" s="222">
        <f>SUM(J25:J25)</f>
        <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
      </c>
      <c r="I31" s="218">
        <f>IFERROR($H31*$G31,"")</f>
        <v/>
      </c>
      <c r="J31" s="218">
        <f>IFERROR($H31*(1-$G31),"")</f>
        <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468" t="inlineStr">
        <is>
          <t>Platform Overhead</t>
        </is>
      </c>
      <c r="C33" s="220" t="n"/>
      <c r="D33" s="220" t="n"/>
      <c r="E33" s="220" t="n"/>
      <c r="F33" s="547" t="n"/>
      <c r="G33" s="595" t="n"/>
      <c r="H33" s="595" t="n"/>
      <c r="I33" s="217">
        <f>'0.2 Data Config'!$L$16</f>
        <v/>
      </c>
      <c r="J33" s="595" t="n"/>
      <c r="K33" s="583" t="n"/>
      <c r="L33" s="583" t="n"/>
      <c r="M33" s="583" t="n"/>
    </row>
    <row r="34">
      <c r="B34" s="221" t="inlineStr">
        <is>
          <t>Manufacturing Total</t>
        </is>
      </c>
      <c r="C34" s="209" t="n"/>
      <c r="D34" s="209" t="n"/>
      <c r="E34" s="209" t="n"/>
      <c r="F34" s="547" t="n"/>
      <c r="G34" s="209" t="n"/>
      <c r="H34" s="222">
        <f>SUM(H31:H32)</f>
        <v/>
      </c>
      <c r="I34" s="222">
        <f>SUM(I31:I33)</f>
        <v/>
      </c>
      <c r="J34" s="222">
        <f>SUM(J31:J32)</f>
        <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
      </c>
      <c r="I38" s="218">
        <f>IFERROR($H38*$G38,"")</f>
        <v/>
      </c>
      <c r="J38" s="218">
        <f>IFERROR($H38*(1-$G38),"")</f>
        <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
      </c>
      <c r="J39" s="595" t="n"/>
      <c r="K39" s="583" t="n"/>
      <c r="L39" s="583" t="n"/>
      <c r="M39" s="583" t="n"/>
    </row>
    <row r="40">
      <c r="B40" s="221" t="inlineStr">
        <is>
          <t>Data &amp; Insights Total</t>
        </is>
      </c>
      <c r="C40" s="209" t="n"/>
      <c r="D40" s="209" t="n"/>
      <c r="E40" s="209" t="n"/>
      <c r="F40" s="547" t="n"/>
      <c r="G40" s="209" t="n"/>
      <c r="H40" s="222">
        <f>SUM(H38:H38)</f>
        <v/>
      </c>
      <c r="I40" s="222">
        <f>SUM(I38:I39)</f>
        <v/>
      </c>
      <c r="J40" s="222">
        <f>SUM(J38:J38)</f>
        <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
      </c>
      <c r="J5" s="583" t="n"/>
      <c r="K5" s="583" t="n"/>
      <c r="L5" s="583" t="n"/>
      <c r="M5" s="583" t="n"/>
    </row>
    <row r="6">
      <c r="B6" s="8" t="inlineStr">
        <is>
          <t>Portfolio Overhead (see 0.2 Data Config)</t>
        </is>
      </c>
      <c r="C6" s="551">
        <f>IF(('0.2 Data Config'!$D$16)&gt;('0.2 Data Config'!$C$16),0,'0.2 Data Config'!$L$10)</f>
        <v/>
      </c>
      <c r="D6" s="551">
        <f>IF(('0.2 Data Config'!$D$16)&gt;('0.2 Data Config'!$C$16),'0.2 Data Config'!$L$10,0)</f>
        <v/>
      </c>
      <c r="E6" s="551">
        <f>0</f>
        <v/>
      </c>
      <c r="F6" s="551">
        <f>C6+D6+E6</f>
        <v/>
      </c>
      <c r="G6" s="630" t="n"/>
      <c r="H6" s="563" t="inlineStr">
        <is>
          <t>AU Budget ($m)</t>
        </is>
      </c>
      <c r="I6" s="551">
        <f>'0.2 Data Config'!$C$16</f>
        <v/>
      </c>
      <c r="J6" s="583" t="n"/>
      <c r="K6" s="583" t="n"/>
      <c r="L6" s="583" t="n"/>
      <c r="M6" s="583" t="n"/>
    </row>
    <row r="7">
      <c r="B7" s="8" t="inlineStr">
        <is>
          <t>Platform Overheads</t>
        </is>
      </c>
      <c r="C7" s="551">
        <f>IF(('0.2 Data Config'!$D$16)&gt;('0.2 Data Config'!$C$16),0,SUM(I29,I35))</f>
        <v/>
      </c>
      <c r="D7" s="551">
        <f>IF(('0.2 Data Config'!$D$16)&gt;('0.2 Data Config'!$C$16),SUM(I29,I35),0)</f>
        <v/>
      </c>
      <c r="E7" s="551">
        <f>0</f>
        <v/>
      </c>
      <c r="F7" s="551">
        <f>C7+D7+E7</f>
        <v/>
      </c>
      <c r="G7" s="630" t="n"/>
      <c r="H7" s="584" t="inlineStr">
        <is>
          <t>NZ Budget ($m)</t>
        </is>
      </c>
      <c r="I7" s="585">
        <f>'0.2 Data Config'!$D$16</f>
        <v/>
      </c>
      <c r="J7" s="583" t="n"/>
      <c r="K7" s="583" t="n"/>
      <c r="L7" s="583" t="n"/>
      <c r="M7" s="583" t="n"/>
    </row>
    <row r="8">
      <c r="B8" s="8" t="inlineStr">
        <is>
          <t>Squad Support Costs</t>
        </is>
      </c>
      <c r="C8" s="551">
        <f>SUMIF(F27:F28,"AU",I27:I28)+SUMIF(F34:F34,"AU",I34:I34)</f>
        <v/>
      </c>
      <c r="D8" s="551">
        <f>SUMIF(F27:F28,"NZ",I27:I28)+SUMIF(F34:F34,"NZ",I34:I34)</f>
        <v/>
      </c>
      <c r="E8" s="551">
        <f>SUM(J27,J28,J34)</f>
        <v/>
      </c>
      <c r="F8" s="551">
        <f>C8+D8+E8</f>
        <v/>
      </c>
      <c r="G8" s="630" t="n"/>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
      </c>
      <c r="F12" s="547" t="n"/>
      <c r="G12" s="583" t="n"/>
      <c r="H12" s="214" t="inlineStr">
        <is>
          <t>Energy Solutions Lights On</t>
        </is>
      </c>
      <c r="I12" s="217">
        <f>'0.1 Budget Table (Fin)'!L7</f>
        <v/>
      </c>
      <c r="J12" s="597">
        <f>'0.1 Budget Table (Fin)'!G7</f>
        <v/>
      </c>
      <c r="K12" s="218">
        <f>IFERROR(I12-J12,0)</f>
        <v/>
      </c>
      <c r="L12" s="593" t="inlineStr">
        <is>
          <t>Agreed by / date</t>
        </is>
      </c>
      <c r="M12" s="583" t="n"/>
    </row>
    <row r="13">
      <c r="F13" s="547" t="n"/>
      <c r="G13" s="583" t="n"/>
      <c r="H13" s="214" t="inlineStr">
        <is>
          <t xml:space="preserve">ES OpEx Initiatives </t>
        </is>
      </c>
      <c r="I13" s="217">
        <f>'0.1 Budget Table (Fin)'!N7</f>
        <v/>
      </c>
      <c r="J13" s="224" t="n">
        <v>0</v>
      </c>
      <c r="K13" s="218">
        <f>IFERROR(I13-J13,0)</f>
        <v/>
      </c>
      <c r="L13" s="594" t="n"/>
      <c r="M13" s="583" t="n"/>
    </row>
    <row r="14">
      <c r="B14" s="415" t="inlineStr">
        <is>
          <t>Total to fund</t>
        </is>
      </c>
      <c r="C14" s="416" t="n"/>
      <c r="F14" s="547" t="n"/>
      <c r="G14" s="583" t="n"/>
      <c r="H14" s="214" t="inlineStr">
        <is>
          <t>ES CapEx</t>
        </is>
      </c>
      <c r="I14" s="217">
        <f>'0.1 Budget Table (Fin)'!P7</f>
        <v/>
      </c>
      <c r="J14" s="224" t="n">
        <v>1</v>
      </c>
      <c r="K14" s="218">
        <f>IFERROR(I14-J14,0)</f>
        <v/>
      </c>
      <c r="L14" s="594" t="n"/>
      <c r="M14" s="583" t="n"/>
    </row>
    <row r="15">
      <c r="B15" s="417" t="inlineStr">
        <is>
          <t>TDD Variance</t>
        </is>
      </c>
      <c r="C15" s="894">
        <f>-(I8+I9)</f>
        <v/>
      </c>
      <c r="F15" s="547" t="n"/>
      <c r="G15" s="583" t="n"/>
      <c r="H15" s="239" t="inlineStr">
        <is>
          <t>B2B Lights On</t>
        </is>
      </c>
      <c r="I15" s="224" t="n"/>
      <c r="J15" s="224" t="n"/>
      <c r="K15" s="218" t="n"/>
      <c r="L15" s="594" t="n"/>
      <c r="M15" s="583" t="n"/>
    </row>
    <row r="16">
      <c r="B16" s="417" t="inlineStr">
        <is>
          <t>Other Variance</t>
        </is>
      </c>
      <c r="C16" s="894">
        <f>J22</f>
        <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
      </c>
      <c r="J18" s="224" t="n">
        <v>0</v>
      </c>
      <c r="K18" s="218">
        <f>IFERROR(I18-J18,0)</f>
        <v/>
      </c>
      <c r="L18" s="594" t="n"/>
      <c r="M18" s="583" t="n"/>
    </row>
    <row r="19">
      <c r="F19" s="547" t="n"/>
      <c r="G19" s="583" t="n"/>
      <c r="H19" s="214" t="inlineStr">
        <is>
          <t>Depreciation</t>
        </is>
      </c>
      <c r="I19" s="217">
        <f>'0.1 Budget Table (Fin)'!M7</f>
        <v/>
      </c>
      <c r="J19" s="224" t="n">
        <v>0</v>
      </c>
      <c r="K19" s="218">
        <f>IFERROR(I19-J19,0)</f>
        <v/>
      </c>
      <c r="L19" s="594" t="n"/>
      <c r="M19" s="583" t="n"/>
    </row>
    <row r="20">
      <c r="F20" s="547" t="n"/>
      <c r="G20" s="583" t="n"/>
      <c r="H20" s="225" t="inlineStr">
        <is>
          <t>Total applied</t>
        </is>
      </c>
      <c r="I20" s="595" t="n"/>
      <c r="J20" s="226">
        <f>SUM(J12:J19)</f>
        <v/>
      </c>
      <c r="K20" s="595" t="n"/>
      <c r="L20" s="583" t="n"/>
      <c r="M20" s="583" t="n"/>
    </row>
    <row r="21">
      <c r="F21" s="547" t="n"/>
      <c r="G21" s="583" t="n"/>
      <c r="H21" s="214" t="inlineStr">
        <is>
          <t>Other cost (this model)</t>
        </is>
      </c>
      <c r="I21" s="595" t="n"/>
      <c r="J21" s="218">
        <f>E9</f>
        <v/>
      </c>
      <c r="K21" s="595" t="n"/>
      <c r="L21" s="583" t="n"/>
      <c r="M21" s="583" t="n"/>
    </row>
    <row r="22">
      <c r="F22" s="547" t="n"/>
      <c r="G22" s="583" t="n"/>
      <c r="H22" s="221" t="inlineStr">
        <is>
          <t>Left to fund</t>
        </is>
      </c>
      <c r="I22" s="595" t="n"/>
      <c r="J22" s="222">
        <f>E9-(J20-J12-J15)</f>
        <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
      </c>
      <c r="I27" s="218">
        <f>IFERROR($H27*$G27,"")</f>
        <v/>
      </c>
      <c r="J27" s="218">
        <f>IFERROR($H27*(1-$G27),"")</f>
        <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
      </c>
      <c r="I28" s="218">
        <f>IFERROR($H28*$G28,"")</f>
        <v/>
      </c>
      <c r="J28" s="218">
        <f>IFERROR($H28*(1-$G28),"")</f>
        <v/>
      </c>
      <c r="K28" s="583" t="n"/>
      <c r="L28" s="559" t="n"/>
      <c r="M28" s="583" t="n"/>
    </row>
    <row r="29">
      <c r="B29" s="468" t="inlineStr">
        <is>
          <t>Platform Overhead</t>
        </is>
      </c>
      <c r="C29" s="220" t="n"/>
      <c r="D29" s="220" t="n"/>
      <c r="E29" s="220" t="n"/>
      <c r="F29" s="547" t="n"/>
      <c r="G29" s="595" t="n"/>
      <c r="H29" s="595" t="n"/>
      <c r="I29" s="217">
        <f>'0.2 Data Config'!$L$16</f>
        <v/>
      </c>
      <c r="J29" s="595" t="n"/>
      <c r="K29" s="583" t="n"/>
      <c r="L29" s="583" t="n"/>
      <c r="M29" s="583" t="n"/>
    </row>
    <row r="30">
      <c r="B30" s="221" t="inlineStr">
        <is>
          <t>Energy Solutions Total</t>
        </is>
      </c>
      <c r="C30" s="209" t="n"/>
      <c r="D30" s="209" t="n"/>
      <c r="E30" s="209" t="n"/>
      <c r="F30" s="547" t="n"/>
      <c r="G30" s="209" t="n"/>
      <c r="H30" s="222">
        <f>SUM(H27:H28)</f>
        <v/>
      </c>
      <c r="I30" s="222">
        <f>SUM(I27:I29)</f>
        <v/>
      </c>
      <c r="J30" s="222">
        <f>SUM(J27:J28)</f>
        <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
      </c>
      <c r="I34" s="218">
        <f>IFERROR($H34*$G34,"")</f>
        <v/>
      </c>
      <c r="J34" s="218">
        <f>IFERROR($H34*(1-$G34),"")</f>
        <v/>
      </c>
      <c r="K34" s="583" t="n"/>
      <c r="L34" s="559" t="n"/>
      <c r="M34" s="583" t="n"/>
    </row>
    <row r="35">
      <c r="B35" s="468" t="inlineStr">
        <is>
          <t>Platform Overhead</t>
        </is>
      </c>
      <c r="C35" s="220" t="n"/>
      <c r="D35" s="220" t="n"/>
      <c r="E35" s="220" t="n"/>
      <c r="F35" s="547" t="n"/>
      <c r="G35" s="595" t="n"/>
      <c r="H35" s="595" t="n"/>
      <c r="I35" s="217">
        <f>'0.2 Data Config'!$L$16</f>
        <v/>
      </c>
      <c r="J35" s="595" t="n"/>
      <c r="K35" s="583" t="n"/>
      <c r="L35" s="583" t="n"/>
      <c r="M35" s="583" t="n"/>
    </row>
    <row r="36">
      <c r="B36" s="221" t="inlineStr">
        <is>
          <t>B2B Total</t>
        </is>
      </c>
      <c r="C36" s="209" t="n"/>
      <c r="D36" s="209" t="n"/>
      <c r="E36" s="209" t="n"/>
      <c r="F36" s="547" t="n"/>
      <c r="G36" s="209" t="n"/>
      <c r="H36" s="222">
        <f>SUM(H34:H34)</f>
        <v/>
      </c>
      <c r="I36" s="222">
        <f>SUM(I34:I35)</f>
        <v/>
      </c>
      <c r="J36" s="222">
        <f>SUM(J34:J34)</f>
        <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
      </c>
      <c r="J5" s="583" t="n"/>
      <c r="K5" s="583" t="n"/>
      <c r="L5" s="583" t="n"/>
      <c r="M5" s="583" t="n"/>
      <c r="N5" s="583" t="n"/>
    </row>
    <row r="6">
      <c r="B6" s="8" t="inlineStr">
        <is>
          <t>Portfolio Overhead (see 0.2 Data Config)</t>
        </is>
      </c>
      <c r="C6" s="551">
        <f>IF(('0.2 Data Config'!$D$15)&gt;('0.2 Data Config'!$C$15),0,'0.2 Data Config'!$L$10)</f>
        <v/>
      </c>
      <c r="D6" s="551">
        <f>IF(('0.2 Data Config'!$D$15)&gt;('0.2 Data Config'!$C$15),'0.2 Data Config'!$L$10,0)</f>
        <v/>
      </c>
      <c r="E6" s="551">
        <f>0</f>
        <v/>
      </c>
      <c r="F6" s="551">
        <f>C6+D6+E6</f>
        <v/>
      </c>
      <c r="G6" s="630" t="n"/>
      <c r="H6" s="563" t="inlineStr">
        <is>
          <t>AU Budget ($m)</t>
        </is>
      </c>
      <c r="I6" s="551">
        <f>'0.2 Data Config'!$C$15</f>
        <v/>
      </c>
      <c r="J6" s="583" t="n"/>
      <c r="K6" s="583" t="n"/>
      <c r="L6" s="583" t="n"/>
      <c r="M6" s="583" t="n"/>
      <c r="N6" s="583" t="n"/>
    </row>
    <row r="7">
      <c r="B7" s="8" t="inlineStr">
        <is>
          <t>Platform Overheads</t>
        </is>
      </c>
      <c r="C7" s="551">
        <f>IF(('0.2 Data Config'!$D$15)&gt;('0.2 Data Config'!$C$15),0,SUM(I27,I33,I39))</f>
        <v/>
      </c>
      <c r="D7" s="551">
        <f>IF(('0.2 Data Config'!$D$15)&gt;('0.2 Data Config'!$C$15),SUM(I27,I33,I39),0)</f>
        <v/>
      </c>
      <c r="E7" s="551">
        <f>0</f>
        <v/>
      </c>
      <c r="F7" s="551">
        <f>C7+D7+E7</f>
        <v/>
      </c>
      <c r="G7" s="630" t="n"/>
      <c r="H7" s="584" t="inlineStr">
        <is>
          <t>NZ Budget ($m)</t>
        </is>
      </c>
      <c r="I7" s="585">
        <f>'0.2 Data Config'!$D$15</f>
        <v/>
      </c>
      <c r="J7" s="583" t="n"/>
      <c r="K7" s="583" t="n"/>
      <c r="L7" s="583" t="n"/>
      <c r="M7" s="583" t="n"/>
      <c r="N7" s="583" t="n"/>
    </row>
    <row r="8">
      <c r="B8" s="8" t="inlineStr">
        <is>
          <t>Squad Support Costs</t>
        </is>
      </c>
      <c r="C8" s="551">
        <f>SUMIF(F25:F26,"AU",I25:I26)+SUMIF(F32:F32,"AU",I32:I32)+SUMIF(F38:F38,"AU",I38:I38)</f>
        <v/>
      </c>
      <c r="D8" s="551">
        <f>SUMIF(F25:F26,"NZ",I25:I26)+SUMIF(F32:F32,"NZ",I32:I32)+SUMIF(F38:F38,"NZ",I38:I38)</f>
        <v/>
      </c>
      <c r="E8" s="551">
        <f>SUM(J25,J26,J32,J38)</f>
        <v/>
      </c>
      <c r="F8" s="551">
        <f>C8+D8+E8</f>
        <v/>
      </c>
      <c r="G8" s="630" t="n"/>
      <c r="H8" s="550" t="inlineStr">
        <is>
          <t>AU Variance ($m)</t>
        </is>
      </c>
      <c r="I8" s="893">
        <f>I6-C9</f>
        <v/>
      </c>
      <c r="J8" s="583" t="n"/>
      <c r="K8" s="583" t="n"/>
      <c r="L8" s="583" t="n"/>
      <c r="M8" s="583" t="n"/>
      <c r="N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
      </c>
      <c r="F12" s="547" t="n"/>
      <c r="G12" s="583" t="n"/>
      <c r="H12" s="8" t="inlineStr">
        <is>
          <t>Commercial Fuels Lights On</t>
        </is>
      </c>
      <c r="I12" s="201">
        <f>'0.1 Budget Table (Fin)'!L8</f>
        <v/>
      </c>
      <c r="J12" s="587">
        <f>'0.1 Budget Table (Fin)'!G8</f>
        <v/>
      </c>
      <c r="K12" s="9">
        <f>IFERROR(I12-J12,0)</f>
        <v/>
      </c>
      <c r="L12" s="593" t="inlineStr">
        <is>
          <t>Agreed by / date</t>
        </is>
      </c>
      <c r="M12" s="583" t="n"/>
      <c r="N12" s="583" t="n"/>
    </row>
    <row r="13">
      <c r="F13" s="547" t="n"/>
      <c r="G13" s="583" t="n"/>
      <c r="H13" s="8" t="inlineStr">
        <is>
          <t>OpEx Initiatives</t>
        </is>
      </c>
      <c r="I13" s="201">
        <f>'0.1 Budget Table (Fin)'!N8</f>
        <v/>
      </c>
      <c r="J13" s="207" t="n">
        <v>0</v>
      </c>
      <c r="K13" s="9">
        <f>IFERROR(I13-J13,0)</f>
        <v/>
      </c>
      <c r="L13" s="594" t="n"/>
      <c r="M13" s="583" t="n"/>
      <c r="N13" s="583" t="n"/>
    </row>
    <row r="14">
      <c r="B14" s="415" t="inlineStr">
        <is>
          <t>Total to fund</t>
        </is>
      </c>
      <c r="C14" s="416" t="n"/>
      <c r="F14" s="547" t="n"/>
      <c r="G14" s="583" t="n"/>
      <c r="H14" s="8" t="inlineStr">
        <is>
          <t>CapEx</t>
        </is>
      </c>
      <c r="I14" s="201">
        <f>'0.1 Budget Table (Fin)'!P8</f>
        <v/>
      </c>
      <c r="J14" s="207" t="n">
        <v>1.7</v>
      </c>
      <c r="K14" s="9">
        <f>IFERROR(I14-J14,0)</f>
        <v/>
      </c>
      <c r="L14" s="594" t="n"/>
      <c r="M14" s="583" t="n"/>
      <c r="N14" s="583" t="n"/>
    </row>
    <row r="15">
      <c r="B15" s="417" t="inlineStr">
        <is>
          <t>TDD Variance</t>
        </is>
      </c>
      <c r="C15" s="894">
        <f>-(I8+I9)</f>
        <v/>
      </c>
      <c r="F15" s="547" t="n"/>
      <c r="G15" s="583" t="n"/>
      <c r="H15" s="8" t="inlineStr">
        <is>
          <t>TDD CapEx (central pool, reference only)</t>
        </is>
      </c>
      <c r="I15" s="201">
        <f>'0.1 Budget Table (Fin)'!P5</f>
        <v/>
      </c>
      <c r="J15" s="207" t="n"/>
      <c r="K15" s="9">
        <f>IFERROR(I15-J15,0)</f>
        <v/>
      </c>
      <c r="L15" s="594" t="n"/>
      <c r="M15" s="583" t="n"/>
      <c r="N15" s="583" t="n"/>
    </row>
    <row r="16">
      <c r="B16" s="417" t="inlineStr">
        <is>
          <t>Other Variance</t>
        </is>
      </c>
      <c r="C16" s="894">
        <f>-J20</f>
        <v/>
      </c>
      <c r="F16" s="547" t="n"/>
      <c r="G16" s="583" t="n"/>
      <c r="H16" s="8" t="inlineStr">
        <is>
          <t>Significant Items</t>
        </is>
      </c>
      <c r="I16" s="201">
        <f>'0.1 Budget Table (Fin)'!O8</f>
        <v/>
      </c>
      <c r="J16" s="588">
        <f>J38</f>
        <v/>
      </c>
      <c r="K16" s="9">
        <f>IFERROR(I16-J16,0)</f>
        <v/>
      </c>
      <c r="L16" s="594" t="n"/>
      <c r="M16" s="583" t="n"/>
      <c r="N16" s="583" t="n"/>
    </row>
    <row r="17">
      <c r="B17" s="419" t="inlineStr">
        <is>
          <t>Total</t>
        </is>
      </c>
      <c r="C17" s="895">
        <f>C15+C16</f>
        <v/>
      </c>
      <c r="F17" s="547" t="n"/>
      <c r="G17" s="583" t="n"/>
      <c r="H17" s="8" t="inlineStr">
        <is>
          <t>Depreciation</t>
        </is>
      </c>
      <c r="I17" s="201">
        <f>'0.1 Budget Table (Fin)'!M8</f>
        <v/>
      </c>
      <c r="J17" s="207" t="n">
        <v>0</v>
      </c>
      <c r="K17" s="9">
        <f>IFERROR(I17-J17,0)</f>
        <v/>
      </c>
      <c r="L17" s="594" t="n"/>
      <c r="M17" s="583" t="n"/>
      <c r="N17" s="583" t="n"/>
    </row>
    <row r="18">
      <c r="F18" s="547" t="n"/>
      <c r="G18" s="583" t="n"/>
      <c r="H18" s="208" t="inlineStr">
        <is>
          <t>Total applied</t>
        </is>
      </c>
      <c r="I18" s="583" t="n"/>
      <c r="J18" s="21">
        <f>SUM(J12:J17)</f>
        <v/>
      </c>
      <c r="K18" s="583" t="n"/>
      <c r="L18" s="583" t="n"/>
      <c r="M18" s="583" t="n"/>
      <c r="N18" s="583" t="n"/>
    </row>
    <row r="19">
      <c r="F19" s="547" t="n"/>
      <c r="G19" s="583" t="n"/>
      <c r="H19" s="8" t="inlineStr">
        <is>
          <t>Other cost (this model)</t>
        </is>
      </c>
      <c r="I19" s="583" t="n"/>
      <c r="J19" s="9">
        <f>E9</f>
        <v/>
      </c>
      <c r="K19" s="583" t="n"/>
      <c r="L19" s="583" t="n"/>
      <c r="M19" s="583" t="n"/>
      <c r="N19" s="583" t="n"/>
    </row>
    <row r="20">
      <c r="F20" s="547" t="n"/>
      <c r="G20" s="583" t="n"/>
      <c r="H20" s="202" t="inlineStr">
        <is>
          <t>Left to fund</t>
        </is>
      </c>
      <c r="I20" s="583" t="n"/>
      <c r="J20" s="203">
        <f>E9-(J18-J12)</f>
        <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
      </c>
      <c r="I26" s="9">
        <f>IFERROR($H26*$G26,"")</f>
        <v/>
      </c>
      <c r="J26" s="9">
        <f>IFERROR($H26*(1-$G26),"")</f>
        <v/>
      </c>
      <c r="K26" s="101" t="inlineStr">
        <is>
          <t>Fully funded by CF</t>
        </is>
      </c>
      <c r="L26" s="559" t="n"/>
      <c r="M26" s="583" t="n"/>
      <c r="N26" s="583" t="n"/>
    </row>
    <row r="27">
      <c r="B27" s="454" t="inlineStr">
        <is>
          <t>Platform Overhead</t>
        </is>
      </c>
      <c r="F27" s="547" t="n"/>
      <c r="G27" s="583" t="n"/>
      <c r="H27" s="583" t="n"/>
      <c r="I27" s="201">
        <f>'0.2 Data Config'!$L$16</f>
        <v/>
      </c>
      <c r="J27" s="583" t="n"/>
      <c r="K27" s="583" t="n"/>
      <c r="L27" s="583" t="n"/>
      <c r="M27" s="583" t="n"/>
      <c r="N27" s="583" t="n"/>
    </row>
    <row r="28">
      <c r="B28" s="202" t="inlineStr">
        <is>
          <t>Trading &amp; Shipping Total</t>
        </is>
      </c>
      <c r="C28" s="209" t="n"/>
      <c r="D28" s="209" t="n"/>
      <c r="E28" s="209" t="n"/>
      <c r="F28" s="547" t="n"/>
      <c r="G28" s="209" t="n"/>
      <c r="H28" s="203">
        <f>SUM(H25:H26)</f>
        <v/>
      </c>
      <c r="I28" s="203">
        <f>SUM(I25:I27)</f>
        <v/>
      </c>
      <c r="J28" s="203">
        <f>SUM(J25:J26)</f>
        <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
      </c>
      <c r="I32" s="9">
        <f>IFERROR($H32*$G32,"")</f>
        <v/>
      </c>
      <c r="J32" s="9">
        <f>IFERROR($H32*(1-$G32),"")</f>
        <v/>
      </c>
      <c r="K32" s="583" t="n"/>
      <c r="L32" s="559" t="n"/>
      <c r="M32" s="583" t="n"/>
      <c r="N32" s="583" t="n"/>
    </row>
    <row r="33">
      <c r="B33" s="454" t="inlineStr">
        <is>
          <t>Platform Overhead</t>
        </is>
      </c>
      <c r="F33" s="547" t="n"/>
      <c r="G33" s="583" t="n"/>
      <c r="H33" s="583" t="n"/>
      <c r="I33" s="201">
        <f>'0.2 Data Config'!$L$16</f>
        <v/>
      </c>
      <c r="J33" s="583" t="n"/>
      <c r="K33" s="583" t="n"/>
      <c r="L33" s="583" t="n"/>
      <c r="M33" s="583" t="n"/>
      <c r="N33" s="583" t="n"/>
    </row>
    <row r="34">
      <c r="B34" s="202" t="inlineStr">
        <is>
          <t>Supply Total</t>
        </is>
      </c>
      <c r="C34" s="209" t="n"/>
      <c r="D34" s="209" t="n"/>
      <c r="E34" s="209" t="n"/>
      <c r="F34" s="547" t="n"/>
      <c r="G34" s="209" t="n"/>
      <c r="H34" s="203">
        <f>SUM(H32:H32)</f>
        <v/>
      </c>
      <c r="I34" s="203">
        <f>SUM(I32:I33)</f>
        <v/>
      </c>
      <c r="J34" s="203">
        <f>SUM(J32:J32)</f>
        <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
      </c>
      <c r="J38" s="9">
        <f>IFERROR($H38*(1-$G38),"")</f>
        <v/>
      </c>
      <c r="K38" s="101" t="inlineStr">
        <is>
          <t>Fully funded by CTRM</t>
        </is>
      </c>
      <c r="L38" s="559" t="n"/>
      <c r="M38" s="583" t="n"/>
      <c r="N38" s="583" t="n"/>
    </row>
    <row r="39">
      <c r="B39" s="454" t="inlineStr">
        <is>
          <t>Platform Overhead</t>
        </is>
      </c>
      <c r="F39" s="547" t="n"/>
      <c r="G39" s="583" t="n"/>
      <c r="H39" s="583" t="n"/>
      <c r="I39" s="201">
        <f>'0.2 Data Config'!$L$16</f>
        <v/>
      </c>
      <c r="J39" s="583" t="n"/>
      <c r="K39" s="583" t="n"/>
      <c r="L39" s="583" t="n"/>
      <c r="M39" s="583" t="n"/>
      <c r="N39" s="583" t="n"/>
    </row>
    <row r="40">
      <c r="B40" s="202" t="inlineStr">
        <is>
          <t>CTRM Total</t>
        </is>
      </c>
      <c r="C40" s="209" t="n"/>
      <c r="D40" s="209" t="n"/>
      <c r="E40" s="209" t="n"/>
      <c r="F40" s="547" t="n"/>
      <c r="G40" s="209" t="n"/>
      <c r="H40" s="203">
        <f>SUM(H38:H38)</f>
        <v/>
      </c>
      <c r="I40" s="203">
        <f>SUM(I38:I39)</f>
        <v/>
      </c>
      <c r="J40" s="203">
        <f>SUM(J38:J38)</f>
        <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
      </c>
      <c r="J5" s="583" t="n"/>
      <c r="K5" s="583" t="n"/>
      <c r="L5" s="583" t="n"/>
      <c r="M5" s="583" t="n"/>
    </row>
    <row r="6">
      <c r="B6" s="8" t="inlineStr">
        <is>
          <t>Portfolio Overhead (see 0.2 Data Config)</t>
        </is>
      </c>
      <c r="C6" s="551">
        <f>IF(('0.2 Data Config'!$D$12)&gt;('0.2 Data Config'!$C$12),0,'0.2 Data Config'!$L$10)</f>
        <v/>
      </c>
      <c r="D6" s="551">
        <f>IF(('0.2 Data Config'!$D$12)&gt;('0.2 Data Config'!$C$12),'0.2 Data Config'!$L$10,0)</f>
        <v/>
      </c>
      <c r="E6" s="551">
        <f>0</f>
        <v/>
      </c>
      <c r="F6" s="551">
        <f>C6+D6+E6</f>
        <v/>
      </c>
      <c r="H6" s="563" t="inlineStr">
        <is>
          <t>AU Budget ($m)</t>
        </is>
      </c>
      <c r="I6" s="551">
        <f>'0.2 Data Config'!$C$12</f>
        <v/>
      </c>
      <c r="J6" s="583" t="n"/>
      <c r="K6" s="583" t="n"/>
      <c r="L6" s="583" t="n"/>
      <c r="M6" s="583" t="n"/>
    </row>
    <row r="7">
      <c r="B7" s="8" t="inlineStr">
        <is>
          <t>Platform Overheads</t>
        </is>
      </c>
      <c r="C7" s="551">
        <f>IF(('0.2 Data Config'!$D$12)&gt;('0.2 Data Config'!$C$12),0,SUM(I27,I34))</f>
        <v/>
      </c>
      <c r="D7" s="551">
        <f>IF(('0.2 Data Config'!$D$12)&gt;('0.2 Data Config'!$C$12),SUM(I27,I34,I40),0)</f>
        <v/>
      </c>
      <c r="E7" s="551">
        <f>0</f>
        <v/>
      </c>
      <c r="F7" s="551">
        <f>C7+D7+E7</f>
        <v/>
      </c>
      <c r="H7" s="584" t="inlineStr">
        <is>
          <t>NZ Budget ($m)</t>
        </is>
      </c>
      <c r="I7" s="585">
        <f>'0.2 Data Config'!$D$12</f>
        <v/>
      </c>
      <c r="J7" s="583" t="inlineStr">
        <is>
          <t>Z funded - out of Z OpEx</t>
        </is>
      </c>
      <c r="K7" s="583" t="n"/>
      <c r="L7" s="583" t="n"/>
      <c r="M7" s="583" t="n"/>
    </row>
    <row r="8">
      <c r="B8" s="8" t="inlineStr">
        <is>
          <t>Squad Support Costs</t>
        </is>
      </c>
      <c r="C8" s="551">
        <f>SUMIF(F26:F26,"AU",I26:I26)+SUMIF(F32:F33,"AU",I32:I33)</f>
        <v/>
      </c>
      <c r="D8" s="551">
        <f>SUMIF(F26:F26,"NZ",I26:I26)+SUMIF(F32:F33,"NZ",I32:I33)+SUMIF(F39,"NZ",I39:I39)</f>
        <v/>
      </c>
      <c r="E8" s="551">
        <f>SUM(J26,J32,J33,J39)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H10" s="550" t="inlineStr">
        <is>
          <t>Total Variance ($m)</t>
        </is>
      </c>
      <c r="I10" s="566">
        <f>SUM(I8,I9)</f>
        <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
      </c>
      <c r="F14" s="547" t="n"/>
      <c r="G14" s="583" t="n"/>
      <c r="H14" s="214" t="inlineStr">
        <is>
          <t>Z-Energy Lights On</t>
        </is>
      </c>
      <c r="I14" s="217">
        <f>'0.1 Budget Table (Fin)'!L6</f>
        <v/>
      </c>
      <c r="J14" s="595" t="n"/>
      <c r="K14" s="218">
        <f>IFERROR(I14-J14,0)</f>
        <v/>
      </c>
      <c r="L14" s="583" t="n"/>
      <c r="M14" s="583" t="n"/>
    </row>
    <row r="15">
      <c r="F15" s="547" t="n"/>
      <c r="G15" s="583" t="n"/>
      <c r="H15" s="214" t="inlineStr">
        <is>
          <t>OpEx Initiatives</t>
        </is>
      </c>
      <c r="I15" s="217">
        <f>'0.1 Budget Table (Fin)'!N6</f>
        <v/>
      </c>
      <c r="J15" s="224" t="n">
        <v>0</v>
      </c>
      <c r="K15" s="218">
        <f>IFERROR(I15-J15,0)</f>
        <v/>
      </c>
      <c r="L15" s="583" t="n"/>
      <c r="M15" s="583" t="n"/>
    </row>
    <row r="16">
      <c r="B16" s="415" t="inlineStr">
        <is>
          <t>Total to fund</t>
        </is>
      </c>
      <c r="C16" s="416" t="n"/>
      <c r="F16" s="547" t="n"/>
      <c r="G16" s="583" t="n"/>
      <c r="H16" s="214" t="inlineStr">
        <is>
          <t>CapEx</t>
        </is>
      </c>
      <c r="I16" s="217">
        <f>'0.1 Budget Table (Fin)'!P6</f>
        <v/>
      </c>
      <c r="J16" s="224" t="n">
        <v>1.08</v>
      </c>
      <c r="K16" s="218">
        <f>IFERROR(I16-J16,0)</f>
        <v/>
      </c>
      <c r="L16" s="583" t="n"/>
      <c r="M16" s="583" t="n"/>
    </row>
    <row r="17">
      <c r="B17" s="417" t="inlineStr">
        <is>
          <t>TDD Variance</t>
        </is>
      </c>
      <c r="C17" s="894">
        <f>(I8+I9)</f>
        <v/>
      </c>
      <c r="F17" s="547" t="n"/>
      <c r="G17" s="583" t="n"/>
      <c r="H17" s="214" t="inlineStr">
        <is>
          <t>Significant Items</t>
        </is>
      </c>
      <c r="I17" s="217">
        <f>'0.1 Budget Table (Fin)'!$O$6</f>
        <v/>
      </c>
      <c r="J17" s="224" t="n">
        <v>0</v>
      </c>
      <c r="K17" s="218">
        <f>IFERROR(I17-J17,0)</f>
        <v/>
      </c>
      <c r="L17" s="583" t="n"/>
      <c r="M17" s="583" t="n"/>
    </row>
    <row r="18">
      <c r="B18" s="417" t="inlineStr">
        <is>
          <t>Other Variance</t>
        </is>
      </c>
      <c r="C18" s="894">
        <f>-J21</f>
        <v/>
      </c>
      <c r="F18" s="547" t="n"/>
      <c r="G18" s="583" t="n"/>
      <c r="H18" s="214" t="inlineStr">
        <is>
          <t>Depreciation</t>
        </is>
      </c>
      <c r="I18" s="217">
        <f>'0.1 Budget Table (Fin)'!M6</f>
        <v/>
      </c>
      <c r="J18" s="224" t="n">
        <v>0</v>
      </c>
      <c r="K18" s="218">
        <f>IFERROR(I18-J18,0)</f>
        <v/>
      </c>
      <c r="L18" s="583" t="n"/>
      <c r="M18" s="583" t="n"/>
    </row>
    <row r="19">
      <c r="B19" s="419" t="inlineStr">
        <is>
          <t>Total</t>
        </is>
      </c>
      <c r="C19" s="897">
        <f>C17+C18</f>
        <v/>
      </c>
      <c r="F19" s="547" t="n"/>
      <c r="G19" s="583" t="n"/>
      <c r="H19" s="225" t="inlineStr">
        <is>
          <t>Total applied</t>
        </is>
      </c>
      <c r="I19" s="595" t="n"/>
      <c r="J19" s="226">
        <f>SUM(J14:J18)</f>
        <v/>
      </c>
      <c r="K19" s="595" t="n"/>
      <c r="L19" s="583" t="n"/>
      <c r="M19" s="583" t="n"/>
    </row>
    <row r="20">
      <c r="F20" s="547" t="n"/>
      <c r="G20" s="583" t="n"/>
      <c r="H20" s="214" t="inlineStr">
        <is>
          <t>Other cost (this model)</t>
        </is>
      </c>
      <c r="I20" s="595" t="n"/>
      <c r="J20" s="218">
        <f>E9</f>
        <v/>
      </c>
      <c r="K20" s="595" t="n"/>
      <c r="L20" s="583" t="n"/>
      <c r="M20" s="583" t="n"/>
    </row>
    <row r="21">
      <c r="F21" s="547" t="n"/>
      <c r="G21" s="583" t="n"/>
      <c r="H21" s="221" t="inlineStr">
        <is>
          <t>Left to fund</t>
        </is>
      </c>
      <c r="I21" s="595" t="n"/>
      <c r="J21" s="222">
        <f>E9-(J19-J14)</f>
        <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
      </c>
      <c r="I26" s="218">
        <f>IFERROR($H26*$G26,"")</f>
        <v/>
      </c>
      <c r="J26" s="218">
        <f>IFERROR($H26*(1-$G26),"")</f>
        <v/>
      </c>
      <c r="K26" s="583" t="n"/>
      <c r="L26" s="559" t="n"/>
      <c r="M26" s="583" t="n"/>
    </row>
    <row r="27">
      <c r="B27" s="468" t="inlineStr">
        <is>
          <t>Platform Overhead</t>
        </is>
      </c>
      <c r="C27" s="220" t="n"/>
      <c r="D27" s="220" t="n"/>
      <c r="E27" s="220" t="n"/>
      <c r="F27" s="547" t="n"/>
      <c r="G27" s="595" t="n"/>
      <c r="H27" s="595" t="n"/>
      <c r="I27" s="217">
        <f>'0.2 Data Config'!$L$16</f>
        <v/>
      </c>
      <c r="J27" s="595" t="n"/>
      <c r="K27" s="583" t="n"/>
      <c r="L27" s="583" t="n"/>
      <c r="M27" s="583" t="n"/>
    </row>
    <row r="28">
      <c r="B28" s="221" t="inlineStr">
        <is>
          <t>Z Supply Total</t>
        </is>
      </c>
      <c r="C28" s="209" t="n"/>
      <c r="D28" s="209" t="n"/>
      <c r="E28" s="209" t="n"/>
      <c r="F28" s="547" t="n"/>
      <c r="G28" s="209" t="n"/>
      <c r="H28" s="470">
        <f>SUM(H26:H26)</f>
        <v/>
      </c>
      <c r="I28" s="222">
        <f>SUM(I26:I27)</f>
        <v/>
      </c>
      <c r="J28" s="222">
        <f>SUM(J26:J26)</f>
        <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
      </c>
      <c r="I33" s="218">
        <f>IFERROR($H33*$G33,"")</f>
        <v/>
      </c>
      <c r="J33" s="218">
        <f>IFERROR($H33*(1-$G33),"")</f>
        <v/>
      </c>
      <c r="K33" s="583" t="n"/>
      <c r="L33" s="559" t="n"/>
      <c r="M33" s="583" t="n"/>
    </row>
    <row r="34">
      <c r="B34" s="468" t="inlineStr">
        <is>
          <t>Platform Overhead</t>
        </is>
      </c>
      <c r="C34" s="220" t="n"/>
      <c r="D34" s="220" t="n"/>
      <c r="E34" s="220" t="n"/>
      <c r="F34" s="547" t="n"/>
      <c r="G34" s="595" t="n"/>
      <c r="H34" s="595" t="n"/>
      <c r="I34" s="217">
        <f>'0.2 Data Config'!$L$16</f>
        <v/>
      </c>
      <c r="J34" s="595" t="n"/>
      <c r="K34" s="583" t="n"/>
      <c r="L34" s="583" t="n"/>
      <c r="M34" s="583" t="n"/>
    </row>
    <row r="35">
      <c r="B35" s="221" t="inlineStr">
        <is>
          <t>Z Customer Total</t>
        </is>
      </c>
      <c r="C35" s="209" t="n"/>
      <c r="D35" s="209" t="n"/>
      <c r="E35" s="209" t="n"/>
      <c r="F35" s="547" t="n"/>
      <c r="G35" s="209" t="n"/>
      <c r="H35" s="222">
        <f>SUM(H32:H33)</f>
        <v/>
      </c>
      <c r="I35" s="222">
        <f>SUM(I32:I34)</f>
        <v/>
      </c>
      <c r="J35" s="222">
        <f>SUM(J32:J33)</f>
        <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
      </c>
      <c r="I39" s="9">
        <f>IFERROR($H39*$G39,"")</f>
        <v/>
      </c>
      <c r="J39" s="9">
        <f>IFERROR($H39*(1-$G39),"")</f>
        <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
      </c>
      <c r="I41" s="203">
        <f>SUM(I39:I40)</f>
        <v/>
      </c>
      <c r="J41" s="203">
        <f>SUM(J39:J39)</f>
        <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
      </c>
      <c r="D6" s="600">
        <f>COUNTIFS($D$21:$D$44,"TDD Business Partner",$F$21:$F$44,"Filled")+COUNTIFS($D$21:$D$44,"Commercial",$F$21:$F$44,"Filled")</f>
        <v/>
      </c>
      <c r="E6" s="600">
        <f>COUNTIFS($D$21:$D$44,"TDD Business Partner",$F$21:$F$44,"Vacant")+COUNTIFS($D$21:$D$44,"Commercial",$F$21:$F$44,"Vacant")</f>
        <v/>
      </c>
      <c r="F6" s="551">
        <f>SUMIFS($T$21:$T$44,$D$21:$D$44,"TDD Business Partner")+SUMIFS($T$21:$T$44,$D$21:$D$44,"Commercial")</f>
        <v/>
      </c>
      <c r="G6" s="551">
        <f>C15</f>
        <v/>
      </c>
      <c r="H6" s="898">
        <f>F6-G6</f>
        <v/>
      </c>
      <c r="I6" s="551">
        <f>SUMIFS($T$21:$T$44,$D$21:$D$44,"TDD Business Partner",$E$21:$E$44,"&lt;&gt;NZ")+SUMIFS($T$21:$T$44,$D$21:$D$44,"Commercial",$E$21:$E$44,"&lt;&gt;NZ")</f>
        <v/>
      </c>
      <c r="J6" s="551">
        <f>SUMIFS($T$21:$T$44,$D$21:$D$44,"TDD Business Partner",$E$21:$E$44,"NZ")+SUMIFS($T$21:$T$44,$D$21:$D$44,"Commercial",$E$21:$E$44,"NZ")</f>
        <v/>
      </c>
      <c r="K6" s="547" t="n"/>
      <c r="L6" s="547" t="n"/>
    </row>
    <row r="7">
      <c r="B7" s="550" t="inlineStr">
        <is>
          <t>Transformation</t>
        </is>
      </c>
      <c r="C7" s="600">
        <f>COUNTIFS($D$21:$D$44,"Transformation")</f>
        <v/>
      </c>
      <c r="D7" s="600">
        <f>COUNTIFS($D$21:$D$44,"Transformation",$F$21:$F$44,"Filled")</f>
        <v/>
      </c>
      <c r="E7" s="600">
        <f>COUNTIFS($D$21:$D$44,"Transformation",$F$21:$F$44,"Vacant")</f>
        <v/>
      </c>
      <c r="F7" s="551">
        <f>SUMIFS($T$21:$T$44,$D$21:$D$44,"Transformation")</f>
        <v/>
      </c>
      <c r="G7" s="551">
        <f>C16</f>
        <v/>
      </c>
      <c r="H7" s="898">
        <f>F7-G7</f>
        <v/>
      </c>
      <c r="I7" s="551">
        <f>SUMIFS($T$21:$T$44,$D$21:$D$44,"Transformation",$E$21:$E$44,"&lt;&gt;NZ")</f>
        <v/>
      </c>
      <c r="J7" s="551">
        <f>SUMIFS($T$21:$T$44,$D$21:$D$44,"Transformation",$E$21:$E$44,"NZ")</f>
        <v/>
      </c>
      <c r="K7" s="547" t="n"/>
      <c r="L7" s="547" t="n"/>
    </row>
    <row r="8">
      <c r="B8" s="561" t="inlineStr">
        <is>
          <t>Total</t>
        </is>
      </c>
      <c r="C8" s="562">
        <f>SUM(C6:C7)</f>
        <v/>
      </c>
      <c r="D8" s="562">
        <f>SUM(D6:D7)</f>
        <v/>
      </c>
      <c r="E8" s="562">
        <f>SUM(E6:E7)</f>
        <v/>
      </c>
      <c r="F8" s="553">
        <f>SUM(F6:F7)</f>
        <v/>
      </c>
      <c r="G8" s="553">
        <f>SUM(G6:G7)</f>
        <v/>
      </c>
      <c r="H8" s="553">
        <f>SUM(H6:H7)</f>
        <v/>
      </c>
      <c r="I8" s="553">
        <f>SUM(I6:I7)</f>
        <v/>
      </c>
      <c r="J8" s="553">
        <f>SUM(J6:J7)</f>
        <v/>
      </c>
      <c r="K8" s="547" t="n"/>
      <c r="L8" s="547" t="n"/>
    </row>
    <row r="9">
      <c r="B9" s="547" t="n"/>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Business Partner allocation per portfolio (FTE - 0.2 Data Config)</t>
        </is>
      </c>
      <c r="C11" s="899">
        <f>'0.2 Data Config'!$K$7</f>
        <v/>
      </c>
      <c r="D11" s="547" t="n"/>
      <c r="E11" s="547" t="n"/>
      <c r="F11" s="547" t="n"/>
      <c r="G11" s="547" t="n"/>
      <c r="H11" s="547" t="n"/>
      <c r="I11" s="547" t="n"/>
      <c r="J11" s="547" t="n"/>
      <c r="K11" s="547" t="n"/>
      <c r="L11" s="547" t="n"/>
    </row>
    <row r="12">
      <c r="B12" s="563" t="inlineStr">
        <is>
          <t>Business Partner FTEs funded by portfolio overheads</t>
        </is>
      </c>
      <c r="C12" s="899">
        <f>C10*C11</f>
        <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
      </c>
      <c r="D13" s="547" t="n"/>
      <c r="E13" s="547" t="n"/>
      <c r="F13" s="547" t="n"/>
      <c r="G13" s="547" t="n"/>
      <c r="H13" s="547" t="n"/>
      <c r="I13" s="547" t="n"/>
      <c r="J13" s="547" t="n"/>
      <c r="K13" s="547" t="n"/>
      <c r="L13" s="547" t="n"/>
    </row>
    <row r="14">
      <c r="B14" s="563" t="inlineStr">
        <is>
          <t>COE - Business Partnering allocation ($m) - 0.2 Data Config</t>
        </is>
      </c>
      <c r="C14" s="551">
        <f>'0.2 Data Config'!$E$9</f>
        <v/>
      </c>
      <c r="D14" s="547" t="n"/>
      <c r="E14" s="547" t="n"/>
      <c r="F14" s="547" t="n"/>
      <c r="G14" s="547" t="n"/>
      <c r="H14" s="547" t="n"/>
      <c r="I14" s="547" t="n"/>
      <c r="J14" s="547" t="n"/>
      <c r="K14" s="547" t="n"/>
      <c r="L14" s="547" t="n"/>
    </row>
    <row r="15">
      <c r="B15" s="550" t="inlineStr">
        <is>
          <t>Total Business Partnering budget ($m)</t>
        </is>
      </c>
      <c r="C15" s="566">
        <f>C13+C14</f>
        <v/>
      </c>
      <c r="D15" s="547" t="n"/>
      <c r="E15" s="547" t="n"/>
      <c r="F15" s="547" t="n"/>
      <c r="G15" s="547" t="n"/>
      <c r="H15" s="547" t="n"/>
      <c r="I15" s="547" t="n"/>
      <c r="J15" s="547" t="n"/>
      <c r="K15" s="547" t="n"/>
      <c r="L15" s="547" t="n"/>
    </row>
    <row r="16">
      <c r="B16" s="563" t="inlineStr">
        <is>
          <t>COE - Transformation allocation ($m) - 0.2 Data Config</t>
        </is>
      </c>
      <c r="C16" s="551">
        <f>'0.2 Data Config'!$E$8</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f>Sheet2!$B$70</f>
        <v/>
      </c>
      <c r="C21" s="567">
        <f>SUBSTITUTE(SUBSTITUTE(Sheet2!$C$70,"–","-"),"—","-")</f>
        <v/>
      </c>
      <c r="D21" s="563">
        <f>Sheet2!$G$70</f>
        <v/>
      </c>
      <c r="E21" s="563">
        <f>Sheet2!$M$70</f>
        <v/>
      </c>
      <c r="F21" s="552">
        <f>IF(LOWER(Sheet2!$Q$70)="v","Vacant",IF(LOWER(Sheet2!$Q$70)="pause","Paused",IF(LOWER(Sheet2!$Q$70)="cxc","Contractor","Filled")))</f>
        <v/>
      </c>
      <c r="G21" s="554" t="n"/>
      <c r="H21" s="590" t="inlineStr">
        <is>
          <t>Onshore</t>
        </is>
      </c>
      <c r="I21" s="900" t="n"/>
      <c r="J21" s="555" t="n"/>
      <c r="K21" s="547" t="n"/>
      <c r="L21" s="547" t="n"/>
      <c r="T21" s="568">
        <f>(Sheet2!$AA$70/1000000)*IF($H21="Offshore",0.4,1)</f>
        <v/>
      </c>
    </row>
    <row r="22">
      <c r="B22" s="563">
        <f>Sheet2!$B$71</f>
        <v/>
      </c>
      <c r="C22" s="567">
        <f>SUBSTITUTE(SUBSTITUTE(Sheet2!$C$71,"–","-"),"—","-")</f>
        <v/>
      </c>
      <c r="D22" s="563">
        <f>Sheet2!$G$71</f>
        <v/>
      </c>
      <c r="E22" s="563">
        <f>Sheet2!$M$71</f>
        <v/>
      </c>
      <c r="F22" s="552">
        <f>IF(LOWER(Sheet2!$Q$71)="v","Vacant",IF(LOWER(Sheet2!$Q$71)="pause","Paused",IF(LOWER(Sheet2!$Q$71)="cxc","Contractor","Filled")))</f>
        <v/>
      </c>
      <c r="G22" s="554" t="n"/>
      <c r="H22" s="590" t="inlineStr">
        <is>
          <t>Onshore</t>
        </is>
      </c>
      <c r="I22" s="900" t="n"/>
      <c r="J22" s="555" t="n"/>
      <c r="K22" s="547" t="n"/>
      <c r="L22" s="547" t="n"/>
      <c r="T22" s="568">
        <f>(Sheet2!$AA$71/1000000)*IF($H22="Offshore",0.4,1)</f>
        <v/>
      </c>
    </row>
    <row r="23" ht="29" customHeight="1" s="849">
      <c r="B23" s="563">
        <f>Sheet2!$B$72</f>
        <v/>
      </c>
      <c r="C23" s="567">
        <f>SUBSTITUTE(SUBSTITUTE(Sheet2!$C$72,"–","-"),"—","-")</f>
        <v/>
      </c>
      <c r="D23" s="563">
        <f>Sheet2!$G$72</f>
        <v/>
      </c>
      <c r="E23" s="563">
        <f>Sheet2!$M$72</f>
        <v/>
      </c>
      <c r="F23" s="552">
        <f>IF(LOWER(Sheet2!$Q$72)="v","Vacant",IF(LOWER(Sheet2!$Q$72)="pause","Paused",IF(LOWER(Sheet2!$Q$72)="cxc","Contractor","Filled")))</f>
        <v/>
      </c>
      <c r="G23" s="554" t="n"/>
      <c r="H23" s="590" t="inlineStr">
        <is>
          <t>Onshore</t>
        </is>
      </c>
      <c r="I23" s="900" t="n"/>
      <c r="J23" s="555" t="n"/>
      <c r="K23" s="547" t="n"/>
      <c r="L23" s="547" t="n"/>
      <c r="T23" s="568">
        <f>(Sheet2!$AA$72/1000000)*IF($H23="Offshore",0.4,1)</f>
        <v/>
      </c>
    </row>
    <row r="24">
      <c r="B24" s="563">
        <f>Sheet2!$B$73</f>
        <v/>
      </c>
      <c r="C24" s="567">
        <f>SUBSTITUTE(SUBSTITUTE(Sheet2!$C$73,"–","-"),"—","-")</f>
        <v/>
      </c>
      <c r="D24" s="563">
        <f>Sheet2!$G$73</f>
        <v/>
      </c>
      <c r="E24" s="563">
        <f>Sheet2!$M$73</f>
        <v/>
      </c>
      <c r="F24" s="552">
        <f>IF(LOWER(Sheet2!$Q$73)="v","Vacant",IF(LOWER(Sheet2!$Q$73)="pause","Paused",IF(LOWER(Sheet2!$Q$73)="cxc","Contractor","Filled")))</f>
        <v/>
      </c>
      <c r="G24" s="554" t="n"/>
      <c r="H24" s="590" t="inlineStr">
        <is>
          <t>Onshore</t>
        </is>
      </c>
      <c r="I24" s="900" t="n"/>
      <c r="J24" s="555" t="n"/>
      <c r="K24" s="547" t="n"/>
      <c r="L24" s="547" t="n"/>
      <c r="T24" s="568">
        <f>(Sheet2!$AA$73/1000000)*IF($H24="Offshore",0.4,1)</f>
        <v/>
      </c>
    </row>
    <row r="25" ht="29" customHeight="1" s="849">
      <c r="B25" s="563">
        <f>Sheet2!$B$74</f>
        <v/>
      </c>
      <c r="C25" s="567">
        <f>SUBSTITUTE(SUBSTITUTE(Sheet2!$C$74,"–","-"),"—","-")</f>
        <v/>
      </c>
      <c r="D25" s="563">
        <f>Sheet2!$G$74</f>
        <v/>
      </c>
      <c r="E25" s="563">
        <f>Sheet2!$M$74</f>
        <v/>
      </c>
      <c r="F25" s="552">
        <f>IF(LOWER(Sheet2!$Q$74)="v","Vacant",IF(LOWER(Sheet2!$Q$74)="pause","Paused",IF(LOWER(Sheet2!$Q$74)="cxc","Contractor","Filled")))</f>
        <v/>
      </c>
      <c r="G25" s="554" t="n"/>
      <c r="H25" s="590" t="inlineStr">
        <is>
          <t>Onshore</t>
        </is>
      </c>
      <c r="I25" s="900" t="n"/>
      <c r="J25" s="555" t="n"/>
      <c r="K25" s="547" t="n"/>
      <c r="L25" s="547" t="n"/>
      <c r="T25" s="568">
        <f>(Sheet2!$AA$74/1000000)*IF($H25="Offshore",0.4,1)</f>
        <v/>
      </c>
    </row>
    <row r="26">
      <c r="B26" s="563">
        <f>Sheet2!$B$75</f>
        <v/>
      </c>
      <c r="C26" s="567">
        <f>SUBSTITUTE(SUBSTITUTE(Sheet2!$C$75,"–","-"),"—","-")</f>
        <v/>
      </c>
      <c r="D26" s="563">
        <f>Sheet2!$G$75</f>
        <v/>
      </c>
      <c r="E26" s="563">
        <f>Sheet2!$M$75</f>
        <v/>
      </c>
      <c r="F26" s="552">
        <f>IF(LOWER(Sheet2!$Q$75)="v","Vacant",IF(LOWER(Sheet2!$Q$75)="pause","Paused",IF(LOWER(Sheet2!$Q$75)="cxc","Contractor","Filled")))</f>
        <v/>
      </c>
      <c r="G26" s="554" t="n"/>
      <c r="H26" s="590" t="inlineStr">
        <is>
          <t>Onshore</t>
        </is>
      </c>
      <c r="I26" s="900" t="n"/>
      <c r="J26" s="555" t="n"/>
      <c r="K26" s="547" t="n"/>
      <c r="L26" s="547" t="n"/>
      <c r="T26" s="568">
        <f>(Sheet2!$AA$75/1000000)*IF($H26="Offshore",0.4,1)</f>
        <v/>
      </c>
    </row>
    <row r="27">
      <c r="B27" s="563">
        <f>Sheet2!$B$76</f>
        <v/>
      </c>
      <c r="C27" s="567">
        <f>SUBSTITUTE(SUBSTITUTE(Sheet2!$C$76,"–","-"),"—","-")</f>
        <v/>
      </c>
      <c r="D27" s="563">
        <f>Sheet2!$G$76</f>
        <v/>
      </c>
      <c r="E27" s="563">
        <f>Sheet2!$M$76</f>
        <v/>
      </c>
      <c r="F27" s="552">
        <f>IF(LOWER(Sheet2!$Q$76)="v","Vacant",IF(LOWER(Sheet2!$Q$76)="pause","Paused",IF(LOWER(Sheet2!$Q$76)="cxc","Contractor","Filled")))</f>
        <v/>
      </c>
      <c r="G27" s="554" t="n"/>
      <c r="H27" s="590" t="inlineStr">
        <is>
          <t>Onshore</t>
        </is>
      </c>
      <c r="I27" s="900" t="n"/>
      <c r="J27" s="555" t="n"/>
      <c r="K27" s="547" t="n"/>
      <c r="L27" s="547" t="n"/>
      <c r="T27" s="568">
        <f>(Sheet2!$AA$76/1000000)*IF($H27="Offshore",0.4,1)</f>
        <v/>
      </c>
    </row>
    <row r="28">
      <c r="B28" s="563">
        <f>Sheet2!$B$77</f>
        <v/>
      </c>
      <c r="C28" s="567">
        <f>SUBSTITUTE(SUBSTITUTE(Sheet2!$C$77,"–","-"),"—","-")</f>
        <v/>
      </c>
      <c r="D28" s="563">
        <f>Sheet2!$G$77</f>
        <v/>
      </c>
      <c r="E28" s="563">
        <f>Sheet2!$M$77</f>
        <v/>
      </c>
      <c r="F28" s="552">
        <f>IF(LOWER(Sheet2!$Q$77)="v","Vacant",IF(LOWER(Sheet2!$Q$77)="pause","Paused",IF(LOWER(Sheet2!$Q$77)="cxc","Contractor","Filled")))</f>
        <v/>
      </c>
      <c r="G28" s="554" t="n"/>
      <c r="H28" s="590" t="inlineStr">
        <is>
          <t>Onshore</t>
        </is>
      </c>
      <c r="I28" s="900" t="n"/>
      <c r="J28" s="555" t="n"/>
      <c r="K28" s="547" t="n"/>
      <c r="L28" s="547" t="n"/>
      <c r="T28" s="568">
        <f>(Sheet2!$AA$77/1000000)*IF($H28="Offshore",0.4,1)</f>
        <v/>
      </c>
    </row>
    <row r="29">
      <c r="B29" s="563">
        <f>Sheet2!$B$78</f>
        <v/>
      </c>
      <c r="C29" s="567">
        <f>SUBSTITUTE(SUBSTITUTE(Sheet2!$C$78,"–","-"),"—","-")</f>
        <v/>
      </c>
      <c r="D29" s="563">
        <f>Sheet2!$G$78</f>
        <v/>
      </c>
      <c r="E29" s="563">
        <f>Sheet2!$M$78</f>
        <v/>
      </c>
      <c r="F29" s="552">
        <f>IF(LOWER(Sheet2!$Q$78)="v","Vacant",IF(LOWER(Sheet2!$Q$78)="pause","Paused",IF(LOWER(Sheet2!$Q$78)="cxc","Contractor","Filled")))</f>
        <v/>
      </c>
      <c r="G29" s="554" t="n"/>
      <c r="H29" s="590" t="inlineStr">
        <is>
          <t>Onshore</t>
        </is>
      </c>
      <c r="I29" s="900" t="n"/>
      <c r="J29" s="555" t="n"/>
      <c r="K29" s="547" t="n"/>
      <c r="L29" s="547" t="n"/>
      <c r="T29" s="568">
        <f>(Sheet2!$AA$78/1000000)*IF($H29="Offshore",0.4,1)</f>
        <v/>
      </c>
    </row>
    <row r="30">
      <c r="B30" s="563">
        <f>Sheet2!$B$79</f>
        <v/>
      </c>
      <c r="C30" s="567">
        <f>SUBSTITUTE(SUBSTITUTE(Sheet2!$C$79,"–","-"),"—","-")</f>
        <v/>
      </c>
      <c r="D30" s="563">
        <f>Sheet2!$G$79</f>
        <v/>
      </c>
      <c r="E30" s="563">
        <f>Sheet2!$M$79</f>
        <v/>
      </c>
      <c r="F30" s="552">
        <f>IF(LOWER(Sheet2!$Q$79)="v","Vacant",IF(LOWER(Sheet2!$Q$79)="pause","Paused",IF(LOWER(Sheet2!$Q$79)="cxc","Contractor","Filled")))</f>
        <v/>
      </c>
      <c r="G30" s="554" t="n"/>
      <c r="H30" s="590" t="inlineStr">
        <is>
          <t>Onshore</t>
        </is>
      </c>
      <c r="I30" s="900" t="n"/>
      <c r="J30" s="555" t="n"/>
      <c r="K30" s="547" t="n"/>
      <c r="L30" s="547" t="n"/>
      <c r="T30" s="568">
        <f>(Sheet2!$AA$79/1000000)*IF($H30="Offshore",0.4,1)</f>
        <v/>
      </c>
    </row>
    <row r="31" ht="29" customHeight="1" s="849">
      <c r="B31" s="563">
        <f>Sheet2!$B$80</f>
        <v/>
      </c>
      <c r="C31" s="567">
        <f>SUBSTITUTE(SUBSTITUTE(Sheet2!$C$80,"–","-"),"—","-")</f>
        <v/>
      </c>
      <c r="D31" s="563">
        <f>Sheet2!$G$80</f>
        <v/>
      </c>
      <c r="E31" s="563">
        <f>Sheet2!$M$80</f>
        <v/>
      </c>
      <c r="F31" s="552">
        <f>IF(LOWER(Sheet2!$Q$80)="v","Vacant",IF(LOWER(Sheet2!$Q$80)="pause","Paused",IF(LOWER(Sheet2!$Q$80)="cxc","Contractor","Filled")))</f>
        <v/>
      </c>
      <c r="G31" s="554" t="n"/>
      <c r="H31" s="590" t="inlineStr">
        <is>
          <t>Onshore</t>
        </is>
      </c>
      <c r="I31" s="900" t="n"/>
      <c r="J31" s="555" t="n"/>
      <c r="K31" s="547" t="n"/>
      <c r="L31" s="547" t="n"/>
      <c r="T31" s="568">
        <f>(Sheet2!$AA$80/1000000)*IF($H31="Offshore",0.4,1)</f>
        <v/>
      </c>
    </row>
    <row r="32">
      <c r="B32" s="563">
        <f>Sheet2!$B$81</f>
        <v/>
      </c>
      <c r="C32" s="567">
        <f>SUBSTITUTE(SUBSTITUTE(Sheet2!$C$81,"–","-"),"—","-")</f>
        <v/>
      </c>
      <c r="D32" s="563">
        <f>Sheet2!$G$81</f>
        <v/>
      </c>
      <c r="E32" s="563">
        <f>Sheet2!$M$81</f>
        <v/>
      </c>
      <c r="F32" s="552">
        <f>IF(LOWER(Sheet2!$Q$81)="v","Vacant",IF(LOWER(Sheet2!$Q$81)="pause","Paused",IF(LOWER(Sheet2!$Q$81)="cxc","Contractor","Filled")))</f>
        <v/>
      </c>
      <c r="G32" s="554" t="n"/>
      <c r="H32" s="590" t="inlineStr">
        <is>
          <t>Onshore</t>
        </is>
      </c>
      <c r="I32" s="900" t="n"/>
      <c r="J32" s="555" t="n"/>
      <c r="K32" s="547" t="n"/>
      <c r="L32" s="547" t="n"/>
      <c r="T32" s="568">
        <f>(Sheet2!$AA$81/1000000)*IF($H32="Offshore",0.4,1)</f>
        <v/>
      </c>
    </row>
    <row r="33">
      <c r="B33" s="563">
        <f>Sheet2!$B$82</f>
        <v/>
      </c>
      <c r="C33" s="567">
        <f>SUBSTITUTE(SUBSTITUTE(Sheet2!$C$82,"–","-"),"—","-")</f>
        <v/>
      </c>
      <c r="D33" s="563">
        <f>Sheet2!$G$82</f>
        <v/>
      </c>
      <c r="E33" s="563">
        <f>Sheet2!$M$82</f>
        <v/>
      </c>
      <c r="F33" s="552">
        <f>IF(LOWER(Sheet2!$Q$82)="v","Vacant",IF(LOWER(Sheet2!$Q$82)="pause","Paused",IF(LOWER(Sheet2!$Q$82)="cxc","Contractor","Filled")))</f>
        <v/>
      </c>
      <c r="G33" s="554" t="n"/>
      <c r="H33" s="590" t="inlineStr">
        <is>
          <t>Onshore</t>
        </is>
      </c>
      <c r="I33" s="900" t="n"/>
      <c r="J33" s="555" t="n"/>
      <c r="K33" s="547" t="n"/>
      <c r="L33" s="547" t="n"/>
      <c r="T33" s="568">
        <f>(Sheet2!$AA$82/1000000)*IF($H33="Offshore",0.4,1)</f>
        <v/>
      </c>
    </row>
    <row r="34" ht="29" customHeight="1" s="849">
      <c r="B34" s="563">
        <f>Sheet2!$B$83</f>
        <v/>
      </c>
      <c r="C34" s="567">
        <f>SUBSTITUTE(SUBSTITUTE(Sheet2!$C$83,"–","-"),"—","-")</f>
        <v/>
      </c>
      <c r="D34" s="563">
        <f>Sheet2!$G$83</f>
        <v/>
      </c>
      <c r="E34" s="563">
        <f>Sheet2!$M$83</f>
        <v/>
      </c>
      <c r="F34" s="552">
        <f>IF(LOWER(Sheet2!$Q$83)="v","Vacant",IF(LOWER(Sheet2!$Q$83)="pause","Paused",IF(LOWER(Sheet2!$Q$83)="cxc","Contractor","Filled")))</f>
        <v/>
      </c>
      <c r="G34" s="554" t="n"/>
      <c r="H34" s="590" t="inlineStr">
        <is>
          <t>Onshore</t>
        </is>
      </c>
      <c r="I34" s="900" t="n"/>
      <c r="J34" s="555" t="n"/>
      <c r="K34" s="547" t="n"/>
      <c r="L34" s="547" t="n"/>
      <c r="T34" s="568">
        <f>(Sheet2!$AA$83/1000000)*IF($H34="Offshore",0.4,1)</f>
        <v/>
      </c>
    </row>
    <row r="35">
      <c r="B35" s="563">
        <f>Sheet2!$B$84</f>
        <v/>
      </c>
      <c r="C35" s="567">
        <f>SUBSTITUTE(SUBSTITUTE(Sheet2!$C$84,"–","-"),"—","-")</f>
        <v/>
      </c>
      <c r="D35" s="563">
        <f>Sheet2!$G$84</f>
        <v/>
      </c>
      <c r="E35" s="563">
        <f>Sheet2!$M$84</f>
        <v/>
      </c>
      <c r="F35" s="552">
        <f>IF(LOWER(Sheet2!$Q$84)="v","Vacant",IF(LOWER(Sheet2!$Q$84)="pause","Paused",IF(LOWER(Sheet2!$Q$84)="cxc","Contractor","Filled")))</f>
        <v/>
      </c>
      <c r="G35" s="569">
        <f>(Sheet2!$AA$84)*IF($H35="Offshore",0.4,1)</f>
        <v/>
      </c>
      <c r="H35" s="590" t="inlineStr">
        <is>
          <t>Onshore</t>
        </is>
      </c>
      <c r="I35" s="900" t="n"/>
      <c r="J35" s="555" t="n"/>
      <c r="K35" s="547" t="n"/>
      <c r="L35" s="547" t="n"/>
      <c r="T35" s="568">
        <f>(Sheet2!$AA$84/1000000)*IF($H35="Offshore",0.4,1)</f>
        <v/>
      </c>
    </row>
    <row r="36">
      <c r="B36" s="563">
        <f>Sheet2!$B$85</f>
        <v/>
      </c>
      <c r="C36" s="567">
        <f>SUBSTITUTE(SUBSTITUTE(Sheet2!$C$85,"–","-"),"—","-")</f>
        <v/>
      </c>
      <c r="D36" s="563">
        <f>Sheet2!$G$85</f>
        <v/>
      </c>
      <c r="E36" s="563">
        <f>Sheet2!$M$85</f>
        <v/>
      </c>
      <c r="F36" s="552">
        <f>IF(LOWER(Sheet2!$Q$85)="v","Vacant",IF(LOWER(Sheet2!$Q$85)="pause","Paused",IF(LOWER(Sheet2!$Q$85)="cxc","Contractor","Filled")))</f>
        <v/>
      </c>
      <c r="G36" s="569">
        <f>(Sheet2!$AA$85)*IF($H36="Offshore",0.4,1)</f>
        <v/>
      </c>
      <c r="H36" s="590" t="inlineStr">
        <is>
          <t>Onshore</t>
        </is>
      </c>
      <c r="I36" s="900" t="n"/>
      <c r="J36" s="555" t="n"/>
      <c r="K36" s="547" t="n"/>
      <c r="L36" s="547" t="n"/>
      <c r="T36" s="568">
        <f>(Sheet2!$AA$85/1000000)*IF($H36="Offshore",0.4,1)</f>
        <v/>
      </c>
    </row>
    <row r="37">
      <c r="B37" s="563">
        <f>Sheet2!$B$86</f>
        <v/>
      </c>
      <c r="C37" s="567">
        <f>SUBSTITUTE(SUBSTITUTE(Sheet2!$C$86,"–","-"),"—","-")</f>
        <v/>
      </c>
      <c r="D37" s="563">
        <f>Sheet2!$G$86</f>
        <v/>
      </c>
      <c r="E37" s="563">
        <f>Sheet2!$M$86</f>
        <v/>
      </c>
      <c r="F37" s="552">
        <f>IF(LOWER(Sheet2!$Q$86)="v","Vacant",IF(LOWER(Sheet2!$Q$86)="pause","Paused",IF(LOWER(Sheet2!$Q$86)="cxc","Contractor","Filled")))</f>
        <v/>
      </c>
      <c r="G37" s="569">
        <f>(Sheet2!$AA$86)*IF($H37="Offshore",0.4,1)</f>
        <v/>
      </c>
      <c r="H37" s="590" t="inlineStr">
        <is>
          <t>Onshore</t>
        </is>
      </c>
      <c r="I37" s="900" t="n"/>
      <c r="J37" s="555" t="n"/>
      <c r="K37" s="547" t="n"/>
      <c r="L37" s="547" t="n"/>
      <c r="T37" s="568">
        <f>(Sheet2!$AA$86/1000000)*IF($H37="Offshore",0.4,1)</f>
        <v/>
      </c>
    </row>
    <row r="38" ht="29" customHeight="1" s="849">
      <c r="B38" s="563">
        <f>Sheet2!$B$87</f>
        <v/>
      </c>
      <c r="C38" s="567">
        <f>SUBSTITUTE(SUBSTITUTE(Sheet2!$C$87,"–","-"),"—","-")</f>
        <v/>
      </c>
      <c r="D38" s="563">
        <f>Sheet2!$G$87</f>
        <v/>
      </c>
      <c r="E38" s="563">
        <f>Sheet2!$M$87</f>
        <v/>
      </c>
      <c r="F38" s="552">
        <f>IF(LOWER(Sheet2!$Q$87)="v","Vacant",IF(LOWER(Sheet2!$Q$87)="pause","Paused",IF(LOWER(Sheet2!$Q$87)="cxc","Contractor","Filled")))</f>
        <v/>
      </c>
      <c r="G38" s="569">
        <f>(Sheet2!$AA$87)*IF($H38="Offshore",0.4,1)</f>
        <v/>
      </c>
      <c r="H38" s="590" t="inlineStr">
        <is>
          <t>Onshore</t>
        </is>
      </c>
      <c r="I38" s="900" t="n"/>
      <c r="J38" s="555" t="n"/>
      <c r="K38" s="547" t="n"/>
      <c r="L38" s="547" t="n"/>
      <c r="T38" s="568">
        <f>(Sheet2!$AA$87/1000000)*IF($H38="Offshore",0.4,1)</f>
        <v/>
      </c>
    </row>
    <row r="39" ht="29" customHeight="1" s="849">
      <c r="B39" s="563">
        <f>Sheet2!$B$88</f>
        <v/>
      </c>
      <c r="C39" s="567">
        <f>SUBSTITUTE(SUBSTITUTE(Sheet2!$C$88,"–","-"),"—","-")</f>
        <v/>
      </c>
      <c r="D39" s="563">
        <f>Sheet2!$G$88</f>
        <v/>
      </c>
      <c r="E39" s="563">
        <f>Sheet2!$M$88</f>
        <v/>
      </c>
      <c r="F39" s="552">
        <f>IF(LOWER(Sheet2!$Q$88)="v","Vacant",IF(LOWER(Sheet2!$Q$88)="pause","Paused",IF(LOWER(Sheet2!$Q$88)="cxc","Contractor","Filled")))</f>
        <v/>
      </c>
      <c r="G39" s="569">
        <f>(Sheet2!$AA$88)*IF($H39="Offshore",0.4,1)</f>
        <v/>
      </c>
      <c r="H39" s="590" t="inlineStr">
        <is>
          <t>Onshore</t>
        </is>
      </c>
      <c r="I39" s="900" t="n"/>
      <c r="J39" s="555" t="n"/>
      <c r="K39" s="547" t="n"/>
      <c r="L39" s="547" t="n"/>
      <c r="T39" s="568">
        <f>(Sheet2!$AA$88/1000000)*IF($H39="Offshore",0.4,1)</f>
        <v/>
      </c>
    </row>
    <row r="40" ht="29" customHeight="1" s="849">
      <c r="B40" s="563">
        <f>Sheet2!$B$89</f>
        <v/>
      </c>
      <c r="C40" s="567">
        <f>SUBSTITUTE(SUBSTITUTE(Sheet2!$C$89,"–","-"),"—","-")</f>
        <v/>
      </c>
      <c r="D40" s="563">
        <f>Sheet2!$G$89</f>
        <v/>
      </c>
      <c r="E40" s="563">
        <f>Sheet2!$M$89</f>
        <v/>
      </c>
      <c r="F40" s="552">
        <f>IF(LOWER(Sheet2!$Q$89)="v","Vacant",IF(LOWER(Sheet2!$Q$89)="pause","Paused",IF(LOWER(Sheet2!$Q$89)="cxc","Contractor","Filled")))</f>
        <v/>
      </c>
      <c r="G40" s="569">
        <f>(Sheet2!$AA$89)*IF($H40="Offshore",0.4,1)</f>
        <v/>
      </c>
      <c r="H40" s="590" t="inlineStr">
        <is>
          <t>Onshore</t>
        </is>
      </c>
      <c r="I40" s="900" t="n"/>
      <c r="J40" s="555" t="n"/>
      <c r="K40" s="547" t="n"/>
      <c r="L40" s="547" t="n"/>
      <c r="T40" s="568">
        <f>(Sheet2!$AA$89/1000000)*IF($H40="Offshore",0.4,1)</f>
        <v/>
      </c>
    </row>
    <row r="41" ht="29" customHeight="1" s="849">
      <c r="B41" s="563">
        <f>Sheet2!$B$90</f>
        <v/>
      </c>
      <c r="C41" s="567">
        <f>SUBSTITUTE(SUBSTITUTE(Sheet2!$C$90,"–","-"),"—","-")</f>
        <v/>
      </c>
      <c r="D41" s="563">
        <f>Sheet2!$G$90</f>
        <v/>
      </c>
      <c r="E41" s="563">
        <f>Sheet2!$M$90</f>
        <v/>
      </c>
      <c r="F41" s="552">
        <f>IF(LOWER(Sheet2!$Q$90)="v","Vacant",IF(LOWER(Sheet2!$Q$90)="pause","Paused",IF(LOWER(Sheet2!$Q$90)="cxc","Contractor","Filled")))</f>
        <v/>
      </c>
      <c r="G41" s="569">
        <f>(Sheet2!$AA$90)*IF($H41="Offshore",0.4,1)</f>
        <v/>
      </c>
      <c r="H41" s="590" t="inlineStr">
        <is>
          <t>Onshore</t>
        </is>
      </c>
      <c r="I41" s="900" t="n"/>
      <c r="J41" s="555" t="n"/>
      <c r="K41" s="547" t="n"/>
      <c r="L41" s="547" t="n"/>
      <c r="T41" s="568">
        <f>(Sheet2!$AA$90/1000000)*IF($H41="Offshore",0.4,1)</f>
        <v/>
      </c>
    </row>
    <row r="42">
      <c r="B42" s="563">
        <f>Sheet2!$B$91</f>
        <v/>
      </c>
      <c r="C42" s="567">
        <f>SUBSTITUTE(SUBSTITUTE(Sheet2!$C$91,"–","-"),"—","-")</f>
        <v/>
      </c>
      <c r="D42" s="563">
        <f>Sheet2!$G$91</f>
        <v/>
      </c>
      <c r="E42" s="563">
        <f>Sheet2!$M$91</f>
        <v/>
      </c>
      <c r="F42" s="552">
        <f>IF(LOWER(Sheet2!$Q$91)="v","Vacant",IF(LOWER(Sheet2!$Q$91)="pause","Paused",IF(LOWER(Sheet2!$Q$91)="cxc","Contractor","Filled")))</f>
        <v/>
      </c>
      <c r="G42" s="569">
        <f>(Sheet2!$AA$91)*IF($H42="Offshore",0.4,1)</f>
        <v/>
      </c>
      <c r="H42" s="590" t="inlineStr">
        <is>
          <t>Onshore</t>
        </is>
      </c>
      <c r="I42" s="547" t="n"/>
      <c r="J42" s="547" t="n"/>
      <c r="K42" s="547" t="n"/>
      <c r="L42" s="547" t="n"/>
      <c r="T42" s="568">
        <f>(Sheet2!$AA$91/1000000)*IF($H42="Offshore",0.4,1)</f>
        <v/>
      </c>
    </row>
    <row r="43">
      <c r="B43" s="563">
        <f>Sheet2!$B$92</f>
        <v/>
      </c>
      <c r="C43" s="567">
        <f>SUBSTITUTE(SUBSTITUTE(Sheet2!$C$92,"–","-"),"—","-")</f>
        <v/>
      </c>
      <c r="D43" s="563">
        <f>Sheet2!$G$92</f>
        <v/>
      </c>
      <c r="E43" s="563">
        <f>Sheet2!$M$92</f>
        <v/>
      </c>
      <c r="F43" s="552">
        <f>IF(LOWER(Sheet2!$Q$92)="v","Vacant",IF(LOWER(Sheet2!$Q$92)="pause","Paused",IF(LOWER(Sheet2!$Q$92)="cxc","Contractor","Filled")))</f>
        <v/>
      </c>
      <c r="G43" s="569">
        <f>(Sheet2!$AA$92)*IF($H43="Offshore",0.4,1)</f>
        <v/>
      </c>
      <c r="H43" s="590" t="inlineStr">
        <is>
          <t>Onshore</t>
        </is>
      </c>
      <c r="I43" s="547" t="n"/>
      <c r="J43" s="547" t="n"/>
      <c r="K43" s="547" t="n"/>
      <c r="L43" s="547" t="n"/>
      <c r="T43" s="568">
        <f>(Sheet2!$AA$92/1000000)*IF($H43="Offshore",0.4,1)</f>
        <v/>
      </c>
    </row>
    <row r="44">
      <c r="B44" s="563">
        <f>Sheet2!$B$93</f>
        <v/>
      </c>
      <c r="C44" s="567">
        <f>SUBSTITUTE(SUBSTITUTE(Sheet2!$C$93,"–","-"),"—","-")</f>
        <v/>
      </c>
      <c r="D44" s="563">
        <f>Sheet2!$G$93</f>
        <v/>
      </c>
      <c r="E44" s="563">
        <f>Sheet2!$M$93</f>
        <v/>
      </c>
      <c r="F44" s="552">
        <f>IF(LOWER(Sheet2!$Q$93)="v","Vacant",IF(LOWER(Sheet2!$Q$93)="pause","Paused",IF(LOWER(Sheet2!$Q$93)="cxc","Contractor","Filled")))</f>
        <v/>
      </c>
      <c r="G44" s="547" t="n"/>
      <c r="H44" s="590" t="inlineStr">
        <is>
          <t>Onshore</t>
        </is>
      </c>
      <c r="I44" s="547" t="n"/>
      <c r="J44" s="547" t="n"/>
      <c r="K44" s="547" t="n"/>
      <c r="L44" s="547" t="n"/>
      <c r="T44" s="568">
        <f>(Sheet2!$AA$93/1000000)*IF($H44="Offshore",0.4,1)</f>
        <v/>
      </c>
    </row>
    <row r="45">
      <c r="B45" s="563" t="inlineStr">
        <is>
          <t>Check - roles listed vs counted (must be 0)</t>
        </is>
      </c>
      <c r="C45" s="600">
        <f>COUNTA(B21:B44)-C8</f>
        <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
      </c>
      <c r="D6" s="600">
        <f>COUNTIFS($F$22:$F$50,"Filled")-COUNTIFS($D$22:$D$50,"Group Data",$F$22:$F$50,"Filled")</f>
        <v/>
      </c>
      <c r="E6" s="600">
        <f>COUNTIFS($F$22:$F$50,"Vacant")-COUNTIFS($D$22:$D$50,"Group Data",$F$22:$F$50,"Vacant")</f>
        <v/>
      </c>
      <c r="F6" s="600">
        <f>COUNTIFS($F$22:$F$50,"Paused")-COUNTIFS($D$22:$D$50,"Group Data",$F$22:$F$50,"Paused")</f>
        <v/>
      </c>
      <c r="G6" s="551">
        <f>SUM($T$22:$T$50)-SUMIFS($T$22:$T$50,$D$22:$D$50,"Group Data")</f>
        <v/>
      </c>
      <c r="H6" s="551">
        <f>C15</f>
        <v/>
      </c>
      <c r="I6" s="898">
        <f>G6-H6</f>
        <v/>
      </c>
      <c r="J6" s="551">
        <f>SUMIFS($T$22:$T$50,$E$22:$E$50,"&lt;&gt;NZ")-SUMIFS($T$22:$T$50,$D$22:$D$50,"Group Data",$E$22:$E$50,"&lt;&gt;NZ")</f>
        <v/>
      </c>
      <c r="K6" s="551">
        <f>SUMIFS($T$22:$T$50,$E$22:$E$50,"NZ")-SUMIFS($T$22:$T$50,$D$22:$D$50,"Group Data",$E$22:$E$50,"NZ")</f>
        <v/>
      </c>
      <c r="L6" s="547" t="n"/>
    </row>
    <row r="7">
      <c r="B7" s="550" t="inlineStr">
        <is>
          <t>Data</t>
        </is>
      </c>
      <c r="C7" s="600">
        <f>COUNTIFS($D$22:$D$50,"Group Data")</f>
        <v/>
      </c>
      <c r="D7" s="600">
        <f>COUNTIFS($D$22:$D$50,"Group Data",$F$22:$F$50,"Filled")</f>
        <v/>
      </c>
      <c r="E7" s="600">
        <f>COUNTIFS($D$22:$D$50,"Group Data",$F$22:$F$50,"Vacant")</f>
        <v/>
      </c>
      <c r="F7" s="600">
        <f>COUNTIFS($D$22:$D$50,"Group Data",$F$22:$F$50,"Paused")</f>
        <v/>
      </c>
      <c r="G7" s="551">
        <f>SUMIFS($T$22:$T$50,$D$22:$D$50,"Group Data")</f>
        <v/>
      </c>
      <c r="H7" s="551">
        <f>C16</f>
        <v/>
      </c>
      <c r="I7" s="898">
        <f>G7-H7</f>
        <v/>
      </c>
      <c r="J7" s="551">
        <f>SUMIFS($T$22:$T$50,$D$22:$D$50,"Group Data",$E$22:$E$50,"&lt;&gt;NZ")</f>
        <v/>
      </c>
      <c r="K7" s="551">
        <f>SUMIFS($T$22:$T$50,$D$22:$D$50,"Group Data",$E$22:$E$50,"NZ")</f>
        <v/>
      </c>
      <c r="L7" s="547" t="n"/>
    </row>
    <row r="8">
      <c r="B8" s="561" t="inlineStr">
        <is>
          <t>Total</t>
        </is>
      </c>
      <c r="C8" s="562">
        <f>SUM(C6:C7)</f>
        <v/>
      </c>
      <c r="D8" s="562">
        <f>SUM(D6:D7)</f>
        <v/>
      </c>
      <c r="E8" s="562">
        <f>SUM(E6:E7)</f>
        <v/>
      </c>
      <c r="F8" s="562">
        <f>SUM(F6:F7)</f>
        <v/>
      </c>
      <c r="G8" s="553">
        <f>SUM(G6:G7)</f>
        <v/>
      </c>
      <c r="H8" s="553">
        <f>SUM(H6:H7)</f>
        <v/>
      </c>
      <c r="I8" s="553">
        <f>SUM(I6:I7)</f>
        <v/>
      </c>
      <c r="J8" s="553">
        <f>SUM(J6:J7)</f>
        <v/>
      </c>
      <c r="K8" s="553">
        <f>SUM(K6:K7)</f>
        <v/>
      </c>
      <c r="L8" s="547" t="n"/>
    </row>
    <row r="9">
      <c r="B9" s="547" t="n"/>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Domain Architect allocation per portfolio (FTE - 0.2 Data Config)</t>
        </is>
      </c>
      <c r="C11" s="899">
        <f>'0.2 Data Config'!$K$8</f>
        <v/>
      </c>
      <c r="D11" s="547" t="n"/>
      <c r="E11" s="547" t="n"/>
      <c r="F11" s="547" t="n"/>
      <c r="G11" s="547" t="n"/>
      <c r="H11" s="547" t="n"/>
      <c r="I11" s="547" t="n"/>
      <c r="J11" s="547" t="n"/>
      <c r="K11" s="547" t="n"/>
      <c r="L11" s="547" t="n"/>
    </row>
    <row r="12">
      <c r="B12" s="628" t="inlineStr">
        <is>
          <t>Number of Domain Architects funded by Portfolios</t>
        </is>
      </c>
      <c r="C12" s="899">
        <f>C10*C11</f>
        <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
      </c>
      <c r="D13" s="547" t="n"/>
      <c r="E13" s="547" t="n"/>
      <c r="F13" s="547" t="n"/>
      <c r="G13" s="547" t="n"/>
      <c r="H13" s="547" t="n"/>
      <c r="I13" s="547" t="n"/>
      <c r="J13" s="547" t="n"/>
      <c r="K13" s="547" t="n"/>
      <c r="L13" s="547" t="n"/>
    </row>
    <row r="14">
      <c r="B14" s="563" t="inlineStr">
        <is>
          <t>COE - Strategy Architecture allocation ($m) - 0.2 Data Config</t>
        </is>
      </c>
      <c r="C14" s="551">
        <f>'0.2 Data Config'!$E$6</f>
        <v/>
      </c>
      <c r="D14" s="547" t="n"/>
      <c r="E14" s="547" t="n"/>
      <c r="F14" s="547" t="n"/>
      <c r="G14" s="547" t="n"/>
      <c r="H14" s="547" t="n"/>
      <c r="I14" s="547" t="n"/>
      <c r="J14" s="547" t="n"/>
      <c r="K14" s="547" t="n"/>
      <c r="L14" s="547" t="n"/>
    </row>
    <row r="15">
      <c r="B15" s="550" t="inlineStr">
        <is>
          <t>Total Strategy &amp; Architecture budget ($m)</t>
        </is>
      </c>
      <c r="C15" s="566">
        <f>C13+C14</f>
        <v/>
      </c>
      <c r="D15" s="547" t="n"/>
      <c r="E15" s="547" t="n"/>
      <c r="F15" s="547" t="n"/>
      <c r="G15" s="547" t="n"/>
      <c r="H15" s="547" t="n"/>
      <c r="I15" s="547" t="n"/>
      <c r="J15" s="547" t="n"/>
      <c r="K15" s="547" t="n"/>
      <c r="L15" s="547" t="n"/>
    </row>
    <row r="16">
      <c r="B16" s="563" t="inlineStr">
        <is>
          <t>COE - Data allocation ($m) - 0.2 Data Config</t>
        </is>
      </c>
      <c r="C16" s="551">
        <f>'0.2 Data Config'!$E$10</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63" t="inlineStr">
        <is>
          <t>Paused roles - cost if released ($m)</t>
        </is>
      </c>
      <c r="C18" s="551">
        <f>SUMIFS($G$22:$G$50,$F$22:$F$50,"Paused")/1000000</f>
        <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f>Sheet2!$B$97</f>
        <v/>
      </c>
      <c r="C22" s="567">
        <f>SUBSTITUTE(SUBSTITUTE(Sheet2!$C$97,"–","-"),"—","-")</f>
        <v/>
      </c>
      <c r="D22" s="563">
        <f>Sheet2!$G$97</f>
        <v/>
      </c>
      <c r="E22" s="563">
        <f>Sheet2!$M$97</f>
        <v/>
      </c>
      <c r="F22" s="552">
        <f>IF(LOWER(Sheet2!$Q$97)="v","Vacant",IF(LOWER(Sheet2!$Q$97)="pause","Paused",IF(LOWER(Sheet2!$Q$97)="cxc","Contractor","Filled")))</f>
        <v/>
      </c>
      <c r="G22" s="554" t="n"/>
      <c r="H22" s="590" t="inlineStr">
        <is>
          <t>Onshore</t>
        </is>
      </c>
      <c r="I22" s="900" t="n"/>
      <c r="J22" s="555" t="n"/>
      <c r="K22" s="547" t="n"/>
      <c r="L22" s="547" t="n"/>
      <c r="T22" s="568">
        <f>(IF($F22="Paused",0,Sheet2!$AA$97/1000000))*IF($H22="Offshore",0.4,1)</f>
        <v/>
      </c>
    </row>
    <row r="23">
      <c r="B23" s="563">
        <f>Sheet2!$B$100</f>
        <v/>
      </c>
      <c r="C23" s="567">
        <f>SUBSTITUTE(SUBSTITUTE(Sheet2!$C$100,"–","-"),"—","-")</f>
        <v/>
      </c>
      <c r="D23" s="563">
        <f>Sheet2!$G$100</f>
        <v/>
      </c>
      <c r="E23" s="563">
        <f>Sheet2!$M$100</f>
        <v/>
      </c>
      <c r="F23" s="552">
        <f>IF(LOWER(Sheet2!$Q$100)="v","Vacant",IF(LOWER(Sheet2!$Q$100)="pause","Paused",IF(LOWER(Sheet2!$Q$100)="cxc","Contractor","Filled")))</f>
        <v/>
      </c>
      <c r="G23" s="554" t="n"/>
      <c r="H23" s="590" t="inlineStr">
        <is>
          <t>Onshore</t>
        </is>
      </c>
      <c r="I23" s="900" t="n"/>
      <c r="J23" s="555" t="n"/>
      <c r="K23" s="547" t="n"/>
      <c r="L23" s="547" t="n"/>
      <c r="T23" s="568">
        <f>(IF($F23="Paused",0,Sheet2!$AA$100/1000000))*IF($H23="Offshore",0.4,1)</f>
        <v/>
      </c>
    </row>
    <row r="24">
      <c r="B24" s="563">
        <f>Sheet2!$B$102</f>
        <v/>
      </c>
      <c r="C24" s="567">
        <f>SUBSTITUTE(SUBSTITUTE(Sheet2!$C$102,"–","-"),"—","-")</f>
        <v/>
      </c>
      <c r="D24" s="563">
        <f>Sheet2!$G$102</f>
        <v/>
      </c>
      <c r="E24" s="563">
        <f>Sheet2!$M$102</f>
        <v/>
      </c>
      <c r="F24" s="552">
        <f>IF(LOWER(Sheet2!$Q$102)="v","Vacant",IF(LOWER(Sheet2!$Q$102)="pause","Paused",IF(LOWER(Sheet2!$Q$102)="cxc","Contractor","Filled")))</f>
        <v/>
      </c>
      <c r="G24" s="554" t="n"/>
      <c r="H24" s="590" t="inlineStr">
        <is>
          <t>Onshore</t>
        </is>
      </c>
      <c r="I24" s="900" t="n"/>
      <c r="J24" s="555" t="n"/>
      <c r="K24" s="547" t="n"/>
      <c r="L24" s="547" t="n"/>
      <c r="T24" s="568">
        <f>(IF($F24="Paused",0,Sheet2!$AA$102/1000000))*IF($H24="Offshore",0.4,1)</f>
        <v/>
      </c>
    </row>
    <row r="25">
      <c r="B25" s="563">
        <f>Sheet2!$B$103</f>
        <v/>
      </c>
      <c r="C25" s="567">
        <f>SUBSTITUTE(SUBSTITUTE(Sheet2!$C$103,"–","-"),"—","-")</f>
        <v/>
      </c>
      <c r="D25" s="563">
        <f>Sheet2!$G$103</f>
        <v/>
      </c>
      <c r="E25" s="563">
        <f>Sheet2!$M$103</f>
        <v/>
      </c>
      <c r="F25" s="552">
        <f>IF(LOWER(Sheet2!$Q$103)="v","Vacant",IF(LOWER(Sheet2!$Q$103)="pause","Paused",IF(LOWER(Sheet2!$Q$103)="cxc","Contractor","Filled")))</f>
        <v/>
      </c>
      <c r="G25" s="554" t="n"/>
      <c r="H25" s="590" t="inlineStr">
        <is>
          <t>Onshore</t>
        </is>
      </c>
      <c r="I25" s="900" t="n"/>
      <c r="J25" s="555" t="n"/>
      <c r="K25" s="547" t="n"/>
      <c r="L25" s="547" t="n"/>
      <c r="T25" s="568">
        <f>(IF($F25="Paused",0,Sheet2!$AA$103/1000000))*IF($H25="Offshore",0.4,1)</f>
        <v/>
      </c>
    </row>
    <row r="26">
      <c r="B26" s="563">
        <f>Sheet2!$B$106</f>
        <v/>
      </c>
      <c r="C26" s="567">
        <f>SUBSTITUTE(SUBSTITUTE(Sheet2!$C$106,"–","-"),"—","-")</f>
        <v/>
      </c>
      <c r="D26" s="563">
        <f>Sheet2!$G$106</f>
        <v/>
      </c>
      <c r="E26" s="563">
        <f>Sheet2!$M$106</f>
        <v/>
      </c>
      <c r="F26" s="552">
        <f>IF(LOWER(Sheet2!$Q$106)="v","Vacant",IF(LOWER(Sheet2!$Q$106)="pause","Paused",IF(LOWER(Sheet2!$Q$106)="cxc","Contractor","Filled")))</f>
        <v/>
      </c>
      <c r="G26" s="554" t="n"/>
      <c r="H26" s="590" t="inlineStr">
        <is>
          <t>Onshore</t>
        </is>
      </c>
      <c r="I26" s="900" t="n"/>
      <c r="J26" s="555" t="n"/>
      <c r="K26" s="547" t="n"/>
      <c r="L26" s="547" t="n"/>
      <c r="T26" s="568">
        <f>(IF($F26="Paused",0,Sheet2!$AA$106/1000000))*IF($H26="Offshore",0.4,1)</f>
        <v/>
      </c>
    </row>
    <row r="27">
      <c r="B27" s="563">
        <f>Sheet2!$B$107</f>
        <v/>
      </c>
      <c r="C27" s="567">
        <f>SUBSTITUTE(SUBSTITUTE(Sheet2!$C$107,"–","-"),"—","-")</f>
        <v/>
      </c>
      <c r="D27" s="563">
        <f>Sheet2!$G$107</f>
        <v/>
      </c>
      <c r="E27" s="563">
        <f>Sheet2!$M$107</f>
        <v/>
      </c>
      <c r="F27" s="552">
        <f>IF(LOWER(Sheet2!$Q$107)="v","Vacant",IF(LOWER(Sheet2!$Q$107)="pause","Paused",IF(LOWER(Sheet2!$Q$107)="cxc","Contractor","Filled")))</f>
        <v/>
      </c>
      <c r="G27" s="554" t="n"/>
      <c r="H27" s="590" t="inlineStr">
        <is>
          <t>Onshore</t>
        </is>
      </c>
      <c r="I27" s="900" t="n"/>
      <c r="J27" s="555" t="n"/>
      <c r="K27" s="547" t="n"/>
      <c r="L27" s="547" t="n"/>
      <c r="T27" s="568">
        <f>(IF($F27="Paused",0,Sheet2!$AA$107/1000000))*IF($H27="Offshore",0.4,1)</f>
        <v/>
      </c>
    </row>
    <row r="28">
      <c r="B28" s="563">
        <f>Sheet2!$B$108</f>
        <v/>
      </c>
      <c r="C28" s="567">
        <f>SUBSTITUTE(SUBSTITUTE(Sheet2!$C$108,"–","-"),"—","-")</f>
        <v/>
      </c>
      <c r="D28" s="563">
        <f>Sheet2!$G$108</f>
        <v/>
      </c>
      <c r="E28" s="563">
        <f>Sheet2!$M$108</f>
        <v/>
      </c>
      <c r="F28" s="552">
        <f>IF(LOWER(Sheet2!$Q$108)="v","Vacant",IF(LOWER(Sheet2!$Q$108)="pause","Paused",IF(LOWER(Sheet2!$Q$108)="cxc","Contractor","Filled")))</f>
        <v/>
      </c>
      <c r="G28" s="554" t="n"/>
      <c r="H28" s="590" t="inlineStr">
        <is>
          <t>Onshore</t>
        </is>
      </c>
      <c r="I28" s="900" t="n"/>
      <c r="J28" s="555" t="n"/>
      <c r="K28" s="547" t="n"/>
      <c r="L28" s="547" t="n"/>
      <c r="T28" s="568">
        <f>(IF($F28="Paused",0,Sheet2!$AA$108/1000000))*IF($H28="Offshore",0.4,1)</f>
        <v/>
      </c>
    </row>
    <row r="29">
      <c r="B29" s="563">
        <f>Sheet2!$B$109</f>
        <v/>
      </c>
      <c r="C29" s="567">
        <f>SUBSTITUTE(SUBSTITUTE(Sheet2!$C$109,"–","-"),"—","-")</f>
        <v/>
      </c>
      <c r="D29" s="563">
        <f>Sheet2!$G$109</f>
        <v/>
      </c>
      <c r="E29" s="563">
        <f>Sheet2!$M$109</f>
        <v/>
      </c>
      <c r="F29" s="552">
        <f>IF(LOWER(Sheet2!$Q$109)="v","Vacant",IF(LOWER(Sheet2!$Q$109)="pause","Paused",IF(LOWER(Sheet2!$Q$109)="cxc","Contractor","Filled")))</f>
        <v/>
      </c>
      <c r="G29" s="554" t="n"/>
      <c r="H29" s="590" t="inlineStr">
        <is>
          <t>Onshore</t>
        </is>
      </c>
      <c r="I29" s="900" t="n"/>
      <c r="J29" s="555" t="n"/>
      <c r="K29" s="547" t="n"/>
      <c r="L29" s="547" t="n"/>
      <c r="T29" s="568">
        <f>(IF($F29="Paused",0,Sheet2!$AA$109/1000000))*IF($H29="Offshore",0.4,1)</f>
        <v/>
      </c>
    </row>
    <row r="30">
      <c r="B30" s="563">
        <f>Sheet2!$B$114</f>
        <v/>
      </c>
      <c r="C30" s="567">
        <f>SUBSTITUTE(SUBSTITUTE(Sheet2!$C$114,"–","-"),"—","-")</f>
        <v/>
      </c>
      <c r="D30" s="563">
        <f>Sheet2!$G$114</f>
        <v/>
      </c>
      <c r="E30" s="563">
        <f>Sheet2!$M$114</f>
        <v/>
      </c>
      <c r="F30" s="552">
        <f>IF(LOWER(Sheet2!$Q$114)="v","Vacant",IF(LOWER(Sheet2!$Q$114)="pause","Paused",IF(LOWER(Sheet2!$Q$114)="cxc","Contractor","Filled")))</f>
        <v/>
      </c>
      <c r="G30" s="547" t="n"/>
      <c r="H30" s="590" t="inlineStr">
        <is>
          <t>Onshore</t>
        </is>
      </c>
      <c r="I30" s="547" t="n"/>
      <c r="J30" s="547" t="n"/>
      <c r="K30" s="547" t="n"/>
      <c r="L30" s="547" t="n"/>
      <c r="T30" s="568">
        <f>(IF($F30="Paused",0,Sheet2!$AA$114/1000000))*IF($H30="Offshore",0.4,1)</f>
        <v/>
      </c>
    </row>
    <row r="31">
      <c r="B31" s="563">
        <f>Sheet2!$B$115</f>
        <v/>
      </c>
      <c r="C31" s="567">
        <f>SUBSTITUTE(SUBSTITUTE(Sheet2!$C$115,"–","-"),"—","-")</f>
        <v/>
      </c>
      <c r="D31" s="563">
        <f>Sheet2!$G$115</f>
        <v/>
      </c>
      <c r="E31" s="563">
        <f>Sheet2!$M$115</f>
        <v/>
      </c>
      <c r="F31" s="552">
        <f>IF(LOWER(Sheet2!$Q$115)="v","Vacant",IF(LOWER(Sheet2!$Q$115)="pause","Paused",IF(LOWER(Sheet2!$Q$115)="cxc","Contractor","Filled")))</f>
        <v/>
      </c>
      <c r="G31" s="547" t="n"/>
      <c r="H31" s="590" t="inlineStr">
        <is>
          <t>Onshore</t>
        </is>
      </c>
      <c r="I31" s="547" t="n"/>
      <c r="J31" s="547" t="n"/>
      <c r="K31" s="547" t="n"/>
      <c r="L31" s="547" t="n"/>
      <c r="T31" s="568">
        <f>(IF($F31="Paused",0,Sheet2!$AA$115/1000000))*IF($H31="Offshore",0.4,1)</f>
        <v/>
      </c>
    </row>
    <row r="32">
      <c r="B32" s="563">
        <f>Sheet2!$B$116</f>
        <v/>
      </c>
      <c r="C32" s="567">
        <f>SUBSTITUTE(SUBSTITUTE(Sheet2!$C$116,"–","-"),"—","-")</f>
        <v/>
      </c>
      <c r="D32" s="563">
        <f>Sheet2!$G$116</f>
        <v/>
      </c>
      <c r="E32" s="563">
        <f>Sheet2!$M$116</f>
        <v/>
      </c>
      <c r="F32" s="552">
        <f>IF(LOWER(Sheet2!$Q$116)="v","Vacant",IF(LOWER(Sheet2!$Q$116)="pause","Paused",IF(LOWER(Sheet2!$Q$116)="cxc","Contractor","Filled")))</f>
        <v/>
      </c>
      <c r="G32" s="547" t="n"/>
      <c r="H32" s="590" t="inlineStr">
        <is>
          <t>Onshore</t>
        </is>
      </c>
      <c r="I32" s="547" t="n"/>
      <c r="J32" s="547" t="n"/>
      <c r="K32" s="547" t="n"/>
      <c r="L32" s="547" t="n"/>
      <c r="T32" s="568">
        <f>(IF($F32="Paused",0,Sheet2!$AA$116/1000000))*IF($H32="Offshore",0.4,1)</f>
        <v/>
      </c>
    </row>
    <row r="33">
      <c r="B33" s="563">
        <f>Sheet2!$B$117</f>
        <v/>
      </c>
      <c r="C33" s="567">
        <f>SUBSTITUTE(SUBSTITUTE(Sheet2!$C$117,"–","-"),"—","-")</f>
        <v/>
      </c>
      <c r="D33" s="563">
        <f>Sheet2!$G$117</f>
        <v/>
      </c>
      <c r="E33" s="563">
        <f>Sheet2!$M$117</f>
        <v/>
      </c>
      <c r="F33" s="552">
        <f>IF(LOWER(Sheet2!$Q$117)="v","Vacant",IF(LOWER(Sheet2!$Q$117)="pause","Paused",IF(LOWER(Sheet2!$Q$117)="cxc","Contractor","Filled")))</f>
        <v/>
      </c>
      <c r="G33" s="569">
        <f>(Sheet2!$AA$117)*IF($H33="Offshore",0.4,1)</f>
        <v/>
      </c>
      <c r="H33" s="590" t="inlineStr">
        <is>
          <t>Onshore</t>
        </is>
      </c>
      <c r="I33" s="547" t="n"/>
      <c r="J33" s="547" t="n"/>
      <c r="K33" s="547" t="n"/>
      <c r="L33" s="547" t="n"/>
      <c r="T33" s="568">
        <f>(IF($F33="Paused",0,Sheet2!$AA$117/1000000))*IF($H33="Offshore",0.4,1)</f>
        <v/>
      </c>
    </row>
    <row r="34">
      <c r="B34" s="563">
        <f>Sheet2!$B$118</f>
        <v/>
      </c>
      <c r="C34" s="567">
        <f>SUBSTITUTE(SUBSTITUTE(Sheet2!$C$118,"–","-"),"—","-")</f>
        <v/>
      </c>
      <c r="D34" s="563">
        <f>Sheet2!$G$118</f>
        <v/>
      </c>
      <c r="E34" s="563">
        <f>Sheet2!$M$118</f>
        <v/>
      </c>
      <c r="F34" s="552">
        <f>IF(LOWER(Sheet2!$Q$118)="v","Vacant",IF(LOWER(Sheet2!$Q$118)="pause","Paused",IF(LOWER(Sheet2!$Q$118)="cxc","Contractor","Filled")))</f>
        <v/>
      </c>
      <c r="G34" s="569">
        <f>(Sheet2!$AA$118)*IF($H34="Offshore",0.4,1)</f>
        <v/>
      </c>
      <c r="H34" s="590" t="inlineStr">
        <is>
          <t>Onshore</t>
        </is>
      </c>
      <c r="I34" s="547" t="n"/>
      <c r="J34" s="547" t="n"/>
      <c r="K34" s="547" t="n"/>
      <c r="L34" s="547" t="n"/>
      <c r="T34" s="568">
        <f>(IF($F34="Paused",0,Sheet2!$AA$118/1000000))*IF($H34="Offshore",0.4,1)</f>
        <v/>
      </c>
    </row>
    <row r="35">
      <c r="B35" s="563">
        <f>Sheet2!$B$119</f>
        <v/>
      </c>
      <c r="C35" s="567">
        <f>SUBSTITUTE(SUBSTITUTE(Sheet2!$C$119,"–","-"),"—","-")</f>
        <v/>
      </c>
      <c r="D35" s="563">
        <f>Sheet2!$G$119</f>
        <v/>
      </c>
      <c r="E35" s="563">
        <f>Sheet2!$M$119</f>
        <v/>
      </c>
      <c r="F35" s="552">
        <f>IF(LOWER(Sheet2!$Q$119)="v","Vacant",IF(LOWER(Sheet2!$Q$119)="pause","Paused",IF(LOWER(Sheet2!$Q$119)="cxc","Contractor","Filled")))</f>
        <v/>
      </c>
      <c r="G35" s="569">
        <f>(Sheet2!$AA$119)*IF($H35="Offshore",0.4,1)</f>
        <v/>
      </c>
      <c r="H35" s="590" t="inlineStr">
        <is>
          <t>Onshore</t>
        </is>
      </c>
      <c r="I35" s="547" t="n"/>
      <c r="J35" s="547" t="n"/>
      <c r="K35" s="547" t="n"/>
      <c r="L35" s="547" t="n"/>
      <c r="T35" s="568">
        <f>(IF($F35="Paused",0,Sheet2!$AA$119/1000000))*IF($H35="Offshore",0.4,1)</f>
        <v/>
      </c>
    </row>
    <row r="36">
      <c r="B36" s="563">
        <f>Sheet2!$B$120</f>
        <v/>
      </c>
      <c r="C36" s="567">
        <f>SUBSTITUTE(SUBSTITUTE(Sheet2!$C$120,"–","-"),"—","-")</f>
        <v/>
      </c>
      <c r="D36" s="563">
        <f>Sheet2!$G$120</f>
        <v/>
      </c>
      <c r="E36" s="563">
        <f>Sheet2!$M$120</f>
        <v/>
      </c>
      <c r="F36" s="552">
        <f>IF(LOWER(Sheet2!$Q$120)="v","Vacant",IF(LOWER(Sheet2!$Q$120)="pause","Paused",IF(LOWER(Sheet2!$Q$120)="cxc","Contractor","Filled")))</f>
        <v/>
      </c>
      <c r="G36" s="569">
        <f>(Sheet2!$AA$120)*IF($H36="Offshore",0.4,1)</f>
        <v/>
      </c>
      <c r="H36" s="590" t="inlineStr">
        <is>
          <t>Onshore</t>
        </is>
      </c>
      <c r="I36" s="547" t="n"/>
      <c r="J36" s="547" t="n"/>
      <c r="K36" s="547" t="n"/>
      <c r="L36" s="547" t="n"/>
      <c r="T36" s="568">
        <f>(IF($F36="Paused",0,Sheet2!$AA$120/1000000))*IF($H36="Offshore",0.4,1)</f>
        <v/>
      </c>
    </row>
    <row r="37">
      <c r="B37" s="563">
        <f>Sheet2!$B$121</f>
        <v/>
      </c>
      <c r="C37" s="567">
        <f>SUBSTITUTE(SUBSTITUTE(Sheet2!$C$121,"–","-"),"—","-")</f>
        <v/>
      </c>
      <c r="D37" s="563">
        <f>Sheet2!$G$121</f>
        <v/>
      </c>
      <c r="E37" s="563">
        <f>Sheet2!$M$121</f>
        <v/>
      </c>
      <c r="F37" s="552">
        <f>IF(LOWER(Sheet2!$Q$121)="v","Vacant",IF(LOWER(Sheet2!$Q$121)="pause","Paused",IF(LOWER(Sheet2!$Q$121)="cxc","Contractor","Filled")))</f>
        <v/>
      </c>
      <c r="G37" s="547" t="n"/>
      <c r="H37" s="590" t="inlineStr">
        <is>
          <t>Onshore</t>
        </is>
      </c>
      <c r="I37" s="547" t="n"/>
      <c r="J37" s="547" t="n"/>
      <c r="K37" s="547" t="n"/>
      <c r="L37" s="547" t="n"/>
      <c r="T37" s="568">
        <f>(IF($F37="Paused",0,Sheet2!$AA$121/1000000))*IF($H37="Offshore",0.4,1)</f>
        <v/>
      </c>
    </row>
    <row r="38">
      <c r="B38" s="563">
        <f>Sheet2!$B$124</f>
        <v/>
      </c>
      <c r="C38" s="567">
        <f>SUBSTITUTE(SUBSTITUTE(Sheet2!$C$124,"–","-"),"—","-")</f>
        <v/>
      </c>
      <c r="D38" s="563">
        <f>Sheet2!$G$124</f>
        <v/>
      </c>
      <c r="E38" s="563">
        <f>Sheet2!$M$124</f>
        <v/>
      </c>
      <c r="F38" s="552">
        <f>IF(LOWER(Sheet2!$Q$124)="v","Vacant",IF(LOWER(Sheet2!$Q$124)="pause","Paused",IF(LOWER(Sheet2!$Q$124)="cxc","Contractor","Filled")))</f>
        <v/>
      </c>
      <c r="G38" s="547" t="n"/>
      <c r="H38" s="590" t="inlineStr">
        <is>
          <t>Onshore</t>
        </is>
      </c>
      <c r="I38" s="547" t="n"/>
      <c r="J38" s="547" t="n"/>
      <c r="K38" s="547" t="n"/>
      <c r="L38" s="547" t="n"/>
      <c r="T38" s="568">
        <f>(IF($F38="Paused",0,Sheet2!$AA$124/1000000))*IF($H38="Offshore",0.4,1)</f>
        <v/>
      </c>
    </row>
    <row r="39">
      <c r="B39" s="563">
        <f>Sheet2!$B$127</f>
        <v/>
      </c>
      <c r="C39" s="567">
        <f>SUBSTITUTE(SUBSTITUTE(Sheet2!$C$127,"–","-"),"—","-")</f>
        <v/>
      </c>
      <c r="D39" s="563">
        <f>Sheet2!$G$127</f>
        <v/>
      </c>
      <c r="E39" s="563">
        <f>Sheet2!$M$127</f>
        <v/>
      </c>
      <c r="F39" s="552">
        <f>IF(LOWER(Sheet2!$Q$127)="v","Vacant",IF(LOWER(Sheet2!$Q$127)="pause","Paused",IF(LOWER(Sheet2!$Q$127)="cxc","Contractor","Filled")))</f>
        <v/>
      </c>
      <c r="H39" s="590" t="inlineStr">
        <is>
          <t>Onshore</t>
        </is>
      </c>
      <c r="T39" s="568">
        <f>(IF($F39="Paused",0,Sheet2!$AA$127/1000000))*IF($H39="Offshore",0.4,1)</f>
        <v/>
      </c>
    </row>
    <row r="40">
      <c r="B40" s="563">
        <f>Sheet2!$B$133</f>
        <v/>
      </c>
      <c r="C40" s="567">
        <f>SUBSTITUTE(SUBSTITUTE(Sheet2!$C$133,"–","-"),"—","-")</f>
        <v/>
      </c>
      <c r="D40" s="563">
        <f>Sheet2!$G$133</f>
        <v/>
      </c>
      <c r="E40" s="563">
        <f>Sheet2!$M$133</f>
        <v/>
      </c>
      <c r="F40" s="552">
        <f>IF(LOWER(Sheet2!$Q$133)="v","Vacant",IF(LOWER(Sheet2!$Q$133)="pause","Paused",IF(LOWER(Sheet2!$Q$133)="cxc","Contractor","Filled")))</f>
        <v/>
      </c>
      <c r="G40" s="569">
        <f>(Sheet2!$AA$133)*IF($H40="Offshore",0.4,1)</f>
        <v/>
      </c>
      <c r="H40" s="590" t="inlineStr">
        <is>
          <t>Onshore</t>
        </is>
      </c>
      <c r="T40" s="568">
        <f>(IF($F40="Paused",0,Sheet2!$AA$133/1000000))*IF($H40="Offshore",0.4,1)</f>
        <v/>
      </c>
    </row>
    <row r="41">
      <c r="B41" s="563">
        <f>Sheet2!$B$134</f>
        <v/>
      </c>
      <c r="C41" s="567">
        <f>SUBSTITUTE(SUBSTITUTE(Sheet2!$C$134,"–","-"),"—","-")</f>
        <v/>
      </c>
      <c r="D41" s="563">
        <f>Sheet2!$G$134</f>
        <v/>
      </c>
      <c r="E41" s="563">
        <f>Sheet2!$M$134</f>
        <v/>
      </c>
      <c r="F41" s="552">
        <f>IF(LOWER(Sheet2!$Q$134)="v","Vacant",IF(LOWER(Sheet2!$Q$134)="pause","Paused",IF(LOWER(Sheet2!$Q$134)="cxc","Contractor","Filled")))</f>
        <v/>
      </c>
      <c r="G41" s="569">
        <f>(Sheet2!$AA$134)*IF($H41="Offshore",0.4,1)</f>
        <v/>
      </c>
      <c r="H41" s="590" t="inlineStr">
        <is>
          <t>Onshore</t>
        </is>
      </c>
      <c r="T41" s="568">
        <f>(IF($F41="Paused",0,Sheet2!$AA$134/1000000))*IF($H41="Offshore",0.4,1)</f>
        <v/>
      </c>
    </row>
    <row r="42">
      <c r="B42" s="563">
        <f>Sheet2!$B$141</f>
        <v/>
      </c>
      <c r="C42" s="567">
        <f>SUBSTITUTE(SUBSTITUTE(Sheet2!$C$141,"–","-"),"—","-")</f>
        <v/>
      </c>
      <c r="D42" s="563">
        <f>Sheet2!$G$141</f>
        <v/>
      </c>
      <c r="E42" s="563">
        <f>Sheet2!$M$141</f>
        <v/>
      </c>
      <c r="F42" s="552">
        <f>IF(LOWER(Sheet2!$Q$141)="v","Vacant",IF(LOWER(Sheet2!$Q$141)="pause","Paused",IF(LOWER(Sheet2!$Q$141)="cxc","Contractor","Filled")))</f>
        <v/>
      </c>
      <c r="G42" s="569">
        <f>(Sheet2!$AA$141)*IF($H42="Offshore",0.4,1)</f>
        <v/>
      </c>
      <c r="H42" s="590" t="inlineStr">
        <is>
          <t>Onshore</t>
        </is>
      </c>
      <c r="T42" s="568">
        <f>(IF($F42="Paused",0,Sheet2!$AA$141/1000000))*IF($H42="Offshore",0.4,1)</f>
        <v/>
      </c>
    </row>
    <row r="43">
      <c r="B43" s="563">
        <f>Sheet2!$B$142</f>
        <v/>
      </c>
      <c r="C43" s="567">
        <f>SUBSTITUTE(SUBSTITUTE(Sheet2!$C$142,"–","-"),"—","-")</f>
        <v/>
      </c>
      <c r="D43" s="563">
        <f>Sheet2!$G$142</f>
        <v/>
      </c>
      <c r="E43" s="563">
        <f>Sheet2!$M$142</f>
        <v/>
      </c>
      <c r="F43" s="552">
        <f>IF(LOWER(Sheet2!$Q$142)="v","Vacant",IF(LOWER(Sheet2!$Q$142)="pause","Paused",IF(LOWER(Sheet2!$Q$142)="cxc","Contractor","Filled")))</f>
        <v/>
      </c>
      <c r="G43" s="569">
        <f>(Sheet2!$AA$142)*IF($H43="Offshore",0.4,1)</f>
        <v/>
      </c>
      <c r="H43" s="590" t="inlineStr">
        <is>
          <t>Onshore</t>
        </is>
      </c>
      <c r="T43" s="568">
        <f>(IF($F43="Paused",0,Sheet2!$AA$142/1000000))*IF($H43="Offshore",0.4,1)</f>
        <v/>
      </c>
    </row>
    <row r="44">
      <c r="B44" s="563">
        <f>Sheet2!$B$143</f>
        <v/>
      </c>
      <c r="C44" s="567">
        <f>SUBSTITUTE(SUBSTITUTE(Sheet2!$C$143,"–","-"),"—","-")</f>
        <v/>
      </c>
      <c r="D44" s="563">
        <f>Sheet2!$G$143</f>
        <v/>
      </c>
      <c r="E44" s="563">
        <f>Sheet2!$M$143</f>
        <v/>
      </c>
      <c r="F44" s="552">
        <f>IF(LOWER(Sheet2!$Q$143)="v","Vacant",IF(LOWER(Sheet2!$Q$143)="pause","Paused",IF(LOWER(Sheet2!$Q$143)="cxc","Contractor","Filled")))</f>
        <v/>
      </c>
      <c r="G44" s="569">
        <f>(Sheet2!$AA$143)*IF($H44="Offshore",0.4,1)</f>
        <v/>
      </c>
      <c r="H44" s="590" t="inlineStr">
        <is>
          <t>Onshore</t>
        </is>
      </c>
      <c r="T44" s="568">
        <f>(IF($F44="Paused",0,Sheet2!$AA$143/1000000))*IF($H44="Offshore",0.4,1)</f>
        <v/>
      </c>
    </row>
    <row r="45">
      <c r="B45" s="563">
        <f>Sheet2!$B$144</f>
        <v/>
      </c>
      <c r="C45" s="567">
        <f>SUBSTITUTE(SUBSTITUTE(Sheet2!$C$144,"–","-"),"—","-")</f>
        <v/>
      </c>
      <c r="D45" s="563">
        <f>Sheet2!$G$144</f>
        <v/>
      </c>
      <c r="E45" s="563">
        <f>Sheet2!$M$144</f>
        <v/>
      </c>
      <c r="F45" s="552">
        <f>IF(LOWER(Sheet2!$Q$144)="v","Vacant",IF(LOWER(Sheet2!$Q$144)="pause","Paused",IF(LOWER(Sheet2!$Q$144)="cxc","Contractor","Filled")))</f>
        <v/>
      </c>
      <c r="G45" s="569">
        <f>(Sheet2!$AA$144)*IF($H45="Offshore",0.4,1)</f>
        <v/>
      </c>
      <c r="H45" s="590" t="inlineStr">
        <is>
          <t>Onshore</t>
        </is>
      </c>
      <c r="T45" s="568">
        <f>(IF($F45="Paused",0,Sheet2!$AA$144/1000000))*IF($H45="Offshore",0.4,1)</f>
        <v/>
      </c>
    </row>
    <row r="46">
      <c r="B46" s="563">
        <f>Sheet2!$B$145</f>
        <v/>
      </c>
      <c r="C46" s="567">
        <f>SUBSTITUTE(SUBSTITUTE(Sheet2!$C$145,"–","-"),"—","-")</f>
        <v/>
      </c>
      <c r="D46" s="563">
        <f>Sheet2!$G$145</f>
        <v/>
      </c>
      <c r="E46" s="563">
        <f>Sheet2!$M$145</f>
        <v/>
      </c>
      <c r="F46" s="552">
        <f>IF(LOWER(Sheet2!$Q$145)="v","Vacant",IF(LOWER(Sheet2!$Q$145)="pause","Paused",IF(LOWER(Sheet2!$Q$145)="cxc","Contractor","Filled")))</f>
        <v/>
      </c>
      <c r="G46" s="569">
        <f>(Sheet2!$AA$145)*IF($H46="Offshore",0.4,1)</f>
        <v/>
      </c>
      <c r="H46" s="590" t="inlineStr">
        <is>
          <t>Onshore</t>
        </is>
      </c>
      <c r="T46" s="568">
        <f>(IF($F46="Paused",0,Sheet2!$AA$145/1000000))*IF($H46="Offshore",0.4,1)</f>
        <v/>
      </c>
    </row>
    <row r="47">
      <c r="B47" s="563">
        <f>Sheet2!$B$146</f>
        <v/>
      </c>
      <c r="C47" s="567">
        <f>SUBSTITUTE(SUBSTITUTE(Sheet2!$C$146,"–","-"),"—","-")</f>
        <v/>
      </c>
      <c r="D47" s="563">
        <f>Sheet2!$G$146</f>
        <v/>
      </c>
      <c r="E47" s="563">
        <f>Sheet2!$M$146</f>
        <v/>
      </c>
      <c r="F47" s="552">
        <f>IF(LOWER(Sheet2!$Q$146)="v","Vacant",IF(LOWER(Sheet2!$Q$146)="pause","Paused",IF(LOWER(Sheet2!$Q$146)="cxc","Contractor","Filled")))</f>
        <v/>
      </c>
      <c r="G47" s="569">
        <f>(Sheet2!$AA$146)*IF($H47="Offshore",0.4,1)</f>
        <v/>
      </c>
      <c r="H47" s="590" t="inlineStr">
        <is>
          <t>Onshore</t>
        </is>
      </c>
      <c r="T47" s="568">
        <f>(IF($F47="Paused",0,Sheet2!$AA$146/1000000))*IF($H47="Offshore",0.4,1)</f>
        <v/>
      </c>
    </row>
    <row r="48">
      <c r="B48" s="563">
        <f>Sheet2!$B$147</f>
        <v/>
      </c>
      <c r="C48" s="567">
        <f>SUBSTITUTE(SUBSTITUTE(Sheet2!$C$147,"–","-"),"—","-")</f>
        <v/>
      </c>
      <c r="D48" s="563">
        <f>Sheet2!$G$147</f>
        <v/>
      </c>
      <c r="E48" s="563">
        <f>Sheet2!$M$147</f>
        <v/>
      </c>
      <c r="F48" s="552">
        <f>IF(LOWER(Sheet2!$Q$147)="v","Vacant",IF(LOWER(Sheet2!$Q$147)="pause","Paused",IF(LOWER(Sheet2!$Q$147)="cxc","Contractor","Filled")))</f>
        <v/>
      </c>
      <c r="G48" s="569">
        <f>(Sheet2!$AA$147)*IF($H48="Offshore",0.4,1)</f>
        <v/>
      </c>
      <c r="H48" s="590" t="inlineStr">
        <is>
          <t>Onshore</t>
        </is>
      </c>
      <c r="T48" s="568">
        <f>(IF($F48="Paused",0,Sheet2!$AA$147/1000000))*IF($H48="Offshore",0.4,1)</f>
        <v/>
      </c>
    </row>
    <row r="49">
      <c r="B49" s="563">
        <f>Sheet2!$B$148</f>
        <v/>
      </c>
      <c r="C49" s="567">
        <f>SUBSTITUTE(SUBSTITUTE(Sheet2!$C$148,"–","-"),"—","-")</f>
        <v/>
      </c>
      <c r="D49" s="563">
        <f>Sheet2!$G$148</f>
        <v/>
      </c>
      <c r="E49" s="563">
        <f>Sheet2!$M$148</f>
        <v/>
      </c>
      <c r="F49" s="552">
        <f>IF(LOWER(Sheet2!$Q$148)="v","Vacant",IF(LOWER(Sheet2!$Q$148)="pause","Paused",IF(LOWER(Sheet2!$Q$148)="cxc","Contractor","Filled")))</f>
        <v/>
      </c>
      <c r="G49" s="569">
        <f>(Sheet2!$AA$148)*IF($H49="Offshore",0.4,1)</f>
        <v/>
      </c>
      <c r="H49" s="590" t="inlineStr">
        <is>
          <t>Onshore</t>
        </is>
      </c>
      <c r="T49" s="568">
        <f>(IF($F49="Paused",0,Sheet2!$AA$148/1000000))*IF($H49="Offshore",0.4,1)</f>
        <v/>
      </c>
    </row>
    <row r="50">
      <c r="B50" s="563">
        <f>Sheet2!$B$149</f>
        <v/>
      </c>
      <c r="C50" s="567">
        <f>SUBSTITUTE(SUBSTITUTE(Sheet2!$C$149,"–","-"),"—","-")</f>
        <v/>
      </c>
      <c r="D50" s="563">
        <f>Sheet2!$G$149</f>
        <v/>
      </c>
      <c r="E50" s="563">
        <f>Sheet2!$M$149</f>
        <v/>
      </c>
      <c r="F50" s="552">
        <f>IF(LOWER(Sheet2!$Q$149)="v","Vacant",IF(LOWER(Sheet2!$Q$149)="pause","Paused",IF(LOWER(Sheet2!$Q$149)="cxc","Contractor","Filled")))</f>
        <v/>
      </c>
      <c r="G50" s="569">
        <f>(Sheet2!$AA$149)*IF($H50="Offshore",0.4,1)</f>
        <v/>
      </c>
      <c r="H50" s="590" t="inlineStr">
        <is>
          <t>Onshore</t>
        </is>
      </c>
      <c r="T50" s="568">
        <f>(IF($F50="Paused",0,Sheet2!$AA$149/1000000))*IF($H50="Offshore",0.4,1)</f>
        <v/>
      </c>
    </row>
    <row r="51">
      <c r="B51" s="563" t="inlineStr">
        <is>
          <t>Check - roles listed vs counted (must be 0)</t>
        </is>
      </c>
      <c r="C51" s="600">
        <f>COUNTA(B22:B50)-C8</f>
        <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
      </c>
      <c r="D6" s="600">
        <f>COUNTIFS($F$19:$F$70,"Filled")-COUNTIFS($D$19:$D$70,"Service Op &amp; Assurance",$F$19:$F$70,"Filled")</f>
        <v/>
      </c>
      <c r="E6" s="600">
        <f>COUNTIFS($F$19:$F$70,"Vacant")-COUNTIFS($D$19:$D$70,"Service Op &amp; Assurance",$F$19:$F$70,"Vacant")</f>
        <v/>
      </c>
      <c r="F6" s="551">
        <f>SUM($T$19:$T$70)-SUMIFS($T$19:$T$70,$D$19:$D$70,"Service Op &amp; Assurance")</f>
        <v/>
      </c>
      <c r="G6" s="418" t="n"/>
      <c r="H6" s="429" t="n"/>
      <c r="I6" s="551">
        <f>SUMIFS($T$19:$T$70,$E$19:$E$70,"&lt;&gt;NZ")-SUMIFS($T$19:$T$70,$D$19:$D$70,"Service Op &amp; Assurance",$E$19:$E$70,"&lt;&gt;NZ")</f>
        <v/>
      </c>
      <c r="J6" s="551">
        <f>SUMIFS($T$19:$T$70,$E$19:$E$70,"NZ")-SUMIFS($T$19:$T$70,$D$19:$D$70,"Service Op &amp; Assurance",$E$19:$E$70,"NZ")</f>
        <v/>
      </c>
    </row>
    <row r="7">
      <c r="B7" s="550" t="inlineStr">
        <is>
          <t>Service Operations</t>
        </is>
      </c>
      <c r="C7" s="600">
        <f>COUNTIFS($D$19:$D$70,"Service Op &amp; Assurance")</f>
        <v/>
      </c>
      <c r="D7" s="600">
        <f>COUNTIFS($D$19:$D$70,"Service Op &amp; Assurance",$F$19:$F$70,"Filled")</f>
        <v/>
      </c>
      <c r="E7" s="600">
        <f>COUNTIFS($D$19:$D$70,"Service Op &amp; Assurance",$F$19:$F$70,"Vacant")</f>
        <v/>
      </c>
      <c r="F7" s="551">
        <f>SUMIFS($T$19:$T$70,$D$19:$D$70,"Service Op &amp; Assurance")</f>
        <v/>
      </c>
      <c r="G7" s="418" t="n"/>
      <c r="H7" s="429" t="n"/>
      <c r="I7" s="551">
        <f>SUMIFS($T$19:$T$70,$D$19:$D$70,"Service Op &amp; Assurance",$E$19:$E$70,"&lt;&gt;NZ")</f>
        <v/>
      </c>
      <c r="J7" s="551">
        <f>SUMIFS($T$19:$T$70,$D$19:$D$70,"Service Op &amp; Assurance",$E$19:$E$70,"NZ")</f>
        <v/>
      </c>
    </row>
    <row r="8">
      <c r="B8" s="419" t="inlineStr">
        <is>
          <t>Total</t>
        </is>
      </c>
      <c r="C8" s="431">
        <f>SUM(C6:C7)</f>
        <v/>
      </c>
      <c r="D8" s="431">
        <f>SUM(D6:D7)</f>
        <v/>
      </c>
      <c r="E8" s="431">
        <f>SUM(E6:E7)</f>
        <v/>
      </c>
      <c r="F8" s="420">
        <f>SUM(F6:F7)</f>
        <v/>
      </c>
      <c r="G8" s="420">
        <f>C14</f>
        <v/>
      </c>
      <c r="H8" s="895">
        <f>F8-G8</f>
        <v/>
      </c>
      <c r="I8" s="553">
        <f>SUM(I6:I7)</f>
        <v/>
      </c>
      <c r="J8" s="553">
        <f>SUM(J6:J7)</f>
        <v/>
      </c>
    </row>
    <row r="10">
      <c r="B10" s="548" t="inlineStr">
        <is>
          <t>Funding buckets to draw down</t>
        </is>
      </c>
      <c r="C10" s="555" t="n"/>
      <c r="D10" s="547" t="n"/>
    </row>
    <row r="11">
      <c r="B11" s="563" t="inlineStr">
        <is>
          <t>COE - Cyber allocation ($m) - 0.2 Data Config</t>
        </is>
      </c>
      <c r="C11" s="551">
        <f>'0.2 Data Config'!$E$7</f>
        <v/>
      </c>
      <c r="D11" s="547" t="n"/>
    </row>
    <row r="12">
      <c r="B12" s="563" t="inlineStr">
        <is>
          <t>TDD Cyber budget ($m) - 0.2 Data Config</t>
        </is>
      </c>
      <c r="C12" s="551">
        <f>'0.2 Data Config'!$E$23</f>
        <v/>
      </c>
      <c r="D12" s="547" t="n"/>
    </row>
    <row r="13">
      <c r="B13" s="563" t="inlineStr">
        <is>
          <t>Cyber CapEx - Monitoring ($m) - input</t>
        </is>
      </c>
      <c r="C13" s="601" t="n">
        <v>0.5</v>
      </c>
      <c r="D13" s="547" t="n"/>
    </row>
    <row r="14">
      <c r="B14" s="550" t="inlineStr">
        <is>
          <t>Total budget to draw down ($m)</t>
        </is>
      </c>
      <c r="C14" s="566">
        <f>SUM(C11:C13)</f>
        <v/>
      </c>
      <c r="D14" s="547" t="n"/>
    </row>
    <row r="15">
      <c r="B15" s="550" t="inlineStr">
        <is>
          <t>Left to fund ($m)</t>
        </is>
      </c>
      <c r="C15" s="893">
        <f>F8-C14</f>
        <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f>Sheet2!$B$2</f>
        <v/>
      </c>
      <c r="C19" s="567">
        <f>SUBSTITUTE(SUBSTITUTE(Sheet2!$C$2,"–","-"),"—","-")</f>
        <v/>
      </c>
      <c r="D19" s="563">
        <f>Sheet2!$G$2</f>
        <v/>
      </c>
      <c r="E19" s="563">
        <f>Sheet2!$M$2</f>
        <v/>
      </c>
      <c r="F19" s="552">
        <f>IF(LOWER(Sheet2!$Q$2)="v","Vacant",IF(LOWER(Sheet2!$Q$2)="pause","Paused",IF(LOWER(Sheet2!$Q$2)="cxc","Contractor","Filled")))</f>
        <v/>
      </c>
      <c r="G19" s="554" t="n"/>
      <c r="H19" s="559" t="n"/>
      <c r="I19" s="900" t="n"/>
      <c r="J19" s="555" t="n"/>
      <c r="K19" s="547" t="n"/>
      <c r="L19" s="547" t="n"/>
      <c r="T19" s="568">
        <f>Sheet2!$AA$2/1000000</f>
        <v/>
      </c>
    </row>
    <row r="20">
      <c r="B20" s="563">
        <f>Sheet2!$B$3</f>
        <v/>
      </c>
      <c r="C20" s="567">
        <f>SUBSTITUTE(SUBSTITUTE(Sheet2!$C$3,"–","-"),"—","-")</f>
        <v/>
      </c>
      <c r="D20" s="563">
        <f>Sheet2!$G$3</f>
        <v/>
      </c>
      <c r="E20" s="563">
        <f>Sheet2!$M$3</f>
        <v/>
      </c>
      <c r="F20" s="552">
        <f>IF(LOWER(Sheet2!$Q$3)="v","Vacant",IF(LOWER(Sheet2!$Q$3)="pause","Paused",IF(LOWER(Sheet2!$Q$3)="cxc","Contractor","Filled")))</f>
        <v/>
      </c>
      <c r="G20" s="554" t="n"/>
      <c r="H20" s="559" t="n"/>
      <c r="I20" s="900" t="n"/>
      <c r="J20" s="555" t="n"/>
      <c r="K20" s="547" t="n"/>
      <c r="L20" s="547" t="n"/>
      <c r="T20" s="568">
        <f>Sheet2!$AA$3/1000000</f>
        <v/>
      </c>
    </row>
    <row r="21">
      <c r="B21" s="563">
        <f>Sheet2!$B$4</f>
        <v/>
      </c>
      <c r="C21" s="567">
        <f>SUBSTITUTE(SUBSTITUTE(Sheet2!$C$4,"–","-"),"—","-")</f>
        <v/>
      </c>
      <c r="D21" s="563">
        <f>Sheet2!$G$4</f>
        <v/>
      </c>
      <c r="E21" s="563">
        <f>Sheet2!$M$4</f>
        <v/>
      </c>
      <c r="F21" s="552">
        <f>IF(LOWER(Sheet2!$Q$4)="v","Vacant",IF(LOWER(Sheet2!$Q$4)="pause","Paused",IF(LOWER(Sheet2!$Q$4)="cxc","Contractor","Filled")))</f>
        <v/>
      </c>
      <c r="G21" s="554" t="n"/>
      <c r="H21" s="559" t="n"/>
      <c r="I21" s="900" t="n"/>
      <c r="J21" s="555" t="n"/>
      <c r="K21" s="547" t="n"/>
      <c r="L21" s="547" t="n"/>
      <c r="T21" s="568">
        <f>Sheet2!$AA$4/1000000</f>
        <v/>
      </c>
    </row>
    <row r="22">
      <c r="B22" s="563">
        <f>Sheet2!$B$5</f>
        <v/>
      </c>
      <c r="C22" s="567">
        <f>SUBSTITUTE(SUBSTITUTE(Sheet2!$C$5,"–","-"),"—","-")</f>
        <v/>
      </c>
      <c r="D22" s="563">
        <f>Sheet2!$G$5</f>
        <v/>
      </c>
      <c r="E22" s="563">
        <f>Sheet2!$M$5</f>
        <v/>
      </c>
      <c r="F22" s="552">
        <f>IF(LOWER(Sheet2!$Q$5)="v","Vacant",IF(LOWER(Sheet2!$Q$5)="pause","Paused",IF(LOWER(Sheet2!$Q$5)="cxc","Contractor","Filled")))</f>
        <v/>
      </c>
      <c r="G22" s="554" t="n"/>
      <c r="H22" s="559" t="n"/>
      <c r="I22" s="900" t="n"/>
      <c r="J22" s="555" t="n"/>
      <c r="K22" s="547" t="n"/>
      <c r="L22" s="547" t="n"/>
      <c r="T22" s="568">
        <f>Sheet2!$AA$5/1000000</f>
        <v/>
      </c>
    </row>
    <row r="23">
      <c r="B23" s="563">
        <f>Sheet2!$B$6</f>
        <v/>
      </c>
      <c r="C23" s="567">
        <f>SUBSTITUTE(SUBSTITUTE(Sheet2!$C$6,"–","-"),"—","-")</f>
        <v/>
      </c>
      <c r="D23" s="563">
        <f>Sheet2!$G$6</f>
        <v/>
      </c>
      <c r="E23" s="563">
        <f>Sheet2!$M$6</f>
        <v/>
      </c>
      <c r="F23" s="552">
        <f>IF(LOWER(Sheet2!$Q$6)="v","Vacant",IF(LOWER(Sheet2!$Q$6)="pause","Paused",IF(LOWER(Sheet2!$Q$6)="cxc","Contractor","Filled")))</f>
        <v/>
      </c>
      <c r="G23" s="554" t="n"/>
      <c r="H23" s="559" t="n"/>
      <c r="I23" s="900" t="n"/>
      <c r="J23" s="555" t="n"/>
      <c r="K23" s="547" t="n"/>
      <c r="L23" s="547" t="n"/>
      <c r="T23" s="568">
        <f>Sheet2!$AA$6/1000000</f>
        <v/>
      </c>
    </row>
    <row r="24">
      <c r="B24" s="563">
        <f>Sheet2!$B$7</f>
        <v/>
      </c>
      <c r="C24" s="567">
        <f>SUBSTITUTE(SUBSTITUTE(Sheet2!$C$7,"–","-"),"—","-")</f>
        <v/>
      </c>
      <c r="D24" s="563">
        <f>Sheet2!$G$7</f>
        <v/>
      </c>
      <c r="E24" s="563">
        <f>Sheet2!$M$7</f>
        <v/>
      </c>
      <c r="F24" s="552">
        <f>IF(LOWER(Sheet2!$Q$7)="v","Vacant",IF(LOWER(Sheet2!$Q$7)="pause","Paused",IF(LOWER(Sheet2!$Q$7)="cxc","Contractor","Filled")))</f>
        <v/>
      </c>
      <c r="G24" s="554" t="n"/>
      <c r="H24" s="559" t="n"/>
      <c r="I24" s="900" t="n"/>
      <c r="J24" s="555" t="n"/>
      <c r="K24" s="547" t="n"/>
      <c r="L24" s="547" t="n"/>
      <c r="T24" s="568">
        <f>Sheet2!$AA$7/1000000</f>
        <v/>
      </c>
    </row>
    <row r="25">
      <c r="B25" s="563">
        <f>Sheet2!$B$8</f>
        <v/>
      </c>
      <c r="C25" s="567">
        <f>SUBSTITUTE(SUBSTITUTE(Sheet2!$C$8,"–","-"),"—","-")</f>
        <v/>
      </c>
      <c r="D25" s="563">
        <f>Sheet2!$G$8</f>
        <v/>
      </c>
      <c r="E25" s="563">
        <f>Sheet2!$M$8</f>
        <v/>
      </c>
      <c r="F25" s="552">
        <f>IF(LOWER(Sheet2!$Q$8)="v","Vacant",IF(LOWER(Sheet2!$Q$8)="pause","Paused",IF(LOWER(Sheet2!$Q$8)="cxc","Contractor","Filled")))</f>
        <v/>
      </c>
      <c r="G25" s="554" t="n"/>
      <c r="H25" s="559" t="n"/>
      <c r="I25" s="900" t="n"/>
      <c r="J25" s="555" t="n"/>
      <c r="K25" s="547" t="n"/>
      <c r="L25" s="547" t="n"/>
      <c r="T25" s="568">
        <f>Sheet2!$AA$8/1000000</f>
        <v/>
      </c>
    </row>
    <row r="26">
      <c r="B26" s="563">
        <f>Sheet2!$B$9</f>
        <v/>
      </c>
      <c r="C26" s="567">
        <f>SUBSTITUTE(SUBSTITUTE(Sheet2!$C$9,"–","-"),"—","-")</f>
        <v/>
      </c>
      <c r="D26" s="563">
        <f>Sheet2!$G$9</f>
        <v/>
      </c>
      <c r="E26" s="563">
        <f>Sheet2!$M$9</f>
        <v/>
      </c>
      <c r="F26" s="552">
        <f>IF(LOWER(Sheet2!$Q$9)="v","Vacant",IF(LOWER(Sheet2!$Q$9)="pause","Paused",IF(LOWER(Sheet2!$Q$9)="cxc","Contractor","Filled")))</f>
        <v/>
      </c>
      <c r="G26" s="554" t="n"/>
      <c r="H26" s="559" t="n"/>
      <c r="I26" s="900" t="n"/>
      <c r="J26" s="555" t="n"/>
      <c r="K26" s="547" t="n"/>
      <c r="L26" s="547" t="n"/>
      <c r="T26" s="568">
        <f>Sheet2!$AA$9/1000000</f>
        <v/>
      </c>
    </row>
    <row r="27">
      <c r="B27" s="563">
        <f>Sheet2!$B$10</f>
        <v/>
      </c>
      <c r="C27" s="567">
        <f>SUBSTITUTE(SUBSTITUTE(Sheet2!$C$10,"–","-"),"—","-")</f>
        <v/>
      </c>
      <c r="D27" s="563">
        <f>Sheet2!$G$10</f>
        <v/>
      </c>
      <c r="E27" s="563">
        <f>Sheet2!$M$10</f>
        <v/>
      </c>
      <c r="F27" s="552">
        <f>IF(LOWER(Sheet2!$Q$10)="v","Vacant",IF(LOWER(Sheet2!$Q$10)="pause","Paused",IF(LOWER(Sheet2!$Q$10)="cxc","Contractor","Filled")))</f>
        <v/>
      </c>
      <c r="G27" s="554" t="n"/>
      <c r="H27" s="559" t="n"/>
      <c r="I27" s="900" t="n"/>
      <c r="J27" s="555" t="n"/>
      <c r="K27" s="547" t="n"/>
      <c r="L27" s="547" t="n"/>
      <c r="T27" s="568">
        <f>Sheet2!$AA$10/1000000</f>
        <v/>
      </c>
    </row>
    <row r="28" ht="29" customHeight="1" s="849">
      <c r="B28" s="563">
        <f>Sheet2!$B$11</f>
        <v/>
      </c>
      <c r="C28" s="567">
        <f>SUBSTITUTE(SUBSTITUTE(Sheet2!$C$11,"–","-"),"—","-")</f>
        <v/>
      </c>
      <c r="D28" s="563">
        <f>Sheet2!$G$11</f>
        <v/>
      </c>
      <c r="E28" s="563">
        <f>Sheet2!$M$11</f>
        <v/>
      </c>
      <c r="F28" s="552">
        <f>IF(LOWER(Sheet2!$Q$11)="v","Vacant",IF(LOWER(Sheet2!$Q$11)="pause","Paused",IF(LOWER(Sheet2!$Q$11)="cxc","Contractor","Filled")))</f>
        <v/>
      </c>
      <c r="G28" s="554" t="n"/>
      <c r="H28" s="559" t="n"/>
      <c r="I28" s="900" t="n"/>
      <c r="J28" s="555" t="n"/>
      <c r="K28" s="547" t="n"/>
      <c r="L28" s="547" t="n"/>
      <c r="T28" s="568">
        <f>Sheet2!$AA$11/1000000</f>
        <v/>
      </c>
    </row>
    <row r="29">
      <c r="B29" s="563">
        <f>Sheet2!$B$12</f>
        <v/>
      </c>
      <c r="C29" s="567">
        <f>SUBSTITUTE(SUBSTITUTE(Sheet2!$C$12,"–","-"),"—","-")</f>
        <v/>
      </c>
      <c r="D29" s="563">
        <f>Sheet2!$G$12</f>
        <v/>
      </c>
      <c r="E29" s="563">
        <f>Sheet2!$M$12</f>
        <v/>
      </c>
      <c r="F29" s="552">
        <f>IF(LOWER(Sheet2!$Q$12)="v","Vacant",IF(LOWER(Sheet2!$Q$12)="pause","Paused",IF(LOWER(Sheet2!$Q$12)="cxc","Contractor","Filled")))</f>
        <v/>
      </c>
      <c r="G29" s="554" t="n"/>
      <c r="H29" s="559" t="n"/>
      <c r="I29" s="900" t="n"/>
      <c r="J29" s="555" t="n"/>
      <c r="K29" s="547" t="n"/>
      <c r="L29" s="547" t="n"/>
      <c r="T29" s="568">
        <f>Sheet2!$AA$12/1000000</f>
        <v/>
      </c>
    </row>
    <row r="30">
      <c r="B30" s="563">
        <f>Sheet2!$B$13</f>
        <v/>
      </c>
      <c r="C30" s="567">
        <f>SUBSTITUTE(SUBSTITUTE(Sheet2!$C$13,"–","-"),"—","-")</f>
        <v/>
      </c>
      <c r="D30" s="563">
        <f>Sheet2!$G$13</f>
        <v/>
      </c>
      <c r="E30" s="563">
        <f>Sheet2!$M$13</f>
        <v/>
      </c>
      <c r="F30" s="552">
        <f>IF(LOWER(Sheet2!$Q$13)="v","Vacant",IF(LOWER(Sheet2!$Q$13)="pause","Paused",IF(LOWER(Sheet2!$Q$13)="cxc","Contractor","Filled")))</f>
        <v/>
      </c>
      <c r="G30" s="554" t="n"/>
      <c r="H30" s="559" t="n"/>
      <c r="I30" s="900" t="n"/>
      <c r="J30" s="555" t="n"/>
      <c r="K30" s="547" t="n"/>
      <c r="L30" s="547" t="n"/>
      <c r="T30" s="568">
        <f>Sheet2!$AA$13/1000000</f>
        <v/>
      </c>
    </row>
    <row r="31">
      <c r="B31" s="563">
        <f>Sheet2!$B$14</f>
        <v/>
      </c>
      <c r="C31" s="567">
        <f>SUBSTITUTE(SUBSTITUTE(Sheet2!$C$14,"–","-"),"—","-")</f>
        <v/>
      </c>
      <c r="D31" s="563">
        <f>Sheet2!$G$14</f>
        <v/>
      </c>
      <c r="E31" s="563">
        <f>Sheet2!$M$14</f>
        <v/>
      </c>
      <c r="F31" s="552">
        <f>IF(LOWER(Sheet2!$Q$14)="v","Vacant",IF(LOWER(Sheet2!$Q$14)="pause","Paused",IF(LOWER(Sheet2!$Q$14)="cxc","Contractor","Filled")))</f>
        <v/>
      </c>
      <c r="G31" s="554" t="n"/>
      <c r="H31" s="559" t="n"/>
      <c r="I31" s="900" t="n"/>
      <c r="J31" s="555" t="n"/>
      <c r="K31" s="547" t="n"/>
      <c r="L31" s="547" t="n"/>
      <c r="T31" s="568">
        <f>Sheet2!$AA$14/1000000</f>
        <v/>
      </c>
    </row>
    <row r="32">
      <c r="B32" s="563">
        <f>Sheet2!$B$15</f>
        <v/>
      </c>
      <c r="C32" s="567">
        <f>SUBSTITUTE(SUBSTITUTE(Sheet2!$C$15,"–","-"),"—","-")</f>
        <v/>
      </c>
      <c r="D32" s="563">
        <f>Sheet2!$G$15</f>
        <v/>
      </c>
      <c r="E32" s="563">
        <f>Sheet2!$M$15</f>
        <v/>
      </c>
      <c r="F32" s="552">
        <f>IF(LOWER(Sheet2!$Q$15)="v","Vacant",IF(LOWER(Sheet2!$Q$15)="pause","Paused",IF(LOWER(Sheet2!$Q$15)="cxc","Contractor","Filled")))</f>
        <v/>
      </c>
      <c r="G32" s="554" t="n"/>
      <c r="H32" s="559" t="n"/>
      <c r="I32" s="900" t="n"/>
      <c r="J32" s="555" t="n"/>
      <c r="K32" s="547" t="n"/>
      <c r="L32" s="547" t="n"/>
      <c r="T32" s="568">
        <f>Sheet2!$AA$15/1000000</f>
        <v/>
      </c>
    </row>
    <row r="33">
      <c r="B33" s="563">
        <f>Sheet2!$B$16</f>
        <v/>
      </c>
      <c r="C33" s="567">
        <f>SUBSTITUTE(SUBSTITUTE(Sheet2!$C$16,"–","-"),"—","-")</f>
        <v/>
      </c>
      <c r="D33" s="563">
        <f>Sheet2!$G$16</f>
        <v/>
      </c>
      <c r="E33" s="563">
        <f>Sheet2!$M$16</f>
        <v/>
      </c>
      <c r="F33" s="552">
        <f>IF(LOWER(Sheet2!$Q$16)="v","Vacant",IF(LOWER(Sheet2!$Q$16)="pause","Paused",IF(LOWER(Sheet2!$Q$16)="cxc","Contractor","Filled")))</f>
        <v/>
      </c>
      <c r="G33" s="554" t="n"/>
      <c r="H33" s="559" t="n"/>
      <c r="I33" s="900" t="n"/>
      <c r="J33" s="555" t="n"/>
      <c r="K33" s="547" t="n"/>
      <c r="L33" s="547" t="n"/>
      <c r="T33" s="568">
        <f>Sheet2!$AA$16/1000000</f>
        <v/>
      </c>
    </row>
    <row r="34">
      <c r="B34" s="563">
        <f>Sheet2!$B$17</f>
        <v/>
      </c>
      <c r="C34" s="567">
        <f>SUBSTITUTE(SUBSTITUTE(Sheet2!$C$17,"–","-"),"—","-")</f>
        <v/>
      </c>
      <c r="D34" s="563">
        <f>Sheet2!$G$17</f>
        <v/>
      </c>
      <c r="E34" s="563">
        <f>Sheet2!$M$17</f>
        <v/>
      </c>
      <c r="F34" s="552">
        <f>IF(LOWER(Sheet2!$Q$17)="v","Vacant",IF(LOWER(Sheet2!$Q$17)="pause","Paused",IF(LOWER(Sheet2!$Q$17)="cxc","Contractor","Filled")))</f>
        <v/>
      </c>
      <c r="G34" s="554" t="n"/>
      <c r="H34" s="559" t="n"/>
      <c r="I34" s="900" t="n"/>
      <c r="J34" s="555" t="n"/>
      <c r="K34" s="547" t="n"/>
      <c r="L34" s="547" t="n"/>
      <c r="T34" s="568">
        <f>Sheet2!$AA$17/1000000</f>
        <v/>
      </c>
    </row>
    <row r="35">
      <c r="B35" s="563">
        <f>Sheet2!$B$18</f>
        <v/>
      </c>
      <c r="C35" s="567">
        <f>SUBSTITUTE(SUBSTITUTE(Sheet2!$C$18,"–","-"),"—","-")</f>
        <v/>
      </c>
      <c r="D35" s="563">
        <f>Sheet2!$G$18</f>
        <v/>
      </c>
      <c r="E35" s="563">
        <f>Sheet2!$M$18</f>
        <v/>
      </c>
      <c r="F35" s="552">
        <f>IF(LOWER(Sheet2!$Q$18)="v","Vacant",IF(LOWER(Sheet2!$Q$18)="pause","Paused",IF(LOWER(Sheet2!$Q$18)="cxc","Contractor","Filled")))</f>
        <v/>
      </c>
      <c r="G35" s="554" t="n"/>
      <c r="H35" s="559" t="n"/>
      <c r="I35" s="900" t="n"/>
      <c r="J35" s="555" t="n"/>
      <c r="K35" s="547" t="n"/>
      <c r="L35" s="547" t="n"/>
      <c r="T35" s="568">
        <f>Sheet2!$AA$18/1000000</f>
        <v/>
      </c>
    </row>
    <row r="36">
      <c r="B36" s="563">
        <f>Sheet2!$B$19</f>
        <v/>
      </c>
      <c r="C36" s="567">
        <f>SUBSTITUTE(SUBSTITUTE(Sheet2!$C$19,"–","-"),"—","-")</f>
        <v/>
      </c>
      <c r="D36" s="563">
        <f>Sheet2!$G$19</f>
        <v/>
      </c>
      <c r="E36" s="563">
        <f>Sheet2!$M$19</f>
        <v/>
      </c>
      <c r="F36" s="552">
        <f>IF(LOWER(Sheet2!$Q$19)="v","Vacant",IF(LOWER(Sheet2!$Q$19)="pause","Paused",IF(LOWER(Sheet2!$Q$19)="cxc","Contractor","Filled")))</f>
        <v/>
      </c>
      <c r="G36" s="554" t="n"/>
      <c r="H36" s="559" t="n"/>
      <c r="I36" s="900" t="n"/>
      <c r="J36" s="555" t="n"/>
      <c r="K36" s="547" t="n"/>
      <c r="L36" s="547" t="n"/>
      <c r="T36" s="568">
        <f>Sheet2!$AA$19/1000000</f>
        <v/>
      </c>
    </row>
    <row r="37">
      <c r="B37" s="563">
        <f>Sheet2!$B$20</f>
        <v/>
      </c>
      <c r="C37" s="567">
        <f>SUBSTITUTE(SUBSTITUTE(Sheet2!$C$20,"–","-"),"—","-")</f>
        <v/>
      </c>
      <c r="D37" s="563">
        <f>Sheet2!$G$20</f>
        <v/>
      </c>
      <c r="E37" s="563">
        <f>Sheet2!$M$20</f>
        <v/>
      </c>
      <c r="F37" s="552">
        <f>IF(LOWER(Sheet2!$Q$20)="v","Vacant",IF(LOWER(Sheet2!$Q$20)="pause","Paused",IF(LOWER(Sheet2!$Q$20)="cxc","Contractor","Filled")))</f>
        <v/>
      </c>
      <c r="G37" s="554" t="n"/>
      <c r="H37" s="559" t="n"/>
      <c r="I37" s="900" t="n"/>
      <c r="J37" s="555" t="n"/>
      <c r="K37" s="547" t="n"/>
      <c r="L37" s="547" t="n"/>
      <c r="T37" s="568">
        <f>Sheet2!$AA$20/1000000</f>
        <v/>
      </c>
    </row>
    <row r="38">
      <c r="B38" s="563">
        <f>Sheet2!$B$21</f>
        <v/>
      </c>
      <c r="C38" s="567">
        <f>SUBSTITUTE(SUBSTITUTE(Sheet2!$C$21,"–","-"),"—","-")</f>
        <v/>
      </c>
      <c r="D38" s="563">
        <f>Sheet2!$G$21</f>
        <v/>
      </c>
      <c r="E38" s="563">
        <f>Sheet2!$M$21</f>
        <v/>
      </c>
      <c r="F38" s="552">
        <f>IF(LOWER(Sheet2!$Q$21)="v","Vacant",IF(LOWER(Sheet2!$Q$21)="pause","Paused",IF(LOWER(Sheet2!$Q$21)="cxc","Contractor","Filled")))</f>
        <v/>
      </c>
      <c r="G38" s="554" t="n"/>
      <c r="H38" s="559" t="n"/>
      <c r="I38" s="900" t="n"/>
      <c r="J38" s="555" t="n"/>
      <c r="K38" s="547" t="n"/>
      <c r="L38" s="547" t="n"/>
      <c r="T38" s="568">
        <f>Sheet2!$AA$21/1000000</f>
        <v/>
      </c>
    </row>
    <row r="39">
      <c r="B39" s="563">
        <f>Sheet2!$B$22</f>
        <v/>
      </c>
      <c r="C39" s="567">
        <f>SUBSTITUTE(SUBSTITUTE(Sheet2!$C$22,"–","-"),"—","-")</f>
        <v/>
      </c>
      <c r="D39" s="563">
        <f>Sheet2!$G$22</f>
        <v/>
      </c>
      <c r="E39" s="563">
        <f>Sheet2!$M$22</f>
        <v/>
      </c>
      <c r="F39" s="552">
        <f>IF(LOWER(Sheet2!$Q$22)="v","Vacant",IF(LOWER(Sheet2!$Q$22)="pause","Paused",IF(LOWER(Sheet2!$Q$22)="cxc","Contractor","Filled")))</f>
        <v/>
      </c>
      <c r="G39" s="554" t="n"/>
      <c r="H39" s="559" t="n"/>
      <c r="I39" s="900" t="n"/>
      <c r="J39" s="555" t="n"/>
      <c r="K39" s="547" t="n"/>
      <c r="L39" s="547" t="n"/>
      <c r="T39" s="568">
        <f>Sheet2!$AA$22/1000000</f>
        <v/>
      </c>
    </row>
    <row r="40">
      <c r="B40" s="563">
        <f>Sheet2!$B$23</f>
        <v/>
      </c>
      <c r="C40" s="567">
        <f>SUBSTITUTE(SUBSTITUTE(Sheet2!$C$23,"–","-"),"—","-")</f>
        <v/>
      </c>
      <c r="D40" s="563">
        <f>Sheet2!$G$23</f>
        <v/>
      </c>
      <c r="E40" s="563">
        <f>Sheet2!$M$23</f>
        <v/>
      </c>
      <c r="F40" s="552">
        <f>IF(LOWER(Sheet2!$Q$23)="v","Vacant",IF(LOWER(Sheet2!$Q$23)="pause","Paused",IF(LOWER(Sheet2!$Q$23)="cxc","Contractor","Filled")))</f>
        <v/>
      </c>
      <c r="G40" s="554" t="n"/>
      <c r="H40" s="559" t="n"/>
      <c r="I40" s="900" t="n"/>
      <c r="J40" s="555" t="n"/>
      <c r="K40" s="547" t="n"/>
      <c r="L40" s="547" t="n"/>
      <c r="T40" s="568">
        <f>Sheet2!$AA$23/1000000</f>
        <v/>
      </c>
    </row>
    <row r="41">
      <c r="B41" s="563">
        <f>Sheet2!$B$24</f>
        <v/>
      </c>
      <c r="C41" s="567">
        <f>SUBSTITUTE(SUBSTITUTE(Sheet2!$C$24,"–","-"),"—","-")</f>
        <v/>
      </c>
      <c r="D41" s="563">
        <f>Sheet2!$G$24</f>
        <v/>
      </c>
      <c r="E41" s="563">
        <f>Sheet2!$M$24</f>
        <v/>
      </c>
      <c r="F41" s="552">
        <f>IF(LOWER(Sheet2!$Q$24)="v","Vacant",IF(LOWER(Sheet2!$Q$24)="pause","Paused",IF(LOWER(Sheet2!$Q$24)="cxc","Contractor","Filled")))</f>
        <v/>
      </c>
      <c r="G41" s="554" t="n"/>
      <c r="H41" s="559" t="n"/>
      <c r="I41" s="900" t="n"/>
      <c r="J41" s="555" t="n"/>
      <c r="K41" s="547" t="n"/>
      <c r="L41" s="547" t="n"/>
      <c r="T41" s="568">
        <f>Sheet2!$AA$24/1000000</f>
        <v/>
      </c>
    </row>
    <row r="42">
      <c r="B42" s="563">
        <f>Sheet2!$B$25</f>
        <v/>
      </c>
      <c r="C42" s="567">
        <f>SUBSTITUTE(SUBSTITUTE(Sheet2!$C$25,"–","-"),"—","-")</f>
        <v/>
      </c>
      <c r="D42" s="563">
        <f>Sheet2!$G$25</f>
        <v/>
      </c>
      <c r="E42" s="563">
        <f>Sheet2!$M$25</f>
        <v/>
      </c>
      <c r="F42" s="552">
        <f>IF(LOWER(Sheet2!$Q$25)="v","Vacant",IF(LOWER(Sheet2!$Q$25)="pause","Paused",IF(LOWER(Sheet2!$Q$25)="cxc","Contractor","Filled")))</f>
        <v/>
      </c>
      <c r="G42" s="554" t="n"/>
      <c r="H42" s="559" t="n"/>
      <c r="I42" s="900" t="n"/>
      <c r="J42" s="555" t="n"/>
      <c r="K42" s="547" t="n"/>
      <c r="L42" s="547" t="n"/>
      <c r="T42" s="568">
        <f>Sheet2!$AA$25/1000000</f>
        <v/>
      </c>
    </row>
    <row r="43">
      <c r="B43" s="563">
        <f>Sheet2!$B$26</f>
        <v/>
      </c>
      <c r="C43" s="567">
        <f>SUBSTITUTE(SUBSTITUTE(Sheet2!$C$26,"–","-"),"—","-")</f>
        <v/>
      </c>
      <c r="D43" s="563">
        <f>Sheet2!$G$26</f>
        <v/>
      </c>
      <c r="E43" s="563">
        <f>Sheet2!$M$26</f>
        <v/>
      </c>
      <c r="F43" s="552">
        <f>IF(LOWER(Sheet2!$Q$26)="v","Vacant",IF(LOWER(Sheet2!$Q$26)="pause","Paused",IF(LOWER(Sheet2!$Q$26)="cxc","Contractor","Filled")))</f>
        <v/>
      </c>
      <c r="G43" s="554" t="n"/>
      <c r="H43" s="559" t="n"/>
      <c r="I43" s="900" t="n"/>
      <c r="J43" s="555" t="n"/>
      <c r="K43" s="547" t="n"/>
      <c r="L43" s="547" t="n"/>
      <c r="T43" s="568">
        <f>Sheet2!$AA$26/1000000</f>
        <v/>
      </c>
    </row>
    <row r="44">
      <c r="B44" s="563">
        <f>Sheet2!$B$27</f>
        <v/>
      </c>
      <c r="C44" s="567">
        <f>SUBSTITUTE(SUBSTITUTE(Sheet2!$C$27,"–","-"),"—","-")</f>
        <v/>
      </c>
      <c r="D44" s="563">
        <f>Sheet2!$G$27</f>
        <v/>
      </c>
      <c r="E44" s="563">
        <f>Sheet2!$M$27</f>
        <v/>
      </c>
      <c r="F44" s="552">
        <f>IF(LOWER(Sheet2!$Q$27)="v","Vacant",IF(LOWER(Sheet2!$Q$27)="pause","Paused",IF(LOWER(Sheet2!$Q$27)="cxc","Contractor","Filled")))</f>
        <v/>
      </c>
      <c r="G44" s="554" t="n"/>
      <c r="H44" s="559" t="n"/>
      <c r="I44" s="900" t="n"/>
      <c r="J44" s="555" t="n"/>
      <c r="K44" s="547" t="n"/>
      <c r="L44" s="547" t="n"/>
      <c r="T44" s="568">
        <f>Sheet2!$AA$27/1000000</f>
        <v/>
      </c>
    </row>
    <row r="45">
      <c r="B45" s="563">
        <f>Sheet2!$B$28</f>
        <v/>
      </c>
      <c r="C45" s="567">
        <f>SUBSTITUTE(SUBSTITUTE(Sheet2!$C$28,"–","-"),"—","-")</f>
        <v/>
      </c>
      <c r="D45" s="563">
        <f>Sheet2!$G$28</f>
        <v/>
      </c>
      <c r="E45" s="563">
        <f>Sheet2!$M$28</f>
        <v/>
      </c>
      <c r="F45" s="552">
        <f>IF(LOWER(Sheet2!$Q$28)="v","Vacant",IF(LOWER(Sheet2!$Q$28)="pause","Paused",IF(LOWER(Sheet2!$Q$28)="cxc","Contractor","Filled")))</f>
        <v/>
      </c>
      <c r="G45" s="554" t="n"/>
      <c r="H45" s="559" t="n"/>
      <c r="I45" s="900" t="n"/>
      <c r="J45" s="555" t="n"/>
      <c r="K45" s="547" t="n"/>
      <c r="L45" s="547" t="n"/>
      <c r="T45" s="568">
        <f>Sheet2!$AA$28/1000000</f>
        <v/>
      </c>
    </row>
    <row r="46">
      <c r="B46" s="563">
        <f>Sheet2!$B$29</f>
        <v/>
      </c>
      <c r="C46" s="567">
        <f>SUBSTITUTE(SUBSTITUTE(Sheet2!$C$29,"–","-"),"—","-")</f>
        <v/>
      </c>
      <c r="D46" s="563">
        <f>Sheet2!$G$29</f>
        <v/>
      </c>
      <c r="E46" s="563">
        <f>Sheet2!$M$29</f>
        <v/>
      </c>
      <c r="F46" s="552">
        <f>IF(LOWER(Sheet2!$Q$29)="v","Vacant",IF(LOWER(Sheet2!$Q$29)="pause","Paused",IF(LOWER(Sheet2!$Q$29)="cxc","Contractor","Filled")))</f>
        <v/>
      </c>
      <c r="G46" s="554" t="n"/>
      <c r="H46" s="559" t="n"/>
      <c r="I46" s="900" t="n"/>
      <c r="J46" s="555" t="n"/>
      <c r="K46" s="547" t="n"/>
      <c r="L46" s="547" t="n"/>
      <c r="T46" s="568">
        <f>Sheet2!$AA$29/1000000</f>
        <v/>
      </c>
    </row>
    <row r="47">
      <c r="B47" s="563">
        <f>Sheet2!$B$30</f>
        <v/>
      </c>
      <c r="C47" s="567">
        <f>SUBSTITUTE(SUBSTITUTE(Sheet2!$C$30,"–","-"),"—","-")</f>
        <v/>
      </c>
      <c r="D47" s="563">
        <f>Sheet2!$G$30</f>
        <v/>
      </c>
      <c r="E47" s="563">
        <f>Sheet2!$M$30</f>
        <v/>
      </c>
      <c r="F47" s="552">
        <f>IF(LOWER(Sheet2!$Q$30)="v","Vacant",IF(LOWER(Sheet2!$Q$30)="pause","Paused",IF(LOWER(Sheet2!$Q$30)="cxc","Contractor","Filled")))</f>
        <v/>
      </c>
      <c r="G47" s="554" t="n"/>
      <c r="H47" s="559" t="n"/>
      <c r="I47" s="900" t="n"/>
      <c r="J47" s="555" t="n"/>
      <c r="K47" s="547" t="n"/>
      <c r="L47" s="547" t="n"/>
      <c r="T47" s="568">
        <f>Sheet2!$AA$30/1000000</f>
        <v/>
      </c>
    </row>
    <row r="48">
      <c r="B48" s="563">
        <f>Sheet2!$B$31</f>
        <v/>
      </c>
      <c r="C48" s="567">
        <f>SUBSTITUTE(SUBSTITUTE(Sheet2!$C$31,"–","-"),"—","-")</f>
        <v/>
      </c>
      <c r="D48" s="563">
        <f>Sheet2!$G$31</f>
        <v/>
      </c>
      <c r="E48" s="563">
        <f>Sheet2!$M$31</f>
        <v/>
      </c>
      <c r="F48" s="552">
        <f>IF(LOWER(Sheet2!$Q$31)="v","Vacant",IF(LOWER(Sheet2!$Q$31)="pause","Paused",IF(LOWER(Sheet2!$Q$31)="cxc","Contractor","Filled")))</f>
        <v/>
      </c>
      <c r="G48" s="554" t="n"/>
      <c r="H48" s="559" t="n"/>
      <c r="I48" s="900" t="n"/>
      <c r="J48" s="555" t="n"/>
      <c r="K48" s="547" t="n"/>
      <c r="L48" s="547" t="n"/>
      <c r="T48" s="568">
        <f>Sheet2!$AA$31/1000000</f>
        <v/>
      </c>
    </row>
    <row r="49">
      <c r="B49" s="563">
        <f>Sheet2!$B$32</f>
        <v/>
      </c>
      <c r="C49" s="567">
        <f>SUBSTITUTE(SUBSTITUTE(Sheet2!$C$32,"–","-"),"—","-")</f>
        <v/>
      </c>
      <c r="D49" s="563">
        <f>Sheet2!$G$32</f>
        <v/>
      </c>
      <c r="E49" s="563">
        <f>Sheet2!$M$32</f>
        <v/>
      </c>
      <c r="F49" s="552">
        <f>IF(LOWER(Sheet2!$Q$32)="v","Vacant",IF(LOWER(Sheet2!$Q$32)="pause","Paused",IF(LOWER(Sheet2!$Q$32)="cxc","Contractor","Filled")))</f>
        <v/>
      </c>
      <c r="G49" s="554" t="n"/>
      <c r="H49" s="559" t="n"/>
      <c r="I49" s="900" t="n"/>
      <c r="J49" s="555" t="n"/>
      <c r="K49" s="547" t="n"/>
      <c r="L49" s="547" t="n"/>
      <c r="T49" s="568">
        <f>Sheet2!$AA$32/1000000</f>
        <v/>
      </c>
    </row>
    <row r="50">
      <c r="B50" s="563">
        <f>Sheet2!$B$33</f>
        <v/>
      </c>
      <c r="C50" s="567">
        <f>SUBSTITUTE(SUBSTITUTE(Sheet2!$C$33,"–","-"),"—","-")</f>
        <v/>
      </c>
      <c r="D50" s="563">
        <f>Sheet2!$G$33</f>
        <v/>
      </c>
      <c r="E50" s="563">
        <f>Sheet2!$M$33</f>
        <v/>
      </c>
      <c r="F50" s="552">
        <f>IF(LOWER(Sheet2!$Q$33)="v","Vacant",IF(LOWER(Sheet2!$Q$33)="pause","Paused",IF(LOWER(Sheet2!$Q$33)="cxc","Contractor","Filled")))</f>
        <v/>
      </c>
      <c r="G50" s="554" t="n"/>
      <c r="H50" s="559" t="n"/>
      <c r="I50" s="900" t="n"/>
      <c r="J50" s="555" t="n"/>
      <c r="K50" s="547" t="n"/>
      <c r="L50" s="547" t="n"/>
      <c r="T50" s="568">
        <f>Sheet2!$AA$33/1000000</f>
        <v/>
      </c>
    </row>
    <row r="51">
      <c r="B51" s="563">
        <f>Sheet2!$B$34</f>
        <v/>
      </c>
      <c r="C51" s="567">
        <f>SUBSTITUTE(SUBSTITUTE(Sheet2!$C$34,"–","-"),"—","-")</f>
        <v/>
      </c>
      <c r="D51" s="563">
        <f>Sheet2!$G$34</f>
        <v/>
      </c>
      <c r="E51" s="563">
        <f>Sheet2!$M$34</f>
        <v/>
      </c>
      <c r="F51" s="552">
        <f>IF(LOWER(Sheet2!$Q$34)="v","Vacant",IF(LOWER(Sheet2!$Q$34)="pause","Paused",IF(LOWER(Sheet2!$Q$34)="cxc","Contractor","Filled")))</f>
        <v/>
      </c>
      <c r="G51" s="554" t="n"/>
      <c r="H51" s="559" t="n"/>
      <c r="I51" s="900" t="n"/>
      <c r="J51" s="555" t="n"/>
      <c r="K51" s="547" t="n"/>
      <c r="L51" s="547" t="n"/>
      <c r="T51" s="568">
        <f>Sheet2!$AA$34/1000000</f>
        <v/>
      </c>
    </row>
    <row r="52">
      <c r="B52" s="563">
        <f>Sheet2!$B$35</f>
        <v/>
      </c>
      <c r="C52" s="567">
        <f>SUBSTITUTE(SUBSTITUTE(Sheet2!$C$35,"–","-"),"—","-")</f>
        <v/>
      </c>
      <c r="D52" s="563">
        <f>Sheet2!$G$35</f>
        <v/>
      </c>
      <c r="E52" s="563">
        <f>Sheet2!$M$35</f>
        <v/>
      </c>
      <c r="F52" s="552">
        <f>IF(LOWER(Sheet2!$Q$35)="v","Vacant",IF(LOWER(Sheet2!$Q$35)="pause","Paused",IF(LOWER(Sheet2!$Q$35)="cxc","Contractor","Filled")))</f>
        <v/>
      </c>
      <c r="G52" s="554" t="n"/>
      <c r="H52" s="559" t="n"/>
      <c r="I52" s="900" t="n"/>
      <c r="J52" s="555" t="n"/>
      <c r="K52" s="547" t="n"/>
      <c r="L52" s="547" t="n"/>
      <c r="T52" s="568">
        <f>Sheet2!$AA$35/1000000</f>
        <v/>
      </c>
    </row>
    <row r="53">
      <c r="B53" s="563">
        <f>Sheet2!$B$36</f>
        <v/>
      </c>
      <c r="C53" s="567">
        <f>SUBSTITUTE(SUBSTITUTE(Sheet2!$C$36,"–","-"),"—","-")</f>
        <v/>
      </c>
      <c r="D53" s="563">
        <f>Sheet2!$G$36</f>
        <v/>
      </c>
      <c r="E53" s="563">
        <f>Sheet2!$M$36</f>
        <v/>
      </c>
      <c r="F53" s="552">
        <f>IF(LOWER(Sheet2!$Q$36)="v","Vacant",IF(LOWER(Sheet2!$Q$36)="pause","Paused",IF(LOWER(Sheet2!$Q$36)="cxc","Contractor","Filled")))</f>
        <v/>
      </c>
      <c r="G53" s="554" t="n"/>
      <c r="H53" s="559" t="n"/>
      <c r="I53" s="900" t="n"/>
      <c r="J53" s="555" t="n"/>
      <c r="K53" s="547" t="n"/>
      <c r="L53" s="547" t="n"/>
      <c r="T53" s="568">
        <f>Sheet2!$AA$36/1000000</f>
        <v/>
      </c>
    </row>
    <row r="54">
      <c r="B54" s="563">
        <f>Sheet2!$B$37</f>
        <v/>
      </c>
      <c r="C54" s="567">
        <f>SUBSTITUTE(SUBSTITUTE(Sheet2!$C$37,"–","-"),"—","-")</f>
        <v/>
      </c>
      <c r="D54" s="563">
        <f>Sheet2!$G$37</f>
        <v/>
      </c>
      <c r="E54" s="563">
        <f>Sheet2!$M$37</f>
        <v/>
      </c>
      <c r="F54" s="552">
        <f>IF(LOWER(Sheet2!$Q$37)="v","Vacant",IF(LOWER(Sheet2!$Q$37)="pause","Paused",IF(LOWER(Sheet2!$Q$37)="cxc","Contractor","Filled")))</f>
        <v/>
      </c>
      <c r="G54" s="554" t="n"/>
      <c r="H54" s="559" t="n"/>
      <c r="I54" s="900" t="n"/>
      <c r="J54" s="555" t="n"/>
      <c r="K54" s="547" t="n"/>
      <c r="L54" s="547" t="n"/>
      <c r="T54" s="568">
        <f>Sheet2!$AA$37/1000000</f>
        <v/>
      </c>
    </row>
    <row r="55">
      <c r="B55" s="563">
        <f>Sheet2!$B$38</f>
        <v/>
      </c>
      <c r="C55" s="567">
        <f>SUBSTITUTE(SUBSTITUTE(Sheet2!$C$38,"–","-"),"—","-")</f>
        <v/>
      </c>
      <c r="D55" s="563">
        <f>Sheet2!$G$38</f>
        <v/>
      </c>
      <c r="E55" s="563">
        <f>Sheet2!$M$38</f>
        <v/>
      </c>
      <c r="F55" s="552">
        <f>IF(LOWER(Sheet2!$Q$38)="v","Vacant",IF(LOWER(Sheet2!$Q$38)="pause","Paused",IF(LOWER(Sheet2!$Q$38)="cxc","Contractor","Filled")))</f>
        <v/>
      </c>
      <c r="G55" s="554" t="n"/>
      <c r="H55" s="559" t="n"/>
      <c r="I55" s="900" t="n"/>
      <c r="J55" s="555" t="n"/>
      <c r="K55" s="547" t="n"/>
      <c r="L55" s="547" t="n"/>
      <c r="T55" s="568">
        <f>Sheet2!$AA$38/1000000</f>
        <v/>
      </c>
    </row>
    <row r="56">
      <c r="B56" s="563">
        <f>Sheet2!$B$39</f>
        <v/>
      </c>
      <c r="C56" s="567">
        <f>SUBSTITUTE(SUBSTITUTE(Sheet2!$C$39,"–","-"),"—","-")</f>
        <v/>
      </c>
      <c r="D56" s="563">
        <f>Sheet2!$G$39</f>
        <v/>
      </c>
      <c r="E56" s="563">
        <f>Sheet2!$M$39</f>
        <v/>
      </c>
      <c r="F56" s="552">
        <f>IF(LOWER(Sheet2!$Q$39)="v","Vacant",IF(LOWER(Sheet2!$Q$39)="pause","Paused",IF(LOWER(Sheet2!$Q$39)="cxc","Contractor","Filled")))</f>
        <v/>
      </c>
      <c r="G56" s="554" t="n"/>
      <c r="H56" s="559" t="n"/>
      <c r="I56" s="900" t="n"/>
      <c r="J56" s="555" t="n"/>
      <c r="K56" s="547" t="n"/>
      <c r="L56" s="547" t="n"/>
      <c r="T56" s="568">
        <f>Sheet2!$AA$39/1000000</f>
        <v/>
      </c>
    </row>
    <row r="57">
      <c r="B57" s="563">
        <f>Sheet2!$B$40</f>
        <v/>
      </c>
      <c r="C57" s="567">
        <f>SUBSTITUTE(SUBSTITUTE(Sheet2!$C$40,"–","-"),"—","-")</f>
        <v/>
      </c>
      <c r="D57" s="563">
        <f>Sheet2!$G$40</f>
        <v/>
      </c>
      <c r="E57" s="563">
        <f>Sheet2!$M$40</f>
        <v/>
      </c>
      <c r="F57" s="552">
        <f>IF(LOWER(Sheet2!$Q$40)="v","Vacant",IF(LOWER(Sheet2!$Q$40)="pause","Paused",IF(LOWER(Sheet2!$Q$40)="cxc","Contractor","Filled")))</f>
        <v/>
      </c>
      <c r="G57" s="554" t="n"/>
      <c r="H57" s="559" t="n"/>
      <c r="I57" s="900" t="n"/>
      <c r="J57" s="555" t="n"/>
      <c r="K57" s="547" t="n"/>
      <c r="L57" s="547" t="n"/>
      <c r="T57" s="568">
        <f>Sheet2!$AA$40/1000000</f>
        <v/>
      </c>
    </row>
    <row r="58">
      <c r="B58" s="563">
        <f>Sheet2!$B$41</f>
        <v/>
      </c>
      <c r="C58" s="567">
        <f>SUBSTITUTE(SUBSTITUTE(Sheet2!$C$41,"–","-"),"—","-")</f>
        <v/>
      </c>
      <c r="D58" s="563">
        <f>Sheet2!$G$41</f>
        <v/>
      </c>
      <c r="E58" s="563">
        <f>Sheet2!$M$41</f>
        <v/>
      </c>
      <c r="F58" s="552">
        <f>IF(LOWER(Sheet2!$Q$41)="v","Vacant",IF(LOWER(Sheet2!$Q$41)="pause","Paused",IF(LOWER(Sheet2!$Q$41)="cxc","Contractor","Filled")))</f>
        <v/>
      </c>
      <c r="G58" s="554" t="n"/>
      <c r="H58" s="559" t="n"/>
      <c r="I58" s="900" t="n"/>
      <c r="J58" s="555" t="n"/>
      <c r="K58" s="547" t="n"/>
      <c r="L58" s="547" t="n"/>
      <c r="T58" s="568">
        <f>Sheet2!$AA$41/1000000</f>
        <v/>
      </c>
    </row>
    <row r="59">
      <c r="B59" s="563">
        <f>Sheet2!$B$42</f>
        <v/>
      </c>
      <c r="C59" s="567">
        <f>SUBSTITUTE(SUBSTITUTE(Sheet2!$C$42,"–","-"),"—","-")</f>
        <v/>
      </c>
      <c r="D59" s="563">
        <f>Sheet2!$G$42</f>
        <v/>
      </c>
      <c r="E59" s="563">
        <f>Sheet2!$M$42</f>
        <v/>
      </c>
      <c r="F59" s="552">
        <f>IF(LOWER(Sheet2!$Q$42)="v","Vacant",IF(LOWER(Sheet2!$Q$42)="pause","Paused",IF(LOWER(Sheet2!$Q$42)="cxc","Contractor","Filled")))</f>
        <v/>
      </c>
      <c r="G59" s="569">
        <f>Sheet2!$AA$42</f>
        <v/>
      </c>
      <c r="H59" s="559" t="n"/>
      <c r="I59" s="900" t="n"/>
      <c r="J59" s="555" t="n"/>
      <c r="K59" s="547" t="n"/>
      <c r="L59" s="547" t="n"/>
      <c r="T59" s="568">
        <f>Sheet2!$AA$42/1000000</f>
        <v/>
      </c>
    </row>
    <row r="60">
      <c r="B60" s="563">
        <f>Sheet2!$B$43</f>
        <v/>
      </c>
      <c r="C60" s="567">
        <f>SUBSTITUTE(SUBSTITUTE(Sheet2!$C$43,"–","-"),"—","-")</f>
        <v/>
      </c>
      <c r="D60" s="563">
        <f>Sheet2!$G$43</f>
        <v/>
      </c>
      <c r="E60" s="563">
        <f>Sheet2!$M$43</f>
        <v/>
      </c>
      <c r="F60" s="552">
        <f>IF(LOWER(Sheet2!$Q$43)="v","Vacant",IF(LOWER(Sheet2!$Q$43)="pause","Paused",IF(LOWER(Sheet2!$Q$43)="cxc","Contractor","Filled")))</f>
        <v/>
      </c>
      <c r="G60" s="569">
        <f>Sheet2!$AA$43</f>
        <v/>
      </c>
      <c r="H60" s="559" t="n"/>
      <c r="I60" s="900" t="n"/>
      <c r="J60" s="555" t="n"/>
      <c r="K60" s="547" t="n"/>
      <c r="L60" s="547" t="n"/>
      <c r="T60" s="568">
        <f>Sheet2!$AA$43/1000000</f>
        <v/>
      </c>
    </row>
    <row r="61">
      <c r="B61" s="563">
        <f>Sheet2!$B$44</f>
        <v/>
      </c>
      <c r="C61" s="567">
        <f>SUBSTITUTE(SUBSTITUTE(Sheet2!$C$44,"–","-"),"—","-")</f>
        <v/>
      </c>
      <c r="D61" s="563">
        <f>Sheet2!$G$44</f>
        <v/>
      </c>
      <c r="E61" s="563">
        <f>Sheet2!$M$44</f>
        <v/>
      </c>
      <c r="F61" s="552">
        <f>IF(LOWER(Sheet2!$Q$44)="v","Vacant",IF(LOWER(Sheet2!$Q$44)="pause","Paused",IF(LOWER(Sheet2!$Q$44)="cxc","Contractor","Filled")))</f>
        <v/>
      </c>
      <c r="G61" s="569">
        <f>Sheet2!$AA$44</f>
        <v/>
      </c>
      <c r="H61" s="559" t="n"/>
      <c r="I61" s="900" t="n"/>
      <c r="J61" s="555" t="n"/>
      <c r="K61" s="547" t="n"/>
      <c r="L61" s="547" t="n"/>
      <c r="T61" s="568">
        <f>Sheet2!$AA$44/1000000</f>
        <v/>
      </c>
    </row>
    <row r="62">
      <c r="B62" s="563">
        <f>Sheet2!$B$45</f>
        <v/>
      </c>
      <c r="C62" s="567">
        <f>SUBSTITUTE(SUBSTITUTE(Sheet2!$C$45,"–","-"),"—","-")</f>
        <v/>
      </c>
      <c r="D62" s="563">
        <f>Sheet2!$G$45</f>
        <v/>
      </c>
      <c r="E62" s="563">
        <f>Sheet2!$M$45</f>
        <v/>
      </c>
      <c r="F62" s="552">
        <f>IF(LOWER(Sheet2!$Q$45)="v","Vacant",IF(LOWER(Sheet2!$Q$45)="pause","Paused",IF(LOWER(Sheet2!$Q$45)="cxc","Contractor","Filled")))</f>
        <v/>
      </c>
      <c r="G62" s="569">
        <f>Sheet2!$AA$45</f>
        <v/>
      </c>
      <c r="H62" s="559" t="n"/>
      <c r="I62" s="900" t="n"/>
      <c r="J62" s="555" t="n"/>
      <c r="K62" s="547" t="n"/>
      <c r="L62" s="547" t="n"/>
      <c r="T62" s="568">
        <f>Sheet2!$AA$45/1000000</f>
        <v/>
      </c>
    </row>
    <row r="63">
      <c r="B63" s="563">
        <f>Sheet2!$B$46</f>
        <v/>
      </c>
      <c r="C63" s="567">
        <f>SUBSTITUTE(SUBSTITUTE(Sheet2!$C$46,"–","-"),"—","-")</f>
        <v/>
      </c>
      <c r="D63" s="563">
        <f>Sheet2!$G$46</f>
        <v/>
      </c>
      <c r="E63" s="563">
        <f>Sheet2!$M$46</f>
        <v/>
      </c>
      <c r="F63" s="552">
        <f>IF(LOWER(Sheet2!$Q$46)="v","Vacant",IF(LOWER(Sheet2!$Q$46)="pause","Paused",IF(LOWER(Sheet2!$Q$46)="cxc","Contractor","Filled")))</f>
        <v/>
      </c>
      <c r="G63" s="569">
        <f>Sheet2!$AA$46</f>
        <v/>
      </c>
      <c r="H63" s="559" t="n"/>
      <c r="I63" s="900" t="n"/>
      <c r="J63" s="555" t="n"/>
      <c r="K63" s="547" t="n"/>
      <c r="L63" s="547" t="n"/>
      <c r="T63" s="568">
        <f>Sheet2!$AA$46/1000000</f>
        <v/>
      </c>
    </row>
    <row r="64">
      <c r="B64" s="563">
        <f>Sheet2!$B$47</f>
        <v/>
      </c>
      <c r="C64" s="567">
        <f>SUBSTITUTE(SUBSTITUTE(Sheet2!$C$47,"–","-"),"—","-")</f>
        <v/>
      </c>
      <c r="D64" s="563">
        <f>Sheet2!$G$47</f>
        <v/>
      </c>
      <c r="E64" s="563">
        <f>Sheet2!$M$47</f>
        <v/>
      </c>
      <c r="F64" s="552">
        <f>IF(LOWER(Sheet2!$Q$47)="v","Vacant",IF(LOWER(Sheet2!$Q$47)="pause","Paused",IF(LOWER(Sheet2!$Q$47)="cxc","Contractor","Filled")))</f>
        <v/>
      </c>
      <c r="G64" s="569">
        <f>Sheet2!$AA$47</f>
        <v/>
      </c>
      <c r="H64" s="559" t="n"/>
      <c r="I64" s="900" t="n"/>
      <c r="J64" s="555" t="n"/>
      <c r="K64" s="547" t="n"/>
      <c r="L64" s="547" t="n"/>
      <c r="T64" s="568">
        <f>Sheet2!$AA$47/1000000</f>
        <v/>
      </c>
    </row>
    <row r="65">
      <c r="B65" s="563">
        <f>Sheet2!$B$48</f>
        <v/>
      </c>
      <c r="C65" s="567">
        <f>SUBSTITUTE(SUBSTITUTE(Sheet2!$C$48,"–","-"),"—","-")</f>
        <v/>
      </c>
      <c r="D65" s="563">
        <f>Sheet2!$G$48</f>
        <v/>
      </c>
      <c r="E65" s="563">
        <f>Sheet2!$M$48</f>
        <v/>
      </c>
      <c r="F65" s="552">
        <f>IF(LOWER(Sheet2!$Q$48)="v","Vacant",IF(LOWER(Sheet2!$Q$48)="pause","Paused",IF(LOWER(Sheet2!$Q$48)="cxc","Contractor","Filled")))</f>
        <v/>
      </c>
      <c r="G65" s="569">
        <f>Sheet2!$AA$48</f>
        <v/>
      </c>
      <c r="H65" s="559" t="n"/>
      <c r="I65" s="900" t="n"/>
      <c r="J65" s="555" t="n"/>
      <c r="K65" s="547" t="n"/>
      <c r="L65" s="547" t="n"/>
      <c r="T65" s="568">
        <f>Sheet2!$AA$48/1000000</f>
        <v/>
      </c>
    </row>
    <row r="66">
      <c r="B66" s="563">
        <f>Sheet2!$B$49</f>
        <v/>
      </c>
      <c r="C66" s="567">
        <f>SUBSTITUTE(SUBSTITUTE(Sheet2!$C$49,"–","-"),"—","-")</f>
        <v/>
      </c>
      <c r="D66" s="563">
        <f>Sheet2!$G$49</f>
        <v/>
      </c>
      <c r="E66" s="563">
        <f>Sheet2!$M$49</f>
        <v/>
      </c>
      <c r="F66" s="552">
        <f>IF(LOWER(Sheet2!$Q$49)="v","Vacant",IF(LOWER(Sheet2!$Q$49)="pause","Paused",IF(LOWER(Sheet2!$Q$49)="cxc","Contractor","Filled")))</f>
        <v/>
      </c>
      <c r="G66" s="569">
        <f>Sheet2!$AA$49</f>
        <v/>
      </c>
      <c r="H66" s="559" t="n"/>
      <c r="I66" s="900" t="n"/>
      <c r="J66" s="555" t="n"/>
      <c r="K66" s="547" t="n"/>
      <c r="L66" s="547" t="n"/>
      <c r="T66" s="568">
        <f>Sheet2!$AA$49/1000000</f>
        <v/>
      </c>
    </row>
    <row r="67">
      <c r="B67" s="563">
        <f>Sheet2!$B$50</f>
        <v/>
      </c>
      <c r="C67" s="567">
        <f>SUBSTITUTE(SUBSTITUTE(Sheet2!$C$50,"–","-"),"—","-")</f>
        <v/>
      </c>
      <c r="D67" s="563">
        <f>Sheet2!$G$50</f>
        <v/>
      </c>
      <c r="E67" s="563">
        <f>Sheet2!$M$50</f>
        <v/>
      </c>
      <c r="F67" s="552">
        <f>IF(LOWER(Sheet2!$Q$50)="v","Vacant",IF(LOWER(Sheet2!$Q$50)="pause","Paused",IF(LOWER(Sheet2!$Q$50)="cxc","Contractor","Filled")))</f>
        <v/>
      </c>
      <c r="G67" s="569">
        <f>Sheet2!$AA$50</f>
        <v/>
      </c>
      <c r="H67" s="547" t="n"/>
      <c r="I67" s="547" t="n"/>
      <c r="J67" s="547" t="n"/>
      <c r="K67" s="547" t="n"/>
      <c r="L67" s="547" t="n"/>
      <c r="T67" s="568">
        <f>Sheet2!$AA$50/1000000</f>
        <v/>
      </c>
    </row>
    <row r="68">
      <c r="B68" s="563">
        <f>Sheet2!$B$51</f>
        <v/>
      </c>
      <c r="C68" s="567">
        <f>SUBSTITUTE(SUBSTITUTE(Sheet2!$C$51,"–","-"),"—","-")</f>
        <v/>
      </c>
      <c r="D68" s="563">
        <f>Sheet2!$G$51</f>
        <v/>
      </c>
      <c r="E68" s="563">
        <f>Sheet2!$M$51</f>
        <v/>
      </c>
      <c r="F68" s="552">
        <f>IF(LOWER(Sheet2!$Q$51)="v","Vacant",IF(LOWER(Sheet2!$Q$51)="pause","Paused",IF(LOWER(Sheet2!$Q$51)="cxc","Contractor","Filled")))</f>
        <v/>
      </c>
      <c r="G68" s="569">
        <f>Sheet2!$AA$51</f>
        <v/>
      </c>
      <c r="H68" s="547" t="n"/>
      <c r="I68" s="547" t="n"/>
      <c r="J68" s="547" t="n"/>
      <c r="K68" s="547" t="n"/>
      <c r="L68" s="547" t="n"/>
      <c r="T68" s="568">
        <f>Sheet2!$AA$51/1000000</f>
        <v/>
      </c>
    </row>
    <row r="69">
      <c r="B69" s="563">
        <f>Sheet2!$B$52</f>
        <v/>
      </c>
      <c r="C69" s="567">
        <f>SUBSTITUTE(SUBSTITUTE(Sheet2!$C$52,"–","-"),"—","-")</f>
        <v/>
      </c>
      <c r="D69" s="563">
        <f>Sheet2!$G$52</f>
        <v/>
      </c>
      <c r="E69" s="563">
        <f>Sheet2!$M$52</f>
        <v/>
      </c>
      <c r="F69" s="552">
        <f>IF(LOWER(Sheet2!$Q$52)="v","Vacant",IF(LOWER(Sheet2!$Q$52)="pause","Paused",IF(LOWER(Sheet2!$Q$52)="cxc","Contractor","Filled")))</f>
        <v/>
      </c>
      <c r="G69" s="547" t="n"/>
      <c r="H69" s="547" t="n"/>
      <c r="I69" s="547" t="n"/>
      <c r="J69" s="547" t="n"/>
      <c r="K69" s="547" t="n"/>
      <c r="L69" s="547" t="n"/>
      <c r="T69" s="568">
        <f>Sheet2!$AA$52/1000000</f>
        <v/>
      </c>
    </row>
    <row r="70">
      <c r="B70" s="563">
        <f>Sheet2!$B$53</f>
        <v/>
      </c>
      <c r="C70" s="567">
        <f>SUBSTITUTE(SUBSTITUTE(Sheet2!$C$53,"–","-"),"—","-")</f>
        <v/>
      </c>
      <c r="D70" s="563">
        <f>Sheet2!$G$53</f>
        <v/>
      </c>
      <c r="E70" s="563">
        <f>Sheet2!$M$53</f>
        <v/>
      </c>
      <c r="F70" s="552">
        <f>IF(LOWER(Sheet2!$Q$53)="v","Vacant",IF(LOWER(Sheet2!$Q$53)="pause","Paused",IF(LOWER(Sheet2!$Q$53)="cxc","Contractor","Filled")))</f>
        <v/>
      </c>
      <c r="G70" s="547" t="n"/>
      <c r="H70" s="547" t="n"/>
      <c r="I70" s="547" t="n"/>
      <c r="J70" s="547" t="n"/>
      <c r="K70" s="547" t="n"/>
      <c r="L70" s="547" t="n"/>
      <c r="T70" s="568">
        <f>Sheet2!$AA$53/1000000</f>
        <v/>
      </c>
    </row>
    <row r="71">
      <c r="B71" s="563" t="inlineStr">
        <is>
          <t>Check - roles listed vs counted (must be 0)</t>
        </is>
      </c>
      <c r="C71" s="600">
        <f>COUNTA(B19:B70)-C8</f>
        <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A2:O106"/>
  <sheetViews>
    <sheetView showGridLines="0" zoomScale="80" zoomScaleNormal="8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2"/>
    <col width="16" customWidth="1" style="849" min="12" max="12"/>
    <col width="26" customWidth="1" style="849" min="13" max="13"/>
    <col width="16" customWidth="1" style="849" min="14" max="14"/>
    <col width="14" customWidth="1" style="849" min="15" max="15"/>
  </cols>
  <sheetData>
    <row r="2" ht="21" customHeight="1" s="849">
      <c r="B2" s="981" t="inlineStr">
        <is>
          <t>Ampol Retail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Network &amp; QSR</t>
        </is>
      </c>
      <c r="C6" s="987">
        <f>IFERROR(INDEX('3.3 FTE View'!$E:$E,MATCH("Ampol Retail|Network &amp; QSR",'3.3 FTE View'!$AD:$AD,0)),"-")</f>
        <v/>
      </c>
      <c r="D6" s="988">
        <f>IFERROR(INDEX('3.3 FTE View'!$G:$G,MATCH("Ampol Retail|Network &amp; QSR",'3.3 FTE View'!$AD:$AD,0)),"-")</f>
        <v/>
      </c>
      <c r="E6" s="989">
        <f>COUNTIF($D$27:$D$32,"Filled")</f>
        <v/>
      </c>
      <c r="F6" s="989">
        <f>COUNTIF($D$27:$D$32,"Vacant")</f>
        <v/>
      </c>
      <c r="G6" s="989">
        <f>COUNTIF($E$27:$E$32,"Hire")</f>
        <v/>
      </c>
      <c r="H6" s="989">
        <f>F6-G6-COUNTIF($E$27:$E$32,"Offshore")</f>
        <v/>
      </c>
      <c r="I6" s="989">
        <f>IFERROR(E6+G6-D6,"-")</f>
        <v/>
      </c>
      <c r="J6" s="986">
        <f>IF(ISNUMBER(D6),IF(E6&gt;D6,"Filled already over archetype",IF(E6+G6&gt;D6,"Over archetype after hire","")),"Outside the archetype model - no target set")</f>
        <v/>
      </c>
      <c r="K6" s="990">
        <f>IFERROR(INDEX('3.3 FTE View'!$M:$M,MATCH("Ampol Retail|Network &amp; QSR",'3.3 FTE View'!$AD:$AD,0)),"-")</f>
        <v/>
      </c>
      <c r="L6" s="991">
        <f>(SUMIFS('REVIEW - Complete Role Mapping'!$AA:$AA,'REVIEW - Complete Role Mapping'!$AJ:$AJ,"Ampol Retail",'REVIEW - Complete Role Mapping'!$AO:$AO,"Network &amp; QSR",'REVIEW - Complete Role Mapping'!$AK:$AK,"Filled"))/1000000</f>
        <v/>
      </c>
      <c r="M6" s="991">
        <f>L6+(SUMIFS($F$27:$F$32,$E$27:$E$32,"Hire")+0.4*SUMIFS($F$27:$F$32,$E$27:$E$32,"Offshore"))/1000000</f>
        <v/>
      </c>
      <c r="N6" s="991">
        <f>IFERROR(M6-K6,"-")</f>
        <v/>
      </c>
      <c r="O6" s="987">
        <f>IFERROR(INDEX('3.3 FTE View'!$F:$F,MATCH("Ampol Retail|Network &amp; QSR",'3.3 FTE View'!$AD:$AD,0)),"-")</f>
        <v/>
      </c>
    </row>
    <row r="7">
      <c r="A7" s="982" t="n"/>
      <c r="B7" s="992" t="inlineStr">
        <is>
          <t>EGI Retail</t>
        </is>
      </c>
      <c r="C7" s="987">
        <f>IFERROR(INDEX('3.3 FTE View'!$E:$E,MATCH("Ampol Retail|EGI Retail",'3.3 FTE View'!$AD:$AD,0)),"-")</f>
        <v/>
      </c>
      <c r="D7" s="988">
        <f>IFERROR(INDEX('3.3 FTE View'!$G:$G,MATCH("Ampol Retail|EGI Retail",'3.3 FTE View'!$AD:$AD,0)),"-")</f>
        <v/>
      </c>
      <c r="E7" s="989">
        <f>COUNTIF($D$34:$D$39,"Filled")</f>
        <v/>
      </c>
      <c r="F7" s="989">
        <f>COUNTIF($D$34:$D$39,"Vacant")</f>
        <v/>
      </c>
      <c r="G7" s="989">
        <f>COUNTIF($E$34:$E$39,"Hire")</f>
        <v/>
      </c>
      <c r="H7" s="989">
        <f>F7-G7-COUNTIF($E$34:$E$39,"Offshore")</f>
        <v/>
      </c>
      <c r="I7" s="989">
        <f>IFERROR(E7+G7-D7,"-")</f>
        <v/>
      </c>
      <c r="J7" s="986">
        <f>IF(ISNUMBER(D7),IF(E7&gt;D7,"Filled already over archetype",IF(E7+G7&gt;D7,"Over archetype after hire","")),"Outside the archetype model - no target set")</f>
        <v/>
      </c>
      <c r="K7" s="990">
        <f>IFERROR(INDEX('3.3 FTE View'!$M:$M,MATCH("Ampol Retail|EGI Retail",'3.3 FTE View'!$AD:$AD,0)),"-")</f>
        <v/>
      </c>
      <c r="L7" s="991">
        <f>(SUMIFS('REVIEW - Complete Role Mapping'!$AA:$AA,'REVIEW - Complete Role Mapping'!$AJ:$AJ,"Ampol Retail",'REVIEW - Complete Role Mapping'!$AO:$AO,"EGI Retail",'REVIEW - Complete Role Mapping'!$AK:$AK,"Filled"))/1000000</f>
        <v/>
      </c>
      <c r="M7" s="991">
        <f>L7+(SUMIFS($F$34:$F$39,$E$34:$E$39,"Hire")+0.4*SUMIFS($F$34:$F$39,$E$34:$E$39,"Offshore"))/1000000</f>
        <v/>
      </c>
      <c r="N7" s="991">
        <f>IFERROR(M7-K7,"-")</f>
        <v/>
      </c>
      <c r="O7" s="987">
        <f>IFERROR(INDEX('3.3 FTE View'!$F:$F,MATCH("Ampol Retail|EGI Retail",'3.3 FTE View'!$AD:$AD,0)),"-")</f>
        <v/>
      </c>
    </row>
    <row r="8">
      <c r="A8" s="982" t="n"/>
      <c r="B8" s="986" t="inlineStr">
        <is>
          <t>Store Operations</t>
        </is>
      </c>
      <c r="C8" s="987">
        <f>IFERROR(INDEX('3.3 FTE View'!$E:$E,MATCH("Ampol Retail|Store Operations",'3.3 FTE View'!$AD:$AD,0)),"-")</f>
        <v/>
      </c>
      <c r="D8" s="988">
        <f>IFERROR(INDEX('3.3 FTE View'!$G:$G,MATCH("Ampol Retail|Store Operations",'3.3 FTE View'!$AD:$AD,0)),"-")</f>
        <v/>
      </c>
      <c r="E8" s="989">
        <f>COUNTIF($D$41:$D$48,"Filled")</f>
        <v/>
      </c>
      <c r="F8" s="989">
        <f>COUNTIF($D$41:$D$48,"Vacant")</f>
        <v/>
      </c>
      <c r="G8" s="989">
        <f>COUNTIF($E$41:$E$48,"Hire")</f>
        <v/>
      </c>
      <c r="H8" s="989">
        <f>F8-G8-COUNTIF($E$41:$E$48,"Offshore")</f>
        <v/>
      </c>
      <c r="I8" s="989">
        <f>IFERROR(E8+G8-D8,"-")</f>
        <v/>
      </c>
      <c r="J8" s="986">
        <f>IF(ISNUMBER(D8),IF(E8&gt;D8,"Filled already over archetype",IF(E8+G8&gt;D8,"Over archetype after hire","")),"Outside the archetype model - no target set")</f>
        <v/>
      </c>
      <c r="K8" s="990">
        <f>IFERROR(INDEX('3.3 FTE View'!$M:$M,MATCH("Ampol Retail|Store Operations",'3.3 FTE View'!$AD:$AD,0)),"-")</f>
        <v/>
      </c>
      <c r="L8" s="991">
        <f>(SUMIFS('REVIEW - Complete Role Mapping'!$AA:$AA,'REVIEW - Complete Role Mapping'!$AJ:$AJ,"Ampol Retail",'REVIEW - Complete Role Mapping'!$AO:$AO,"Store Operations",'REVIEW - Complete Role Mapping'!$AK:$AK,"Filled"))/1000000</f>
        <v/>
      </c>
      <c r="M8" s="991">
        <f>L8+(SUMIFS($F$41:$F$48,$E$41:$E$48,"Hire")+0.4*SUMIFS($F$41:$F$48,$E$41:$E$48,"Offshore"))/1000000</f>
        <v/>
      </c>
      <c r="N8" s="991">
        <f>IFERROR(M8-K8,"-")</f>
        <v/>
      </c>
      <c r="O8" s="987">
        <f>IFERROR(INDEX('3.3 FTE View'!$F:$F,MATCH("Ampol Retail|Store Operations",'3.3 FTE View'!$AD:$AD,0)),"-")</f>
        <v/>
      </c>
    </row>
    <row r="9">
      <c r="A9" s="982" t="n"/>
      <c r="B9" s="992" t="inlineStr">
        <is>
          <t>Deployment</t>
        </is>
      </c>
      <c r="C9" s="987">
        <f>IFERROR(INDEX('3.3 FTE View'!$E:$E,MATCH("Ampol Retail|Deployment",'3.3 FTE View'!$AD:$AD,0)),"-")</f>
        <v/>
      </c>
      <c r="D9" s="988">
        <f>IFERROR(INDEX('3.3 FTE View'!$G:$G,MATCH("Ampol Retail|Deployment",'3.3 FTE View'!$AD:$AD,0)),"-")</f>
        <v/>
      </c>
      <c r="E9" s="989">
        <f>COUNTIF($D$50:$D$54,"Filled")</f>
        <v/>
      </c>
      <c r="F9" s="989">
        <f>COUNTIF($D$50:$D$54,"Vacant")</f>
        <v/>
      </c>
      <c r="G9" s="989">
        <f>COUNTIF($E$50:$E$54,"Hire")</f>
        <v/>
      </c>
      <c r="H9" s="989">
        <f>F9-G9-COUNTIF($E$50:$E$54,"Offshore")</f>
        <v/>
      </c>
      <c r="I9" s="989">
        <f>IFERROR(E9+G9-D9,"-")</f>
        <v/>
      </c>
      <c r="J9" s="986">
        <f>IF(ISNUMBER(D9),IF(E9&gt;D9,"Filled already over archetype",IF(E9+G9&gt;D9,"Over archetype after hire","")),"Outside the archetype model - no target set")</f>
        <v/>
      </c>
      <c r="K9" s="990">
        <f>IFERROR(INDEX('3.3 FTE View'!$M:$M,MATCH("Ampol Retail|Deployment",'3.3 FTE View'!$AD:$AD,0)),"-")</f>
        <v/>
      </c>
      <c r="L9" s="991">
        <f>(SUMIFS('REVIEW - Complete Role Mapping'!$AA:$AA,'REVIEW - Complete Role Mapping'!$AJ:$AJ,"Ampol Retail",'REVIEW - Complete Role Mapping'!$AO:$AO,"Deployment",'REVIEW - Complete Role Mapping'!$AK:$AK,"Filled"))/1000000</f>
        <v/>
      </c>
      <c r="M9" s="991">
        <f>L9+(SUMIFS($F$50:$F$54,$E$50:$E$54,"Hire")+0.4*SUMIFS($F$50:$F$54,$E$50:$E$54,"Offshore"))/1000000</f>
        <v/>
      </c>
      <c r="N9" s="991">
        <f>IFERROR(M9-K9,"-")</f>
        <v/>
      </c>
      <c r="O9" s="987">
        <f>IFERROR(INDEX('3.3 FTE View'!$F:$F,MATCH("Ampol Retail|Deployment",'3.3 FTE View'!$AD:$AD,0)),"-")</f>
        <v/>
      </c>
    </row>
    <row r="10">
      <c r="A10" s="982" t="n"/>
      <c r="B10" s="986" t="inlineStr">
        <is>
          <t>AmPOS</t>
        </is>
      </c>
      <c r="C10" s="987">
        <f>IFERROR(INDEX('3.3 FTE View'!$E:$E,MATCH("Ampol Retail|AmPOS",'3.3 FTE View'!$AD:$AD,0)),"-")</f>
        <v/>
      </c>
      <c r="D10" s="988">
        <f>IFERROR(INDEX('3.3 FTE View'!$G:$G,MATCH("Ampol Retail|AmPOS",'3.3 FTE View'!$AD:$AD,0)),"-")</f>
        <v/>
      </c>
      <c r="E10" s="989">
        <f>COUNTIF($D$56:$D$65,"Filled")</f>
        <v/>
      </c>
      <c r="F10" s="989">
        <f>COUNTIF($D$56:$D$65,"Vacant")</f>
        <v/>
      </c>
      <c r="G10" s="989">
        <f>COUNTIF($E$56:$E$65,"Hire")</f>
        <v/>
      </c>
      <c r="H10" s="989">
        <f>F10-G10-COUNTIF($E$56:$E$65,"Offshore")</f>
        <v/>
      </c>
      <c r="I10" s="989">
        <f>IFERROR(E10+G10-D10,"-")</f>
        <v/>
      </c>
      <c r="J10" s="986">
        <f>IF(ISNUMBER(D10),IF(E10&gt;D10,"Filled already over archetype",IF(E10+G10&gt;D10,"Over archetype after hire","")),"Outside the archetype model - no target set")</f>
        <v/>
      </c>
      <c r="K10" s="990">
        <f>IFERROR(INDEX('3.3 FTE View'!$M:$M,MATCH("Ampol Retail|AmPOS",'3.3 FTE View'!$AD:$AD,0)),"-")</f>
        <v/>
      </c>
      <c r="L10" s="991">
        <f>(SUMIFS('REVIEW - Complete Role Mapping'!$AA:$AA,'REVIEW - Complete Role Mapping'!$AJ:$AJ,"Ampol Retail",'REVIEW - Complete Role Mapping'!$AO:$AO,"AmPOS",'REVIEW - Complete Role Mapping'!$AK:$AK,"Filled"))/1000000</f>
        <v/>
      </c>
      <c r="M10" s="991">
        <f>L10+(SUMIFS($F$56:$F$65,$E$56:$E$65,"Hire")+0.4*SUMIFS($F$56:$F$65,$E$56:$E$65,"Offshore"))/1000000</f>
        <v/>
      </c>
      <c r="N10" s="991">
        <f>IFERROR(M10-K10,"-")</f>
        <v/>
      </c>
      <c r="O10" s="987">
        <f>IFERROR(INDEX('3.3 FTE View'!$F:$F,MATCH("Ampol Retail|AmPOS",'3.3 FTE View'!$AD:$AD,0)),"-")</f>
        <v/>
      </c>
    </row>
    <row r="11">
      <c r="A11" s="982" t="n"/>
      <c r="B11" s="992" t="inlineStr">
        <is>
          <t>Payments</t>
        </is>
      </c>
      <c r="C11" s="987">
        <f>IFERROR(INDEX('3.3 FTE View'!$E:$E,MATCH("Ampol Retail|Payments",'3.3 FTE View'!$AD:$AD,0)),"-")</f>
        <v/>
      </c>
      <c r="D11" s="988">
        <f>IFERROR(INDEX('3.3 FTE View'!$G:$G,MATCH("Ampol Retail|Payments",'3.3 FTE View'!$AD:$AD,0)),"-")</f>
        <v/>
      </c>
      <c r="E11" s="989">
        <f>COUNTIF($D$67:$D$70,"Filled")</f>
        <v/>
      </c>
      <c r="F11" s="989">
        <f>COUNTIF($D$67:$D$70,"Vacant")</f>
        <v/>
      </c>
      <c r="G11" s="989">
        <f>COUNTIF($E$67:$E$70,"Hire")</f>
        <v/>
      </c>
      <c r="H11" s="989">
        <f>F11-G11-COUNTIF($E$67:$E$70,"Offshore")</f>
        <v/>
      </c>
      <c r="I11" s="989">
        <f>IFERROR(E11+G11-D11,"-")</f>
        <v/>
      </c>
      <c r="J11" s="986">
        <f>IF(ISNUMBER(D11),IF(E11&gt;D11,"Filled already over archetype",IF(E11+G11&gt;D11,"Over archetype after hire","")),"Outside the archetype model - no target set")</f>
        <v/>
      </c>
      <c r="K11" s="990">
        <f>IFERROR(INDEX('3.3 FTE View'!$M:$M,MATCH("Ampol Retail|Payments",'3.3 FTE View'!$AD:$AD,0)),"-")</f>
        <v/>
      </c>
      <c r="L11" s="991">
        <f>(SUMIFS('REVIEW - Complete Role Mapping'!$AA:$AA,'REVIEW - Complete Role Mapping'!$AJ:$AJ,"Ampol Retail",'REVIEW - Complete Role Mapping'!$AO:$AO,"Payments",'REVIEW - Complete Role Mapping'!$AK:$AK,"Filled"))/1000000</f>
        <v/>
      </c>
      <c r="M11" s="991">
        <f>L11+(SUMIFS($F$67:$F$70,$E$67:$E$70,"Hire")+0.4*SUMIFS($F$67:$F$70,$E$67:$E$70,"Offshore"))/1000000</f>
        <v/>
      </c>
      <c r="N11" s="991">
        <f>IFERROR(M11-K11,"-")</f>
        <v/>
      </c>
      <c r="O11" s="987">
        <f>IFERROR(INDEX('3.3 FTE View'!$F:$F,MATCH("Ampol Retail|Payments",'3.3 FTE View'!$AD:$AD,0)),"-")</f>
        <v/>
      </c>
    </row>
    <row r="12">
      <c r="A12" s="982" t="n"/>
      <c r="B12" s="986" t="inlineStr">
        <is>
          <t>Above Store</t>
        </is>
      </c>
      <c r="C12" s="987">
        <f>IFERROR(INDEX('3.3 FTE View'!$E:$E,MATCH("Ampol Retail|Above Store",'3.3 FTE View'!$AD:$AD,0)),"-")</f>
        <v/>
      </c>
      <c r="D12" s="988">
        <f>IFERROR(INDEX('3.3 FTE View'!$G:$G,MATCH("Ampol Retail|Above Store",'3.3 FTE View'!$AD:$AD,0)),"-")</f>
        <v/>
      </c>
      <c r="E12" s="989">
        <f>COUNTIF($D$72:$D$82,"Filled")</f>
        <v/>
      </c>
      <c r="F12" s="989">
        <f>COUNTIF($D$72:$D$82,"Vacant")</f>
        <v/>
      </c>
      <c r="G12" s="989">
        <f>COUNTIF($E$72:$E$82,"Hire")</f>
        <v/>
      </c>
      <c r="H12" s="989">
        <f>F12-G12-COUNTIF($E$72:$E$82,"Offshore")</f>
        <v/>
      </c>
      <c r="I12" s="989">
        <f>IFERROR(E12+G12-D12,"-")</f>
        <v/>
      </c>
      <c r="J12" s="986">
        <f>IF(ISNUMBER(D12),IF(E12&gt;D12,"Filled already over archetype",IF(E12+G12&gt;D12,"Over archetype after hire","")),"Outside the archetype model - no target set")</f>
        <v/>
      </c>
      <c r="K12" s="990">
        <f>IFERROR(INDEX('3.3 FTE View'!$M:$M,MATCH("Ampol Retail|Above Store",'3.3 FTE View'!$AD:$AD,0)),"-")</f>
        <v/>
      </c>
      <c r="L12" s="991">
        <f>(SUMIFS('REVIEW - Complete Role Mapping'!$AA:$AA,'REVIEW - Complete Role Mapping'!$AJ:$AJ,"Ampol Retail",'REVIEW - Complete Role Mapping'!$AO:$AO,"Above Store",'REVIEW - Complete Role Mapping'!$AK:$AK,"Filled"))/1000000</f>
        <v/>
      </c>
      <c r="M12" s="991">
        <f>L12+(SUMIFS($F$72:$F$82,$E$72:$E$82,"Hire")+0.4*SUMIFS($F$72:$F$82,$E$72:$E$82,"Offshore"))/1000000</f>
        <v/>
      </c>
      <c r="N12" s="991">
        <f>IFERROR(M12-K12,"-")</f>
        <v/>
      </c>
      <c r="O12" s="987">
        <f>IFERROR(INDEX('3.3 FTE View'!$F:$F,MATCH("Ampol Retail|Above Store",'3.3 FTE View'!$AD:$AD,0)),"-")</f>
        <v/>
      </c>
    </row>
    <row r="13">
      <c r="A13" s="982" t="n"/>
      <c r="B13" s="992" t="inlineStr">
        <is>
          <t>Leadership</t>
        </is>
      </c>
      <c r="C13" s="987">
        <f>IFERROR(INDEX('3.3 FTE View'!$E:$E,MATCH("Ampol Retail|Leadership",'3.3 FTE View'!$AD:$AD,0)),"-")</f>
        <v/>
      </c>
      <c r="D13" s="988">
        <f>IFERROR(INDEX('3.3 FTE View'!$G:$G,MATCH("Ampol Retail|Leadership",'3.3 FTE View'!$AD:$AD,0)),"-")</f>
        <v/>
      </c>
      <c r="E13" s="989">
        <f>COUNTIF($D$84:$D$88,"Filled")</f>
        <v/>
      </c>
      <c r="F13" s="989">
        <f>COUNTIF($D$84:$D$88,"Vacant")</f>
        <v/>
      </c>
      <c r="G13" s="989">
        <f>COUNTIF($E$84:$E$88,"Hire")</f>
        <v/>
      </c>
      <c r="H13" s="989">
        <f>F13-G13-COUNTIF($E$84:$E$88,"Offshore")</f>
        <v/>
      </c>
      <c r="I13" s="989">
        <f>IFERROR(E13+G13-D13,"-")</f>
        <v/>
      </c>
      <c r="J13" s="986">
        <f>IF(ISNUMBER(D13),IF(E13&gt;D13,"Filled already over archetype",IF(E13+G13&gt;D13,"Over archetype after hire","")),"Outside the archetype model - no target set")</f>
        <v/>
      </c>
      <c r="K13" s="990">
        <f>IFERROR(INDEX('3.3 FTE View'!$M:$M,MATCH("Ampol Retail|Leadership",'3.3 FTE View'!$AD:$AD,0)),"-")</f>
        <v/>
      </c>
      <c r="L13" s="991">
        <f>(SUMIFS('REVIEW - Complete Role Mapping'!$AA:$AA,'REVIEW - Complete Role Mapping'!$AJ:$AJ,"Ampol Retail",'REVIEW - Complete Role Mapping'!$AO:$AO,"Leadership",'REVIEW - Complete Role Mapping'!$AK:$AK,"Filled"))/1000000</f>
        <v/>
      </c>
      <c r="M13" s="991">
        <f>L13+(SUMIFS($F$84:$F$88,$E$84:$E$88,"Hire")+0.4*SUMIFS($F$84:$F$88,$E$84:$E$88,"Offshore"))/1000000</f>
        <v/>
      </c>
      <c r="N13" s="991">
        <f>IFERROR(M13-K13,"-")</f>
        <v/>
      </c>
      <c r="O13" s="987">
        <f>IFERROR(INDEX('3.3 FTE View'!$F:$F,MATCH("Ampol Retail|Leadership",'3.3 FTE View'!$AD:$AD,0)),"-")</f>
        <v/>
      </c>
    </row>
    <row r="14">
      <c r="A14" s="982" t="n"/>
      <c r="B14" s="986" t="inlineStr">
        <is>
          <t>POS</t>
        </is>
      </c>
      <c r="C14" s="987">
        <f>IFERROR(INDEX('3.3 FTE View'!$E:$E,MATCH("Ampol Retail|POS",'3.3 FTE View'!$AD:$AD,0)),"-")</f>
        <v/>
      </c>
      <c r="D14" s="988">
        <f>IFERROR(INDEX('3.3 FTE View'!$G:$G,MATCH("Ampol Retail|POS",'3.3 FTE View'!$AD:$AD,0)),"-")</f>
        <v/>
      </c>
      <c r="E14" s="989">
        <f>COUNTIF($D$90:$D$97,"Filled")</f>
        <v/>
      </c>
      <c r="F14" s="989">
        <f>COUNTIF($D$90:$D$97,"Vacant")</f>
        <v/>
      </c>
      <c r="G14" s="989">
        <f>COUNTIF($E$90:$E$97,"Hire")</f>
        <v/>
      </c>
      <c r="H14" s="989">
        <f>F14-G14-COUNTIF($E$90:$E$97,"Offshore")</f>
        <v/>
      </c>
      <c r="I14" s="989">
        <f>IFERROR(E14+G14-D14,"-")</f>
        <v/>
      </c>
      <c r="J14" s="986">
        <f>IF(ISNUMBER(D14),IF(E14&gt;D14,"Filled already over archetype",IF(E14+G14&gt;D14,"Over archetype after hire","")),"Outside the archetype model - no target set")</f>
        <v/>
      </c>
      <c r="K14" s="990">
        <f>IFERROR(INDEX('3.3 FTE View'!$M:$M,MATCH("Ampol Retail|POS",'3.3 FTE View'!$AD:$AD,0)),"-")</f>
        <v/>
      </c>
      <c r="L14" s="991">
        <f>(SUMIFS('REVIEW - Complete Role Mapping'!$AA:$AA,'REVIEW - Complete Role Mapping'!$AJ:$AJ,"Ampol Retail",'REVIEW - Complete Role Mapping'!$AO:$AO,"POS",'REVIEW - Complete Role Mapping'!$AK:$AK,"Filled"))/1000000</f>
        <v/>
      </c>
      <c r="M14" s="991">
        <f>L14+(SUMIFS($F$90:$F$97,$E$90:$E$97,"Hire")+0.4*SUMIFS($F$90:$F$97,$E$90:$E$97,"Offshore"))/1000000</f>
        <v/>
      </c>
      <c r="N14" s="991">
        <f>IFERROR(M14-K14,"-")</f>
        <v/>
      </c>
      <c r="O14" s="987">
        <f>IFERROR(INDEX('3.3 FTE View'!$F:$F,MATCH("Ampol Retail|POS",'3.3 FTE View'!$AD:$AD,0)),"-")</f>
        <v/>
      </c>
    </row>
    <row r="15">
      <c r="A15" s="982" t="n"/>
      <c r="B15" s="992" t="inlineStr">
        <is>
          <t>Data AU</t>
        </is>
      </c>
      <c r="C15" s="987">
        <f>IFERROR(INDEX('3.3 FTE View'!$E:$E,MATCH("Ampol Retail|Data AU",'3.3 FTE View'!$AD:$AD,0)),"-")</f>
        <v/>
      </c>
      <c r="D15" s="988">
        <f>IFERROR(INDEX('3.3 FTE View'!$G:$G,MATCH("Ampol Retail|Data AU",'3.3 FTE View'!$AD:$AD,0)),"-")</f>
        <v/>
      </c>
      <c r="E15" s="989">
        <f>COUNTIF($D$99:$D$104,"Filled")</f>
        <v/>
      </c>
      <c r="F15" s="989">
        <f>COUNTIF($D$99:$D$104,"Vacant")</f>
        <v/>
      </c>
      <c r="G15" s="989">
        <f>COUNTIF($E$99:$E$104,"Hire")</f>
        <v/>
      </c>
      <c r="H15" s="989">
        <f>F15-G15-COUNTIF($E$99:$E$104,"Offshore")</f>
        <v/>
      </c>
      <c r="I15" s="989">
        <f>IFERROR(E15+G15-D15,"-")</f>
        <v/>
      </c>
      <c r="J15" s="986">
        <f>IF(ISNUMBER(D15),IF(E15&gt;D15,"Filled already over archetype",IF(E15+G15&gt;D15,"Over archetype after hire","")),"Outside the archetype model - no target set")</f>
        <v/>
      </c>
      <c r="K15" s="990">
        <f>IFERROR(INDEX('3.3 FTE View'!$M:$M,MATCH("Ampol Retail|Data AU",'3.3 FTE View'!$AD:$AD,0)),"-")</f>
        <v/>
      </c>
      <c r="L15" s="991">
        <f>(SUMIFS('REVIEW - Complete Role Mapping'!$AA:$AA,'REVIEW - Complete Role Mapping'!$AJ:$AJ,"Ampol Retail",'REVIEW - Complete Role Mapping'!$AO:$AO,"Data AU",'REVIEW - Complete Role Mapping'!$AK:$AK,"Filled"))/1000000</f>
        <v/>
      </c>
      <c r="M15" s="991">
        <f>L15+(SUMIFS($F$99:$F$104,$E$99:$E$104,"Hire")+0.4*SUMIFS($F$99:$F$104,$E$99:$E$104,"Offshore"))/1000000</f>
        <v/>
      </c>
      <c r="N15" s="991">
        <f>IFERROR(M15-K15,"-")</f>
        <v/>
      </c>
      <c r="O15" s="987">
        <f>IFERROR(INDEX('3.3 FTE View'!$F:$F,MATCH("Ampol Retail|Data AU",'3.3 FTE View'!$AD:$AD,0)),"-")</f>
        <v/>
      </c>
    </row>
    <row r="16">
      <c r="A16" s="982" t="n"/>
      <c r="B16" s="986" t="inlineStr">
        <is>
          <t>EGI TDD</t>
        </is>
      </c>
      <c r="C16" s="987">
        <f>IFERROR(INDEX('3.3 FTE View'!$E:$E,MATCH("Ampol Retail|EGI TDD",'3.3 FTE View'!$AD:$AD,0)),"-")</f>
        <v/>
      </c>
      <c r="D16" s="988">
        <f>IFERROR(INDEX('3.3 FTE View'!$G:$G,MATCH("Ampol Retail|EGI TDD",'3.3 FTE View'!$AD:$AD,0)),"-")</f>
        <v/>
      </c>
      <c r="E16" s="989">
        <f>COUNTIF($D$106:$D$106,"Filled")</f>
        <v/>
      </c>
      <c r="F16" s="989">
        <f>COUNTIF($D$106:$D$106,"Vacant")</f>
        <v/>
      </c>
      <c r="G16" s="989">
        <f>COUNTIF($E$106:$E$106,"Hire")</f>
        <v/>
      </c>
      <c r="H16" s="989">
        <f>F16-G16-COUNTIF($E$106:$E$106,"Offshore")</f>
        <v/>
      </c>
      <c r="I16" s="989">
        <f>IFERROR(E16+G16-D16,"-")</f>
        <v/>
      </c>
      <c r="J16" s="986">
        <f>IF(ISNUMBER(D16),IF(E16&gt;D16,"Filled already over archetype",IF(E16+G16&gt;D16,"Over archetype after hire","")),"Outside the archetype model - no target set")</f>
        <v/>
      </c>
      <c r="K16" s="990">
        <f>IFERROR(INDEX('3.3 FTE View'!$M:$M,MATCH("Ampol Retail|EGI TDD",'3.3 FTE View'!$AD:$AD,0)),"-")</f>
        <v/>
      </c>
      <c r="L16" s="991">
        <f>(SUMIFS('REVIEW - Complete Role Mapping'!$AA:$AA,'REVIEW - Complete Role Mapping'!$AJ:$AJ,"Ampol Retail",'REVIEW - Complete Role Mapping'!$AO:$AO,"EGI TDD",'REVIEW - Complete Role Mapping'!$AK:$AK,"Filled"))/1000000</f>
        <v/>
      </c>
      <c r="M16" s="991">
        <f>L16+(SUMIFS($F$106:$F$106,$E$106:$E$106,"Hire")+0.4*SUMIFS($F$106:$F$106,$E$106:$E$106,"Offshore"))/1000000</f>
        <v/>
      </c>
      <c r="N16" s="991">
        <f>IFERROR(M16-K16,"-")</f>
        <v/>
      </c>
      <c r="O16" s="987">
        <f>IFERROR(INDEX('3.3 FTE View'!$F:$F,MATCH("Ampol Retail|EGI TDD",'3.3 FTE View'!$AD:$AD,0)),"-")</f>
        <v/>
      </c>
    </row>
    <row r="17">
      <c r="A17" s="982" t="n"/>
      <c r="B17" s="993" t="inlineStr">
        <is>
          <t>Total</t>
        </is>
      </c>
      <c r="C17" s="993" t="inlineStr"/>
      <c r="D17" s="994">
        <f>SUM(D6:D16)</f>
        <v/>
      </c>
      <c r="E17" s="994">
        <f>SUM(E6:E16)</f>
        <v/>
      </c>
      <c r="F17" s="994">
        <f>SUM(F6:F16)</f>
        <v/>
      </c>
      <c r="G17" s="994">
        <f>SUM(G6:G16)</f>
        <v/>
      </c>
      <c r="H17" s="994">
        <f>SUM(H6:H16)</f>
        <v/>
      </c>
      <c r="I17" s="994">
        <f>SUM(I6:I16)</f>
        <v/>
      </c>
      <c r="J17" s="993" t="inlineStr"/>
      <c r="K17" s="995">
        <f>SUM(K6:K16)</f>
        <v/>
      </c>
      <c r="L17" s="995">
        <f>SUM(L6:L16)</f>
        <v/>
      </c>
      <c r="M17" s="995">
        <f>SUM(M6:M16)</f>
        <v/>
      </c>
      <c r="N17" s="995">
        <f>SUM(N6:N16)</f>
        <v/>
      </c>
      <c r="O17" s="993" t="inlineStr"/>
    </row>
    <row r="18">
      <c r="A18" s="982" t="n"/>
      <c r="B18" s="996" t="inlineStr">
        <is>
          <t>Cost to hire all vacancies ($m)</t>
        </is>
      </c>
      <c r="C18" s="982" t="n"/>
      <c r="D18" s="982" t="n"/>
      <c r="E18" s="997">
        <f>SUMIFS($F$26:$F$106,$D$26:$D$106,"Vacant")/1000000</f>
        <v/>
      </c>
      <c r="F18" s="982" t="n"/>
      <c r="G18" s="982" t="n"/>
      <c r="H18" s="982" t="n"/>
      <c r="I18" s="982" t="n"/>
      <c r="J18" s="982" t="n"/>
      <c r="K18" s="982" t="n"/>
      <c r="L18" s="982" t="n"/>
      <c r="M18" s="982" t="n"/>
      <c r="N18" s="982" t="n"/>
      <c r="O18" s="982" t="n"/>
    </row>
    <row r="19">
      <c r="A19" s="982" t="n"/>
      <c r="B19" s="996" t="inlineStr">
        <is>
          <t>Cost of roles marked Hire ($m)</t>
        </is>
      </c>
      <c r="C19" s="982" t="n"/>
      <c r="D19" s="982" t="n"/>
      <c r="E19" s="997">
        <f>SUMIF($E$26:$E$106,"Hire",$F$26:$F$106)/1000000</f>
        <v/>
      </c>
      <c r="F19" s="982" t="n"/>
      <c r="G19" s="982" t="n"/>
      <c r="H19" s="982" t="n"/>
      <c r="I19" s="982" t="n"/>
      <c r="J19" s="982" t="n"/>
      <c r="K19" s="982" t="n"/>
      <c r="L19" s="982" t="n"/>
      <c r="M19" s="982" t="n"/>
      <c r="N19" s="982" t="n"/>
      <c r="O19" s="982" t="n"/>
    </row>
    <row r="20">
      <c r="A20" s="982" t="n"/>
      <c r="B20" s="998" t="inlineStr">
        <is>
          <t>Vacant roles are priced at standard title rates - indicative until an offer is made.</t>
        </is>
      </c>
      <c r="C20" s="982" t="n"/>
      <c r="D20" s="982" t="n"/>
      <c r="E20" s="982" t="n"/>
      <c r="F20" s="982" t="n"/>
      <c r="G20" s="982" t="n"/>
      <c r="H20" s="982" t="n"/>
      <c r="I20" s="982" t="n"/>
      <c r="J20" s="982" t="n"/>
      <c r="K20" s="982" t="n"/>
      <c r="L20" s="982" t="n"/>
      <c r="M20" s="982" t="n"/>
      <c r="N20" s="982" t="n"/>
      <c r="O20" s="982" t="n"/>
    </row>
    <row r="21">
      <c r="A21" s="982" t="n"/>
      <c r="B21" s="998" t="inlineStr">
        <is>
          <t>"-" in the archetype columns means this real squad has no design archetype target; the comparison sits at portfolio level on 3.2.</t>
        </is>
      </c>
      <c r="C21" s="999" t="n"/>
      <c r="D21" s="999" t="n"/>
      <c r="E21" s="999" t="n"/>
      <c r="F21" s="999" t="n"/>
      <c r="G21" s="984" t="n"/>
      <c r="H21" s="984" t="n"/>
      <c r="I21" s="984" t="n"/>
      <c r="J21" s="984" t="n"/>
      <c r="K21" s="982" t="n"/>
      <c r="L21" s="982" t="n"/>
      <c r="M21" s="982" t="n"/>
      <c r="N21" s="982" t="n"/>
      <c r="O21" s="982" t="n"/>
    </row>
    <row r="22">
      <c r="A22" s="982" t="n"/>
      <c r="B22" s="984" t="n"/>
      <c r="C22" s="984" t="n"/>
      <c r="D22" s="984" t="n"/>
      <c r="E22" s="1000" t="n"/>
      <c r="F22" s="984" t="n"/>
      <c r="G22" s="982" t="n"/>
      <c r="H22" s="982" t="n"/>
      <c r="I22" s="982" t="n"/>
      <c r="J22" s="982" t="n"/>
      <c r="K22" s="982" t="n"/>
      <c r="L22" s="982" t="n"/>
      <c r="M22" s="982" t="n"/>
      <c r="N22" s="982" t="n"/>
      <c r="O22" s="982" t="n"/>
    </row>
    <row r="23">
      <c r="A23" s="982" t="n"/>
      <c r="B23" s="1001" t="n"/>
      <c r="C23" s="1001" t="n"/>
      <c r="D23" s="1001" t="n"/>
      <c r="E23" s="1001" t="n"/>
      <c r="F23" s="982" t="n"/>
      <c r="G23" s="982" t="n"/>
      <c r="H23" s="982" t="n"/>
      <c r="I23" s="982" t="n"/>
      <c r="J23" s="982" t="n"/>
      <c r="K23" s="982" t="n"/>
      <c r="L23" s="982" t="n"/>
      <c r="M23" s="982" t="n"/>
      <c r="N23" s="982" t="n"/>
      <c r="O23" s="982" t="n"/>
    </row>
    <row r="24">
      <c r="A24" s="982" t="n"/>
      <c r="B24" s="1002" t="inlineStr">
        <is>
          <t>Ampol Retail FTE</t>
        </is>
      </c>
      <c r="C24" s="1003" t="n"/>
      <c r="D24" s="1003" t="n"/>
      <c r="E24" s="1001" t="n"/>
      <c r="F24" s="1003" t="n"/>
      <c r="G24" s="982" t="n"/>
      <c r="H24" s="982" t="n"/>
      <c r="I24" s="982" t="n"/>
      <c r="J24" s="982" t="n"/>
      <c r="K24" s="982" t="n"/>
      <c r="L24" s="982" t="n"/>
      <c r="M24" s="982" t="n"/>
      <c r="N24" s="982" t="n"/>
      <c r="O24" s="982" t="n"/>
    </row>
    <row r="25">
      <c r="A25" s="982" t="n"/>
      <c r="B25" s="985" t="inlineStr">
        <is>
          <t>Name</t>
        </is>
      </c>
      <c r="C25" s="985" t="inlineStr">
        <is>
          <t>Role</t>
        </is>
      </c>
      <c r="D25" s="985" t="inlineStr">
        <is>
          <t>Status</t>
        </is>
      </c>
      <c r="E25" s="985" t="inlineStr">
        <is>
          <t>Vacancy lever</t>
        </is>
      </c>
      <c r="F25" s="985" t="inlineStr">
        <is>
          <t>Cost if hired ($)</t>
        </is>
      </c>
      <c r="G25" s="982" t="n"/>
      <c r="H25" s="982" t="n"/>
      <c r="I25" s="982" t="n"/>
      <c r="J25" s="982" t="n"/>
      <c r="K25" s="982" t="n"/>
      <c r="L25" s="982" t="n"/>
      <c r="M25" s="982" t="n"/>
      <c r="N25" s="982" t="n"/>
      <c r="O25" s="982" t="n"/>
    </row>
    <row r="26">
      <c r="A26" s="982" t="n"/>
      <c r="B26" s="1004" t="inlineStr">
        <is>
          <t>Network &amp; QSR</t>
        </is>
      </c>
      <c r="C26" s="1004" t="inlineStr"/>
      <c r="D26" s="1004" t="inlineStr"/>
      <c r="E26" s="1004" t="inlineStr"/>
      <c r="F26" s="1004" t="inlineStr"/>
      <c r="G26" s="982" t="n"/>
      <c r="H26" s="982" t="n"/>
      <c r="I26" s="982" t="n"/>
      <c r="J26" s="982" t="n"/>
      <c r="K26" s="982" t="n"/>
      <c r="L26" s="982" t="n"/>
      <c r="M26" s="982" t="n"/>
      <c r="N26" s="982" t="n"/>
      <c r="O26" s="982" t="n"/>
    </row>
    <row r="27">
      <c r="A27" s="982" t="n"/>
      <c r="B27" s="986">
        <f>'REVIEW - Complete Role Mapping'!$B$3</f>
        <v/>
      </c>
      <c r="C27" s="986">
        <f>'REVIEW - Complete Role Mapping'!$C$3</f>
        <v/>
      </c>
      <c r="D27" s="1005">
        <f>'REVIEW - Complete Role Mapping'!$AK$3</f>
        <v/>
      </c>
      <c r="E27" s="986" t="inlineStr"/>
      <c r="F27" s="986" t="inlineStr"/>
      <c r="G27" s="982" t="n"/>
      <c r="H27" s="982" t="n"/>
      <c r="I27" s="982" t="n"/>
      <c r="J27" s="982" t="n"/>
      <c r="K27" s="982" t="n"/>
      <c r="L27" s="982" t="n"/>
      <c r="M27" s="982" t="n"/>
      <c r="N27" s="982" t="n"/>
      <c r="O27" s="982" t="n"/>
    </row>
    <row r="28">
      <c r="A28" s="982" t="n"/>
      <c r="B28" s="986">
        <f>'REVIEW - Complete Role Mapping'!$B$32</f>
        <v/>
      </c>
      <c r="C28" s="986">
        <f>'REVIEW - Complete Role Mapping'!$C$32</f>
        <v/>
      </c>
      <c r="D28" s="1005">
        <f>'REVIEW - Complete Role Mapping'!$AK$32</f>
        <v/>
      </c>
      <c r="E28" s="986" t="inlineStr"/>
      <c r="F28" s="986" t="inlineStr"/>
      <c r="G28" s="982" t="n"/>
      <c r="H28" s="982" t="n"/>
      <c r="I28" s="982" t="n"/>
      <c r="J28" s="982" t="n"/>
      <c r="K28" s="982" t="n"/>
      <c r="L28" s="982" t="n"/>
      <c r="M28" s="982" t="n"/>
      <c r="N28" s="982" t="n"/>
      <c r="O28" s="982" t="n"/>
    </row>
    <row r="29">
      <c r="A29" s="982" t="n"/>
      <c r="B29" s="986">
        <f>'REVIEW - Complete Role Mapping'!$B$57</f>
        <v/>
      </c>
      <c r="C29" s="986">
        <f>'REVIEW - Complete Role Mapping'!$C$57</f>
        <v/>
      </c>
      <c r="D29" s="1005">
        <f>'REVIEW - Complete Role Mapping'!$AK$57</f>
        <v/>
      </c>
      <c r="E29" s="986" t="inlineStr"/>
      <c r="F29" s="986" t="inlineStr"/>
      <c r="G29" s="982" t="n"/>
      <c r="H29" s="982" t="n"/>
      <c r="I29" s="982" t="n"/>
      <c r="J29" s="982" t="n"/>
      <c r="K29" s="982" t="n"/>
      <c r="L29" s="982" t="n"/>
      <c r="M29" s="982" t="n"/>
      <c r="N29" s="982" t="n"/>
      <c r="O29" s="982" t="n"/>
    </row>
    <row r="30">
      <c r="A30" s="982" t="n"/>
      <c r="B30" s="986">
        <f>'REVIEW - Complete Role Mapping'!$B$68</f>
        <v/>
      </c>
      <c r="C30" s="986">
        <f>'REVIEW - Complete Role Mapping'!$C$68</f>
        <v/>
      </c>
      <c r="D30" s="1005">
        <f>'REVIEW - Complete Role Mapping'!$AK$68</f>
        <v/>
      </c>
      <c r="E30" s="1006" t="inlineStr">
        <is>
          <t>Hold</t>
        </is>
      </c>
      <c r="F30" s="1007">
        <f>'REVIEW - Complete Role Mapping'!$AA$68</f>
        <v/>
      </c>
      <c r="G30" s="982" t="n"/>
      <c r="H30" s="982" t="n"/>
      <c r="I30" s="982" t="n"/>
      <c r="J30" s="982" t="n"/>
      <c r="K30" s="982" t="n"/>
      <c r="L30" s="982" t="n"/>
      <c r="M30" s="982" t="n"/>
      <c r="N30" s="982" t="n"/>
      <c r="O30" s="982" t="n"/>
    </row>
    <row r="31">
      <c r="A31" s="982" t="n"/>
      <c r="B31" s="986">
        <f>'REVIEW - Complete Role Mapping'!$B$93</f>
        <v/>
      </c>
      <c r="C31" s="986">
        <f>'REVIEW - Complete Role Mapping'!$C$93</f>
        <v/>
      </c>
      <c r="D31" s="1005">
        <f>'REVIEW - Complete Role Mapping'!$AK$93</f>
        <v/>
      </c>
      <c r="E31" s="1006" t="inlineStr">
        <is>
          <t>Hold</t>
        </is>
      </c>
      <c r="F31" s="1007">
        <f>'REVIEW - Complete Role Mapping'!$AA$93</f>
        <v/>
      </c>
      <c r="G31" s="982" t="n"/>
      <c r="H31" s="982" t="n"/>
      <c r="I31" s="982" t="n"/>
      <c r="J31" s="982" t="n"/>
      <c r="K31" s="982" t="n"/>
      <c r="L31" s="982" t="n"/>
      <c r="M31" s="982" t="n"/>
      <c r="N31" s="982" t="n"/>
      <c r="O31" s="982" t="n"/>
    </row>
    <row r="32">
      <c r="A32" s="982" t="n"/>
      <c r="B32" s="986">
        <f>'REVIEW - Complete Role Mapping'!$B$99</f>
        <v/>
      </c>
      <c r="C32" s="986">
        <f>'REVIEW - Complete Role Mapping'!$C$99</f>
        <v/>
      </c>
      <c r="D32" s="1005">
        <f>'REVIEW - Complete Role Mapping'!$AK$99</f>
        <v/>
      </c>
      <c r="E32" s="986" t="inlineStr"/>
      <c r="F32" s="986" t="inlineStr"/>
      <c r="G32" s="982" t="n"/>
      <c r="H32" s="982" t="n"/>
      <c r="I32" s="982" t="n"/>
      <c r="J32" s="982" t="n"/>
      <c r="K32" s="982" t="n"/>
      <c r="L32" s="982" t="n"/>
      <c r="M32" s="982" t="n"/>
      <c r="N32" s="982" t="n"/>
      <c r="O32" s="982" t="n"/>
    </row>
    <row r="33">
      <c r="A33" s="982" t="n"/>
      <c r="B33" s="1004" t="inlineStr">
        <is>
          <t>EGI Retail</t>
        </is>
      </c>
      <c r="C33" s="1004" t="inlineStr"/>
      <c r="D33" s="1004" t="inlineStr"/>
      <c r="E33" s="1004" t="inlineStr"/>
      <c r="F33" s="1004" t="inlineStr"/>
      <c r="G33" s="982" t="n"/>
      <c r="H33" s="982" t="n"/>
      <c r="I33" s="982" t="n"/>
      <c r="J33" s="982" t="n"/>
      <c r="K33" s="982" t="n"/>
      <c r="L33" s="982" t="n"/>
      <c r="M33" s="982" t="n"/>
      <c r="N33" s="982" t="n"/>
      <c r="O33" s="982" t="n"/>
    </row>
    <row r="34">
      <c r="A34" s="982" t="n"/>
      <c r="B34" s="986">
        <f>'REVIEW - Complete Role Mapping'!$B$4</f>
        <v/>
      </c>
      <c r="C34" s="986">
        <f>'REVIEW - Complete Role Mapping'!$C$4</f>
        <v/>
      </c>
      <c r="D34" s="1005">
        <f>'REVIEW - Complete Role Mapping'!$AK$4</f>
        <v/>
      </c>
      <c r="E34" s="986" t="inlineStr"/>
      <c r="F34" s="986" t="inlineStr"/>
      <c r="G34" s="982" t="n"/>
      <c r="H34" s="982" t="n"/>
      <c r="I34" s="982" t="n"/>
      <c r="J34" s="982" t="n"/>
      <c r="K34" s="982" t="n"/>
      <c r="L34" s="982" t="n"/>
      <c r="M34" s="982" t="n"/>
      <c r="N34" s="982" t="n"/>
      <c r="O34" s="982" t="n"/>
    </row>
    <row r="35">
      <c r="A35" s="982" t="n"/>
      <c r="B35" s="986">
        <f>'REVIEW - Complete Role Mapping'!$B$10</f>
        <v/>
      </c>
      <c r="C35" s="986">
        <f>'REVIEW - Complete Role Mapping'!$C$10</f>
        <v/>
      </c>
      <c r="D35" s="1005">
        <f>'REVIEW - Complete Role Mapping'!$AK$10</f>
        <v/>
      </c>
      <c r="E35" s="986" t="inlineStr"/>
      <c r="F35" s="986" t="inlineStr"/>
      <c r="G35" s="982" t="n"/>
      <c r="H35" s="982" t="n"/>
      <c r="I35" s="982" t="n"/>
      <c r="J35" s="982" t="n"/>
      <c r="K35" s="982" t="n"/>
      <c r="L35" s="982" t="n"/>
      <c r="M35" s="982" t="n"/>
      <c r="N35" s="982" t="n"/>
      <c r="O35" s="982" t="n"/>
    </row>
    <row r="36">
      <c r="A36" s="982" t="n"/>
      <c r="B36" s="986">
        <f>'REVIEW - Complete Role Mapping'!$B$47</f>
        <v/>
      </c>
      <c r="C36" s="986">
        <f>'REVIEW - Complete Role Mapping'!$C$47</f>
        <v/>
      </c>
      <c r="D36" s="1005">
        <f>'REVIEW - Complete Role Mapping'!$AK$47</f>
        <v/>
      </c>
      <c r="E36" s="986" t="inlineStr"/>
      <c r="F36" s="986" t="inlineStr"/>
      <c r="G36" s="982" t="n"/>
      <c r="H36" s="982" t="n"/>
      <c r="I36" s="982" t="n"/>
      <c r="J36" s="982" t="n"/>
      <c r="K36" s="982" t="n"/>
      <c r="L36" s="982" t="n"/>
      <c r="M36" s="982" t="n"/>
      <c r="N36" s="982" t="n"/>
      <c r="O36" s="982" t="n"/>
    </row>
    <row r="37">
      <c r="A37" s="982" t="n"/>
      <c r="B37" s="986">
        <f>'REVIEW - Complete Role Mapping'!$B$52</f>
        <v/>
      </c>
      <c r="C37" s="986">
        <f>'REVIEW - Complete Role Mapping'!$C$52</f>
        <v/>
      </c>
      <c r="D37" s="1005">
        <f>'REVIEW - Complete Role Mapping'!$AK$52</f>
        <v/>
      </c>
      <c r="E37" s="986" t="inlineStr"/>
      <c r="F37" s="986" t="inlineStr"/>
      <c r="G37" s="982" t="n"/>
      <c r="H37" s="982" t="n"/>
      <c r="I37" s="982" t="n"/>
      <c r="J37" s="982" t="n"/>
      <c r="K37" s="982" t="n"/>
      <c r="L37" s="982" t="n"/>
      <c r="M37" s="982" t="n"/>
      <c r="N37" s="982" t="n"/>
      <c r="O37" s="982" t="n"/>
    </row>
    <row r="38">
      <c r="A38" s="982" t="n"/>
      <c r="B38" s="986">
        <f>'REVIEW - Complete Role Mapping'!$B$60</f>
        <v/>
      </c>
      <c r="C38" s="986">
        <f>'REVIEW - Complete Role Mapping'!$C$60</f>
        <v/>
      </c>
      <c r="D38" s="1005">
        <f>'REVIEW - Complete Role Mapping'!$AK$60</f>
        <v/>
      </c>
      <c r="E38" s="986" t="inlineStr"/>
      <c r="F38" s="986" t="inlineStr"/>
      <c r="G38" s="982" t="n"/>
      <c r="H38" s="982" t="n"/>
      <c r="I38" s="982" t="n"/>
      <c r="J38" s="982" t="n"/>
      <c r="K38" s="982" t="n"/>
      <c r="L38" s="982" t="n"/>
      <c r="M38" s="982" t="n"/>
      <c r="N38" s="982" t="n"/>
      <c r="O38" s="982" t="n"/>
    </row>
    <row r="39">
      <c r="A39" s="982" t="n"/>
      <c r="B39" s="986">
        <f>'REVIEW - Complete Role Mapping'!$B$61</f>
        <v/>
      </c>
      <c r="C39" s="986">
        <f>'REVIEW - Complete Role Mapping'!$C$61</f>
        <v/>
      </c>
      <c r="D39" s="1005">
        <f>'REVIEW - Complete Role Mapping'!$AK$61</f>
        <v/>
      </c>
      <c r="E39" s="986" t="inlineStr"/>
      <c r="F39" s="986" t="inlineStr"/>
      <c r="G39" s="982" t="n"/>
      <c r="H39" s="982" t="n"/>
      <c r="I39" s="982" t="n"/>
      <c r="J39" s="982" t="n"/>
      <c r="K39" s="982" t="n"/>
      <c r="L39" s="982" t="n"/>
      <c r="M39" s="982" t="n"/>
      <c r="N39" s="982" t="n"/>
      <c r="O39" s="982" t="n"/>
    </row>
    <row r="40">
      <c r="A40" s="982" t="n"/>
      <c r="B40" s="1004" t="inlineStr">
        <is>
          <t>Store Operations</t>
        </is>
      </c>
      <c r="C40" s="1004" t="inlineStr"/>
      <c r="D40" s="1004" t="inlineStr"/>
      <c r="E40" s="1004" t="inlineStr"/>
      <c r="F40" s="1004" t="inlineStr"/>
      <c r="G40" s="982" t="n"/>
      <c r="H40" s="982" t="n"/>
      <c r="I40" s="982" t="n"/>
      <c r="J40" s="982" t="n"/>
      <c r="K40" s="982" t="n"/>
      <c r="L40" s="982" t="n"/>
      <c r="M40" s="982" t="n"/>
      <c r="N40" s="982" t="n"/>
      <c r="O40" s="982" t="n"/>
    </row>
    <row r="41">
      <c r="A41" s="982" t="n"/>
      <c r="B41" s="986">
        <f>'REVIEW - Complete Role Mapping'!$B$7</f>
        <v/>
      </c>
      <c r="C41" s="986">
        <f>'REVIEW - Complete Role Mapping'!$C$7</f>
        <v/>
      </c>
      <c r="D41" s="1005">
        <f>'REVIEW - Complete Role Mapping'!$AK$7</f>
        <v/>
      </c>
      <c r="E41" s="986" t="inlineStr"/>
      <c r="F41" s="986" t="inlineStr"/>
      <c r="G41" s="982" t="n"/>
      <c r="H41" s="982" t="n"/>
      <c r="I41" s="982" t="n"/>
      <c r="J41" s="982" t="n"/>
      <c r="K41" s="982" t="n"/>
      <c r="L41" s="982" t="n"/>
      <c r="M41" s="982" t="n"/>
      <c r="N41" s="982" t="n"/>
      <c r="O41" s="982" t="n"/>
    </row>
    <row r="42">
      <c r="A42" s="982" t="n"/>
      <c r="B42" s="986">
        <f>'REVIEW - Complete Role Mapping'!$B$24</f>
        <v/>
      </c>
      <c r="C42" s="986">
        <f>'REVIEW - Complete Role Mapping'!$C$24</f>
        <v/>
      </c>
      <c r="D42" s="1005">
        <f>'REVIEW - Complete Role Mapping'!$AK$24</f>
        <v/>
      </c>
      <c r="E42" s="986" t="inlineStr"/>
      <c r="F42" s="986" t="inlineStr"/>
      <c r="G42" s="982" t="n"/>
      <c r="H42" s="982" t="n"/>
      <c r="I42" s="982" t="n"/>
      <c r="J42" s="982" t="n"/>
      <c r="K42" s="982" t="n"/>
      <c r="L42" s="982" t="n"/>
      <c r="M42" s="982" t="n"/>
      <c r="N42" s="982" t="n"/>
      <c r="O42" s="982" t="n"/>
    </row>
    <row r="43">
      <c r="A43" s="982" t="n"/>
      <c r="B43" s="986">
        <f>'REVIEW - Complete Role Mapping'!$B$27</f>
        <v/>
      </c>
      <c r="C43" s="986">
        <f>'REVIEW - Complete Role Mapping'!$C$27</f>
        <v/>
      </c>
      <c r="D43" s="1005">
        <f>'REVIEW - Complete Role Mapping'!$AK$27</f>
        <v/>
      </c>
      <c r="E43" s="986" t="inlineStr"/>
      <c r="F43" s="986" t="inlineStr"/>
      <c r="G43" s="982" t="n"/>
      <c r="H43" s="982" t="n"/>
      <c r="I43" s="982" t="n"/>
      <c r="J43" s="982" t="n"/>
      <c r="K43" s="982" t="n"/>
      <c r="L43" s="982" t="n"/>
      <c r="M43" s="982" t="n"/>
      <c r="N43" s="982" t="n"/>
      <c r="O43" s="982" t="n"/>
    </row>
    <row r="44">
      <c r="A44" s="982" t="n"/>
      <c r="B44" s="986">
        <f>'REVIEW - Complete Role Mapping'!$B$28</f>
        <v/>
      </c>
      <c r="C44" s="986">
        <f>'REVIEW - Complete Role Mapping'!$C$28</f>
        <v/>
      </c>
      <c r="D44" s="1005">
        <f>'REVIEW - Complete Role Mapping'!$AK$28</f>
        <v/>
      </c>
      <c r="E44" s="986" t="inlineStr"/>
      <c r="F44" s="986" t="inlineStr"/>
      <c r="G44" s="982" t="n"/>
      <c r="H44" s="982" t="n"/>
      <c r="I44" s="982" t="n"/>
      <c r="J44" s="982" t="n"/>
      <c r="K44" s="982" t="n"/>
      <c r="L44" s="982" t="n"/>
      <c r="M44" s="982" t="n"/>
      <c r="N44" s="982" t="n"/>
      <c r="O44" s="982" t="n"/>
    </row>
    <row r="45">
      <c r="A45" s="982" t="n"/>
      <c r="B45" s="986">
        <f>'REVIEW - Complete Role Mapping'!$B$38</f>
        <v/>
      </c>
      <c r="C45" s="986">
        <f>'REVIEW - Complete Role Mapping'!$C$38</f>
        <v/>
      </c>
      <c r="D45" s="1005">
        <f>'REVIEW - Complete Role Mapping'!$AK$38</f>
        <v/>
      </c>
      <c r="E45" s="986" t="inlineStr"/>
      <c r="F45" s="986" t="inlineStr"/>
      <c r="G45" s="982" t="n"/>
      <c r="H45" s="982" t="n"/>
      <c r="I45" s="982" t="n"/>
      <c r="J45" s="982" t="n"/>
      <c r="K45" s="982" t="n"/>
      <c r="L45" s="982" t="n"/>
      <c r="M45" s="982" t="n"/>
      <c r="N45" s="982" t="n"/>
      <c r="O45" s="982" t="n"/>
    </row>
    <row r="46">
      <c r="A46" s="982" t="n"/>
      <c r="B46" s="986">
        <f>'REVIEW - Complete Role Mapping'!$B$54</f>
        <v/>
      </c>
      <c r="C46" s="986">
        <f>'REVIEW - Complete Role Mapping'!$C$54</f>
        <v/>
      </c>
      <c r="D46" s="1005">
        <f>'REVIEW - Complete Role Mapping'!$AK$54</f>
        <v/>
      </c>
      <c r="E46" s="986" t="inlineStr"/>
      <c r="F46" s="986" t="inlineStr"/>
      <c r="G46" s="982" t="n"/>
      <c r="H46" s="982" t="n"/>
      <c r="I46" s="982" t="n"/>
      <c r="J46" s="982" t="n"/>
      <c r="K46" s="982" t="n"/>
      <c r="L46" s="982" t="n"/>
      <c r="M46" s="982" t="n"/>
      <c r="N46" s="982" t="n"/>
      <c r="O46" s="982" t="n"/>
    </row>
    <row r="47">
      <c r="A47" s="982" t="n"/>
      <c r="B47" s="986">
        <f>'REVIEW - Complete Role Mapping'!$B$66</f>
        <v/>
      </c>
      <c r="C47" s="986">
        <f>'REVIEW - Complete Role Mapping'!$C$66</f>
        <v/>
      </c>
      <c r="D47" s="1005">
        <f>'REVIEW - Complete Role Mapping'!$AK$66</f>
        <v/>
      </c>
      <c r="E47" s="1006" t="inlineStr">
        <is>
          <t>Hold</t>
        </is>
      </c>
      <c r="F47" s="1007">
        <f>'REVIEW - Complete Role Mapping'!$AA$66</f>
        <v/>
      </c>
      <c r="G47" s="982" t="n"/>
      <c r="H47" s="982" t="n"/>
      <c r="I47" s="982" t="n"/>
      <c r="J47" s="982" t="n"/>
      <c r="K47" s="982" t="n"/>
      <c r="L47" s="982" t="n"/>
      <c r="M47" s="982" t="n"/>
      <c r="N47" s="982" t="n"/>
      <c r="O47" s="982" t="n"/>
    </row>
    <row r="48">
      <c r="A48" s="982" t="n"/>
      <c r="B48" s="986">
        <f>'REVIEW - Complete Role Mapping'!$B$91</f>
        <v/>
      </c>
      <c r="C48" s="986">
        <f>'REVIEW - Complete Role Mapping'!$C$91</f>
        <v/>
      </c>
      <c r="D48" s="1005">
        <f>'REVIEW - Complete Role Mapping'!$AK$91</f>
        <v/>
      </c>
      <c r="E48" s="1006" t="inlineStr">
        <is>
          <t>Hold</t>
        </is>
      </c>
      <c r="F48" s="1007">
        <f>'REVIEW - Complete Role Mapping'!$AA$91</f>
        <v/>
      </c>
      <c r="G48" s="982" t="n"/>
      <c r="H48" s="982" t="n"/>
      <c r="I48" s="982" t="n"/>
      <c r="J48" s="982" t="n"/>
      <c r="K48" s="982" t="n"/>
      <c r="L48" s="982" t="n"/>
      <c r="M48" s="982" t="n"/>
      <c r="N48" s="982" t="n"/>
      <c r="O48" s="982" t="n"/>
    </row>
    <row r="49">
      <c r="A49" s="982" t="n"/>
      <c r="B49" s="1004" t="inlineStr">
        <is>
          <t>Deployment</t>
        </is>
      </c>
      <c r="C49" s="1004" t="inlineStr"/>
      <c r="D49" s="1004" t="inlineStr"/>
      <c r="E49" s="1004" t="inlineStr"/>
      <c r="F49" s="1004" t="inlineStr"/>
      <c r="G49" s="982" t="n"/>
      <c r="H49" s="982" t="n"/>
      <c r="I49" s="982" t="n"/>
      <c r="J49" s="982" t="n"/>
      <c r="K49" s="982" t="n"/>
      <c r="L49" s="982" t="n"/>
      <c r="M49" s="982" t="n"/>
      <c r="N49" s="982" t="n"/>
      <c r="O49" s="982" t="n"/>
    </row>
    <row r="50">
      <c r="A50" s="982" t="n"/>
      <c r="B50" s="986">
        <f>'REVIEW - Complete Role Mapping'!$B$8</f>
        <v/>
      </c>
      <c r="C50" s="986">
        <f>'REVIEW - Complete Role Mapping'!$C$8</f>
        <v/>
      </c>
      <c r="D50" s="1005">
        <f>'REVIEW - Complete Role Mapping'!$AK$8</f>
        <v/>
      </c>
      <c r="E50" s="986" t="inlineStr"/>
      <c r="F50" s="986" t="inlineStr"/>
      <c r="G50" s="982" t="n"/>
      <c r="H50" s="982" t="n"/>
      <c r="I50" s="982" t="n"/>
      <c r="J50" s="982" t="n"/>
      <c r="K50" s="982" t="n"/>
      <c r="L50" s="982" t="n"/>
      <c r="M50" s="982" t="n"/>
      <c r="N50" s="982" t="n"/>
      <c r="O50" s="982" t="n"/>
    </row>
    <row r="51">
      <c r="A51" s="982" t="n"/>
      <c r="B51" s="986">
        <f>'REVIEW - Complete Role Mapping'!$B$11</f>
        <v/>
      </c>
      <c r="C51" s="986">
        <f>'REVIEW - Complete Role Mapping'!$C$11</f>
        <v/>
      </c>
      <c r="D51" s="1005">
        <f>'REVIEW - Complete Role Mapping'!$AK$11</f>
        <v/>
      </c>
      <c r="E51" s="986" t="inlineStr"/>
      <c r="F51" s="986" t="inlineStr"/>
      <c r="G51" s="982" t="n"/>
      <c r="H51" s="982" t="n"/>
      <c r="I51" s="982" t="n"/>
      <c r="J51" s="982" t="n"/>
      <c r="K51" s="982" t="n"/>
      <c r="L51" s="982" t="n"/>
      <c r="M51" s="982" t="n"/>
      <c r="N51" s="982" t="n"/>
      <c r="O51" s="982" t="n"/>
    </row>
    <row r="52">
      <c r="A52" s="982" t="n"/>
      <c r="B52" s="986">
        <f>'REVIEW - Complete Role Mapping'!$B$22</f>
        <v/>
      </c>
      <c r="C52" s="986">
        <f>'REVIEW - Complete Role Mapping'!$C$22</f>
        <v/>
      </c>
      <c r="D52" s="1005">
        <f>'REVIEW - Complete Role Mapping'!$AK$22</f>
        <v/>
      </c>
      <c r="E52" s="986" t="inlineStr"/>
      <c r="F52" s="986" t="inlineStr"/>
      <c r="G52" s="982" t="n"/>
      <c r="H52" s="982" t="n"/>
      <c r="I52" s="982" t="n"/>
      <c r="J52" s="982" t="n"/>
      <c r="K52" s="982" t="n"/>
      <c r="L52" s="982" t="n"/>
      <c r="M52" s="982" t="n"/>
      <c r="N52" s="982" t="n"/>
      <c r="O52" s="982" t="n"/>
    </row>
    <row r="53">
      <c r="A53" s="982" t="n"/>
      <c r="B53" s="986">
        <f>'REVIEW - Complete Role Mapping'!$B$48</f>
        <v/>
      </c>
      <c r="C53" s="986">
        <f>'REVIEW - Complete Role Mapping'!$C$48</f>
        <v/>
      </c>
      <c r="D53" s="1005">
        <f>'REVIEW - Complete Role Mapping'!$AK$48</f>
        <v/>
      </c>
      <c r="E53" s="986" t="inlineStr"/>
      <c r="F53" s="986" t="inlineStr"/>
      <c r="G53" s="982" t="n"/>
      <c r="H53" s="982" t="n"/>
      <c r="I53" s="982" t="n"/>
      <c r="J53" s="982" t="n"/>
      <c r="K53" s="982" t="n"/>
      <c r="L53" s="982" t="n"/>
      <c r="M53" s="982" t="n"/>
      <c r="N53" s="982" t="n"/>
      <c r="O53" s="982" t="n"/>
    </row>
    <row r="54">
      <c r="A54" s="982" t="n"/>
      <c r="B54" s="986">
        <f>'REVIEW - Complete Role Mapping'!$B$103</f>
        <v/>
      </c>
      <c r="C54" s="986">
        <f>'REVIEW - Complete Role Mapping'!$C$103</f>
        <v/>
      </c>
      <c r="D54" s="1005">
        <f>'REVIEW - Complete Role Mapping'!$AK$103</f>
        <v/>
      </c>
      <c r="E54" s="986" t="inlineStr"/>
      <c r="F54" s="986" t="inlineStr"/>
      <c r="G54" s="982" t="n"/>
      <c r="H54" s="982" t="n"/>
      <c r="I54" s="982" t="n"/>
      <c r="J54" s="982" t="n"/>
      <c r="K54" s="982" t="n"/>
      <c r="L54" s="982" t="n"/>
      <c r="M54" s="982" t="n"/>
      <c r="N54" s="982" t="n"/>
      <c r="O54" s="982" t="n"/>
    </row>
    <row r="55">
      <c r="A55" s="982" t="n"/>
      <c r="B55" s="1004" t="inlineStr">
        <is>
          <t>AmPOS</t>
        </is>
      </c>
      <c r="C55" s="1004" t="inlineStr"/>
      <c r="D55" s="1004" t="inlineStr"/>
      <c r="E55" s="1004" t="inlineStr"/>
      <c r="F55" s="1004" t="inlineStr"/>
      <c r="G55" s="982" t="n"/>
      <c r="H55" s="982" t="n"/>
      <c r="I55" s="982" t="n"/>
      <c r="J55" s="982" t="n"/>
      <c r="K55" s="982" t="n"/>
      <c r="L55" s="982" t="n"/>
      <c r="M55" s="982" t="n"/>
      <c r="N55" s="982" t="n"/>
      <c r="O55" s="982" t="n"/>
    </row>
    <row r="56">
      <c r="A56" s="982" t="n"/>
      <c r="B56" s="986">
        <f>'REVIEW - Complete Role Mapping'!$B$13</f>
        <v/>
      </c>
      <c r="C56" s="986">
        <f>'REVIEW - Complete Role Mapping'!$C$13</f>
        <v/>
      </c>
      <c r="D56" s="1005">
        <f>'REVIEW - Complete Role Mapping'!$AK$13</f>
        <v/>
      </c>
      <c r="E56" s="986" t="inlineStr"/>
      <c r="F56" s="986" t="inlineStr"/>
      <c r="G56" s="982" t="n"/>
      <c r="H56" s="982" t="n"/>
      <c r="I56" s="982" t="n"/>
      <c r="J56" s="982" t="n"/>
      <c r="K56" s="982" t="n"/>
      <c r="L56" s="982" t="n"/>
      <c r="M56" s="982" t="n"/>
      <c r="N56" s="982" t="n"/>
      <c r="O56" s="982" t="n"/>
    </row>
    <row r="57">
      <c r="A57" s="982" t="n"/>
      <c r="B57" s="986">
        <f>'REVIEW - Complete Role Mapping'!$B$30</f>
        <v/>
      </c>
      <c r="C57" s="986">
        <f>'REVIEW - Complete Role Mapping'!$C$30</f>
        <v/>
      </c>
      <c r="D57" s="1005">
        <f>'REVIEW - Complete Role Mapping'!$AK$30</f>
        <v/>
      </c>
      <c r="E57" s="986" t="inlineStr"/>
      <c r="F57" s="986" t="inlineStr"/>
      <c r="G57" s="982" t="n"/>
      <c r="H57" s="982" t="n"/>
      <c r="I57" s="982" t="n"/>
      <c r="J57" s="982" t="n"/>
      <c r="K57" s="982" t="n"/>
      <c r="L57" s="982" t="n"/>
      <c r="M57" s="982" t="n"/>
      <c r="N57" s="982" t="n"/>
      <c r="O57" s="982" t="n"/>
    </row>
    <row r="58">
      <c r="A58" s="982" t="n"/>
      <c r="B58" s="986">
        <f>'REVIEW - Complete Role Mapping'!$B$37</f>
        <v/>
      </c>
      <c r="C58" s="986">
        <f>'REVIEW - Complete Role Mapping'!$C$37</f>
        <v/>
      </c>
      <c r="D58" s="1005">
        <f>'REVIEW - Complete Role Mapping'!$AK$37</f>
        <v/>
      </c>
      <c r="E58" s="986" t="inlineStr"/>
      <c r="F58" s="986" t="inlineStr"/>
      <c r="G58" s="982" t="n"/>
      <c r="H58" s="982" t="n"/>
      <c r="I58" s="982" t="n"/>
      <c r="J58" s="982" t="n"/>
      <c r="K58" s="982" t="n"/>
      <c r="L58" s="982" t="n"/>
      <c r="M58" s="982" t="n"/>
      <c r="N58" s="982" t="n"/>
      <c r="O58" s="982" t="n"/>
    </row>
    <row r="59">
      <c r="A59" s="982" t="n"/>
      <c r="B59" s="986">
        <f>'REVIEW - Complete Role Mapping'!$B$39</f>
        <v/>
      </c>
      <c r="C59" s="986">
        <f>'REVIEW - Complete Role Mapping'!$C$39</f>
        <v/>
      </c>
      <c r="D59" s="1005">
        <f>'REVIEW - Complete Role Mapping'!$AK$39</f>
        <v/>
      </c>
      <c r="E59" s="986" t="inlineStr"/>
      <c r="F59" s="986" t="inlineStr"/>
      <c r="G59" s="982" t="n"/>
      <c r="H59" s="982" t="n"/>
      <c r="I59" s="982" t="n"/>
      <c r="J59" s="982" t="n"/>
      <c r="K59" s="982" t="n"/>
      <c r="L59" s="982" t="n"/>
      <c r="M59" s="982" t="n"/>
      <c r="N59" s="982" t="n"/>
      <c r="O59" s="982" t="n"/>
    </row>
    <row r="60">
      <c r="A60" s="982" t="n"/>
      <c r="B60" s="986">
        <f>'REVIEW - Complete Role Mapping'!$B$51</f>
        <v/>
      </c>
      <c r="C60" s="986">
        <f>'REVIEW - Complete Role Mapping'!$C$51</f>
        <v/>
      </c>
      <c r="D60" s="1005">
        <f>'REVIEW - Complete Role Mapping'!$AK$51</f>
        <v/>
      </c>
      <c r="E60" s="986" t="inlineStr"/>
      <c r="F60" s="986" t="inlineStr"/>
      <c r="G60" s="982" t="n"/>
      <c r="H60" s="982" t="n"/>
      <c r="I60" s="982" t="n"/>
      <c r="J60" s="982" t="n"/>
      <c r="K60" s="982" t="n"/>
      <c r="L60" s="982" t="n"/>
      <c r="M60" s="982" t="n"/>
      <c r="N60" s="982" t="n"/>
      <c r="O60" s="982" t="n"/>
    </row>
    <row r="61">
      <c r="A61" s="982" t="n"/>
      <c r="B61" s="986">
        <f>'REVIEW - Complete Role Mapping'!$B$55</f>
        <v/>
      </c>
      <c r="C61" s="986">
        <f>'REVIEW - Complete Role Mapping'!$C$55</f>
        <v/>
      </c>
      <c r="D61" s="1005">
        <f>'REVIEW - Complete Role Mapping'!$AK$55</f>
        <v/>
      </c>
      <c r="E61" s="986" t="inlineStr"/>
      <c r="F61" s="986" t="inlineStr"/>
      <c r="G61" s="982" t="n"/>
      <c r="H61" s="982" t="n"/>
      <c r="I61" s="982" t="n"/>
      <c r="J61" s="982" t="n"/>
      <c r="K61" s="982" t="n"/>
      <c r="L61" s="982" t="n"/>
      <c r="M61" s="982" t="n"/>
      <c r="N61" s="982" t="n"/>
      <c r="O61" s="982" t="n"/>
    </row>
    <row r="62">
      <c r="A62" s="982" t="n"/>
      <c r="B62" s="986">
        <f>'REVIEW - Complete Role Mapping'!$B$62</f>
        <v/>
      </c>
      <c r="C62" s="986">
        <f>'REVIEW - Complete Role Mapping'!$C$62</f>
        <v/>
      </c>
      <c r="D62" s="1005">
        <f>'REVIEW - Complete Role Mapping'!$AK$62</f>
        <v/>
      </c>
      <c r="E62" s="986" t="inlineStr"/>
      <c r="F62" s="986" t="inlineStr"/>
      <c r="G62" s="982" t="n"/>
      <c r="H62" s="982" t="n"/>
      <c r="I62" s="982" t="n"/>
      <c r="J62" s="982" t="n"/>
      <c r="K62" s="982" t="n"/>
      <c r="L62" s="982" t="n"/>
      <c r="M62" s="982" t="n"/>
      <c r="N62" s="982" t="n"/>
      <c r="O62" s="982" t="n"/>
    </row>
    <row r="63">
      <c r="A63" s="982" t="n"/>
      <c r="B63" s="986">
        <f>'REVIEW - Complete Role Mapping'!$B$380</f>
        <v/>
      </c>
      <c r="C63" s="986">
        <f>'REVIEW - Complete Role Mapping'!$C$380</f>
        <v/>
      </c>
      <c r="D63" s="1005">
        <f>'REVIEW - Complete Role Mapping'!$AK$380</f>
        <v/>
      </c>
      <c r="E63" s="986" t="inlineStr"/>
      <c r="F63" s="986" t="inlineStr"/>
      <c r="G63" s="982" t="n"/>
      <c r="H63" s="982" t="n"/>
      <c r="I63" s="982" t="n"/>
      <c r="J63" s="982" t="n"/>
      <c r="K63" s="982" t="n"/>
      <c r="L63" s="982" t="n"/>
      <c r="M63" s="982" t="n"/>
      <c r="N63" s="982" t="n"/>
      <c r="O63" s="982" t="n"/>
    </row>
    <row r="64">
      <c r="A64" s="982" t="n"/>
      <c r="B64" s="986">
        <f>'REVIEW - Complete Role Mapping'!$B$442</f>
        <v/>
      </c>
      <c r="C64" s="986">
        <f>'REVIEW - Complete Role Mapping'!$C$442</f>
        <v/>
      </c>
      <c r="D64" s="1005">
        <f>'REVIEW - Complete Role Mapping'!$AK$442</f>
        <v/>
      </c>
      <c r="E64" s="986" t="inlineStr"/>
      <c r="F64" s="986" t="inlineStr"/>
      <c r="G64" s="982" t="n"/>
      <c r="H64" s="982" t="n"/>
      <c r="I64" s="982" t="n"/>
      <c r="J64" s="982" t="n"/>
      <c r="K64" s="982" t="n"/>
      <c r="L64" s="982" t="n"/>
      <c r="M64" s="982" t="n"/>
      <c r="N64" s="982" t="n"/>
      <c r="O64" s="982" t="n"/>
    </row>
    <row r="65">
      <c r="A65" s="982" t="n"/>
      <c r="B65" s="986">
        <f>'REVIEW - Complete Role Mapping'!$B$467</f>
        <v/>
      </c>
      <c r="C65" s="986">
        <f>'REVIEW - Complete Role Mapping'!$C$467</f>
        <v/>
      </c>
      <c r="D65" s="1005">
        <f>'REVIEW - Complete Role Mapping'!$AK$467</f>
        <v/>
      </c>
      <c r="E65" s="986" t="inlineStr"/>
      <c r="F65" s="986" t="inlineStr"/>
      <c r="G65" s="982" t="n"/>
      <c r="H65" s="982" t="n"/>
      <c r="I65" s="982" t="n"/>
      <c r="J65" s="982" t="n"/>
      <c r="K65" s="982" t="n"/>
      <c r="L65" s="982" t="n"/>
      <c r="M65" s="982" t="n"/>
      <c r="N65" s="982" t="n"/>
      <c r="O65" s="982" t="n"/>
    </row>
    <row r="66">
      <c r="A66" s="982" t="n"/>
      <c r="B66" s="1004" t="inlineStr">
        <is>
          <t>Payments</t>
        </is>
      </c>
      <c r="C66" s="1004" t="inlineStr"/>
      <c r="D66" s="1004" t="inlineStr"/>
      <c r="E66" s="1004" t="inlineStr"/>
      <c r="F66" s="1004" t="inlineStr"/>
      <c r="G66" s="982" t="n"/>
      <c r="H66" s="982" t="n"/>
      <c r="I66" s="982" t="n"/>
      <c r="J66" s="982" t="n"/>
      <c r="K66" s="982" t="n"/>
      <c r="L66" s="982" t="n"/>
      <c r="M66" s="982" t="n"/>
      <c r="N66" s="982" t="n"/>
      <c r="O66" s="982" t="n"/>
    </row>
    <row r="67">
      <c r="A67" s="982" t="n"/>
      <c r="B67" s="986">
        <f>'REVIEW - Complete Role Mapping'!$B$14</f>
        <v/>
      </c>
      <c r="C67" s="986">
        <f>'REVIEW - Complete Role Mapping'!$C$14</f>
        <v/>
      </c>
      <c r="D67" s="1005">
        <f>'REVIEW - Complete Role Mapping'!$AK$14</f>
        <v/>
      </c>
      <c r="E67" s="986" t="inlineStr"/>
      <c r="F67" s="986" t="inlineStr"/>
      <c r="G67" s="982" t="n"/>
      <c r="H67" s="982" t="n"/>
      <c r="I67" s="982" t="n"/>
      <c r="J67" s="982" t="n"/>
      <c r="K67" s="982" t="n"/>
      <c r="L67" s="982" t="n"/>
      <c r="M67" s="982" t="n"/>
      <c r="N67" s="982" t="n"/>
      <c r="O67" s="982" t="n"/>
    </row>
    <row r="68">
      <c r="A68" s="982" t="n"/>
      <c r="B68" s="986">
        <f>'REVIEW - Complete Role Mapping'!$B$59</f>
        <v/>
      </c>
      <c r="C68" s="986">
        <f>'REVIEW - Complete Role Mapping'!$C$59</f>
        <v/>
      </c>
      <c r="D68" s="1005">
        <f>'REVIEW - Complete Role Mapping'!$AK$59</f>
        <v/>
      </c>
      <c r="E68" s="986" t="inlineStr"/>
      <c r="F68" s="986" t="inlineStr"/>
      <c r="G68" s="982" t="n"/>
      <c r="H68" s="982" t="n"/>
      <c r="I68" s="982" t="n"/>
      <c r="J68" s="982" t="n"/>
      <c r="K68" s="982" t="n"/>
      <c r="L68" s="982" t="n"/>
      <c r="M68" s="982" t="n"/>
      <c r="N68" s="982" t="n"/>
      <c r="O68" s="982" t="n"/>
    </row>
    <row r="69">
      <c r="A69" s="982" t="n"/>
      <c r="B69" s="986">
        <f>'REVIEW - Complete Role Mapping'!$B$94</f>
        <v/>
      </c>
      <c r="C69" s="986">
        <f>'REVIEW - Complete Role Mapping'!$C$94</f>
        <v/>
      </c>
      <c r="D69" s="1005">
        <f>'REVIEW - Complete Role Mapping'!$AK$94</f>
        <v/>
      </c>
      <c r="E69" s="1006" t="inlineStr">
        <is>
          <t>Hold</t>
        </is>
      </c>
      <c r="F69" s="1007">
        <f>'REVIEW - Complete Role Mapping'!$AA$94</f>
        <v/>
      </c>
      <c r="G69" s="982" t="n"/>
      <c r="H69" s="982" t="n"/>
      <c r="I69" s="982" t="n"/>
      <c r="J69" s="982" t="n"/>
      <c r="K69" s="982" t="n"/>
      <c r="L69" s="982" t="n"/>
      <c r="M69" s="982" t="n"/>
      <c r="N69" s="982" t="n"/>
      <c r="O69" s="982" t="n"/>
    </row>
    <row r="70">
      <c r="A70" s="982" t="n"/>
      <c r="B70" s="986">
        <f>'REVIEW - Complete Role Mapping'!$B$101</f>
        <v/>
      </c>
      <c r="C70" s="986">
        <f>'REVIEW - Complete Role Mapping'!$C$101</f>
        <v/>
      </c>
      <c r="D70" s="1005">
        <f>'REVIEW - Complete Role Mapping'!$AK$101</f>
        <v/>
      </c>
      <c r="E70" s="986" t="inlineStr"/>
      <c r="F70" s="986" t="inlineStr"/>
      <c r="G70" s="982" t="n"/>
      <c r="H70" s="982" t="n"/>
      <c r="I70" s="982" t="n"/>
      <c r="J70" s="982" t="n"/>
      <c r="K70" s="982" t="n"/>
      <c r="L70" s="982" t="n"/>
      <c r="M70" s="982" t="n"/>
      <c r="N70" s="982" t="n"/>
      <c r="O70" s="982" t="n"/>
    </row>
    <row r="71">
      <c r="A71" s="982" t="n"/>
      <c r="B71" s="1004" t="inlineStr">
        <is>
          <t>Above Store</t>
        </is>
      </c>
      <c r="C71" s="1004" t="inlineStr"/>
      <c r="D71" s="1004" t="inlineStr"/>
      <c r="E71" s="1004" t="inlineStr"/>
      <c r="F71" s="1004" t="inlineStr"/>
      <c r="G71" s="982" t="n"/>
      <c r="H71" s="982" t="n"/>
      <c r="I71" s="982" t="n"/>
      <c r="J71" s="982" t="n"/>
      <c r="K71" s="982" t="n"/>
      <c r="L71" s="982" t="n"/>
      <c r="M71" s="982" t="n"/>
      <c r="N71" s="982" t="n"/>
      <c r="O71" s="982" t="n"/>
    </row>
    <row r="72">
      <c r="A72" s="982" t="n"/>
      <c r="B72" s="986">
        <f>'REVIEW - Complete Role Mapping'!$B$36</f>
        <v/>
      </c>
      <c r="C72" s="986">
        <f>'REVIEW - Complete Role Mapping'!$C$36</f>
        <v/>
      </c>
      <c r="D72" s="1005">
        <f>'REVIEW - Complete Role Mapping'!$AK$36</f>
        <v/>
      </c>
      <c r="E72" s="986" t="inlineStr"/>
      <c r="F72" s="986" t="inlineStr"/>
      <c r="G72" s="982" t="n"/>
      <c r="H72" s="982" t="n"/>
      <c r="I72" s="982" t="n"/>
      <c r="J72" s="982" t="n"/>
      <c r="K72" s="982" t="n"/>
      <c r="L72" s="982" t="n"/>
      <c r="M72" s="982" t="n"/>
      <c r="N72" s="982" t="n"/>
      <c r="O72" s="982" t="n"/>
    </row>
    <row r="73">
      <c r="A73" s="982" t="n"/>
      <c r="B73" s="986">
        <f>'REVIEW - Complete Role Mapping'!$B$43</f>
        <v/>
      </c>
      <c r="C73" s="986">
        <f>'REVIEW - Complete Role Mapping'!$C$43</f>
        <v/>
      </c>
      <c r="D73" s="1005">
        <f>'REVIEW - Complete Role Mapping'!$AK$43</f>
        <v/>
      </c>
      <c r="E73" s="986" t="inlineStr"/>
      <c r="F73" s="986" t="inlineStr"/>
      <c r="G73" s="982" t="n"/>
      <c r="H73" s="982" t="n"/>
      <c r="I73" s="982" t="n"/>
      <c r="J73" s="982" t="n"/>
      <c r="K73" s="982" t="n"/>
      <c r="L73" s="982" t="n"/>
      <c r="M73" s="982" t="n"/>
      <c r="N73" s="982" t="n"/>
      <c r="O73" s="982" t="n"/>
    </row>
    <row r="74">
      <c r="A74" s="982" t="n"/>
      <c r="B74" s="986">
        <f>'REVIEW - Complete Role Mapping'!$B$53</f>
        <v/>
      </c>
      <c r="C74" s="986">
        <f>'REVIEW - Complete Role Mapping'!$C$53</f>
        <v/>
      </c>
      <c r="D74" s="1005">
        <f>'REVIEW - Complete Role Mapping'!$AK$53</f>
        <v/>
      </c>
      <c r="E74" s="986" t="inlineStr"/>
      <c r="F74" s="986" t="inlineStr"/>
      <c r="G74" s="982" t="n"/>
      <c r="H74" s="982" t="n"/>
      <c r="I74" s="982" t="n"/>
      <c r="J74" s="982" t="n"/>
      <c r="K74" s="982" t="n"/>
      <c r="L74" s="982" t="n"/>
      <c r="M74" s="982" t="n"/>
      <c r="N74" s="982" t="n"/>
      <c r="O74" s="982" t="n"/>
    </row>
    <row r="75">
      <c r="A75" s="982" t="n"/>
      <c r="B75" s="986">
        <f>'REVIEW - Complete Role Mapping'!$B$58</f>
        <v/>
      </c>
      <c r="C75" s="986">
        <f>'REVIEW - Complete Role Mapping'!$C$58</f>
        <v/>
      </c>
      <c r="D75" s="1005">
        <f>'REVIEW - Complete Role Mapping'!$AK$58</f>
        <v/>
      </c>
      <c r="E75" s="986" t="inlineStr"/>
      <c r="F75" s="986" t="inlineStr"/>
      <c r="G75" s="982" t="n"/>
      <c r="H75" s="982" t="n"/>
      <c r="I75" s="982" t="n"/>
      <c r="J75" s="982" t="n"/>
      <c r="K75" s="982" t="n"/>
      <c r="L75" s="982" t="n"/>
      <c r="M75" s="982" t="n"/>
      <c r="N75" s="982" t="n"/>
      <c r="O75" s="982" t="n"/>
    </row>
    <row r="76">
      <c r="A76" s="982" t="n"/>
      <c r="B76" s="986">
        <f>'REVIEW - Complete Role Mapping'!$B$67</f>
        <v/>
      </c>
      <c r="C76" s="986">
        <f>'REVIEW - Complete Role Mapping'!$C$67</f>
        <v/>
      </c>
      <c r="D76" s="1005">
        <f>'REVIEW - Complete Role Mapping'!$AK$67</f>
        <v/>
      </c>
      <c r="E76" s="1006" t="inlineStr">
        <is>
          <t>Hold</t>
        </is>
      </c>
      <c r="F76" s="1007">
        <f>'REVIEW - Complete Role Mapping'!$AA$67</f>
        <v/>
      </c>
      <c r="G76" s="982" t="n"/>
      <c r="H76" s="982" t="n"/>
      <c r="I76" s="982" t="n"/>
      <c r="J76" s="982" t="n"/>
      <c r="K76" s="982" t="n"/>
      <c r="L76" s="982" t="n"/>
      <c r="M76" s="982" t="n"/>
      <c r="N76" s="982" t="n"/>
      <c r="O76" s="982" t="n"/>
    </row>
    <row r="77">
      <c r="A77" s="982" t="n"/>
      <c r="B77" s="986">
        <f>'REVIEW - Complete Role Mapping'!$B$79</f>
        <v/>
      </c>
      <c r="C77" s="986">
        <f>'REVIEW - Complete Role Mapping'!$C$79</f>
        <v/>
      </c>
      <c r="D77" s="1005">
        <f>'REVIEW - Complete Role Mapping'!$AK$79</f>
        <v/>
      </c>
      <c r="E77" s="1006" t="inlineStr">
        <is>
          <t>Hold</t>
        </is>
      </c>
      <c r="F77" s="1007">
        <f>'REVIEW - Complete Role Mapping'!$AA$79</f>
        <v/>
      </c>
      <c r="G77" s="982" t="n"/>
      <c r="H77" s="982" t="n"/>
      <c r="I77" s="982" t="n"/>
      <c r="J77" s="982" t="n"/>
      <c r="K77" s="982" t="n"/>
      <c r="L77" s="982" t="n"/>
      <c r="M77" s="982" t="n"/>
      <c r="N77" s="982" t="n"/>
      <c r="O77" s="982" t="n"/>
    </row>
    <row r="78">
      <c r="A78" s="982" t="n"/>
      <c r="B78" s="986">
        <f>'REVIEW - Complete Role Mapping'!$B$85</f>
        <v/>
      </c>
      <c r="C78" s="986">
        <f>'REVIEW - Complete Role Mapping'!$C$85</f>
        <v/>
      </c>
      <c r="D78" s="1005">
        <f>'REVIEW - Complete Role Mapping'!$AK$85</f>
        <v/>
      </c>
      <c r="E78" s="1006" t="inlineStr">
        <is>
          <t>Hold</t>
        </is>
      </c>
      <c r="F78" s="1007">
        <f>'REVIEW - Complete Role Mapping'!$AA$85</f>
        <v/>
      </c>
      <c r="G78" s="982" t="n"/>
      <c r="H78" s="982" t="n"/>
      <c r="I78" s="982" t="n"/>
      <c r="J78" s="982" t="n"/>
      <c r="K78" s="982" t="n"/>
      <c r="L78" s="982" t="n"/>
      <c r="M78" s="982" t="n"/>
      <c r="N78" s="982" t="n"/>
      <c r="O78" s="982" t="n"/>
    </row>
    <row r="79">
      <c r="A79" s="982" t="n"/>
      <c r="B79" s="986">
        <f>'REVIEW - Complete Role Mapping'!$B$92</f>
        <v/>
      </c>
      <c r="C79" s="986">
        <f>'REVIEW - Complete Role Mapping'!$C$92</f>
        <v/>
      </c>
      <c r="D79" s="1005">
        <f>'REVIEW - Complete Role Mapping'!$AK$92</f>
        <v/>
      </c>
      <c r="E79" s="1006" t="inlineStr">
        <is>
          <t>Hold</t>
        </is>
      </c>
      <c r="F79" s="1007">
        <f>'REVIEW - Complete Role Mapping'!$AA$92</f>
        <v/>
      </c>
      <c r="G79" s="982" t="n"/>
      <c r="H79" s="982" t="n"/>
      <c r="I79" s="982" t="n"/>
      <c r="J79" s="982" t="n"/>
      <c r="K79" s="982" t="n"/>
      <c r="L79" s="982" t="n"/>
      <c r="M79" s="982" t="n"/>
      <c r="N79" s="982" t="n"/>
      <c r="O79" s="982" t="n"/>
    </row>
    <row r="80">
      <c r="A80" s="982" t="n"/>
      <c r="B80" s="986">
        <f>'REVIEW - Complete Role Mapping'!$B$102</f>
        <v/>
      </c>
      <c r="C80" s="986">
        <f>'REVIEW - Complete Role Mapping'!$C$102</f>
        <v/>
      </c>
      <c r="D80" s="1005">
        <f>'REVIEW - Complete Role Mapping'!$AK$102</f>
        <v/>
      </c>
      <c r="E80" s="986" t="inlineStr"/>
      <c r="F80" s="986" t="inlineStr"/>
      <c r="G80" s="982" t="n"/>
      <c r="H80" s="982" t="n"/>
      <c r="I80" s="982" t="n"/>
      <c r="J80" s="982" t="n"/>
      <c r="K80" s="982" t="n"/>
      <c r="L80" s="982" t="n"/>
      <c r="M80" s="982" t="n"/>
      <c r="N80" s="982" t="n"/>
      <c r="O80" s="982" t="n"/>
    </row>
    <row r="81">
      <c r="A81" s="982" t="n"/>
      <c r="B81" s="986">
        <f>'REVIEW - Complete Role Mapping'!$B$106</f>
        <v/>
      </c>
      <c r="C81" s="986">
        <f>'REVIEW - Complete Role Mapping'!$C$106</f>
        <v/>
      </c>
      <c r="D81" s="1005">
        <f>'REVIEW - Complete Role Mapping'!$AK$106</f>
        <v/>
      </c>
      <c r="E81" s="986" t="inlineStr"/>
      <c r="F81" s="986" t="inlineStr"/>
      <c r="G81" s="982" t="n"/>
      <c r="H81" s="982" t="n"/>
      <c r="I81" s="982" t="n"/>
      <c r="J81" s="982" t="n"/>
      <c r="K81" s="982" t="n"/>
      <c r="L81" s="982" t="n"/>
      <c r="M81" s="982" t="n"/>
      <c r="N81" s="982" t="n"/>
      <c r="O81" s="982" t="n"/>
    </row>
    <row r="82">
      <c r="A82" s="982" t="n"/>
      <c r="B82" s="986">
        <f>'REVIEW - Complete Role Mapping'!$B$107</f>
        <v/>
      </c>
      <c r="C82" s="986">
        <f>'REVIEW - Complete Role Mapping'!$C$107</f>
        <v/>
      </c>
      <c r="D82" s="1005">
        <f>'REVIEW - Complete Role Mapping'!$AK$107</f>
        <v/>
      </c>
      <c r="E82" s="986" t="inlineStr"/>
      <c r="F82" s="986" t="inlineStr"/>
      <c r="G82" s="982" t="n"/>
      <c r="H82" s="982" t="n"/>
      <c r="I82" s="982" t="n"/>
      <c r="J82" s="982" t="n"/>
      <c r="K82" s="982" t="n"/>
      <c r="L82" s="982" t="n"/>
      <c r="M82" s="982" t="n"/>
      <c r="N82" s="982" t="n"/>
      <c r="O82" s="982" t="n"/>
    </row>
    <row r="83">
      <c r="A83" s="982" t="n"/>
      <c r="B83" s="1004" t="inlineStr">
        <is>
          <t>Leadership</t>
        </is>
      </c>
      <c r="C83" s="1004" t="inlineStr"/>
      <c r="D83" s="1004" t="inlineStr"/>
      <c r="E83" s="1004" t="inlineStr"/>
      <c r="F83" s="1004" t="inlineStr"/>
      <c r="G83" s="982" t="n"/>
      <c r="H83" s="982" t="n"/>
      <c r="I83" s="982" t="n"/>
      <c r="J83" s="982" t="n"/>
      <c r="K83" s="982" t="n"/>
      <c r="L83" s="982" t="n"/>
      <c r="M83" s="982" t="n"/>
      <c r="N83" s="982" t="n"/>
      <c r="O83" s="982" t="n"/>
    </row>
    <row r="84">
      <c r="A84" s="982" t="n"/>
      <c r="B84" s="986">
        <f>'REVIEW - Complete Role Mapping'!$B$42</f>
        <v/>
      </c>
      <c r="C84" s="986">
        <f>'REVIEW - Complete Role Mapping'!$C$42</f>
        <v/>
      </c>
      <c r="D84" s="1005">
        <f>'REVIEW - Complete Role Mapping'!$AK$42</f>
        <v/>
      </c>
      <c r="E84" s="986" t="inlineStr"/>
      <c r="F84" s="986" t="inlineStr"/>
      <c r="G84" s="982" t="n"/>
      <c r="H84" s="982" t="n"/>
      <c r="I84" s="982" t="n"/>
      <c r="J84" s="982" t="n"/>
      <c r="K84" s="982" t="n"/>
      <c r="L84" s="982" t="n"/>
      <c r="M84" s="982" t="n"/>
      <c r="N84" s="982" t="n"/>
      <c r="O84" s="982" t="n"/>
    </row>
    <row r="85">
      <c r="A85" s="982" t="n"/>
      <c r="B85" s="986">
        <f>'REVIEW - Complete Role Mapping'!$B$64</f>
        <v/>
      </c>
      <c r="C85" s="986">
        <f>'REVIEW - Complete Role Mapping'!$C$64</f>
        <v/>
      </c>
      <c r="D85" s="1005">
        <f>'REVIEW - Complete Role Mapping'!$AK$64</f>
        <v/>
      </c>
      <c r="E85" s="986" t="inlineStr"/>
      <c r="F85" s="986" t="inlineStr"/>
      <c r="G85" s="982" t="n"/>
      <c r="H85" s="982" t="n"/>
      <c r="I85" s="982" t="n"/>
      <c r="J85" s="982" t="n"/>
      <c r="K85" s="982" t="n"/>
      <c r="L85" s="982" t="n"/>
      <c r="M85" s="982" t="n"/>
      <c r="N85" s="982" t="n"/>
      <c r="O85" s="982" t="n"/>
    </row>
    <row r="86">
      <c r="A86" s="982" t="n"/>
      <c r="B86" s="986">
        <f>'REVIEW - Complete Role Mapping'!$B$96</f>
        <v/>
      </c>
      <c r="C86" s="986">
        <f>'REVIEW - Complete Role Mapping'!$C$96</f>
        <v/>
      </c>
      <c r="D86" s="1005">
        <f>'REVIEW - Complete Role Mapping'!$AK$96</f>
        <v/>
      </c>
      <c r="E86" s="986" t="inlineStr"/>
      <c r="F86" s="986" t="inlineStr"/>
      <c r="G86" s="982" t="n"/>
      <c r="H86" s="982" t="n"/>
      <c r="I86" s="982" t="n"/>
      <c r="J86" s="982" t="n"/>
      <c r="K86" s="982" t="n"/>
      <c r="L86" s="982" t="n"/>
      <c r="M86" s="982" t="n"/>
      <c r="N86" s="982" t="n"/>
      <c r="O86" s="982" t="n"/>
    </row>
    <row r="87">
      <c r="A87" s="982" t="n"/>
      <c r="B87" s="986">
        <f>'REVIEW - Complete Role Mapping'!$B$97</f>
        <v/>
      </c>
      <c r="C87" s="986">
        <f>'REVIEW - Complete Role Mapping'!$C$97</f>
        <v/>
      </c>
      <c r="D87" s="1005">
        <f>'REVIEW - Complete Role Mapping'!$AK$97</f>
        <v/>
      </c>
      <c r="E87" s="986" t="inlineStr"/>
      <c r="F87" s="986" t="inlineStr"/>
      <c r="G87" s="982" t="n"/>
      <c r="H87" s="982" t="n"/>
      <c r="I87" s="982" t="n"/>
      <c r="J87" s="982" t="n"/>
      <c r="K87" s="982" t="n"/>
      <c r="L87" s="982" t="n"/>
      <c r="M87" s="982" t="n"/>
      <c r="N87" s="982" t="n"/>
      <c r="O87" s="982" t="n"/>
    </row>
    <row r="88">
      <c r="A88" s="982" t="n"/>
      <c r="B88" s="986">
        <f>'REVIEW - Complete Role Mapping'!$B$100</f>
        <v/>
      </c>
      <c r="C88" s="986">
        <f>'REVIEW - Complete Role Mapping'!$C$100</f>
        <v/>
      </c>
      <c r="D88" s="1005">
        <f>'REVIEW - Complete Role Mapping'!$AK$100</f>
        <v/>
      </c>
      <c r="E88" s="986" t="inlineStr"/>
      <c r="F88" s="986" t="inlineStr"/>
      <c r="G88" s="982" t="n"/>
      <c r="H88" s="982" t="n"/>
      <c r="I88" s="982" t="n"/>
      <c r="J88" s="982" t="n"/>
      <c r="K88" s="982" t="n"/>
      <c r="L88" s="982" t="n"/>
      <c r="M88" s="982" t="n"/>
      <c r="N88" s="982" t="n"/>
      <c r="O88" s="982" t="n"/>
    </row>
    <row r="89">
      <c r="A89" s="982" t="n"/>
      <c r="B89" s="1004" t="inlineStr">
        <is>
          <t>POS</t>
        </is>
      </c>
      <c r="C89" s="1004" t="inlineStr"/>
      <c r="D89" s="1004" t="inlineStr"/>
      <c r="E89" s="1004" t="inlineStr"/>
      <c r="F89" s="1004" t="inlineStr"/>
      <c r="G89" s="982" t="n"/>
      <c r="H89" s="982" t="n"/>
      <c r="I89" s="982" t="n"/>
      <c r="J89" s="982" t="n"/>
      <c r="K89" s="982" t="n"/>
      <c r="L89" s="982" t="n"/>
      <c r="M89" s="982" t="n"/>
      <c r="N89" s="982" t="n"/>
      <c r="O89" s="982" t="n"/>
    </row>
    <row r="90">
      <c r="A90" s="982" t="n"/>
      <c r="B90" s="986">
        <f>'REVIEW - Complete Role Mapping'!$B$69</f>
        <v/>
      </c>
      <c r="C90" s="986">
        <f>'REVIEW - Complete Role Mapping'!$C$69</f>
        <v/>
      </c>
      <c r="D90" s="1005">
        <f>'REVIEW - Complete Role Mapping'!$AK$69</f>
        <v/>
      </c>
      <c r="E90" s="1006" t="inlineStr">
        <is>
          <t>Hold</t>
        </is>
      </c>
      <c r="F90" s="1007">
        <f>'REVIEW - Complete Role Mapping'!$AA$69</f>
        <v/>
      </c>
      <c r="G90" s="982" t="n"/>
      <c r="H90" s="982" t="n"/>
      <c r="I90" s="982" t="n"/>
      <c r="J90" s="982" t="n"/>
      <c r="K90" s="982" t="n"/>
      <c r="L90" s="982" t="n"/>
      <c r="M90" s="982" t="n"/>
      <c r="N90" s="982" t="n"/>
      <c r="O90" s="982" t="n"/>
    </row>
    <row r="91">
      <c r="A91" s="982" t="n"/>
      <c r="B91" s="986">
        <f>'REVIEW - Complete Role Mapping'!$B$81</f>
        <v/>
      </c>
      <c r="C91" s="986">
        <f>'REVIEW - Complete Role Mapping'!$C$81</f>
        <v/>
      </c>
      <c r="D91" s="1005">
        <f>'REVIEW - Complete Role Mapping'!$AK$81</f>
        <v/>
      </c>
      <c r="E91" s="1006" t="inlineStr">
        <is>
          <t>Hold</t>
        </is>
      </c>
      <c r="F91" s="1007">
        <f>'REVIEW - Complete Role Mapping'!$AA$81</f>
        <v/>
      </c>
      <c r="G91" s="982" t="n"/>
      <c r="H91" s="982" t="n"/>
      <c r="I91" s="982" t="n"/>
      <c r="J91" s="982" t="n"/>
      <c r="K91" s="982" t="n"/>
      <c r="L91" s="982" t="n"/>
      <c r="M91" s="982" t="n"/>
      <c r="N91" s="982" t="n"/>
      <c r="O91" s="982" t="n"/>
    </row>
    <row r="92">
      <c r="A92" s="982" t="n"/>
      <c r="B92" s="986">
        <f>'REVIEW - Complete Role Mapping'!$B$83</f>
        <v/>
      </c>
      <c r="C92" s="986">
        <f>'REVIEW - Complete Role Mapping'!$C$83</f>
        <v/>
      </c>
      <c r="D92" s="1005">
        <f>'REVIEW - Complete Role Mapping'!$AK$83</f>
        <v/>
      </c>
      <c r="E92" s="1006" t="inlineStr">
        <is>
          <t>Hold</t>
        </is>
      </c>
      <c r="F92" s="1007">
        <f>'REVIEW - Complete Role Mapping'!$AA$83</f>
        <v/>
      </c>
      <c r="G92" s="982" t="n"/>
      <c r="H92" s="982" t="n"/>
      <c r="I92" s="982" t="n"/>
      <c r="J92" s="982" t="n"/>
      <c r="K92" s="982" t="n"/>
      <c r="L92" s="982" t="n"/>
      <c r="M92" s="982" t="n"/>
      <c r="N92" s="982" t="n"/>
      <c r="O92" s="982" t="n"/>
    </row>
    <row r="93">
      <c r="A93" s="982" t="n"/>
      <c r="B93" s="986">
        <f>'REVIEW - Complete Role Mapping'!$B$86</f>
        <v/>
      </c>
      <c r="C93" s="986">
        <f>'REVIEW - Complete Role Mapping'!$C$86</f>
        <v/>
      </c>
      <c r="D93" s="1005">
        <f>'REVIEW - Complete Role Mapping'!$AK$86</f>
        <v/>
      </c>
      <c r="E93" s="1006" t="inlineStr">
        <is>
          <t>Hold</t>
        </is>
      </c>
      <c r="F93" s="1007">
        <f>'REVIEW - Complete Role Mapping'!$AA$86</f>
        <v/>
      </c>
      <c r="G93" s="982" t="n"/>
      <c r="H93" s="982" t="n"/>
      <c r="I93" s="982" t="n"/>
      <c r="J93" s="982" t="n"/>
      <c r="K93" s="982" t="n"/>
      <c r="L93" s="982" t="n"/>
      <c r="M93" s="982" t="n"/>
      <c r="N93" s="982" t="n"/>
      <c r="O93" s="982" t="n"/>
    </row>
    <row r="94">
      <c r="A94" s="982" t="n"/>
      <c r="B94" s="986">
        <f>'REVIEW - Complete Role Mapping'!$B$87</f>
        <v/>
      </c>
      <c r="C94" s="986">
        <f>'REVIEW - Complete Role Mapping'!$C$87</f>
        <v/>
      </c>
      <c r="D94" s="1005">
        <f>'REVIEW - Complete Role Mapping'!$AK$87</f>
        <v/>
      </c>
      <c r="E94" s="1006" t="inlineStr">
        <is>
          <t>Hold</t>
        </is>
      </c>
      <c r="F94" s="1007">
        <f>'REVIEW - Complete Role Mapping'!$AA$87</f>
        <v/>
      </c>
      <c r="G94" s="982" t="n"/>
      <c r="H94" s="982" t="n"/>
      <c r="I94" s="982" t="n"/>
      <c r="J94" s="982" t="n"/>
      <c r="K94" s="982" t="n"/>
      <c r="L94" s="982" t="n"/>
      <c r="M94" s="982" t="n"/>
      <c r="N94" s="982" t="n"/>
      <c r="O94" s="982" t="n"/>
    </row>
    <row r="95">
      <c r="A95" s="982" t="n"/>
      <c r="B95" s="986">
        <f>'REVIEW - Complete Role Mapping'!$B$88</f>
        <v/>
      </c>
      <c r="C95" s="986">
        <f>'REVIEW - Complete Role Mapping'!$C$88</f>
        <v/>
      </c>
      <c r="D95" s="1005">
        <f>'REVIEW - Complete Role Mapping'!$AK$88</f>
        <v/>
      </c>
      <c r="E95" s="1006" t="inlineStr">
        <is>
          <t>Hold</t>
        </is>
      </c>
      <c r="F95" s="1007">
        <f>'REVIEW - Complete Role Mapping'!$AA$88</f>
        <v/>
      </c>
      <c r="G95" s="982" t="n"/>
      <c r="H95" s="982" t="n"/>
      <c r="I95" s="982" t="n"/>
      <c r="J95" s="982" t="n"/>
      <c r="K95" s="982" t="n"/>
      <c r="L95" s="982" t="n"/>
      <c r="M95" s="982" t="n"/>
      <c r="N95" s="982" t="n"/>
      <c r="O95" s="982" t="n"/>
    </row>
    <row r="96">
      <c r="A96" s="982" t="n"/>
      <c r="B96" s="986">
        <f>'REVIEW - Complete Role Mapping'!$B$90</f>
        <v/>
      </c>
      <c r="C96" s="986">
        <f>'REVIEW - Complete Role Mapping'!$C$90</f>
        <v/>
      </c>
      <c r="D96" s="1005">
        <f>'REVIEW - Complete Role Mapping'!$AK$90</f>
        <v/>
      </c>
      <c r="E96" s="1006" t="inlineStr">
        <is>
          <t>Hold</t>
        </is>
      </c>
      <c r="F96" s="1007">
        <f>'REVIEW - Complete Role Mapping'!$AA$90</f>
        <v/>
      </c>
      <c r="G96" s="982" t="n"/>
      <c r="H96" s="982" t="n"/>
      <c r="I96" s="982" t="n"/>
      <c r="J96" s="982" t="n"/>
      <c r="K96" s="982" t="n"/>
      <c r="L96" s="982" t="n"/>
      <c r="M96" s="982" t="n"/>
      <c r="N96" s="982" t="n"/>
      <c r="O96" s="982" t="n"/>
    </row>
    <row r="97">
      <c r="A97" s="982" t="n"/>
      <c r="B97" s="986">
        <f>'REVIEW - Complete Role Mapping'!$B$95</f>
        <v/>
      </c>
      <c r="C97" s="986">
        <f>'REVIEW - Complete Role Mapping'!$C$95</f>
        <v/>
      </c>
      <c r="D97" s="1005">
        <f>'REVIEW - Complete Role Mapping'!$AK$95</f>
        <v/>
      </c>
      <c r="E97" s="1006" t="inlineStr">
        <is>
          <t>Hold</t>
        </is>
      </c>
      <c r="F97" s="1007">
        <f>'REVIEW - Complete Role Mapping'!$AA$95</f>
        <v/>
      </c>
      <c r="G97" s="982" t="n"/>
      <c r="H97" s="982" t="n"/>
      <c r="I97" s="982" t="n"/>
      <c r="J97" s="982" t="n"/>
      <c r="K97" s="982" t="n"/>
      <c r="L97" s="982" t="n"/>
      <c r="M97" s="982" t="n"/>
      <c r="N97" s="982" t="n"/>
      <c r="O97" s="982" t="n"/>
    </row>
    <row r="98">
      <c r="A98" s="982" t="n"/>
      <c r="B98" s="1004" t="inlineStr">
        <is>
          <t>Data AU</t>
        </is>
      </c>
      <c r="C98" s="1004" t="inlineStr"/>
      <c r="D98" s="1004" t="inlineStr"/>
      <c r="E98" s="1004" t="inlineStr"/>
      <c r="F98" s="1004" t="inlineStr"/>
      <c r="G98" s="982" t="n"/>
      <c r="H98" s="982" t="n"/>
      <c r="I98" s="982" t="n"/>
      <c r="J98" s="982" t="n"/>
      <c r="K98" s="982" t="n"/>
      <c r="L98" s="982" t="n"/>
      <c r="M98" s="982" t="n"/>
      <c r="N98" s="982" t="n"/>
      <c r="O98" s="982" t="n"/>
    </row>
    <row r="99">
      <c r="A99" s="982" t="n"/>
      <c r="B99" s="986">
        <f>'REVIEW - Complete Role Mapping'!$B$70</f>
        <v/>
      </c>
      <c r="C99" s="986">
        <f>'REVIEW - Complete Role Mapping'!$C$70</f>
        <v/>
      </c>
      <c r="D99" s="1005">
        <f>'REVIEW - Complete Role Mapping'!$AK$70</f>
        <v/>
      </c>
      <c r="E99" s="1006" t="inlineStr">
        <is>
          <t>Hold</t>
        </is>
      </c>
      <c r="F99" s="1007">
        <f>'REVIEW - Complete Role Mapping'!$AA$70</f>
        <v/>
      </c>
      <c r="G99" s="982" t="n"/>
      <c r="H99" s="982" t="n"/>
      <c r="I99" s="982" t="n"/>
      <c r="J99" s="982" t="n"/>
      <c r="K99" s="982" t="n"/>
      <c r="L99" s="982" t="n"/>
      <c r="M99" s="982" t="n"/>
      <c r="N99" s="982" t="n"/>
      <c r="O99" s="982" t="n"/>
    </row>
    <row r="100">
      <c r="A100" s="982" t="n"/>
      <c r="B100" s="986">
        <f>'REVIEW - Complete Role Mapping'!$B$71</f>
        <v/>
      </c>
      <c r="C100" s="986">
        <f>'REVIEW - Complete Role Mapping'!$C$71</f>
        <v/>
      </c>
      <c r="D100" s="1005">
        <f>'REVIEW - Complete Role Mapping'!$AK$71</f>
        <v/>
      </c>
      <c r="E100" s="1006" t="inlineStr">
        <is>
          <t>Hold</t>
        </is>
      </c>
      <c r="F100" s="1007">
        <f>'REVIEW - Complete Role Mapping'!$AA$71</f>
        <v/>
      </c>
      <c r="G100" s="982" t="n"/>
      <c r="H100" s="982" t="n"/>
      <c r="I100" s="982" t="n"/>
      <c r="J100" s="982" t="n"/>
      <c r="K100" s="982" t="n"/>
      <c r="L100" s="982" t="n"/>
      <c r="M100" s="982" t="n"/>
      <c r="N100" s="982" t="n"/>
      <c r="O100" s="982" t="n"/>
    </row>
    <row r="101">
      <c r="A101" s="982" t="n"/>
      <c r="B101" s="986">
        <f>'REVIEW - Complete Role Mapping'!$B$72</f>
        <v/>
      </c>
      <c r="C101" s="986">
        <f>'REVIEW - Complete Role Mapping'!$C$72</f>
        <v/>
      </c>
      <c r="D101" s="1005">
        <f>'REVIEW - Complete Role Mapping'!$AK$72</f>
        <v/>
      </c>
      <c r="E101" s="1006" t="inlineStr">
        <is>
          <t>Hold</t>
        </is>
      </c>
      <c r="F101" s="1007">
        <f>'REVIEW - Complete Role Mapping'!$AA$72</f>
        <v/>
      </c>
      <c r="G101" s="982" t="n"/>
      <c r="H101" s="982" t="n"/>
      <c r="I101" s="982" t="n"/>
      <c r="J101" s="982" t="n"/>
      <c r="K101" s="982" t="n"/>
      <c r="L101" s="982" t="n"/>
      <c r="M101" s="982" t="n"/>
      <c r="N101" s="982" t="n"/>
      <c r="O101" s="982" t="n"/>
    </row>
    <row r="102">
      <c r="A102" s="982" t="n"/>
      <c r="B102" s="986">
        <f>'REVIEW - Complete Role Mapping'!$B$75</f>
        <v/>
      </c>
      <c r="C102" s="986">
        <f>'REVIEW - Complete Role Mapping'!$C$75</f>
        <v/>
      </c>
      <c r="D102" s="1005">
        <f>'REVIEW - Complete Role Mapping'!$AK$75</f>
        <v/>
      </c>
      <c r="E102" s="1006" t="inlineStr">
        <is>
          <t>Hold</t>
        </is>
      </c>
      <c r="F102" s="1007">
        <f>'REVIEW - Complete Role Mapping'!$AA$75</f>
        <v/>
      </c>
      <c r="G102" s="982" t="n"/>
      <c r="H102" s="982" t="n"/>
      <c r="I102" s="982" t="n"/>
      <c r="J102" s="982" t="n"/>
      <c r="K102" s="982" t="n"/>
      <c r="L102" s="982" t="n"/>
      <c r="M102" s="982" t="n"/>
      <c r="N102" s="982" t="n"/>
      <c r="O102" s="982" t="n"/>
    </row>
    <row r="103">
      <c r="A103" s="982" t="n"/>
      <c r="B103" s="986">
        <f>'REVIEW - Complete Role Mapping'!$B$76</f>
        <v/>
      </c>
      <c r="C103" s="986">
        <f>'REVIEW - Complete Role Mapping'!$C$76</f>
        <v/>
      </c>
      <c r="D103" s="1005">
        <f>'REVIEW - Complete Role Mapping'!$AK$76</f>
        <v/>
      </c>
      <c r="E103" s="1006" t="inlineStr">
        <is>
          <t>Hold</t>
        </is>
      </c>
      <c r="F103" s="1007">
        <f>'REVIEW - Complete Role Mapping'!$AA$76</f>
        <v/>
      </c>
      <c r="G103" s="982" t="n"/>
      <c r="H103" s="982" t="n"/>
      <c r="I103" s="982" t="n"/>
      <c r="J103" s="982" t="n"/>
      <c r="K103" s="982" t="n"/>
      <c r="L103" s="982" t="n"/>
      <c r="M103" s="982" t="n"/>
      <c r="N103" s="982" t="n"/>
      <c r="O103" s="982" t="n"/>
    </row>
    <row r="104">
      <c r="A104" s="982" t="n"/>
      <c r="B104" s="986">
        <f>'REVIEW - Complete Role Mapping'!$B$77</f>
        <v/>
      </c>
      <c r="C104" s="986">
        <f>'REVIEW - Complete Role Mapping'!$C$77</f>
        <v/>
      </c>
      <c r="D104" s="1005">
        <f>'REVIEW - Complete Role Mapping'!$AK$77</f>
        <v/>
      </c>
      <c r="E104" s="1006" t="inlineStr">
        <is>
          <t>Hold</t>
        </is>
      </c>
      <c r="F104" s="1007">
        <f>'REVIEW - Complete Role Mapping'!$AA$77</f>
        <v/>
      </c>
      <c r="G104" s="982" t="n"/>
      <c r="H104" s="982" t="n"/>
      <c r="I104" s="982" t="n"/>
      <c r="J104" s="982" t="n"/>
      <c r="K104" s="982" t="n"/>
      <c r="L104" s="982" t="n"/>
      <c r="M104" s="982" t="n"/>
      <c r="N104" s="982" t="n"/>
      <c r="O104" s="982" t="n"/>
    </row>
    <row r="105">
      <c r="A105" s="982" t="n"/>
      <c r="B105" s="1004" t="inlineStr">
        <is>
          <t>EGI TDD</t>
        </is>
      </c>
      <c r="C105" s="1004" t="inlineStr"/>
      <c r="D105" s="1004" t="inlineStr"/>
      <c r="E105" s="1004" t="inlineStr"/>
      <c r="F105" s="1004" t="inlineStr"/>
      <c r="G105" s="982" t="n"/>
      <c r="H105" s="982" t="n"/>
      <c r="I105" s="982" t="n"/>
      <c r="J105" s="982" t="n"/>
      <c r="K105" s="982" t="n"/>
      <c r="L105" s="982" t="n"/>
      <c r="M105" s="982" t="n"/>
      <c r="N105" s="982" t="n"/>
      <c r="O105" s="982" t="n"/>
    </row>
    <row r="106">
      <c r="A106" s="982" t="n"/>
      <c r="B106" s="986">
        <f>'REVIEW - Complete Role Mapping'!$B$104</f>
        <v/>
      </c>
      <c r="C106" s="986">
        <f>'REVIEW - Complete Role Mapping'!$C$104</f>
        <v/>
      </c>
      <c r="D106" s="1005">
        <f>'REVIEW - Complete Role Mapping'!$AK$104</f>
        <v/>
      </c>
      <c r="E106" s="986" t="inlineStr"/>
      <c r="F106" s="986" t="inlineStr"/>
      <c r="G106" s="982" t="n"/>
      <c r="H106" s="982" t="n"/>
      <c r="I106" s="982" t="n"/>
      <c r="J106" s="982" t="n"/>
      <c r="K106" s="982" t="n"/>
      <c r="L106" s="982" t="n"/>
      <c r="M106" s="982" t="n"/>
      <c r="N106" s="982" t="n"/>
      <c r="O106" s="982"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30 E31 E47 E48 E69 E76 E77 E78 E79 E90 E91 E92 E93 E94 E95 E96 E97 E99 E100 E101 E102 E103 E104" showDropDown="0" showInputMessage="0" showErrorMessage="0" allowBlank="0"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A2:O119"/>
  <sheetViews>
    <sheetView showGridLines="0" topLeftCell="A72"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Customer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Ampol Web</t>
        </is>
      </c>
      <c r="C6" s="987">
        <f>IFERROR(INDEX('3.3 FTE View'!$E:$E,MATCH("Customer|Ampol Web",'3.3 FTE View'!$AD:$AD,0)),"-")</f>
        <v/>
      </c>
      <c r="D6" s="988">
        <f>IFERROR(INDEX('3.3 FTE View'!$G:$G,MATCH("Customer|Ampol Web",'3.3 FTE View'!$AD:$AD,0)),"-")</f>
        <v/>
      </c>
      <c r="E6" s="989">
        <f>COUNTIF($D$26:$D$35,"Filled")</f>
        <v/>
      </c>
      <c r="F6" s="989">
        <f>COUNTIF($D$26:$D$35,"Vacant")</f>
        <v/>
      </c>
      <c r="G6" s="989">
        <f>COUNTIF($E$26:$E$35,"Hire")</f>
        <v/>
      </c>
      <c r="H6" s="989">
        <f>F6-G6-COUNTIF($E$26:$E$35,"Offshore")</f>
        <v/>
      </c>
      <c r="I6" s="989">
        <f>IFERROR(E6+G6-D6,"-")</f>
        <v/>
      </c>
      <c r="J6" s="986">
        <f>IF(ISNUMBER(D6),IF(E6&gt;D6,"Filled already over archetype",IF(E6+G6&gt;D6,"Over archetype after hire","")),"Outside the archetype model - no target set")</f>
        <v/>
      </c>
      <c r="K6" s="990">
        <f>IFERROR(INDEX('3.3 FTE View'!$M:$M,MATCH("Customer|Ampol Web",'3.3 FTE View'!$AD:$AD,0)),"-")</f>
        <v/>
      </c>
      <c r="L6" s="991">
        <f>(SUMIFS('REVIEW - Complete Role Mapping'!$AA:$AA,'REVIEW - Complete Role Mapping'!$AJ:$AJ,"Customer",'REVIEW - Complete Role Mapping'!$AO:$AO,"Ampol Web",'REVIEW - Complete Role Mapping'!$AK:$AK,"Filled"))/1000000</f>
        <v/>
      </c>
      <c r="M6" s="991">
        <f>L6+(SUMIFS($F$26:$F$35,$E$26:$E$35,"Hire")+0.4*SUMIFS($F$26:$F$35,$E$26:$E$35,"Offshore"))/1000000</f>
        <v/>
      </c>
      <c r="N6" s="991">
        <f>IFERROR(M6-K6,"-")</f>
        <v/>
      </c>
      <c r="O6" s="987">
        <f>IFERROR(INDEX('3.3 FTE View'!$F:$F,MATCH("Customer|Ampol Web",'3.3 FTE View'!$AD:$AD,0)),"-")</f>
        <v/>
      </c>
    </row>
    <row r="7">
      <c r="A7" s="982" t="n"/>
      <c r="B7" s="992" t="inlineStr">
        <is>
          <t>Leadership</t>
        </is>
      </c>
      <c r="C7" s="987">
        <f>IFERROR(INDEX('3.3 FTE View'!$E:$E,MATCH("Customer|Leadership",'3.3 FTE View'!$AD:$AD,0)),"-")</f>
        <v/>
      </c>
      <c r="D7" s="988">
        <f>IFERROR(INDEX('3.3 FTE View'!$G:$G,MATCH("Customer|Leadership",'3.3 FTE View'!$AD:$AD,0)),"-")</f>
        <v/>
      </c>
      <c r="E7" s="989">
        <f>COUNTIF($D$37:$D$49,"Filled")</f>
        <v/>
      </c>
      <c r="F7" s="989">
        <f>COUNTIF($D$37:$D$49,"Vacant")</f>
        <v/>
      </c>
      <c r="G7" s="989">
        <f>COUNTIF($E$37:$E$49,"Hire")</f>
        <v/>
      </c>
      <c r="H7" s="989">
        <f>F7-G7-COUNTIF($E$37:$E$49,"Offshore")</f>
        <v/>
      </c>
      <c r="I7" s="989">
        <f>IFERROR(E7+G7-D7,"-")</f>
        <v/>
      </c>
      <c r="J7" s="986">
        <f>IF(ISNUMBER(D7),IF(E7&gt;D7,"Filled already over archetype",IF(E7+G7&gt;D7,"Over archetype after hire","")),"Outside the archetype model - no target set")</f>
        <v/>
      </c>
      <c r="K7" s="990">
        <f>IFERROR(INDEX('3.3 FTE View'!$M:$M,MATCH("Customer|Leadership",'3.3 FTE View'!$AD:$AD,0)),"-")</f>
        <v/>
      </c>
      <c r="L7" s="991">
        <f>(SUMIFS('REVIEW - Complete Role Mapping'!$AA:$AA,'REVIEW - Complete Role Mapping'!$AJ:$AJ,"Customer",'REVIEW - Complete Role Mapping'!$AO:$AO,"Leadership",'REVIEW - Complete Role Mapping'!$AK:$AK,"Filled"))/1000000</f>
        <v/>
      </c>
      <c r="M7" s="991">
        <f>L7+(SUMIFS($F$37:$F$49,$E$37:$E$49,"Hire")+0.4*SUMIFS($F$37:$F$49,$E$37:$E$49,"Offshore"))/1000000</f>
        <v/>
      </c>
      <c r="N7" s="991">
        <f>IFERROR(M7-K7,"-")</f>
        <v/>
      </c>
      <c r="O7" s="987">
        <f>IFERROR(INDEX('3.3 FTE View'!$F:$F,MATCH("Customer|Leadership",'3.3 FTE View'!$AD:$AD,0)),"-")</f>
        <v/>
      </c>
    </row>
    <row r="8">
      <c r="A8" s="982" t="n"/>
      <c r="B8" s="986" t="inlineStr">
        <is>
          <t>EGI Customer</t>
        </is>
      </c>
      <c r="C8" s="987">
        <f>IFERROR(INDEX('3.3 FTE View'!$E:$E,MATCH("Customer|EGI Customer",'3.3 FTE View'!$AD:$AD,0)),"-")</f>
        <v/>
      </c>
      <c r="D8" s="988">
        <f>IFERROR(INDEX('3.3 FTE View'!$G:$G,MATCH("Customer|EGI Customer",'3.3 FTE View'!$AD:$AD,0)),"-")</f>
        <v/>
      </c>
      <c r="E8" s="989">
        <f>COUNTIF($D$51:$D$60,"Filled")</f>
        <v/>
      </c>
      <c r="F8" s="989">
        <f>COUNTIF($D$51:$D$60,"Vacant")</f>
        <v/>
      </c>
      <c r="G8" s="989">
        <f>COUNTIF($E$51:$E$60,"Hire")</f>
        <v/>
      </c>
      <c r="H8" s="989">
        <f>F8-G8-COUNTIF($E$51:$E$60,"Offshore")</f>
        <v/>
      </c>
      <c r="I8" s="989">
        <f>IFERROR(E8+G8-D8,"-")</f>
        <v/>
      </c>
      <c r="J8" s="986">
        <f>IF(ISNUMBER(D8),IF(E8&gt;D8,"Filled already over archetype",IF(E8+G8&gt;D8,"Over archetype after hire","")),"Outside the archetype model - no target set")</f>
        <v/>
      </c>
      <c r="K8" s="990">
        <f>IFERROR(INDEX('3.3 FTE View'!$M:$M,MATCH("Customer|EGI Customer",'3.3 FTE View'!$AD:$AD,0)),"-")</f>
        <v/>
      </c>
      <c r="L8" s="991">
        <f>(SUMIFS('REVIEW - Complete Role Mapping'!$AA:$AA,'REVIEW - Complete Role Mapping'!$AJ:$AJ,"Customer",'REVIEW - Complete Role Mapping'!$AO:$AO,"EGI Customer",'REVIEW - Complete Role Mapping'!$AK:$AK,"Filled"))/1000000</f>
        <v/>
      </c>
      <c r="M8" s="991">
        <f>L8+(SUMIFS($F$51:$F$60,$E$51:$E$60,"Hire")+0.4*SUMIFS($F$51:$F$60,$E$51:$E$60,"Offshore"))/1000000</f>
        <v/>
      </c>
      <c r="N8" s="991">
        <f>IFERROR(M8-K8,"-")</f>
        <v/>
      </c>
      <c r="O8" s="987">
        <f>IFERROR(INDEX('3.3 FTE View'!$F:$F,MATCH("Customer|EGI Customer",'3.3 FTE View'!$AD:$AD,0)),"-")</f>
        <v/>
      </c>
    </row>
    <row r="9">
      <c r="A9" s="982" t="n"/>
      <c r="B9" s="992" t="inlineStr">
        <is>
          <t>Ampol App</t>
        </is>
      </c>
      <c r="C9" s="987">
        <f>IFERROR(INDEX('3.3 FTE View'!$E:$E,MATCH("Customer|Ampol App",'3.3 FTE View'!$AD:$AD,0)),"-")</f>
        <v/>
      </c>
      <c r="D9" s="988">
        <f>IFERROR(INDEX('3.3 FTE View'!$G:$G,MATCH("Customer|Ampol App",'3.3 FTE View'!$AD:$AD,0)),"-")</f>
        <v/>
      </c>
      <c r="E9" s="989">
        <f>COUNTIF($D$62:$D$75,"Filled")</f>
        <v/>
      </c>
      <c r="F9" s="989">
        <f>COUNTIF($D$62:$D$75,"Vacant")</f>
        <v/>
      </c>
      <c r="G9" s="989">
        <f>COUNTIF($E$62:$E$75,"Hire")</f>
        <v/>
      </c>
      <c r="H9" s="989">
        <f>F9-G9-COUNTIF($E$62:$E$75,"Offshore")</f>
        <v/>
      </c>
      <c r="I9" s="989">
        <f>IFERROR(E9+G9-D9,"-")</f>
        <v/>
      </c>
      <c r="J9" s="986">
        <f>IF(ISNUMBER(D9),IF(E9&gt;D9,"Filled already over archetype",IF(E9+G9&gt;D9,"Over archetype after hire","")),"Outside the archetype model - no target set")</f>
        <v/>
      </c>
      <c r="K9" s="990">
        <f>IFERROR(INDEX('3.3 FTE View'!$M:$M,MATCH("Customer|Ampol App",'3.3 FTE View'!$AD:$AD,0)),"-")</f>
        <v/>
      </c>
      <c r="L9" s="991">
        <f>(SUMIFS('REVIEW - Complete Role Mapping'!$AA:$AA,'REVIEW - Complete Role Mapping'!$AJ:$AJ,"Customer",'REVIEW - Complete Role Mapping'!$AO:$AO,"Ampol App",'REVIEW - Complete Role Mapping'!$AK:$AK,"Filled"))/1000000</f>
        <v/>
      </c>
      <c r="M9" s="991">
        <f>L9+(SUMIFS($F$62:$F$75,$E$62:$E$75,"Hire")+0.4*SUMIFS($F$62:$F$75,$E$62:$E$75,"Offshore"))/1000000</f>
        <v/>
      </c>
      <c r="N9" s="991">
        <f>IFERROR(M9-K9,"-")</f>
        <v/>
      </c>
      <c r="O9" s="987">
        <f>IFERROR(INDEX('3.3 FTE View'!$F:$F,MATCH("Customer|Ampol App",'3.3 FTE View'!$AD:$AD,0)),"-")</f>
        <v/>
      </c>
    </row>
    <row r="10">
      <c r="A10" s="982" t="n"/>
      <c r="B10" s="986" t="inlineStr">
        <is>
          <t>AU CRM &amp; Martech</t>
        </is>
      </c>
      <c r="C10" s="987">
        <f>IFERROR(INDEX('3.3 FTE View'!$E:$E,MATCH("Customer|AU CRM &amp; Martech",'3.3 FTE View'!$AD:$AD,0)),"-")</f>
        <v/>
      </c>
      <c r="D10" s="988">
        <f>IFERROR(INDEX('3.3 FTE View'!$G:$G,MATCH("Customer|AU CRM &amp; Martech",'3.3 FTE View'!$AD:$AD,0)),"-")</f>
        <v/>
      </c>
      <c r="E10" s="989">
        <f>COUNTIF($D$77:$D$83,"Filled")</f>
        <v/>
      </c>
      <c r="F10" s="989">
        <f>COUNTIF($D$77:$D$83,"Vacant")</f>
        <v/>
      </c>
      <c r="G10" s="989">
        <f>COUNTIF($E$77:$E$83,"Hire")</f>
        <v/>
      </c>
      <c r="H10" s="989">
        <f>F10-G10-COUNTIF($E$77:$E$83,"Offshore")</f>
        <v/>
      </c>
      <c r="I10" s="989">
        <f>IFERROR(E10+G10-D10,"-")</f>
        <v/>
      </c>
      <c r="J10" s="986">
        <f>IF(ISNUMBER(D10),IF(E10&gt;D10,"Filled already over archetype",IF(E10+G10&gt;D10,"Over archetype after hire","")),"Outside the archetype model - no target set")</f>
        <v/>
      </c>
      <c r="K10" s="990">
        <f>IFERROR(INDEX('3.3 FTE View'!$M:$M,MATCH("Customer|AU CRM &amp; Martech",'3.3 FTE View'!$AD:$AD,0)),"-")</f>
        <v/>
      </c>
      <c r="L10" s="991">
        <f>(SUMIFS('REVIEW - Complete Role Mapping'!$AA:$AA,'REVIEW - Complete Role Mapping'!$AJ:$AJ,"Customer",'REVIEW - Complete Role Mapping'!$AO:$AO,"AU CRM &amp; Martech",'REVIEW - Complete Role Mapping'!$AK:$AK,"Filled"))/1000000</f>
        <v/>
      </c>
      <c r="M10" s="991">
        <f>L10+(SUMIFS($F$77:$F$83,$E$77:$E$83,"Hire")+0.4*SUMIFS($F$77:$F$83,$E$77:$E$83,"Offshore"))/1000000</f>
        <v/>
      </c>
      <c r="N10" s="991">
        <f>IFERROR(M10-K10,"-")</f>
        <v/>
      </c>
      <c r="O10" s="987">
        <f>IFERROR(INDEX('3.3 FTE View'!$F:$F,MATCH("Customer|AU CRM &amp; Martech",'3.3 FTE View'!$AD:$AD,0)),"-")</f>
        <v/>
      </c>
    </row>
    <row r="11">
      <c r="A11" s="982" t="n"/>
      <c r="B11" s="992" t="inlineStr">
        <is>
          <t>Z Energy Martech</t>
        </is>
      </c>
      <c r="C11" s="987">
        <f>IFERROR(INDEX('3.3 FTE View'!$E:$E,MATCH("Customer|Z Energy Martech",'3.3 FTE View'!$AD:$AD,0)),"-")</f>
        <v/>
      </c>
      <c r="D11" s="988">
        <f>IFERROR(INDEX('3.3 FTE View'!$G:$G,MATCH("Customer|Z Energy Martech",'3.3 FTE View'!$AD:$AD,0)),"-")</f>
        <v/>
      </c>
      <c r="E11" s="989">
        <f>COUNTIF($D$85:$D$100,"Filled")</f>
        <v/>
      </c>
      <c r="F11" s="989">
        <f>COUNTIF($D$85:$D$100,"Vacant")</f>
        <v/>
      </c>
      <c r="G11" s="989">
        <f>COUNTIF($E$85:$E$100,"Hire")</f>
        <v/>
      </c>
      <c r="H11" s="989">
        <f>F11-G11-COUNTIF($E$85:$E$100,"Offshore")</f>
        <v/>
      </c>
      <c r="I11" s="989">
        <f>IFERROR(E11+G11-D11,"-")</f>
        <v/>
      </c>
      <c r="J11" s="986">
        <f>IF(ISNUMBER(D11),IF(E11&gt;D11,"Filled already over archetype",IF(E11+G11&gt;D11,"Over archetype after hire","")),"Outside the archetype model - no target set")</f>
        <v/>
      </c>
      <c r="K11" s="990">
        <f>IFERROR(INDEX('3.3 FTE View'!$M:$M,MATCH("Customer|Z Energy Martech",'3.3 FTE View'!$AD:$AD,0)),"-")</f>
        <v/>
      </c>
      <c r="L11" s="991">
        <f>(SUMIFS('REVIEW - Complete Role Mapping'!$AA:$AA,'REVIEW - Complete Role Mapping'!$AJ:$AJ,"Customer",'REVIEW - Complete Role Mapping'!$AO:$AO,"Z Energy Martech",'REVIEW - Complete Role Mapping'!$AK:$AK,"Filled"))/1000000</f>
        <v/>
      </c>
      <c r="M11" s="991">
        <f>L11+(SUMIFS($F$85:$F$100,$E$85:$E$100,"Hire")+0.4*SUMIFS($F$85:$F$100,$E$85:$E$100,"Offshore"))/1000000</f>
        <v/>
      </c>
      <c r="N11" s="991">
        <f>IFERROR(M11-K11,"-")</f>
        <v/>
      </c>
      <c r="O11" s="987">
        <f>IFERROR(INDEX('3.3 FTE View'!$F:$F,MATCH("Customer|Z Energy Martech",'3.3 FTE View'!$AD:$AD,0)),"-")</f>
        <v/>
      </c>
    </row>
    <row r="12">
      <c r="A12" s="982" t="n"/>
      <c r="B12" s="986" t="inlineStr">
        <is>
          <t>Z Energy Apps</t>
        </is>
      </c>
      <c r="C12" s="987">
        <f>IFERROR(INDEX('3.3 FTE View'!$E:$E,MATCH("Customer|Z Energy Apps",'3.3 FTE View'!$AD:$AD,0)),"-")</f>
        <v/>
      </c>
      <c r="D12" s="988">
        <f>IFERROR(INDEX('3.3 FTE View'!$G:$G,MATCH("Customer|Z Energy Apps",'3.3 FTE View'!$AD:$AD,0)),"-")</f>
        <v/>
      </c>
      <c r="E12" s="989">
        <f>COUNTIF($D$102:$D$106,"Filled")</f>
        <v/>
      </c>
      <c r="F12" s="989">
        <f>COUNTIF($D$102:$D$106,"Vacant")</f>
        <v/>
      </c>
      <c r="G12" s="989">
        <f>COUNTIF($E$102:$E$106,"Hire")</f>
        <v/>
      </c>
      <c r="H12" s="989">
        <f>F12-G12-COUNTIF($E$102:$E$106,"Offshore")</f>
        <v/>
      </c>
      <c r="I12" s="989">
        <f>IFERROR(E12+G12-D12,"-")</f>
        <v/>
      </c>
      <c r="J12" s="986">
        <f>IF(ISNUMBER(D12),IF(E12&gt;D12,"Filled already over archetype",IF(E12+G12&gt;D12,"Over archetype after hire","")),"Outside the archetype model - no target set")</f>
        <v/>
      </c>
      <c r="K12" s="990">
        <f>IFERROR(INDEX('3.3 FTE View'!$M:$M,MATCH("Customer|Z Energy Apps",'3.3 FTE View'!$AD:$AD,0)),"-")</f>
        <v/>
      </c>
      <c r="L12" s="991">
        <f>(SUMIFS('REVIEW - Complete Role Mapping'!$AA:$AA,'REVIEW - Complete Role Mapping'!$AJ:$AJ,"Customer",'REVIEW - Complete Role Mapping'!$AO:$AO,"Z Energy Apps",'REVIEW - Complete Role Mapping'!$AK:$AK,"Filled"))/1000000</f>
        <v/>
      </c>
      <c r="M12" s="991">
        <f>L12+(SUMIFS($F$102:$F$106,$E$102:$E$106,"Hire")+0.4*SUMIFS($F$102:$F$106,$E$102:$E$106,"Offshore"))/1000000</f>
        <v/>
      </c>
      <c r="N12" s="991">
        <f>IFERROR(M12-K12,"-")</f>
        <v/>
      </c>
      <c r="O12" s="987">
        <f>IFERROR(INDEX('3.3 FTE View'!$F:$F,MATCH("Customer|Z Energy Apps",'3.3 FTE View'!$AD:$AD,0)),"-")</f>
        <v/>
      </c>
    </row>
    <row r="13">
      <c r="A13" s="982" t="n"/>
      <c r="B13" s="992" t="inlineStr">
        <is>
          <t>Digital Ops Support</t>
        </is>
      </c>
      <c r="C13" s="987">
        <f>IFERROR(INDEX('3.3 FTE View'!$E:$E,MATCH("Customer|Digital Ops Support",'3.3 FTE View'!$AD:$AD,0)),"-")</f>
        <v/>
      </c>
      <c r="D13" s="988">
        <f>IFERROR(INDEX('3.3 FTE View'!$G:$G,MATCH("Customer|Digital Ops Support",'3.3 FTE View'!$AD:$AD,0)),"-")</f>
        <v/>
      </c>
      <c r="E13" s="989">
        <f>COUNTIF($D$108:$D$114,"Filled")</f>
        <v/>
      </c>
      <c r="F13" s="989">
        <f>COUNTIF($D$108:$D$114,"Vacant")</f>
        <v/>
      </c>
      <c r="G13" s="989">
        <f>COUNTIF($E$108:$E$114,"Hire")</f>
        <v/>
      </c>
      <c r="H13" s="989">
        <f>F13-G13-COUNTIF($E$108:$E$114,"Offshore")</f>
        <v/>
      </c>
      <c r="I13" s="989">
        <f>IFERROR(E13+G13-D13,"-")</f>
        <v/>
      </c>
      <c r="J13" s="986">
        <f>IF(ISNUMBER(D13),IF(E13&gt;D13,"Filled already over archetype",IF(E13+G13&gt;D13,"Over archetype after hire","")),"Outside the archetype model - no target set")</f>
        <v/>
      </c>
      <c r="K13" s="990">
        <f>IFERROR(INDEX('3.3 FTE View'!$M:$M,MATCH("Customer|Digital Ops Support",'3.3 FTE View'!$AD:$AD,0)),"-")</f>
        <v/>
      </c>
      <c r="L13" s="991">
        <f>(SUMIFS('REVIEW - Complete Role Mapping'!$AA:$AA,'REVIEW - Complete Role Mapping'!$AJ:$AJ,"Customer",'REVIEW - Complete Role Mapping'!$AO:$AO,"Digital Ops Support",'REVIEW - Complete Role Mapping'!$AK:$AK,"Filled"))/1000000</f>
        <v/>
      </c>
      <c r="M13" s="991">
        <f>L13+(SUMIFS($F$108:$F$114,$E$108:$E$114,"Hire")+0.4*SUMIFS($F$108:$F$114,$E$108:$E$114,"Offshore"))/1000000</f>
        <v/>
      </c>
      <c r="N13" s="991">
        <f>IFERROR(M13-K13,"-")</f>
        <v/>
      </c>
      <c r="O13" s="987">
        <f>IFERROR(INDEX('3.3 FTE View'!$F:$F,MATCH("Customer|Digital Ops Support",'3.3 FTE View'!$AD:$AD,0)),"-")</f>
        <v/>
      </c>
    </row>
    <row r="14">
      <c r="A14" s="982" t="n"/>
      <c r="B14" s="986" t="inlineStr">
        <is>
          <t>Energy</t>
        </is>
      </c>
      <c r="C14" s="987">
        <f>IFERROR(INDEX('3.3 FTE View'!$E:$E,MATCH("Customer|Energy",'3.3 FTE View'!$AD:$AD,0)),"-")</f>
        <v/>
      </c>
      <c r="D14" s="988">
        <f>IFERROR(INDEX('3.3 FTE View'!$G:$G,MATCH("Customer|Energy",'3.3 FTE View'!$AD:$AD,0)),"-")</f>
        <v/>
      </c>
      <c r="E14" s="989">
        <f>COUNTIF($D$116:$D$116,"Filled")</f>
        <v/>
      </c>
      <c r="F14" s="989">
        <f>COUNTIF($D$116:$D$116,"Vacant")</f>
        <v/>
      </c>
      <c r="G14" s="989">
        <f>COUNTIF($E$116:$E$116,"Hire")</f>
        <v/>
      </c>
      <c r="H14" s="989">
        <f>F14-G14-COUNTIF($E$116:$E$116,"Offshore")</f>
        <v/>
      </c>
      <c r="I14" s="989">
        <f>IFERROR(E14+G14-D14,"-")</f>
        <v/>
      </c>
      <c r="J14" s="986">
        <f>IF(ISNUMBER(D14),IF(E14&gt;D14,"Filled already over archetype",IF(E14+G14&gt;D14,"Over archetype after hire","")),"Outside the archetype model - no target set")</f>
        <v/>
      </c>
      <c r="K14" s="990">
        <f>IFERROR(INDEX('3.3 FTE View'!$M:$M,MATCH("Customer|Energy",'3.3 FTE View'!$AD:$AD,0)),"-")</f>
        <v/>
      </c>
      <c r="L14" s="991">
        <f>(SUMIFS('REVIEW - Complete Role Mapping'!$AA:$AA,'REVIEW - Complete Role Mapping'!$AJ:$AJ,"Customer",'REVIEW - Complete Role Mapping'!$AO:$AO,"Energy",'REVIEW - Complete Role Mapping'!$AK:$AK,"Filled"))/1000000</f>
        <v/>
      </c>
      <c r="M14" s="991">
        <f>L14+(SUMIFS($F$116:$F$116,$E$116:$E$116,"Hire")+0.4*SUMIFS($F$116:$F$116,$E$116:$E$116,"Offshore"))/1000000</f>
        <v/>
      </c>
      <c r="N14" s="991">
        <f>IFERROR(M14-K14,"-")</f>
        <v/>
      </c>
      <c r="O14" s="987">
        <f>IFERROR(INDEX('3.3 FTE View'!$F:$F,MATCH("Customer|Energy",'3.3 FTE View'!$AD:$AD,0)),"-")</f>
        <v/>
      </c>
    </row>
    <row r="15">
      <c r="A15" s="982" t="n"/>
      <c r="B15" s="992" t="inlineStr">
        <is>
          <t>Customer AI</t>
        </is>
      </c>
      <c r="C15" s="987">
        <f>IFERROR(INDEX('3.3 FTE View'!$E:$E,MATCH("Customer|Customer AI",'3.3 FTE View'!$AD:$AD,0)),"-")</f>
        <v/>
      </c>
      <c r="D15" s="988">
        <f>IFERROR(INDEX('3.3 FTE View'!$G:$G,MATCH("Customer|Customer AI",'3.3 FTE View'!$AD:$AD,0)),"-")</f>
        <v/>
      </c>
      <c r="E15" s="989">
        <f>COUNTIF($D$118:$D$119,"Filled")</f>
        <v/>
      </c>
      <c r="F15" s="989">
        <f>COUNTIF($D$118:$D$119,"Vacant")</f>
        <v/>
      </c>
      <c r="G15" s="989">
        <f>COUNTIF($E$118:$E$119,"Hire")</f>
        <v/>
      </c>
      <c r="H15" s="989">
        <f>F15-G15-COUNTIF($E$118:$E$119,"Offshore")</f>
        <v/>
      </c>
      <c r="I15" s="989">
        <f>IFERROR(E15+G15-D15,"-")</f>
        <v/>
      </c>
      <c r="J15" s="986">
        <f>IF(ISNUMBER(D15),IF(E15&gt;D15,"Filled already over archetype",IF(E15+G15&gt;D15,"Over archetype after hire","")),"Outside the archetype model - no target set")</f>
        <v/>
      </c>
      <c r="K15" s="990">
        <f>IFERROR(INDEX('3.3 FTE View'!$M:$M,MATCH("Customer|Customer AI",'3.3 FTE View'!$AD:$AD,0)),"-")</f>
        <v/>
      </c>
      <c r="L15" s="991">
        <f>(SUMIFS('REVIEW - Complete Role Mapping'!$AA:$AA,'REVIEW - Complete Role Mapping'!$AJ:$AJ,"Customer",'REVIEW - Complete Role Mapping'!$AO:$AO,"Customer AI",'REVIEW - Complete Role Mapping'!$AK:$AK,"Filled"))/1000000</f>
        <v/>
      </c>
      <c r="M15" s="991">
        <f>L15+(SUMIFS($F$118:$F$119,$E$118:$E$119,"Hire")+0.4*SUMIFS($F$118:$F$119,$E$118:$E$119,"Offshore"))/1000000</f>
        <v/>
      </c>
      <c r="N15" s="991">
        <f>IFERROR(M15-K15,"-")</f>
        <v/>
      </c>
      <c r="O15" s="987">
        <f>IFERROR(INDEX('3.3 FTE View'!$F:$F,MATCH("Customer|Customer AI",'3.3 FTE View'!$AD:$AD,0)),"-")</f>
        <v/>
      </c>
    </row>
    <row r="16">
      <c r="A16" s="982" t="n"/>
      <c r="B16" s="993" t="inlineStr">
        <is>
          <t>Total</t>
        </is>
      </c>
      <c r="C16" s="993" t="inlineStr"/>
      <c r="D16" s="994">
        <f>SUM(D6:D15)</f>
        <v/>
      </c>
      <c r="E16" s="994">
        <f>SUM(E6:E15)</f>
        <v/>
      </c>
      <c r="F16" s="994">
        <f>SUM(F6:F15)</f>
        <v/>
      </c>
      <c r="G16" s="994">
        <f>SUM(G6:G15)</f>
        <v/>
      </c>
      <c r="H16" s="994">
        <f>SUM(H6:H15)</f>
        <v/>
      </c>
      <c r="I16" s="994">
        <f>SUM(I6:I15)</f>
        <v/>
      </c>
      <c r="J16" s="993" t="inlineStr"/>
      <c r="K16" s="995">
        <f>SUM(K6:K15)</f>
        <v/>
      </c>
      <c r="L16" s="995">
        <f>SUM(L6:L15)</f>
        <v/>
      </c>
      <c r="M16" s="995">
        <f>SUM(M6:M15)</f>
        <v/>
      </c>
      <c r="N16" s="995">
        <f>SUM(N6:N15)</f>
        <v/>
      </c>
      <c r="O16" s="993" t="inlineStr"/>
    </row>
    <row r="17">
      <c r="A17" s="982" t="n"/>
      <c r="B17" s="996" t="inlineStr">
        <is>
          <t>Cost to hire all vacancies ($m)</t>
        </is>
      </c>
      <c r="C17" s="982" t="n"/>
      <c r="D17" s="982" t="n"/>
      <c r="E17" s="997">
        <f>SUMIFS($F$25:$F$119,$D$25:$D$119,"Vacant")/1000000</f>
        <v/>
      </c>
      <c r="F17" s="982" t="n"/>
      <c r="G17" s="982" t="n"/>
      <c r="H17" s="982" t="n"/>
      <c r="I17" s="982" t="n"/>
      <c r="J17" s="982" t="n"/>
      <c r="K17" s="982" t="n"/>
      <c r="L17" s="982" t="n"/>
      <c r="M17" s="982" t="n"/>
      <c r="N17" s="982" t="n"/>
      <c r="O17" s="982" t="n"/>
    </row>
    <row r="18">
      <c r="A18" s="982" t="n"/>
      <c r="B18" s="996" t="inlineStr">
        <is>
          <t>Cost of roles marked Hire ($m)</t>
        </is>
      </c>
      <c r="C18" s="982" t="n"/>
      <c r="D18" s="982" t="n"/>
      <c r="E18" s="997">
        <f>SUMIF($E$25:$E$119,"Hire",$F$25:$F$119)/1000000</f>
        <v/>
      </c>
      <c r="F18" s="982" t="n"/>
      <c r="G18" s="982" t="n"/>
      <c r="H18" s="982" t="n"/>
      <c r="I18" s="982" t="n"/>
      <c r="J18" s="982" t="n"/>
      <c r="K18" s="982" t="n"/>
      <c r="L18" s="982" t="n"/>
      <c r="M18" s="982" t="n"/>
      <c r="N18" s="982" t="n"/>
      <c r="O18" s="982" t="n"/>
    </row>
    <row r="19">
      <c r="A19" s="982" t="n"/>
      <c r="B19" s="998" t="inlineStr">
        <is>
          <t>Vacant roles are priced at standard title rates - indicative until an offer is made.</t>
        </is>
      </c>
      <c r="C19" s="999" t="n"/>
      <c r="D19" s="999" t="n"/>
      <c r="E19" s="999" t="n"/>
      <c r="F19" s="999" t="n"/>
      <c r="G19" s="984" t="n"/>
      <c r="H19" s="984" t="n"/>
      <c r="I19" s="984" t="n"/>
      <c r="J19" s="984" t="n"/>
      <c r="K19" s="982" t="n"/>
      <c r="L19" s="982" t="n"/>
      <c r="M19" s="982" t="n"/>
      <c r="N19" s="982" t="n"/>
      <c r="O19" s="982" t="n"/>
    </row>
    <row r="20">
      <c r="A20" s="982" t="n"/>
      <c r="B20" s="998" t="inlineStr">
        <is>
          <t>"-" in the archetype columns means this real squad has no design archetype target; the comparison sits at portfolio level on 3.2.</t>
        </is>
      </c>
      <c r="C20" s="984" t="n"/>
      <c r="D20" s="984" t="n"/>
      <c r="E20" s="984" t="n"/>
      <c r="F20" s="984" t="n"/>
      <c r="G20" s="982" t="n"/>
      <c r="H20" s="982" t="n"/>
      <c r="I20" s="982" t="n"/>
      <c r="J20" s="982" t="n"/>
      <c r="K20" s="982" t="n"/>
      <c r="L20" s="982" t="n"/>
      <c r="M20" s="982" t="n"/>
      <c r="N20" s="982" t="n"/>
      <c r="O20" s="982" t="n"/>
    </row>
    <row r="21">
      <c r="A21" s="982" t="n"/>
      <c r="B21" s="1001" t="n"/>
      <c r="C21" s="1001" t="n"/>
      <c r="D21" s="1001" t="n"/>
      <c r="E21" s="1001" t="n"/>
      <c r="F21" s="982" t="n"/>
      <c r="G21" s="982" t="n"/>
      <c r="H21" s="982" t="n"/>
      <c r="I21" s="982" t="n"/>
      <c r="J21" s="982" t="n"/>
      <c r="K21" s="982" t="n"/>
      <c r="L21" s="982" t="n"/>
      <c r="M21" s="982" t="n"/>
      <c r="N21" s="982" t="n"/>
      <c r="O21" s="982" t="n"/>
    </row>
    <row r="22">
      <c r="A22" s="982" t="n"/>
      <c r="B22" s="1003" t="n"/>
      <c r="C22" s="1003" t="n"/>
      <c r="D22" s="1003" t="n"/>
      <c r="E22" s="982" t="n"/>
      <c r="F22" s="982" t="n"/>
      <c r="G22" s="982" t="n"/>
      <c r="H22" s="982" t="n"/>
      <c r="I22" s="982" t="n"/>
      <c r="J22" s="982" t="n"/>
      <c r="K22" s="982" t="n"/>
      <c r="L22" s="982" t="n"/>
      <c r="M22" s="982" t="n"/>
      <c r="N22" s="982" t="n"/>
      <c r="O22" s="982" t="n"/>
    </row>
    <row r="23">
      <c r="A23" s="982" t="n"/>
      <c r="B23" s="1002" t="inlineStr">
        <is>
          <t>Customer FTE</t>
        </is>
      </c>
      <c r="C23" s="1003" t="n"/>
      <c r="D23" s="1003" t="n"/>
      <c r="E23" s="982" t="n"/>
      <c r="F23" s="982" t="n"/>
      <c r="G23" s="982" t="n"/>
      <c r="H23" s="982" t="n"/>
      <c r="I23" s="982" t="n"/>
      <c r="J23" s="982" t="n"/>
      <c r="K23" s="982" t="n"/>
      <c r="L23" s="982" t="n"/>
      <c r="M23" s="982" t="n"/>
      <c r="N23" s="982" t="n"/>
      <c r="O23" s="982" t="n"/>
    </row>
    <row r="24">
      <c r="A24" s="982" t="n"/>
      <c r="B24" s="985" t="inlineStr">
        <is>
          <t>Name</t>
        </is>
      </c>
      <c r="C24" s="985" t="inlineStr">
        <is>
          <t>Role</t>
        </is>
      </c>
      <c r="D24" s="985" t="inlineStr">
        <is>
          <t>Status</t>
        </is>
      </c>
      <c r="E24" s="985" t="inlineStr">
        <is>
          <t>Vacancy lever</t>
        </is>
      </c>
      <c r="F24" s="985" t="inlineStr">
        <is>
          <t>Cost if hired ($)</t>
        </is>
      </c>
      <c r="G24" s="982" t="n"/>
      <c r="H24" s="982" t="n"/>
      <c r="I24" s="982" t="n"/>
      <c r="J24" s="982" t="n"/>
      <c r="K24" s="982" t="n"/>
      <c r="L24" s="982" t="n"/>
      <c r="M24" s="982" t="n"/>
      <c r="N24" s="982" t="n"/>
      <c r="O24" s="982" t="n"/>
    </row>
    <row r="25">
      <c r="A25" s="982" t="n"/>
      <c r="B25" s="1004" t="inlineStr">
        <is>
          <t>Ampol Web</t>
        </is>
      </c>
      <c r="C25" s="1004" t="inlineStr"/>
      <c r="D25" s="1004" t="inlineStr"/>
      <c r="E25" s="1004" t="inlineStr"/>
      <c r="F25" s="1004" t="inlineStr"/>
      <c r="G25" s="982" t="n"/>
      <c r="H25" s="982" t="n"/>
      <c r="I25" s="982" t="n"/>
      <c r="J25" s="982" t="n"/>
      <c r="K25" s="982" t="n"/>
      <c r="L25" s="982" t="n"/>
      <c r="M25" s="982" t="n"/>
      <c r="N25" s="982" t="n"/>
      <c r="O25" s="982" t="n"/>
    </row>
    <row r="26">
      <c r="A26" s="982" t="n"/>
      <c r="B26" s="986">
        <f>'REVIEW - Complete Role Mapping'!$B$108</f>
        <v/>
      </c>
      <c r="C26" s="986">
        <f>'REVIEW - Complete Role Mapping'!$C$108</f>
        <v/>
      </c>
      <c r="D26" s="1005">
        <f>'REVIEW - Complete Role Mapping'!$AK$108</f>
        <v/>
      </c>
      <c r="E26" s="986" t="inlineStr"/>
      <c r="F26" s="986" t="inlineStr"/>
      <c r="G26" s="982" t="n"/>
      <c r="H26" s="982" t="n"/>
      <c r="I26" s="982" t="n"/>
      <c r="J26" s="982" t="n"/>
      <c r="K26" s="982" t="n"/>
      <c r="L26" s="982" t="n"/>
      <c r="M26" s="982" t="n"/>
      <c r="N26" s="982" t="n"/>
      <c r="O26" s="982" t="n"/>
    </row>
    <row r="27">
      <c r="A27" s="982" t="n"/>
      <c r="B27" s="986">
        <f>'REVIEW - Complete Role Mapping'!$B$110</f>
        <v/>
      </c>
      <c r="C27" s="986">
        <f>'REVIEW - Complete Role Mapping'!$C$110</f>
        <v/>
      </c>
      <c r="D27" s="1005">
        <f>'REVIEW - Complete Role Mapping'!$AK$110</f>
        <v/>
      </c>
      <c r="E27" s="986" t="inlineStr"/>
      <c r="F27" s="986" t="inlineStr"/>
      <c r="G27" s="982" t="n"/>
      <c r="H27" s="982" t="n"/>
      <c r="I27" s="982" t="n"/>
      <c r="J27" s="982" t="n"/>
      <c r="K27" s="982" t="n"/>
      <c r="L27" s="982" t="n"/>
      <c r="M27" s="982" t="n"/>
      <c r="N27" s="982" t="n"/>
      <c r="O27" s="982" t="n"/>
    </row>
    <row r="28">
      <c r="A28" s="982" t="n"/>
      <c r="B28" s="986">
        <f>'REVIEW - Complete Role Mapping'!$B$120</f>
        <v/>
      </c>
      <c r="C28" s="986">
        <f>'REVIEW - Complete Role Mapping'!$C$120</f>
        <v/>
      </c>
      <c r="D28" s="1005">
        <f>'REVIEW - Complete Role Mapping'!$AK$120</f>
        <v/>
      </c>
      <c r="E28" s="986" t="inlineStr"/>
      <c r="F28" s="986" t="inlineStr"/>
      <c r="G28" s="982" t="n"/>
      <c r="H28" s="982" t="n"/>
      <c r="I28" s="982" t="n"/>
      <c r="J28" s="982" t="n"/>
      <c r="K28" s="982" t="n"/>
      <c r="L28" s="982" t="n"/>
      <c r="M28" s="982" t="n"/>
      <c r="N28" s="982" t="n"/>
      <c r="O28" s="982" t="n"/>
    </row>
    <row r="29">
      <c r="A29" s="982" t="n"/>
      <c r="B29" s="986">
        <f>'REVIEW - Complete Role Mapping'!$B$128</f>
        <v/>
      </c>
      <c r="C29" s="986">
        <f>'REVIEW - Complete Role Mapping'!$C$128</f>
        <v/>
      </c>
      <c r="D29" s="1005">
        <f>'REVIEW - Complete Role Mapping'!$AK$128</f>
        <v/>
      </c>
      <c r="E29" s="986" t="inlineStr"/>
      <c r="F29" s="986" t="inlineStr"/>
      <c r="G29" s="982" t="n"/>
      <c r="H29" s="982" t="n"/>
      <c r="I29" s="982" t="n"/>
      <c r="J29" s="982" t="n"/>
      <c r="K29" s="982" t="n"/>
      <c r="L29" s="982" t="n"/>
      <c r="M29" s="982" t="n"/>
      <c r="N29" s="982" t="n"/>
      <c r="O29" s="982" t="n"/>
    </row>
    <row r="30">
      <c r="A30" s="982" t="n"/>
      <c r="B30" s="986">
        <f>'REVIEW - Complete Role Mapping'!$B$137</f>
        <v/>
      </c>
      <c r="C30" s="986">
        <f>'REVIEW - Complete Role Mapping'!$C$137</f>
        <v/>
      </c>
      <c r="D30" s="1005">
        <f>'REVIEW - Complete Role Mapping'!$AK$137</f>
        <v/>
      </c>
      <c r="E30" s="1006" t="inlineStr">
        <is>
          <t>Hold</t>
        </is>
      </c>
      <c r="F30" s="1007">
        <f>'REVIEW - Complete Role Mapping'!$AA$137</f>
        <v/>
      </c>
      <c r="G30" s="982" t="n"/>
      <c r="H30" s="982" t="n"/>
      <c r="I30" s="982" t="n"/>
      <c r="J30" s="982" t="n"/>
      <c r="K30" s="982" t="n"/>
      <c r="L30" s="982" t="n"/>
      <c r="M30" s="982" t="n"/>
      <c r="N30" s="982" t="n"/>
      <c r="O30" s="982" t="n"/>
    </row>
    <row r="31">
      <c r="A31" s="982" t="n"/>
      <c r="B31" s="986">
        <f>'REVIEW - Complete Role Mapping'!$B$138</f>
        <v/>
      </c>
      <c r="C31" s="986">
        <f>'REVIEW - Complete Role Mapping'!$C$138</f>
        <v/>
      </c>
      <c r="D31" s="1005">
        <f>'REVIEW - Complete Role Mapping'!$AK$138</f>
        <v/>
      </c>
      <c r="E31" s="1006" t="inlineStr">
        <is>
          <t>Hold</t>
        </is>
      </c>
      <c r="F31" s="1007">
        <f>'REVIEW - Complete Role Mapping'!$AA$138</f>
        <v/>
      </c>
      <c r="G31" s="982" t="n"/>
      <c r="H31" s="982" t="n"/>
      <c r="I31" s="982" t="n"/>
      <c r="J31" s="982" t="n"/>
      <c r="K31" s="982" t="n"/>
      <c r="L31" s="982" t="n"/>
      <c r="M31" s="982" t="n"/>
      <c r="N31" s="982" t="n"/>
      <c r="O31" s="982" t="n"/>
    </row>
    <row r="32">
      <c r="A32" s="982" t="n"/>
      <c r="B32" s="986">
        <f>'REVIEW - Complete Role Mapping'!$B$145</f>
        <v/>
      </c>
      <c r="C32" s="986">
        <f>'REVIEW - Complete Role Mapping'!$C$145</f>
        <v/>
      </c>
      <c r="D32" s="1005">
        <f>'REVIEW - Complete Role Mapping'!$AK$145</f>
        <v/>
      </c>
      <c r="E32" s="986" t="inlineStr"/>
      <c r="F32" s="986" t="inlineStr"/>
      <c r="G32" s="982" t="n"/>
      <c r="H32" s="982" t="n"/>
      <c r="I32" s="982" t="n"/>
      <c r="J32" s="982" t="n"/>
      <c r="K32" s="982" t="n"/>
      <c r="L32" s="982" t="n"/>
      <c r="M32" s="982" t="n"/>
      <c r="N32" s="982" t="n"/>
      <c r="O32" s="982" t="n"/>
    </row>
    <row r="33">
      <c r="A33" s="982" t="n"/>
      <c r="B33" s="986">
        <f>'REVIEW - Complete Role Mapping'!$B$160</f>
        <v/>
      </c>
      <c r="C33" s="986">
        <f>'REVIEW - Complete Role Mapping'!$C$160</f>
        <v/>
      </c>
      <c r="D33" s="1005">
        <f>'REVIEW - Complete Role Mapping'!$AK$160</f>
        <v/>
      </c>
      <c r="E33" s="986" t="inlineStr"/>
      <c r="F33" s="986" t="inlineStr"/>
      <c r="G33" s="982" t="n"/>
      <c r="H33" s="982" t="n"/>
      <c r="I33" s="982" t="n"/>
      <c r="J33" s="982" t="n"/>
      <c r="K33" s="982" t="n"/>
      <c r="L33" s="982" t="n"/>
      <c r="M33" s="982" t="n"/>
      <c r="N33" s="982" t="n"/>
      <c r="O33" s="982" t="n"/>
    </row>
    <row r="34">
      <c r="A34" s="982" t="n"/>
      <c r="B34" s="986">
        <f>'REVIEW - Complete Role Mapping'!$B$172</f>
        <v/>
      </c>
      <c r="C34" s="986">
        <f>'REVIEW - Complete Role Mapping'!$C$172</f>
        <v/>
      </c>
      <c r="D34" s="1005">
        <f>'REVIEW - Complete Role Mapping'!$AK$172</f>
        <v/>
      </c>
      <c r="E34" s="986" t="inlineStr"/>
      <c r="F34" s="986" t="inlineStr"/>
      <c r="G34" s="982" t="n"/>
      <c r="H34" s="982" t="n"/>
      <c r="I34" s="982" t="n"/>
      <c r="J34" s="982" t="n"/>
      <c r="K34" s="982" t="n"/>
      <c r="L34" s="982" t="n"/>
      <c r="M34" s="982" t="n"/>
      <c r="N34" s="982" t="n"/>
      <c r="O34" s="982" t="n"/>
    </row>
    <row r="35">
      <c r="A35" s="982" t="n"/>
      <c r="B35" s="986">
        <f>'REVIEW - Complete Role Mapping'!$B$192</f>
        <v/>
      </c>
      <c r="C35" s="986">
        <f>'REVIEW - Complete Role Mapping'!$C$192</f>
        <v/>
      </c>
      <c r="D35" s="1005">
        <f>'REVIEW - Complete Role Mapping'!$AK$192</f>
        <v/>
      </c>
      <c r="E35" s="986" t="inlineStr"/>
      <c r="F35" s="986" t="inlineStr"/>
      <c r="G35" s="982" t="n"/>
      <c r="H35" s="982" t="n"/>
      <c r="I35" s="982" t="n"/>
      <c r="J35" s="982" t="n"/>
      <c r="K35" s="982" t="n"/>
      <c r="L35" s="982" t="n"/>
      <c r="M35" s="982" t="n"/>
      <c r="N35" s="982" t="n"/>
      <c r="O35" s="982" t="n"/>
    </row>
    <row r="36">
      <c r="A36" s="982" t="n"/>
      <c r="B36" s="1004" t="inlineStr">
        <is>
          <t>Leadership</t>
        </is>
      </c>
      <c r="C36" s="1004" t="inlineStr"/>
      <c r="D36" s="1004" t="inlineStr"/>
      <c r="E36" s="1004" t="inlineStr"/>
      <c r="F36" s="1004" t="inlineStr"/>
      <c r="G36" s="982" t="n"/>
      <c r="H36" s="982" t="n"/>
      <c r="I36" s="982" t="n"/>
      <c r="J36" s="982" t="n"/>
      <c r="K36" s="982" t="n"/>
      <c r="L36" s="982" t="n"/>
      <c r="M36" s="982" t="n"/>
      <c r="N36" s="982" t="n"/>
      <c r="O36" s="982" t="n"/>
    </row>
    <row r="37">
      <c r="A37" s="982" t="n"/>
      <c r="B37" s="986">
        <f>'REVIEW - Complete Role Mapping'!$B$109</f>
        <v/>
      </c>
      <c r="C37" s="986">
        <f>'REVIEW - Complete Role Mapping'!$C$109</f>
        <v/>
      </c>
      <c r="D37" s="1005">
        <f>'REVIEW - Complete Role Mapping'!$AK$109</f>
        <v/>
      </c>
      <c r="E37" s="986" t="inlineStr"/>
      <c r="F37" s="986" t="inlineStr"/>
      <c r="G37" s="982" t="n"/>
      <c r="H37" s="982" t="n"/>
      <c r="I37" s="982" t="n"/>
      <c r="J37" s="982" t="n"/>
      <c r="K37" s="982" t="n"/>
      <c r="L37" s="982" t="n"/>
      <c r="M37" s="982" t="n"/>
      <c r="N37" s="982" t="n"/>
      <c r="O37" s="982" t="n"/>
    </row>
    <row r="38">
      <c r="A38" s="982" t="n"/>
      <c r="B38" s="986">
        <f>'REVIEW - Complete Role Mapping'!$B$113</f>
        <v/>
      </c>
      <c r="C38" s="986">
        <f>'REVIEW - Complete Role Mapping'!$C$113</f>
        <v/>
      </c>
      <c r="D38" s="1005">
        <f>'REVIEW - Complete Role Mapping'!$AK$113</f>
        <v/>
      </c>
      <c r="E38" s="986" t="inlineStr"/>
      <c r="F38" s="986" t="inlineStr"/>
      <c r="G38" s="982" t="n"/>
      <c r="H38" s="982" t="n"/>
      <c r="I38" s="982" t="n"/>
      <c r="J38" s="982" t="n"/>
      <c r="K38" s="982" t="n"/>
      <c r="L38" s="982" t="n"/>
      <c r="M38" s="982" t="n"/>
      <c r="N38" s="982" t="n"/>
      <c r="O38" s="982" t="n"/>
    </row>
    <row r="39">
      <c r="A39" s="982" t="n"/>
      <c r="B39" s="986">
        <f>'REVIEW - Complete Role Mapping'!$B$123</f>
        <v/>
      </c>
      <c r="C39" s="986">
        <f>'REVIEW - Complete Role Mapping'!$C$123</f>
        <v/>
      </c>
      <c r="D39" s="1005">
        <f>'REVIEW - Complete Role Mapping'!$AK$123</f>
        <v/>
      </c>
      <c r="E39" s="986" t="inlineStr"/>
      <c r="F39" s="986" t="inlineStr"/>
      <c r="G39" s="982" t="n"/>
      <c r="H39" s="982" t="n"/>
      <c r="I39" s="982" t="n"/>
      <c r="J39" s="982" t="n"/>
      <c r="K39" s="982" t="n"/>
      <c r="L39" s="982" t="n"/>
      <c r="M39" s="982" t="n"/>
      <c r="N39" s="982" t="n"/>
      <c r="O39" s="982" t="n"/>
    </row>
    <row r="40">
      <c r="A40" s="982" t="n"/>
      <c r="B40" s="986">
        <f>'REVIEW - Complete Role Mapping'!$B$126</f>
        <v/>
      </c>
      <c r="C40" s="986">
        <f>'REVIEW - Complete Role Mapping'!$C$126</f>
        <v/>
      </c>
      <c r="D40" s="1005">
        <f>'REVIEW - Complete Role Mapping'!$AK$126</f>
        <v/>
      </c>
      <c r="E40" s="986" t="inlineStr"/>
      <c r="F40" s="986" t="inlineStr"/>
      <c r="G40" s="982" t="n"/>
      <c r="H40" s="982" t="n"/>
      <c r="I40" s="982" t="n"/>
      <c r="J40" s="982" t="n"/>
      <c r="K40" s="982" t="n"/>
      <c r="L40" s="982" t="n"/>
      <c r="M40" s="982" t="n"/>
      <c r="N40" s="982" t="n"/>
      <c r="O40" s="982" t="n"/>
    </row>
    <row r="41">
      <c r="A41" s="982" t="n"/>
      <c r="B41" s="986">
        <f>'REVIEW - Complete Role Mapping'!$B$144</f>
        <v/>
      </c>
      <c r="C41" s="986">
        <f>'REVIEW - Complete Role Mapping'!$C$144</f>
        <v/>
      </c>
      <c r="D41" s="1005">
        <f>'REVIEW - Complete Role Mapping'!$AK$144</f>
        <v/>
      </c>
      <c r="E41" s="986" t="inlineStr"/>
      <c r="F41" s="986" t="inlineStr"/>
      <c r="G41" s="982" t="n"/>
      <c r="H41" s="982" t="n"/>
      <c r="I41" s="982" t="n"/>
      <c r="J41" s="982" t="n"/>
      <c r="K41" s="982" t="n"/>
      <c r="L41" s="982" t="n"/>
      <c r="M41" s="982" t="n"/>
      <c r="N41" s="982" t="n"/>
      <c r="O41" s="982" t="n"/>
    </row>
    <row r="42">
      <c r="A42" s="982" t="n"/>
      <c r="B42" s="986">
        <f>'REVIEW - Complete Role Mapping'!$B$149</f>
        <v/>
      </c>
      <c r="C42" s="986">
        <f>'REVIEW - Complete Role Mapping'!$C$149</f>
        <v/>
      </c>
      <c r="D42" s="1005">
        <f>'REVIEW - Complete Role Mapping'!$AK$149</f>
        <v/>
      </c>
      <c r="E42" s="1006" t="inlineStr">
        <is>
          <t>Hold</t>
        </is>
      </c>
      <c r="F42" s="1007">
        <f>'REVIEW - Complete Role Mapping'!$AA$149</f>
        <v/>
      </c>
      <c r="G42" s="982" t="n"/>
      <c r="H42" s="982" t="n"/>
      <c r="I42" s="982" t="n"/>
      <c r="J42" s="982" t="n"/>
      <c r="K42" s="982" t="n"/>
      <c r="L42" s="982" t="n"/>
      <c r="M42" s="982" t="n"/>
      <c r="N42" s="982" t="n"/>
      <c r="O42" s="982" t="n"/>
    </row>
    <row r="43">
      <c r="A43" s="982" t="n"/>
      <c r="B43" s="986">
        <f>'REVIEW - Complete Role Mapping'!$B$165</f>
        <v/>
      </c>
      <c r="C43" s="986">
        <f>'REVIEW - Complete Role Mapping'!$C$165</f>
        <v/>
      </c>
      <c r="D43" s="1005">
        <f>'REVIEW - Complete Role Mapping'!$AK$165</f>
        <v/>
      </c>
      <c r="E43" s="986" t="inlineStr"/>
      <c r="F43" s="986" t="inlineStr"/>
      <c r="G43" s="982" t="n"/>
      <c r="H43" s="982" t="n"/>
      <c r="I43" s="982" t="n"/>
      <c r="J43" s="982" t="n"/>
      <c r="K43" s="982" t="n"/>
      <c r="L43" s="982" t="n"/>
      <c r="M43" s="982" t="n"/>
      <c r="N43" s="982" t="n"/>
      <c r="O43" s="982" t="n"/>
    </row>
    <row r="44">
      <c r="A44" s="982" t="n"/>
      <c r="B44" s="986">
        <f>'REVIEW - Complete Role Mapping'!$B$175</f>
        <v/>
      </c>
      <c r="C44" s="986">
        <f>'REVIEW - Complete Role Mapping'!$C$175</f>
        <v/>
      </c>
      <c r="D44" s="1005">
        <f>'REVIEW - Complete Role Mapping'!$AK$175</f>
        <v/>
      </c>
      <c r="E44" s="986" t="inlineStr"/>
      <c r="F44" s="986" t="inlineStr"/>
      <c r="G44" s="982" t="n"/>
      <c r="H44" s="982" t="n"/>
      <c r="I44" s="982" t="n"/>
      <c r="J44" s="982" t="n"/>
      <c r="K44" s="982" t="n"/>
      <c r="L44" s="982" t="n"/>
      <c r="M44" s="982" t="n"/>
      <c r="N44" s="982" t="n"/>
      <c r="O44" s="982" t="n"/>
    </row>
    <row r="45">
      <c r="A45" s="982" t="n"/>
      <c r="B45" s="986">
        <f>'REVIEW - Complete Role Mapping'!$B$176</f>
        <v/>
      </c>
      <c r="C45" s="986">
        <f>'REVIEW - Complete Role Mapping'!$C$176</f>
        <v/>
      </c>
      <c r="D45" s="1005">
        <f>'REVIEW - Complete Role Mapping'!$AK$176</f>
        <v/>
      </c>
      <c r="E45" s="986" t="inlineStr"/>
      <c r="F45" s="986" t="inlineStr"/>
      <c r="G45" s="982" t="n"/>
      <c r="H45" s="982" t="n"/>
      <c r="I45" s="982" t="n"/>
      <c r="J45" s="982" t="n"/>
      <c r="K45" s="982" t="n"/>
      <c r="L45" s="982" t="n"/>
      <c r="M45" s="982" t="n"/>
      <c r="N45" s="982" t="n"/>
      <c r="O45" s="982" t="n"/>
    </row>
    <row r="46">
      <c r="A46" s="982" t="n"/>
      <c r="B46" s="986">
        <f>'REVIEW - Complete Role Mapping'!$B$184</f>
        <v/>
      </c>
      <c r="C46" s="986">
        <f>'REVIEW - Complete Role Mapping'!$C$184</f>
        <v/>
      </c>
      <c r="D46" s="1005">
        <f>'REVIEW - Complete Role Mapping'!$AK$184</f>
        <v/>
      </c>
      <c r="E46" s="986" t="inlineStr"/>
      <c r="F46" s="986" t="inlineStr"/>
      <c r="G46" s="982" t="n"/>
      <c r="H46" s="982" t="n"/>
      <c r="I46" s="982" t="n"/>
      <c r="J46" s="982" t="n"/>
      <c r="K46" s="982" t="n"/>
      <c r="L46" s="982" t="n"/>
      <c r="M46" s="982" t="n"/>
      <c r="N46" s="982" t="n"/>
      <c r="O46" s="982" t="n"/>
    </row>
    <row r="47">
      <c r="A47" s="982" t="n"/>
      <c r="B47" s="986">
        <f>'REVIEW - Complete Role Mapping'!$B$186</f>
        <v/>
      </c>
      <c r="C47" s="986">
        <f>'REVIEW - Complete Role Mapping'!$C$186</f>
        <v/>
      </c>
      <c r="D47" s="1005">
        <f>'REVIEW - Complete Role Mapping'!$AK$186</f>
        <v/>
      </c>
      <c r="E47" s="1006" t="inlineStr">
        <is>
          <t>Hold</t>
        </is>
      </c>
      <c r="F47" s="1007">
        <f>'REVIEW - Complete Role Mapping'!$AA$186</f>
        <v/>
      </c>
      <c r="G47" s="982" t="n"/>
      <c r="H47" s="982" t="n"/>
      <c r="I47" s="982" t="n"/>
      <c r="J47" s="982" t="n"/>
      <c r="K47" s="982" t="n"/>
      <c r="L47" s="982" t="n"/>
      <c r="M47" s="982" t="n"/>
      <c r="N47" s="982" t="n"/>
      <c r="O47" s="982" t="n"/>
    </row>
    <row r="48">
      <c r="A48" s="982" t="n"/>
      <c r="B48" s="986">
        <f>'REVIEW - Complete Role Mapping'!$B$188</f>
        <v/>
      </c>
      <c r="C48" s="986">
        <f>'REVIEW - Complete Role Mapping'!$C$188</f>
        <v/>
      </c>
      <c r="D48" s="1005">
        <f>'REVIEW - Complete Role Mapping'!$AK$188</f>
        <v/>
      </c>
      <c r="E48" s="1006" t="inlineStr">
        <is>
          <t>Hold</t>
        </is>
      </c>
      <c r="F48" s="1007">
        <f>'REVIEW - Complete Role Mapping'!$AA$188</f>
        <v/>
      </c>
      <c r="G48" s="982" t="n"/>
      <c r="H48" s="982" t="n"/>
      <c r="I48" s="982" t="n"/>
      <c r="J48" s="982" t="n"/>
      <c r="K48" s="982" t="n"/>
      <c r="L48" s="982" t="n"/>
      <c r="M48" s="982" t="n"/>
      <c r="N48" s="982" t="n"/>
      <c r="O48" s="982" t="n"/>
    </row>
    <row r="49">
      <c r="A49" s="982" t="n"/>
      <c r="B49" s="986">
        <f>'REVIEW - Complete Role Mapping'!$B$189</f>
        <v/>
      </c>
      <c r="C49" s="986">
        <f>'REVIEW - Complete Role Mapping'!$C$189</f>
        <v/>
      </c>
      <c r="D49" s="1005">
        <f>'REVIEW - Complete Role Mapping'!$AK$189</f>
        <v/>
      </c>
      <c r="E49" s="1006" t="inlineStr">
        <is>
          <t>Hold</t>
        </is>
      </c>
      <c r="F49" s="1007">
        <f>'REVIEW - Complete Role Mapping'!$AA$189</f>
        <v/>
      </c>
      <c r="G49" s="982" t="n"/>
      <c r="H49" s="982" t="n"/>
      <c r="I49" s="982" t="n"/>
      <c r="J49" s="982" t="n"/>
      <c r="K49" s="982" t="n"/>
      <c r="L49" s="982" t="n"/>
      <c r="M49" s="982" t="n"/>
      <c r="N49" s="982" t="n"/>
      <c r="O49" s="982" t="n"/>
    </row>
    <row r="50">
      <c r="A50" s="982" t="n"/>
      <c r="B50" s="1004" t="inlineStr">
        <is>
          <t>EGI Customer</t>
        </is>
      </c>
      <c r="C50" s="1004" t="inlineStr"/>
      <c r="D50" s="1004" t="inlineStr"/>
      <c r="E50" s="1004" t="inlineStr"/>
      <c r="F50" s="1004" t="inlineStr"/>
      <c r="G50" s="982" t="n"/>
      <c r="H50" s="982" t="n"/>
      <c r="I50" s="982" t="n"/>
      <c r="J50" s="982" t="n"/>
      <c r="K50" s="982" t="n"/>
      <c r="L50" s="982" t="n"/>
      <c r="M50" s="982" t="n"/>
      <c r="N50" s="982" t="n"/>
      <c r="O50" s="982" t="n"/>
    </row>
    <row r="51">
      <c r="A51" s="982" t="n"/>
      <c r="B51" s="986">
        <f>'REVIEW - Complete Role Mapping'!$B$111</f>
        <v/>
      </c>
      <c r="C51" s="986">
        <f>'REVIEW - Complete Role Mapping'!$C$111</f>
        <v/>
      </c>
      <c r="D51" s="1005">
        <f>'REVIEW - Complete Role Mapping'!$AK$111</f>
        <v/>
      </c>
      <c r="E51" s="986" t="inlineStr"/>
      <c r="F51" s="986" t="inlineStr"/>
      <c r="G51" s="982" t="n"/>
      <c r="H51" s="982" t="n"/>
      <c r="I51" s="982" t="n"/>
      <c r="J51" s="982" t="n"/>
      <c r="K51" s="982" t="n"/>
      <c r="L51" s="982" t="n"/>
      <c r="M51" s="982" t="n"/>
      <c r="N51" s="982" t="n"/>
      <c r="O51" s="982" t="n"/>
    </row>
    <row r="52">
      <c r="A52" s="982" t="n"/>
      <c r="B52" s="986">
        <f>'REVIEW - Complete Role Mapping'!$B$115</f>
        <v/>
      </c>
      <c r="C52" s="986">
        <f>'REVIEW - Complete Role Mapping'!$C$115</f>
        <v/>
      </c>
      <c r="D52" s="1005">
        <f>'REVIEW - Complete Role Mapping'!$AK$115</f>
        <v/>
      </c>
      <c r="E52" s="986" t="inlineStr"/>
      <c r="F52" s="986" t="inlineStr"/>
      <c r="G52" s="982" t="n"/>
      <c r="H52" s="982" t="n"/>
      <c r="I52" s="982" t="n"/>
      <c r="J52" s="982" t="n"/>
      <c r="K52" s="982" t="n"/>
      <c r="L52" s="982" t="n"/>
      <c r="M52" s="982" t="n"/>
      <c r="N52" s="982" t="n"/>
      <c r="O52" s="982" t="n"/>
    </row>
    <row r="53">
      <c r="A53" s="982" t="n"/>
      <c r="B53" s="986">
        <f>'REVIEW - Complete Role Mapping'!$B$129</f>
        <v/>
      </c>
      <c r="C53" s="986">
        <f>'REVIEW - Complete Role Mapping'!$C$129</f>
        <v/>
      </c>
      <c r="D53" s="1005">
        <f>'REVIEW - Complete Role Mapping'!$AK$129</f>
        <v/>
      </c>
      <c r="E53" s="986" t="inlineStr"/>
      <c r="F53" s="986" t="inlineStr"/>
      <c r="G53" s="982" t="n"/>
      <c r="H53" s="982" t="n"/>
      <c r="I53" s="982" t="n"/>
      <c r="J53" s="982" t="n"/>
      <c r="K53" s="982" t="n"/>
      <c r="L53" s="982" t="n"/>
      <c r="M53" s="982" t="n"/>
      <c r="N53" s="982" t="n"/>
      <c r="O53" s="982" t="n"/>
    </row>
    <row r="54">
      <c r="A54" s="982" t="n"/>
      <c r="B54" s="986">
        <f>'REVIEW - Complete Role Mapping'!$B$155</f>
        <v/>
      </c>
      <c r="C54" s="986">
        <f>'REVIEW - Complete Role Mapping'!$C$155</f>
        <v/>
      </c>
      <c r="D54" s="1005">
        <f>'REVIEW - Complete Role Mapping'!$AK$155</f>
        <v/>
      </c>
      <c r="E54" s="986" t="inlineStr"/>
      <c r="F54" s="986" t="inlineStr"/>
      <c r="G54" s="982" t="n"/>
      <c r="H54" s="982" t="n"/>
      <c r="I54" s="982" t="n"/>
      <c r="J54" s="982" t="n"/>
      <c r="K54" s="982" t="n"/>
      <c r="L54" s="982" t="n"/>
      <c r="M54" s="982" t="n"/>
      <c r="N54" s="982" t="n"/>
      <c r="O54" s="982" t="n"/>
    </row>
    <row r="55">
      <c r="A55" s="982" t="n"/>
      <c r="B55" s="986">
        <f>'REVIEW - Complete Role Mapping'!$B$156</f>
        <v/>
      </c>
      <c r="C55" s="986">
        <f>'REVIEW - Complete Role Mapping'!$C$156</f>
        <v/>
      </c>
      <c r="D55" s="1005">
        <f>'REVIEW - Complete Role Mapping'!$AK$156</f>
        <v/>
      </c>
      <c r="E55" s="986" t="inlineStr"/>
      <c r="F55" s="986" t="inlineStr"/>
      <c r="G55" s="982" t="n"/>
      <c r="H55" s="982" t="n"/>
      <c r="I55" s="982" t="n"/>
      <c r="J55" s="982" t="n"/>
      <c r="K55" s="982" t="n"/>
      <c r="L55" s="982" t="n"/>
      <c r="M55" s="982" t="n"/>
      <c r="N55" s="982" t="n"/>
      <c r="O55" s="982" t="n"/>
    </row>
    <row r="56">
      <c r="A56" s="982" t="n"/>
      <c r="B56" s="986">
        <f>'REVIEW - Complete Role Mapping'!$B$157</f>
        <v/>
      </c>
      <c r="C56" s="986">
        <f>'REVIEW - Complete Role Mapping'!$C$157</f>
        <v/>
      </c>
      <c r="D56" s="1005">
        <f>'REVIEW - Complete Role Mapping'!$AK$157</f>
        <v/>
      </c>
      <c r="E56" s="986" t="inlineStr"/>
      <c r="F56" s="986" t="inlineStr"/>
      <c r="G56" s="982" t="n"/>
      <c r="H56" s="982" t="n"/>
      <c r="I56" s="982" t="n"/>
      <c r="J56" s="982" t="n"/>
      <c r="K56" s="982" t="n"/>
      <c r="L56" s="982" t="n"/>
      <c r="M56" s="982" t="n"/>
      <c r="N56" s="982" t="n"/>
      <c r="O56" s="982" t="n"/>
    </row>
    <row r="57">
      <c r="A57" s="982" t="n"/>
      <c r="B57" s="986">
        <f>'REVIEW - Complete Role Mapping'!$B$158</f>
        <v/>
      </c>
      <c r="C57" s="986">
        <f>'REVIEW - Complete Role Mapping'!$C$158</f>
        <v/>
      </c>
      <c r="D57" s="1005">
        <f>'REVIEW - Complete Role Mapping'!$AK$158</f>
        <v/>
      </c>
      <c r="E57" s="986" t="inlineStr"/>
      <c r="F57" s="986" t="inlineStr"/>
      <c r="G57" s="982" t="n"/>
      <c r="H57" s="982" t="n"/>
      <c r="I57" s="982" t="n"/>
      <c r="J57" s="982" t="n"/>
      <c r="K57" s="982" t="n"/>
      <c r="L57" s="982" t="n"/>
      <c r="M57" s="982" t="n"/>
      <c r="N57" s="982" t="n"/>
      <c r="O57" s="982" t="n"/>
    </row>
    <row r="58">
      <c r="A58" s="982" t="n"/>
      <c r="B58" s="986">
        <f>'REVIEW - Complete Role Mapping'!$B$167</f>
        <v/>
      </c>
      <c r="C58" s="986">
        <f>'REVIEW - Complete Role Mapping'!$C$167</f>
        <v/>
      </c>
      <c r="D58" s="1005">
        <f>'REVIEW - Complete Role Mapping'!$AK$167</f>
        <v/>
      </c>
      <c r="E58" s="986" t="inlineStr"/>
      <c r="F58" s="986" t="inlineStr"/>
      <c r="G58" s="982" t="n"/>
      <c r="H58" s="982" t="n"/>
      <c r="I58" s="982" t="n"/>
      <c r="J58" s="982" t="n"/>
      <c r="K58" s="982" t="n"/>
      <c r="L58" s="982" t="n"/>
      <c r="M58" s="982" t="n"/>
      <c r="N58" s="982" t="n"/>
      <c r="O58" s="982" t="n"/>
    </row>
    <row r="59">
      <c r="A59" s="982" t="n"/>
      <c r="B59" s="986">
        <f>'REVIEW - Complete Role Mapping'!$B$168</f>
        <v/>
      </c>
      <c r="C59" s="986">
        <f>'REVIEW - Complete Role Mapping'!$C$168</f>
        <v/>
      </c>
      <c r="D59" s="1005">
        <f>'REVIEW - Complete Role Mapping'!$AK$168</f>
        <v/>
      </c>
      <c r="E59" s="986" t="inlineStr"/>
      <c r="F59" s="986" t="inlineStr"/>
      <c r="G59" s="982" t="n"/>
      <c r="H59" s="982" t="n"/>
      <c r="I59" s="982" t="n"/>
      <c r="J59" s="982" t="n"/>
      <c r="K59" s="982" t="n"/>
      <c r="L59" s="982" t="n"/>
      <c r="M59" s="982" t="n"/>
      <c r="N59" s="982" t="n"/>
      <c r="O59" s="982" t="n"/>
    </row>
    <row r="60">
      <c r="A60" s="982" t="n"/>
      <c r="B60" s="986">
        <f>'REVIEW - Complete Role Mapping'!$B$190</f>
        <v/>
      </c>
      <c r="C60" s="986">
        <f>'REVIEW - Complete Role Mapping'!$C$190</f>
        <v/>
      </c>
      <c r="D60" s="1005">
        <f>'REVIEW - Complete Role Mapping'!$AK$190</f>
        <v/>
      </c>
      <c r="E60" s="1006" t="inlineStr">
        <is>
          <t>Hold</t>
        </is>
      </c>
      <c r="F60" s="1007">
        <f>'REVIEW - Complete Role Mapping'!$AA$190</f>
        <v/>
      </c>
      <c r="G60" s="982" t="n"/>
      <c r="H60" s="982" t="n"/>
      <c r="I60" s="982" t="n"/>
      <c r="J60" s="982" t="n"/>
      <c r="K60" s="982" t="n"/>
      <c r="L60" s="982" t="n"/>
      <c r="M60" s="982" t="n"/>
      <c r="N60" s="982" t="n"/>
      <c r="O60" s="982" t="n"/>
    </row>
    <row r="61">
      <c r="A61" s="982" t="n"/>
      <c r="B61" s="1004" t="inlineStr">
        <is>
          <t>Ampol App</t>
        </is>
      </c>
      <c r="C61" s="1004" t="inlineStr"/>
      <c r="D61" s="1004" t="inlineStr"/>
      <c r="E61" s="1004" t="inlineStr"/>
      <c r="F61" s="1004" t="inlineStr"/>
      <c r="G61" s="982" t="n"/>
      <c r="H61" s="982" t="n"/>
      <c r="I61" s="982" t="n"/>
      <c r="J61" s="982" t="n"/>
      <c r="K61" s="982" t="n"/>
      <c r="L61" s="982" t="n"/>
      <c r="M61" s="982" t="n"/>
      <c r="N61" s="982" t="n"/>
      <c r="O61" s="982" t="n"/>
    </row>
    <row r="62">
      <c r="A62" s="982" t="n"/>
      <c r="B62" s="986">
        <f>'REVIEW - Complete Role Mapping'!$B$112</f>
        <v/>
      </c>
      <c r="C62" s="986">
        <f>'REVIEW - Complete Role Mapping'!$C$112</f>
        <v/>
      </c>
      <c r="D62" s="1005">
        <f>'REVIEW - Complete Role Mapping'!$AK$112</f>
        <v/>
      </c>
      <c r="E62" s="986" t="inlineStr"/>
      <c r="F62" s="986" t="inlineStr"/>
      <c r="G62" s="982" t="n"/>
      <c r="H62" s="982" t="n"/>
      <c r="I62" s="982" t="n"/>
      <c r="J62" s="982" t="n"/>
      <c r="K62" s="982" t="n"/>
      <c r="L62" s="982" t="n"/>
      <c r="M62" s="982" t="n"/>
      <c r="N62" s="982" t="n"/>
      <c r="O62" s="982" t="n"/>
    </row>
    <row r="63">
      <c r="A63" s="982" t="n"/>
      <c r="B63" s="986">
        <f>'REVIEW - Complete Role Mapping'!$B$116</f>
        <v/>
      </c>
      <c r="C63" s="986">
        <f>'REVIEW - Complete Role Mapping'!$C$116</f>
        <v/>
      </c>
      <c r="D63" s="1005">
        <f>'REVIEW - Complete Role Mapping'!$AK$116</f>
        <v/>
      </c>
      <c r="E63" s="986" t="inlineStr"/>
      <c r="F63" s="986" t="inlineStr"/>
      <c r="G63" s="982" t="n"/>
      <c r="H63" s="982" t="n"/>
      <c r="I63" s="982" t="n"/>
      <c r="J63" s="982" t="n"/>
      <c r="K63" s="982" t="n"/>
      <c r="L63" s="982" t="n"/>
      <c r="M63" s="982" t="n"/>
      <c r="N63" s="982" t="n"/>
      <c r="O63" s="982" t="n"/>
    </row>
    <row r="64">
      <c r="A64" s="982" t="n"/>
      <c r="B64" s="986">
        <f>'REVIEW - Complete Role Mapping'!$B$119</f>
        <v/>
      </c>
      <c r="C64" s="986">
        <f>'REVIEW - Complete Role Mapping'!$C$119</f>
        <v/>
      </c>
      <c r="D64" s="1005">
        <f>'REVIEW - Complete Role Mapping'!$AK$119</f>
        <v/>
      </c>
      <c r="E64" s="986" t="inlineStr"/>
      <c r="F64" s="986" t="inlineStr"/>
      <c r="G64" s="982" t="n"/>
      <c r="H64" s="982" t="n"/>
      <c r="I64" s="982" t="n"/>
      <c r="J64" s="982" t="n"/>
      <c r="K64" s="982" t="n"/>
      <c r="L64" s="982" t="n"/>
      <c r="M64" s="982" t="n"/>
      <c r="N64" s="982" t="n"/>
      <c r="O64" s="982" t="n"/>
    </row>
    <row r="65">
      <c r="A65" s="982" t="n"/>
      <c r="B65" s="986">
        <f>'REVIEW - Complete Role Mapping'!$B$122</f>
        <v/>
      </c>
      <c r="C65" s="986">
        <f>'REVIEW - Complete Role Mapping'!$C$122</f>
        <v/>
      </c>
      <c r="D65" s="1005">
        <f>'REVIEW - Complete Role Mapping'!$AK$122</f>
        <v/>
      </c>
      <c r="E65" s="986" t="inlineStr"/>
      <c r="F65" s="986" t="inlineStr"/>
      <c r="G65" s="982" t="n"/>
      <c r="H65" s="982" t="n"/>
      <c r="I65" s="982" t="n"/>
      <c r="J65" s="982" t="n"/>
      <c r="K65" s="982" t="n"/>
      <c r="L65" s="982" t="n"/>
      <c r="M65" s="982" t="n"/>
      <c r="N65" s="982" t="n"/>
      <c r="O65" s="982" t="n"/>
    </row>
    <row r="66">
      <c r="A66" s="982" t="n"/>
      <c r="B66" s="986">
        <f>'REVIEW - Complete Role Mapping'!$B$131</f>
        <v/>
      </c>
      <c r="C66" s="986">
        <f>'REVIEW - Complete Role Mapping'!$C$131</f>
        <v/>
      </c>
      <c r="D66" s="1005">
        <f>'REVIEW - Complete Role Mapping'!$AK$131</f>
        <v/>
      </c>
      <c r="E66" s="986" t="inlineStr"/>
      <c r="F66" s="986" t="inlineStr"/>
      <c r="G66" s="982" t="n"/>
      <c r="H66" s="982" t="n"/>
      <c r="I66" s="982" t="n"/>
      <c r="J66" s="982" t="n"/>
      <c r="K66" s="982" t="n"/>
      <c r="L66" s="982" t="n"/>
      <c r="M66" s="982" t="n"/>
      <c r="N66" s="982" t="n"/>
      <c r="O66" s="982" t="n"/>
    </row>
    <row r="67">
      <c r="A67" s="982" t="n"/>
      <c r="B67" s="986">
        <f>'REVIEW - Complete Role Mapping'!$B$133</f>
        <v/>
      </c>
      <c r="C67" s="986">
        <f>'REVIEW - Complete Role Mapping'!$C$133</f>
        <v/>
      </c>
      <c r="D67" s="1005">
        <f>'REVIEW - Complete Role Mapping'!$AK$133</f>
        <v/>
      </c>
      <c r="E67" s="986" t="inlineStr"/>
      <c r="F67" s="986" t="inlineStr"/>
      <c r="G67" s="982" t="n"/>
      <c r="H67" s="982" t="n"/>
      <c r="I67" s="982" t="n"/>
      <c r="J67" s="982" t="n"/>
      <c r="K67" s="982" t="n"/>
      <c r="L67" s="982" t="n"/>
      <c r="M67" s="982" t="n"/>
      <c r="N67" s="982" t="n"/>
      <c r="O67" s="982" t="n"/>
    </row>
    <row r="68">
      <c r="A68" s="982" t="n"/>
      <c r="B68" s="986">
        <f>'REVIEW - Complete Role Mapping'!$B$142</f>
        <v/>
      </c>
      <c r="C68" s="986">
        <f>'REVIEW - Complete Role Mapping'!$C$142</f>
        <v/>
      </c>
      <c r="D68" s="1005">
        <f>'REVIEW - Complete Role Mapping'!$AK$142</f>
        <v/>
      </c>
      <c r="E68" s="1006" t="inlineStr">
        <is>
          <t>Hold</t>
        </is>
      </c>
      <c r="F68" s="1007">
        <f>'REVIEW - Complete Role Mapping'!$AA$142</f>
        <v/>
      </c>
      <c r="G68" s="982" t="n"/>
      <c r="H68" s="982" t="n"/>
      <c r="I68" s="982" t="n"/>
      <c r="J68" s="982" t="n"/>
      <c r="K68" s="982" t="n"/>
      <c r="L68" s="982" t="n"/>
      <c r="M68" s="982" t="n"/>
      <c r="N68" s="982" t="n"/>
      <c r="O68" s="982" t="n"/>
    </row>
    <row r="69">
      <c r="A69" s="982" t="n"/>
      <c r="B69" s="986">
        <f>'REVIEW - Complete Role Mapping'!$B$146</f>
        <v/>
      </c>
      <c r="C69" s="986">
        <f>'REVIEW - Complete Role Mapping'!$C$146</f>
        <v/>
      </c>
      <c r="D69" s="1005">
        <f>'REVIEW - Complete Role Mapping'!$AK$146</f>
        <v/>
      </c>
      <c r="E69" s="986" t="inlineStr"/>
      <c r="F69" s="986" t="inlineStr"/>
      <c r="G69" s="982" t="n"/>
      <c r="H69" s="982" t="n"/>
      <c r="I69" s="982" t="n"/>
      <c r="J69" s="982" t="n"/>
      <c r="K69" s="982" t="n"/>
      <c r="L69" s="982" t="n"/>
      <c r="M69" s="982" t="n"/>
      <c r="N69" s="982" t="n"/>
      <c r="O69" s="982" t="n"/>
    </row>
    <row r="70">
      <c r="A70" s="982" t="n"/>
      <c r="B70" s="986">
        <f>'REVIEW - Complete Role Mapping'!$B$151</f>
        <v/>
      </c>
      <c r="C70" s="986">
        <f>'REVIEW - Complete Role Mapping'!$C$151</f>
        <v/>
      </c>
      <c r="D70" s="1005">
        <f>'REVIEW - Complete Role Mapping'!$AK$151</f>
        <v/>
      </c>
      <c r="E70" s="986" t="inlineStr"/>
      <c r="F70" s="986" t="inlineStr"/>
      <c r="G70" s="982" t="n"/>
      <c r="H70" s="982" t="n"/>
      <c r="I70" s="982" t="n"/>
      <c r="J70" s="982" t="n"/>
      <c r="K70" s="982" t="n"/>
      <c r="L70" s="982" t="n"/>
      <c r="M70" s="982" t="n"/>
      <c r="N70" s="982" t="n"/>
      <c r="O70" s="982" t="n"/>
    </row>
    <row r="71">
      <c r="A71" s="982" t="n"/>
      <c r="B71" s="986">
        <f>'REVIEW - Complete Role Mapping'!$B$152</f>
        <v/>
      </c>
      <c r="C71" s="986">
        <f>'REVIEW - Complete Role Mapping'!$C$152</f>
        <v/>
      </c>
      <c r="D71" s="1005">
        <f>'REVIEW - Complete Role Mapping'!$AK$152</f>
        <v/>
      </c>
      <c r="E71" s="986" t="inlineStr"/>
      <c r="F71" s="986" t="inlineStr"/>
      <c r="G71" s="982" t="n"/>
      <c r="H71" s="982" t="n"/>
      <c r="I71" s="982" t="n"/>
      <c r="J71" s="982" t="n"/>
      <c r="K71" s="982" t="n"/>
      <c r="L71" s="982" t="n"/>
      <c r="M71" s="982" t="n"/>
      <c r="N71" s="982" t="n"/>
      <c r="O71" s="982" t="n"/>
    </row>
    <row r="72">
      <c r="A72" s="982" t="n"/>
      <c r="B72" s="986">
        <f>'REVIEW - Complete Role Mapping'!$B$153</f>
        <v/>
      </c>
      <c r="C72" s="986">
        <f>'REVIEW - Complete Role Mapping'!$C$153</f>
        <v/>
      </c>
      <c r="D72" s="1005">
        <f>'REVIEW - Complete Role Mapping'!$AK$153</f>
        <v/>
      </c>
      <c r="E72" s="986" t="inlineStr"/>
      <c r="F72" s="986" t="inlineStr"/>
      <c r="G72" s="982" t="n"/>
      <c r="H72" s="982" t="n"/>
      <c r="I72" s="982" t="n"/>
      <c r="J72" s="982" t="n"/>
      <c r="K72" s="982" t="n"/>
      <c r="L72" s="982" t="n"/>
      <c r="M72" s="982" t="n"/>
      <c r="N72" s="982" t="n"/>
      <c r="O72" s="982" t="n"/>
    </row>
    <row r="73">
      <c r="A73" s="982" t="n"/>
      <c r="B73" s="986">
        <f>'REVIEW - Complete Role Mapping'!$B$154</f>
        <v/>
      </c>
      <c r="C73" s="986">
        <f>'REVIEW - Complete Role Mapping'!$C$154</f>
        <v/>
      </c>
      <c r="D73" s="1005">
        <f>'REVIEW - Complete Role Mapping'!$AK$154</f>
        <v/>
      </c>
      <c r="E73" s="986" t="inlineStr"/>
      <c r="F73" s="986" t="inlineStr"/>
      <c r="G73" s="982" t="n"/>
      <c r="H73" s="982" t="n"/>
      <c r="I73" s="982" t="n"/>
      <c r="J73" s="982" t="n"/>
      <c r="K73" s="982" t="n"/>
      <c r="L73" s="982" t="n"/>
      <c r="M73" s="982" t="n"/>
      <c r="N73" s="982" t="n"/>
      <c r="O73" s="982" t="n"/>
    </row>
    <row r="74">
      <c r="A74" s="982" t="n"/>
      <c r="B74" s="986">
        <f>'REVIEW - Complete Role Mapping'!$B$163</f>
        <v/>
      </c>
      <c r="C74" s="986">
        <f>'REVIEW - Complete Role Mapping'!$C$163</f>
        <v/>
      </c>
      <c r="D74" s="1005">
        <f>'REVIEW - Complete Role Mapping'!$AK$163</f>
        <v/>
      </c>
      <c r="E74" s="986" t="inlineStr"/>
      <c r="F74" s="986" t="inlineStr"/>
      <c r="G74" s="982" t="n"/>
      <c r="H74" s="982" t="n"/>
      <c r="I74" s="982" t="n"/>
      <c r="J74" s="982" t="n"/>
      <c r="K74" s="982" t="n"/>
      <c r="L74" s="982" t="n"/>
      <c r="M74" s="982" t="n"/>
      <c r="N74" s="982" t="n"/>
      <c r="O74" s="982" t="n"/>
    </row>
    <row r="75">
      <c r="A75" s="982" t="n"/>
      <c r="B75" s="986">
        <f>'REVIEW - Complete Role Mapping'!$B$170</f>
        <v/>
      </c>
      <c r="C75" s="986">
        <f>'REVIEW - Complete Role Mapping'!$C$170</f>
        <v/>
      </c>
      <c r="D75" s="1005">
        <f>'REVIEW - Complete Role Mapping'!$AK$170</f>
        <v/>
      </c>
      <c r="E75" s="1006" t="inlineStr">
        <is>
          <t>Hold</t>
        </is>
      </c>
      <c r="F75" s="1007">
        <f>'REVIEW - Complete Role Mapping'!$AA$170</f>
        <v/>
      </c>
      <c r="G75" s="982" t="n"/>
      <c r="H75" s="982" t="n"/>
      <c r="I75" s="982" t="n"/>
      <c r="J75" s="982" t="n"/>
      <c r="K75" s="982" t="n"/>
      <c r="L75" s="982" t="n"/>
      <c r="M75" s="982" t="n"/>
      <c r="N75" s="982" t="n"/>
      <c r="O75" s="982" t="n"/>
    </row>
    <row r="76">
      <c r="A76" s="982" t="n"/>
      <c r="B76" s="1004" t="inlineStr">
        <is>
          <t>AU CRM &amp; Martech</t>
        </is>
      </c>
      <c r="C76" s="1004" t="inlineStr"/>
      <c r="D76" s="1004" t="inlineStr"/>
      <c r="E76" s="1004" t="inlineStr"/>
      <c r="F76" s="1004" t="inlineStr"/>
      <c r="G76" s="982" t="n"/>
      <c r="H76" s="982" t="n"/>
      <c r="I76" s="982" t="n"/>
      <c r="J76" s="982" t="n"/>
      <c r="K76" s="982" t="n"/>
      <c r="L76" s="982" t="n"/>
      <c r="M76" s="982" t="n"/>
      <c r="N76" s="982" t="n"/>
      <c r="O76" s="982" t="n"/>
    </row>
    <row r="77">
      <c r="A77" s="982" t="n"/>
      <c r="B77" s="986">
        <f>'REVIEW - Complete Role Mapping'!$B$114</f>
        <v/>
      </c>
      <c r="C77" s="986">
        <f>'REVIEW - Complete Role Mapping'!$C$114</f>
        <v/>
      </c>
      <c r="D77" s="1005">
        <f>'REVIEW - Complete Role Mapping'!$AK$114</f>
        <v/>
      </c>
      <c r="E77" s="986" t="inlineStr"/>
      <c r="F77" s="986" t="inlineStr"/>
      <c r="G77" s="982" t="n"/>
      <c r="H77" s="982" t="n"/>
      <c r="I77" s="982" t="n"/>
      <c r="J77" s="982" t="n"/>
      <c r="K77" s="982" t="n"/>
      <c r="L77" s="982" t="n"/>
      <c r="M77" s="982" t="n"/>
      <c r="N77" s="982" t="n"/>
      <c r="O77" s="982" t="n"/>
    </row>
    <row r="78">
      <c r="A78" s="982" t="n"/>
      <c r="B78" s="986">
        <f>'REVIEW - Complete Role Mapping'!$B$136</f>
        <v/>
      </c>
      <c r="C78" s="986">
        <f>'REVIEW - Complete Role Mapping'!$C$136</f>
        <v/>
      </c>
      <c r="D78" s="1005">
        <f>'REVIEW - Complete Role Mapping'!$AK$136</f>
        <v/>
      </c>
      <c r="E78" s="1006" t="inlineStr">
        <is>
          <t>Hold</t>
        </is>
      </c>
      <c r="F78" s="1007">
        <f>'REVIEW - Complete Role Mapping'!$AA$136</f>
        <v/>
      </c>
      <c r="G78" s="982" t="n"/>
      <c r="H78" s="982" t="n"/>
      <c r="I78" s="982" t="n"/>
      <c r="J78" s="982" t="n"/>
      <c r="K78" s="982" t="n"/>
      <c r="L78" s="982" t="n"/>
      <c r="M78" s="982" t="n"/>
      <c r="N78" s="982" t="n"/>
      <c r="O78" s="982" t="n"/>
    </row>
    <row r="79">
      <c r="A79" s="982" t="n"/>
      <c r="B79" s="986">
        <f>'REVIEW - Complete Role Mapping'!$B$164</f>
        <v/>
      </c>
      <c r="C79" s="986">
        <f>'REVIEW - Complete Role Mapping'!$C$164</f>
        <v/>
      </c>
      <c r="D79" s="1005">
        <f>'REVIEW - Complete Role Mapping'!$AK$164</f>
        <v/>
      </c>
      <c r="E79" s="986" t="inlineStr"/>
      <c r="F79" s="986" t="inlineStr"/>
      <c r="G79" s="982" t="n"/>
      <c r="H79" s="982" t="n"/>
      <c r="I79" s="982" t="n"/>
      <c r="J79" s="982" t="n"/>
      <c r="K79" s="982" t="n"/>
      <c r="L79" s="982" t="n"/>
      <c r="M79" s="982" t="n"/>
      <c r="N79" s="982" t="n"/>
      <c r="O79" s="982" t="n"/>
    </row>
    <row r="80">
      <c r="A80" s="982" t="n"/>
      <c r="B80" s="986">
        <f>'REVIEW - Complete Role Mapping'!$B$174</f>
        <v/>
      </c>
      <c r="C80" s="986">
        <f>'REVIEW - Complete Role Mapping'!$C$174</f>
        <v/>
      </c>
      <c r="D80" s="1005">
        <f>'REVIEW - Complete Role Mapping'!$AK$174</f>
        <v/>
      </c>
      <c r="E80" s="986" t="inlineStr"/>
      <c r="F80" s="986" t="inlineStr"/>
      <c r="G80" s="982" t="n"/>
      <c r="H80" s="982" t="n"/>
      <c r="I80" s="982" t="n"/>
      <c r="J80" s="982" t="n"/>
      <c r="K80" s="982" t="n"/>
      <c r="L80" s="982" t="n"/>
      <c r="M80" s="982" t="n"/>
      <c r="N80" s="982" t="n"/>
      <c r="O80" s="982" t="n"/>
    </row>
    <row r="81">
      <c r="A81" s="982" t="n"/>
      <c r="B81" s="986">
        <f>'REVIEW - Complete Role Mapping'!$B$177</f>
        <v/>
      </c>
      <c r="C81" s="986">
        <f>'REVIEW - Complete Role Mapping'!$C$177</f>
        <v/>
      </c>
      <c r="D81" s="1005">
        <f>'REVIEW - Complete Role Mapping'!$AK$177</f>
        <v/>
      </c>
      <c r="E81" s="986" t="inlineStr"/>
      <c r="F81" s="986" t="inlineStr"/>
      <c r="G81" s="982" t="n"/>
      <c r="H81" s="982" t="n"/>
      <c r="I81" s="982" t="n"/>
      <c r="J81" s="982" t="n"/>
      <c r="K81" s="982" t="n"/>
      <c r="L81" s="982" t="n"/>
      <c r="M81" s="982" t="n"/>
      <c r="N81" s="982" t="n"/>
      <c r="O81" s="982" t="n"/>
    </row>
    <row r="82">
      <c r="A82" s="982" t="n"/>
      <c r="B82" s="986">
        <f>'REVIEW - Complete Role Mapping'!$B$183</f>
        <v/>
      </c>
      <c r="C82" s="986">
        <f>'REVIEW - Complete Role Mapping'!$C$183</f>
        <v/>
      </c>
      <c r="D82" s="1005">
        <f>'REVIEW - Complete Role Mapping'!$AK$183</f>
        <v/>
      </c>
      <c r="E82" s="986" t="inlineStr"/>
      <c r="F82" s="986" t="inlineStr"/>
      <c r="G82" s="982" t="n"/>
      <c r="H82" s="982" t="n"/>
      <c r="I82" s="982" t="n"/>
      <c r="J82" s="982" t="n"/>
      <c r="K82" s="982" t="n"/>
      <c r="L82" s="982" t="n"/>
      <c r="M82" s="982" t="n"/>
      <c r="N82" s="982" t="n"/>
      <c r="O82" s="982" t="n"/>
    </row>
    <row r="83">
      <c r="A83" s="982" t="n"/>
      <c r="B83" s="986">
        <f>'REVIEW - Complete Role Mapping'!$B$187</f>
        <v/>
      </c>
      <c r="C83" s="986">
        <f>'REVIEW - Complete Role Mapping'!$C$187</f>
        <v/>
      </c>
      <c r="D83" s="1005">
        <f>'REVIEW - Complete Role Mapping'!$AK$187</f>
        <v/>
      </c>
      <c r="E83" s="1006" t="inlineStr">
        <is>
          <t>Hold</t>
        </is>
      </c>
      <c r="F83" s="1007">
        <f>'REVIEW - Complete Role Mapping'!$AA$187</f>
        <v/>
      </c>
      <c r="G83" s="982" t="n"/>
      <c r="H83" s="982" t="n"/>
      <c r="I83" s="982" t="n"/>
      <c r="J83" s="982" t="n"/>
      <c r="K83" s="982" t="n"/>
      <c r="L83" s="982" t="n"/>
      <c r="M83" s="982" t="n"/>
      <c r="N83" s="982" t="n"/>
      <c r="O83" s="982" t="n"/>
    </row>
    <row r="84">
      <c r="A84" s="982" t="n"/>
      <c r="B84" s="1004" t="inlineStr">
        <is>
          <t>Z Energy Martech</t>
        </is>
      </c>
      <c r="C84" s="1004" t="inlineStr"/>
      <c r="D84" s="1004" t="inlineStr"/>
      <c r="E84" s="1004" t="inlineStr"/>
      <c r="F84" s="1004" t="inlineStr"/>
      <c r="G84" s="982" t="n"/>
      <c r="H84" s="982" t="n"/>
      <c r="I84" s="982" t="n"/>
      <c r="J84" s="982" t="n"/>
      <c r="K84" s="982" t="n"/>
      <c r="L84" s="982" t="n"/>
      <c r="M84" s="982" t="n"/>
      <c r="N84" s="982" t="n"/>
      <c r="O84" s="982" t="n"/>
    </row>
    <row r="85">
      <c r="A85" s="982" t="n"/>
      <c r="B85" s="986">
        <f>'REVIEW - Complete Role Mapping'!$B$117</f>
        <v/>
      </c>
      <c r="C85" s="986">
        <f>'REVIEW - Complete Role Mapping'!$C$117</f>
        <v/>
      </c>
      <c r="D85" s="1005">
        <f>'REVIEW - Complete Role Mapping'!$AK$117</f>
        <v/>
      </c>
      <c r="E85" s="986" t="inlineStr"/>
      <c r="F85" s="986" t="inlineStr"/>
      <c r="G85" s="982" t="n"/>
      <c r="H85" s="982" t="n"/>
      <c r="I85" s="982" t="n"/>
      <c r="J85" s="982" t="n"/>
      <c r="K85" s="982" t="n"/>
      <c r="L85" s="982" t="n"/>
      <c r="M85" s="982" t="n"/>
      <c r="N85" s="982" t="n"/>
      <c r="O85" s="982" t="n"/>
    </row>
    <row r="86">
      <c r="A86" s="982" t="n"/>
      <c r="B86" s="986">
        <f>'REVIEW - Complete Role Mapping'!$B$121</f>
        <v/>
      </c>
      <c r="C86" s="986">
        <f>'REVIEW - Complete Role Mapping'!$C$121</f>
        <v/>
      </c>
      <c r="D86" s="1005">
        <f>'REVIEW - Complete Role Mapping'!$AK$121</f>
        <v/>
      </c>
      <c r="E86" s="986" t="inlineStr"/>
      <c r="F86" s="986" t="inlineStr"/>
      <c r="G86" s="982" t="n"/>
      <c r="H86" s="982" t="n"/>
      <c r="I86" s="982" t="n"/>
      <c r="J86" s="982" t="n"/>
      <c r="K86" s="982" t="n"/>
      <c r="L86" s="982" t="n"/>
      <c r="M86" s="982" t="n"/>
      <c r="N86" s="982" t="n"/>
      <c r="O86" s="982" t="n"/>
    </row>
    <row r="87">
      <c r="A87" s="982" t="n"/>
      <c r="B87" s="986">
        <f>'REVIEW - Complete Role Mapping'!$B$124</f>
        <v/>
      </c>
      <c r="C87" s="986">
        <f>'REVIEW - Complete Role Mapping'!$C$124</f>
        <v/>
      </c>
      <c r="D87" s="1005">
        <f>'REVIEW - Complete Role Mapping'!$AK$124</f>
        <v/>
      </c>
      <c r="E87" s="986" t="inlineStr"/>
      <c r="F87" s="986" t="inlineStr"/>
      <c r="G87" s="982" t="n"/>
      <c r="H87" s="982" t="n"/>
      <c r="I87" s="982" t="n"/>
      <c r="J87" s="982" t="n"/>
      <c r="K87" s="982" t="n"/>
      <c r="L87" s="982" t="n"/>
      <c r="M87" s="982" t="n"/>
      <c r="N87" s="982" t="n"/>
      <c r="O87" s="982" t="n"/>
    </row>
    <row r="88">
      <c r="A88" s="982" t="n"/>
      <c r="B88" s="986">
        <f>'REVIEW - Complete Role Mapping'!$B$125</f>
        <v/>
      </c>
      <c r="C88" s="986">
        <f>'REVIEW - Complete Role Mapping'!$C$125</f>
        <v/>
      </c>
      <c r="D88" s="1005">
        <f>'REVIEW - Complete Role Mapping'!$AK$125</f>
        <v/>
      </c>
      <c r="E88" s="986" t="inlineStr"/>
      <c r="F88" s="986" t="inlineStr"/>
      <c r="G88" s="982" t="n"/>
      <c r="H88" s="982" t="n"/>
      <c r="I88" s="982" t="n"/>
      <c r="J88" s="982" t="n"/>
      <c r="K88" s="982" t="n"/>
      <c r="L88" s="982" t="n"/>
      <c r="M88" s="982" t="n"/>
      <c r="N88" s="982" t="n"/>
      <c r="O88" s="982" t="n"/>
    </row>
    <row r="89">
      <c r="A89" s="982" t="n"/>
      <c r="B89" s="986">
        <f>'REVIEW - Complete Role Mapping'!$B$130</f>
        <v/>
      </c>
      <c r="C89" s="986">
        <f>'REVIEW - Complete Role Mapping'!$C$130</f>
        <v/>
      </c>
      <c r="D89" s="1005">
        <f>'REVIEW - Complete Role Mapping'!$AK$130</f>
        <v/>
      </c>
      <c r="E89" s="1006" t="inlineStr">
        <is>
          <t>Hold</t>
        </is>
      </c>
      <c r="F89" s="1007">
        <f>'REVIEW - Complete Role Mapping'!$AA$130</f>
        <v/>
      </c>
      <c r="G89" s="982" t="n"/>
      <c r="H89" s="982" t="n"/>
      <c r="I89" s="982" t="n"/>
      <c r="J89" s="982" t="n"/>
      <c r="K89" s="982" t="n"/>
      <c r="L89" s="982" t="n"/>
      <c r="M89" s="982" t="n"/>
      <c r="N89" s="982" t="n"/>
      <c r="O89" s="982" t="n"/>
    </row>
    <row r="90">
      <c r="A90" s="982" t="n"/>
      <c r="B90" s="986">
        <f>'REVIEW - Complete Role Mapping'!$B$139</f>
        <v/>
      </c>
      <c r="C90" s="986">
        <f>'REVIEW - Complete Role Mapping'!$C$139</f>
        <v/>
      </c>
      <c r="D90" s="1005">
        <f>'REVIEW - Complete Role Mapping'!$AK$139</f>
        <v/>
      </c>
      <c r="E90" s="1006" t="inlineStr">
        <is>
          <t>Hold</t>
        </is>
      </c>
      <c r="F90" s="1007">
        <f>'REVIEW - Complete Role Mapping'!$AA$139</f>
        <v/>
      </c>
      <c r="G90" s="982" t="n"/>
      <c r="H90" s="982" t="n"/>
      <c r="I90" s="982" t="n"/>
      <c r="J90" s="982" t="n"/>
      <c r="K90" s="982" t="n"/>
      <c r="L90" s="982" t="n"/>
      <c r="M90" s="982" t="n"/>
      <c r="N90" s="982" t="n"/>
      <c r="O90" s="982" t="n"/>
    </row>
    <row r="91">
      <c r="A91" s="982" t="n"/>
      <c r="B91" s="986">
        <f>'REVIEW - Complete Role Mapping'!$B$140</f>
        <v/>
      </c>
      <c r="C91" s="986">
        <f>'REVIEW - Complete Role Mapping'!$C$140</f>
        <v/>
      </c>
      <c r="D91" s="1005">
        <f>'REVIEW - Complete Role Mapping'!$AK$140</f>
        <v/>
      </c>
      <c r="E91" s="1006" t="inlineStr">
        <is>
          <t>Hold</t>
        </is>
      </c>
      <c r="F91" s="1007">
        <f>'REVIEW - Complete Role Mapping'!$AA$140</f>
        <v/>
      </c>
      <c r="G91" s="982" t="n"/>
      <c r="H91" s="982" t="n"/>
      <c r="I91" s="982" t="n"/>
      <c r="J91" s="982" t="n"/>
      <c r="K91" s="982" t="n"/>
      <c r="L91" s="982" t="n"/>
      <c r="M91" s="982" t="n"/>
      <c r="N91" s="982" t="n"/>
      <c r="O91" s="982" t="n"/>
    </row>
    <row r="92">
      <c r="A92" s="982" t="n"/>
      <c r="B92" s="986">
        <f>'REVIEW - Complete Role Mapping'!$B$141</f>
        <v/>
      </c>
      <c r="C92" s="986">
        <f>'REVIEW - Complete Role Mapping'!$C$141</f>
        <v/>
      </c>
      <c r="D92" s="1005">
        <f>'REVIEW - Complete Role Mapping'!$AK$141</f>
        <v/>
      </c>
      <c r="E92" s="1006" t="inlineStr">
        <is>
          <t>Hold</t>
        </is>
      </c>
      <c r="F92" s="1007">
        <f>'REVIEW - Complete Role Mapping'!$AA$141</f>
        <v/>
      </c>
      <c r="G92" s="982" t="n"/>
      <c r="H92" s="982" t="n"/>
      <c r="I92" s="982" t="n"/>
      <c r="J92" s="982" t="n"/>
      <c r="K92" s="982" t="n"/>
      <c r="L92" s="982" t="n"/>
      <c r="M92" s="982" t="n"/>
      <c r="N92" s="982" t="n"/>
      <c r="O92" s="982" t="n"/>
    </row>
    <row r="93">
      <c r="A93" s="982" t="n"/>
      <c r="B93" s="986">
        <f>'REVIEW - Complete Role Mapping'!$B$143</f>
        <v/>
      </c>
      <c r="C93" s="986">
        <f>'REVIEW - Complete Role Mapping'!$C$143</f>
        <v/>
      </c>
      <c r="D93" s="1005">
        <f>'REVIEW - Complete Role Mapping'!$AK$143</f>
        <v/>
      </c>
      <c r="E93" s="986" t="inlineStr"/>
      <c r="F93" s="986" t="inlineStr"/>
      <c r="G93" s="982" t="n"/>
      <c r="H93" s="982" t="n"/>
      <c r="I93" s="982" t="n"/>
      <c r="J93" s="982" t="n"/>
      <c r="K93" s="982" t="n"/>
      <c r="L93" s="982" t="n"/>
      <c r="M93" s="982" t="n"/>
      <c r="N93" s="982" t="n"/>
      <c r="O93" s="982" t="n"/>
    </row>
    <row r="94">
      <c r="A94" s="982" t="n"/>
      <c r="B94" s="986">
        <f>'REVIEW - Complete Role Mapping'!$B$148</f>
        <v/>
      </c>
      <c r="C94" s="986">
        <f>'REVIEW - Complete Role Mapping'!$C$148</f>
        <v/>
      </c>
      <c r="D94" s="1005">
        <f>'REVIEW - Complete Role Mapping'!$AK$148</f>
        <v/>
      </c>
      <c r="E94" s="1006" t="inlineStr">
        <is>
          <t>Hold</t>
        </is>
      </c>
      <c r="F94" s="1007">
        <f>'REVIEW - Complete Role Mapping'!$AA$148</f>
        <v/>
      </c>
      <c r="G94" s="982" t="n"/>
      <c r="H94" s="982" t="n"/>
      <c r="I94" s="982" t="n"/>
      <c r="J94" s="982" t="n"/>
      <c r="K94" s="982" t="n"/>
      <c r="L94" s="982" t="n"/>
      <c r="M94" s="982" t="n"/>
      <c r="N94" s="982" t="n"/>
      <c r="O94" s="982" t="n"/>
    </row>
    <row r="95">
      <c r="A95" s="982" t="n"/>
      <c r="B95" s="986">
        <f>'REVIEW - Complete Role Mapping'!$B$150</f>
        <v/>
      </c>
      <c r="C95" s="986">
        <f>'REVIEW - Complete Role Mapping'!$C$150</f>
        <v/>
      </c>
      <c r="D95" s="1005">
        <f>'REVIEW - Complete Role Mapping'!$AK$150</f>
        <v/>
      </c>
      <c r="E95" s="986" t="inlineStr"/>
      <c r="F95" s="986" t="inlineStr"/>
      <c r="G95" s="982" t="n"/>
      <c r="H95" s="982" t="n"/>
      <c r="I95" s="982" t="n"/>
      <c r="J95" s="982" t="n"/>
      <c r="K95" s="982" t="n"/>
      <c r="L95" s="982" t="n"/>
      <c r="M95" s="982" t="n"/>
      <c r="N95" s="982" t="n"/>
      <c r="O95" s="982" t="n"/>
    </row>
    <row r="96">
      <c r="A96" s="982" t="n"/>
      <c r="B96" s="986">
        <f>'REVIEW - Complete Role Mapping'!$B$161</f>
        <v/>
      </c>
      <c r="C96" s="986">
        <f>'REVIEW - Complete Role Mapping'!$C$161</f>
        <v/>
      </c>
      <c r="D96" s="1005">
        <f>'REVIEW - Complete Role Mapping'!$AK$161</f>
        <v/>
      </c>
      <c r="E96" s="1006" t="inlineStr">
        <is>
          <t>Hold</t>
        </is>
      </c>
      <c r="F96" s="1007">
        <f>'REVIEW - Complete Role Mapping'!$AA$161</f>
        <v/>
      </c>
      <c r="G96" s="982" t="n"/>
      <c r="H96" s="982" t="n"/>
      <c r="I96" s="982" t="n"/>
      <c r="J96" s="982" t="n"/>
      <c r="K96" s="982" t="n"/>
      <c r="L96" s="982" t="n"/>
      <c r="M96" s="982" t="n"/>
      <c r="N96" s="982" t="n"/>
      <c r="O96" s="982" t="n"/>
    </row>
    <row r="97">
      <c r="A97" s="982" t="n"/>
      <c r="B97" s="986">
        <f>'REVIEW - Complete Role Mapping'!$B$171</f>
        <v/>
      </c>
      <c r="C97" s="986">
        <f>'REVIEW - Complete Role Mapping'!$C$171</f>
        <v/>
      </c>
      <c r="D97" s="1005">
        <f>'REVIEW - Complete Role Mapping'!$AK$171</f>
        <v/>
      </c>
      <c r="E97" s="986" t="inlineStr"/>
      <c r="F97" s="986" t="inlineStr"/>
      <c r="G97" s="982" t="n"/>
      <c r="H97" s="982" t="n"/>
      <c r="I97" s="982" t="n"/>
      <c r="J97" s="982" t="n"/>
      <c r="K97" s="982" t="n"/>
      <c r="L97" s="982" t="n"/>
      <c r="M97" s="982" t="n"/>
      <c r="N97" s="982" t="n"/>
      <c r="O97" s="982" t="n"/>
    </row>
    <row r="98">
      <c r="A98" s="982" t="n"/>
      <c r="B98" s="986">
        <f>'REVIEW - Complete Role Mapping'!$B$178</f>
        <v/>
      </c>
      <c r="C98" s="986">
        <f>'REVIEW - Complete Role Mapping'!$C$178</f>
        <v/>
      </c>
      <c r="D98" s="1005">
        <f>'REVIEW - Complete Role Mapping'!$AK$178</f>
        <v/>
      </c>
      <c r="E98" s="986" t="inlineStr"/>
      <c r="F98" s="986" t="inlineStr"/>
      <c r="G98" s="982" t="n"/>
      <c r="H98" s="982" t="n"/>
      <c r="I98" s="982" t="n"/>
      <c r="J98" s="982" t="n"/>
      <c r="K98" s="982" t="n"/>
      <c r="L98" s="982" t="n"/>
      <c r="M98" s="982" t="n"/>
      <c r="N98" s="982" t="n"/>
      <c r="O98" s="982" t="n"/>
    </row>
    <row r="99">
      <c r="A99" s="982" t="n"/>
      <c r="B99" s="986">
        <f>'REVIEW - Complete Role Mapping'!$B$179</f>
        <v/>
      </c>
      <c r="C99" s="986">
        <f>'REVIEW - Complete Role Mapping'!$C$179</f>
        <v/>
      </c>
      <c r="D99" s="1005">
        <f>'REVIEW - Complete Role Mapping'!$AK$179</f>
        <v/>
      </c>
      <c r="E99" s="986" t="inlineStr"/>
      <c r="F99" s="986" t="inlineStr"/>
      <c r="G99" s="982" t="n"/>
      <c r="H99" s="982" t="n"/>
      <c r="I99" s="982" t="n"/>
      <c r="J99" s="982" t="n"/>
      <c r="K99" s="982" t="n"/>
      <c r="L99" s="982" t="n"/>
      <c r="M99" s="982" t="n"/>
      <c r="N99" s="982" t="n"/>
      <c r="O99" s="982" t="n"/>
    </row>
    <row r="100">
      <c r="A100" s="982" t="n"/>
      <c r="B100" s="986">
        <f>'REVIEW - Complete Role Mapping'!$B$191</f>
        <v/>
      </c>
      <c r="C100" s="986">
        <f>'REVIEW - Complete Role Mapping'!$C$191</f>
        <v/>
      </c>
      <c r="D100" s="1005">
        <f>'REVIEW - Complete Role Mapping'!$AK$191</f>
        <v/>
      </c>
      <c r="E100" s="1006" t="inlineStr">
        <is>
          <t>Hold</t>
        </is>
      </c>
      <c r="F100" s="1007">
        <f>'REVIEW - Complete Role Mapping'!$AA$191</f>
        <v/>
      </c>
      <c r="G100" s="982" t="n"/>
      <c r="H100" s="982" t="n"/>
      <c r="I100" s="982" t="n"/>
      <c r="J100" s="982" t="n"/>
      <c r="K100" s="982" t="n"/>
      <c r="L100" s="982" t="n"/>
      <c r="M100" s="982" t="n"/>
      <c r="N100" s="982" t="n"/>
      <c r="O100" s="982" t="n"/>
    </row>
    <row r="101">
      <c r="A101" s="982" t="n"/>
      <c r="B101" s="1004" t="inlineStr">
        <is>
          <t>Z Energy Apps</t>
        </is>
      </c>
      <c r="C101" s="1004" t="inlineStr"/>
      <c r="D101" s="1004" t="inlineStr"/>
      <c r="E101" s="1004" t="inlineStr"/>
      <c r="F101" s="1004" t="inlineStr"/>
      <c r="G101" s="982" t="n"/>
      <c r="H101" s="982" t="n"/>
      <c r="I101" s="982" t="n"/>
      <c r="J101" s="982" t="n"/>
      <c r="K101" s="982" t="n"/>
      <c r="L101" s="982" t="n"/>
      <c r="M101" s="982" t="n"/>
      <c r="N101" s="982" t="n"/>
      <c r="O101" s="982" t="n"/>
    </row>
    <row r="102">
      <c r="B102" s="986">
        <f>'REVIEW - Complete Role Mapping'!$B$118</f>
        <v/>
      </c>
      <c r="C102" s="986">
        <f>'REVIEW - Complete Role Mapping'!$C$118</f>
        <v/>
      </c>
      <c r="D102" s="1005">
        <f>'REVIEW - Complete Role Mapping'!$AK$118</f>
        <v/>
      </c>
      <c r="E102" s="986" t="inlineStr"/>
      <c r="F102" s="986" t="inlineStr"/>
    </row>
    <row r="103">
      <c r="B103" s="986">
        <f>'REVIEW - Complete Role Mapping'!$B$134</f>
        <v/>
      </c>
      <c r="C103" s="986">
        <f>'REVIEW - Complete Role Mapping'!$C$134</f>
        <v/>
      </c>
      <c r="D103" s="1005">
        <f>'REVIEW - Complete Role Mapping'!$AK$134</f>
        <v/>
      </c>
      <c r="E103" s="986" t="inlineStr"/>
      <c r="F103" s="986" t="inlineStr"/>
    </row>
    <row r="104">
      <c r="B104" s="986">
        <f>'REVIEW - Complete Role Mapping'!$B$159</f>
        <v/>
      </c>
      <c r="C104" s="986">
        <f>'REVIEW - Complete Role Mapping'!$C$159</f>
        <v/>
      </c>
      <c r="D104" s="1005">
        <f>'REVIEW - Complete Role Mapping'!$AK$159</f>
        <v/>
      </c>
      <c r="E104" s="986" t="inlineStr"/>
      <c r="F104" s="986" t="inlineStr"/>
    </row>
    <row r="105">
      <c r="B105" s="986">
        <f>'REVIEW - Complete Role Mapping'!$B$162</f>
        <v/>
      </c>
      <c r="C105" s="986">
        <f>'REVIEW - Complete Role Mapping'!$C$162</f>
        <v/>
      </c>
      <c r="D105" s="1005">
        <f>'REVIEW - Complete Role Mapping'!$AK$162</f>
        <v/>
      </c>
      <c r="E105" s="986" t="inlineStr"/>
      <c r="F105" s="986" t="inlineStr"/>
    </row>
    <row r="106">
      <c r="B106" s="986">
        <f>'REVIEW - Complete Role Mapping'!$B$169</f>
        <v/>
      </c>
      <c r="C106" s="986">
        <f>'REVIEW - Complete Role Mapping'!$C$169</f>
        <v/>
      </c>
      <c r="D106" s="1005">
        <f>'REVIEW - Complete Role Mapping'!$AK$169</f>
        <v/>
      </c>
      <c r="E106" s="1006" t="inlineStr">
        <is>
          <t>Hold</t>
        </is>
      </c>
      <c r="F106" s="1007">
        <f>'REVIEW - Complete Role Mapping'!$AA$169</f>
        <v/>
      </c>
    </row>
    <row r="107">
      <c r="B107" s="1004" t="inlineStr">
        <is>
          <t>Digital Ops Support</t>
        </is>
      </c>
      <c r="C107" s="1004" t="inlineStr"/>
      <c r="D107" s="1004" t="inlineStr"/>
      <c r="E107" s="1004" t="inlineStr"/>
      <c r="F107" s="1004" t="inlineStr"/>
    </row>
    <row r="108">
      <c r="B108" s="986">
        <f>'REVIEW - Complete Role Mapping'!$B$127</f>
        <v/>
      </c>
      <c r="C108" s="986">
        <f>'REVIEW - Complete Role Mapping'!$C$127</f>
        <v/>
      </c>
      <c r="D108" s="1005">
        <f>'REVIEW - Complete Role Mapping'!$AK$127</f>
        <v/>
      </c>
      <c r="E108" s="986" t="inlineStr"/>
      <c r="F108" s="986" t="inlineStr"/>
    </row>
    <row r="109">
      <c r="B109" s="986">
        <f>'REVIEW - Complete Role Mapping'!$B$132</f>
        <v/>
      </c>
      <c r="C109" s="986">
        <f>'REVIEW - Complete Role Mapping'!$C$132</f>
        <v/>
      </c>
      <c r="D109" s="1005">
        <f>'REVIEW - Complete Role Mapping'!$AK$132</f>
        <v/>
      </c>
      <c r="E109" s="986" t="inlineStr"/>
      <c r="F109" s="986" t="inlineStr"/>
    </row>
    <row r="110">
      <c r="B110" s="986">
        <f>'REVIEW - Complete Role Mapping'!$B$147</f>
        <v/>
      </c>
      <c r="C110" s="986">
        <f>'REVIEW - Complete Role Mapping'!$C$147</f>
        <v/>
      </c>
      <c r="D110" s="1005">
        <f>'REVIEW - Complete Role Mapping'!$AK$147</f>
        <v/>
      </c>
      <c r="E110" s="1006" t="inlineStr">
        <is>
          <t>Hold</t>
        </is>
      </c>
      <c r="F110" s="1007">
        <f>'REVIEW - Complete Role Mapping'!$AA$147</f>
        <v/>
      </c>
    </row>
    <row r="111">
      <c r="B111" s="986">
        <f>'REVIEW - Complete Role Mapping'!$B$166</f>
        <v/>
      </c>
      <c r="C111" s="986">
        <f>'REVIEW - Complete Role Mapping'!$C$166</f>
        <v/>
      </c>
      <c r="D111" s="1005">
        <f>'REVIEW - Complete Role Mapping'!$AK$166</f>
        <v/>
      </c>
      <c r="E111" s="986" t="inlineStr"/>
      <c r="F111" s="986" t="inlineStr"/>
    </row>
    <row r="112">
      <c r="B112" s="986">
        <f>'REVIEW - Complete Role Mapping'!$B$181</f>
        <v/>
      </c>
      <c r="C112" s="986">
        <f>'REVIEW - Complete Role Mapping'!$C$181</f>
        <v/>
      </c>
      <c r="D112" s="1005">
        <f>'REVIEW - Complete Role Mapping'!$AK$181</f>
        <v/>
      </c>
      <c r="E112" s="986" t="inlineStr"/>
      <c r="F112" s="986" t="inlineStr"/>
    </row>
    <row r="113">
      <c r="B113" s="986">
        <f>'REVIEW - Complete Role Mapping'!$B$182</f>
        <v/>
      </c>
      <c r="C113" s="986">
        <f>'REVIEW - Complete Role Mapping'!$C$182</f>
        <v/>
      </c>
      <c r="D113" s="1005">
        <f>'REVIEW - Complete Role Mapping'!$AK$182</f>
        <v/>
      </c>
      <c r="E113" s="986" t="inlineStr"/>
      <c r="F113" s="986" t="inlineStr"/>
    </row>
    <row r="114">
      <c r="B114" s="986">
        <f>'REVIEW - Complete Role Mapping'!$B$185</f>
        <v/>
      </c>
      <c r="C114" s="986">
        <f>'REVIEW - Complete Role Mapping'!$C$185</f>
        <v/>
      </c>
      <c r="D114" s="1005">
        <f>'REVIEW - Complete Role Mapping'!$AK$185</f>
        <v/>
      </c>
      <c r="E114" s="986" t="inlineStr"/>
      <c r="F114" s="986" t="inlineStr"/>
    </row>
    <row r="115">
      <c r="B115" s="1004" t="inlineStr">
        <is>
          <t>Energy</t>
        </is>
      </c>
      <c r="C115" s="1004" t="inlineStr"/>
      <c r="D115" s="1004" t="inlineStr"/>
      <c r="E115" s="1004" t="inlineStr"/>
      <c r="F115" s="1004" t="inlineStr"/>
    </row>
    <row r="116">
      <c r="B116" s="986">
        <f>'REVIEW - Complete Role Mapping'!$B$135</f>
        <v/>
      </c>
      <c r="C116" s="986">
        <f>'REVIEW - Complete Role Mapping'!$C$135</f>
        <v/>
      </c>
      <c r="D116" s="1005">
        <f>'REVIEW - Complete Role Mapping'!$AK$135</f>
        <v/>
      </c>
      <c r="E116" s="1006" t="inlineStr">
        <is>
          <t>Hold</t>
        </is>
      </c>
      <c r="F116" s="1007">
        <f>'REVIEW - Complete Role Mapping'!$AA$135</f>
        <v/>
      </c>
    </row>
    <row r="117">
      <c r="B117" s="1004" t="inlineStr">
        <is>
          <t>Customer AI</t>
        </is>
      </c>
      <c r="C117" s="1004" t="inlineStr"/>
      <c r="D117" s="1004" t="inlineStr"/>
      <c r="E117" s="1004" t="inlineStr"/>
      <c r="F117" s="1004" t="inlineStr"/>
    </row>
    <row r="118">
      <c r="B118" s="986">
        <f>'REVIEW - Complete Role Mapping'!$B$173</f>
        <v/>
      </c>
      <c r="C118" s="986">
        <f>'REVIEW - Complete Role Mapping'!$C$173</f>
        <v/>
      </c>
      <c r="D118" s="1005">
        <f>'REVIEW - Complete Role Mapping'!$AK$173</f>
        <v/>
      </c>
      <c r="E118" s="986" t="inlineStr"/>
      <c r="F118" s="986" t="inlineStr"/>
    </row>
    <row r="119">
      <c r="B119" s="986">
        <f>'REVIEW - Complete Role Mapping'!$B$180</f>
        <v/>
      </c>
      <c r="C119" s="986">
        <f>'REVIEW - Complete Role Mapping'!$C$180</f>
        <v/>
      </c>
      <c r="D119" s="1005">
        <f>'REVIEW - Complete Role Mapping'!$AK$180</f>
        <v/>
      </c>
      <c r="E119" s="986" t="inlineStr"/>
      <c r="F119" s="986" t="inlineStr"/>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0 E31 E42 E47 E48 E49 E60 E68 E75 E78 E83 E89 E90 E91 E92 E94 E96 E100 E106 E110 E116" showDropDown="0" showInputMessage="0" showErrorMessage="0" allowBlank="0"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A2:O54"/>
  <sheetViews>
    <sheetView showGridLines="0" topLeftCell="A24"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Enterprise Data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Reporting &amp; Analytics</t>
        </is>
      </c>
      <c r="C6" s="987">
        <f>IFERROR(INDEX('3.3 FTE View'!$E:$E,MATCH("Enterprise Data|Reporting &amp; Analytics",'3.3 FTE View'!$AD:$AD,0)),"-")</f>
        <v/>
      </c>
      <c r="D6" s="988">
        <f>IFERROR(INDEX('3.3 FTE View'!$G:$G,MATCH("Enterprise Data|Reporting &amp; Analytics",'3.3 FTE View'!$AD:$AD,0)),"-")</f>
        <v/>
      </c>
      <c r="E6" s="989">
        <f>COUNTIF($D$20:$D$31,"Filled")</f>
        <v/>
      </c>
      <c r="F6" s="989">
        <f>COUNTIF($D$20:$D$31,"Vacant")</f>
        <v/>
      </c>
      <c r="G6" s="989">
        <f>COUNTIF($E$20:$E$31,"Hire")</f>
        <v/>
      </c>
      <c r="H6" s="989">
        <f>F6-G6-COUNTIF($E$20:$E$31,"Offshore")</f>
        <v/>
      </c>
      <c r="I6" s="989">
        <f>IFERROR(E6+G6-D6,"-")</f>
        <v/>
      </c>
      <c r="J6" s="986">
        <f>IF(ISNUMBER(D6),IF(E6&gt;D6,"Filled already over archetype",IF(E6+G6&gt;D6,"Over archetype after hire","")),"Outside the archetype model - no target set")</f>
        <v/>
      </c>
      <c r="K6" s="990">
        <f>IFERROR(INDEX('3.3 FTE View'!$M:$M,MATCH("Enterprise Data|Reporting &amp; Analytics",'3.3 FTE View'!$AD:$AD,0)),"-")</f>
        <v/>
      </c>
      <c r="L6" s="991">
        <f>(SUMIFS('REVIEW - Complete Role Mapping'!$AA:$AA,'REVIEW - Complete Role Mapping'!$AJ:$AJ,"Enterprise Data",'REVIEW - Complete Role Mapping'!$AO:$AO,"Reporting &amp; Analytics",'REVIEW - Complete Role Mapping'!$AK:$AK,"Filled"))/1000000</f>
        <v/>
      </c>
      <c r="M6" s="991">
        <f>L6+(SUMIFS($F$20:$F$31,$E$20:$E$31,"Hire")+0.4*SUMIFS($F$20:$F$31,$E$20:$E$31,"Offshore"))/1000000</f>
        <v/>
      </c>
      <c r="N6" s="991">
        <f>IFERROR(M6-K6,"-")</f>
        <v/>
      </c>
      <c r="O6" s="987">
        <f>IFERROR(INDEX('3.3 FTE View'!$F:$F,MATCH("Enterprise Data|Reporting &amp; Analytics",'3.3 FTE View'!$AD:$AD,0)),"-")</f>
        <v/>
      </c>
    </row>
    <row r="7">
      <c r="A7" s="982" t="n"/>
      <c r="B7" s="992" t="inlineStr">
        <is>
          <t>Data Science</t>
        </is>
      </c>
      <c r="C7" s="987">
        <f>IFERROR(INDEX('3.3 FTE View'!$E:$E,MATCH("Enterprise Data|Data Science",'3.3 FTE View'!$AD:$AD,0)),"-")</f>
        <v/>
      </c>
      <c r="D7" s="988">
        <f>IFERROR(INDEX('3.3 FTE View'!$G:$G,MATCH("Enterprise Data|Data Science",'3.3 FTE View'!$AD:$AD,0)),"-")</f>
        <v/>
      </c>
      <c r="E7" s="989">
        <f>COUNTIF($D$33:$D$36,"Filled")</f>
        <v/>
      </c>
      <c r="F7" s="989">
        <f>COUNTIF($D$33:$D$36,"Vacant")</f>
        <v/>
      </c>
      <c r="G7" s="989">
        <f>COUNTIF($E$33:$E$36,"Hire")</f>
        <v/>
      </c>
      <c r="H7" s="989">
        <f>F7-G7-COUNTIF($E$33:$E$36,"Offshore")</f>
        <v/>
      </c>
      <c r="I7" s="989">
        <f>IFERROR(E7+G7-D7,"-")</f>
        <v/>
      </c>
      <c r="J7" s="986">
        <f>IF(ISNUMBER(D7),IF(E7&gt;D7,"Filled already over archetype",IF(E7+G7&gt;D7,"Over archetype after hire","")),"Outside the archetype model - no target set")</f>
        <v/>
      </c>
      <c r="K7" s="990">
        <f>IFERROR(INDEX('3.3 FTE View'!$M:$M,MATCH("Enterprise Data|Data Science",'3.3 FTE View'!$AD:$AD,0)),"-")</f>
        <v/>
      </c>
      <c r="L7" s="991">
        <f>(SUMIFS('REVIEW - Complete Role Mapping'!$AA:$AA,'REVIEW - Complete Role Mapping'!$AJ:$AJ,"Enterprise Data",'REVIEW - Complete Role Mapping'!$AO:$AO,"Data Science",'REVIEW - Complete Role Mapping'!$AK:$AK,"Filled"))/1000000</f>
        <v/>
      </c>
      <c r="M7" s="991">
        <f>L7+(SUMIFS($F$33:$F$36,$E$33:$E$36,"Hire")+0.4*SUMIFS($F$33:$F$36,$E$33:$E$36,"Offshore"))/1000000</f>
        <v/>
      </c>
      <c r="N7" s="991">
        <f>IFERROR(M7-K7,"-")</f>
        <v/>
      </c>
      <c r="O7" s="987">
        <f>IFERROR(INDEX('3.3 FTE View'!$F:$F,MATCH("Enterprise Data|Data Science",'3.3 FTE View'!$AD:$AD,0)),"-")</f>
        <v/>
      </c>
    </row>
    <row r="8">
      <c r="A8" s="982" t="n"/>
      <c r="B8" s="986" t="inlineStr">
        <is>
          <t>(unassigned)</t>
        </is>
      </c>
      <c r="C8" s="987">
        <f>IFERROR(INDEX('3.3 FTE View'!$E:$E,MATCH("Enterprise Data|(unassigned)",'3.3 FTE View'!$AD:$AD,0)),"-")</f>
        <v/>
      </c>
      <c r="D8" s="988">
        <f>IFERROR(INDEX('3.3 FTE View'!$G:$G,MATCH("Enterprise Data|(unassigned)",'3.3 FTE View'!$AD:$AD,0)),"-")</f>
        <v/>
      </c>
      <c r="E8" s="989">
        <f>COUNTIF($D$38:$D$43,"Filled")</f>
        <v/>
      </c>
      <c r="F8" s="989">
        <f>COUNTIF($D$38:$D$43,"Vacant")</f>
        <v/>
      </c>
      <c r="G8" s="989">
        <f>COUNTIF($E$38:$E$43,"Hire")</f>
        <v/>
      </c>
      <c r="H8" s="989">
        <f>F8-G8-COUNTIF($E$38:$E$43,"Offshore")</f>
        <v/>
      </c>
      <c r="I8" s="989">
        <f>IFERROR(E8+G8-D8,"-")</f>
        <v/>
      </c>
      <c r="J8" s="986">
        <f>IF(ISNUMBER(D8),IF(E8&gt;D8,"Filled already over archetype",IF(E8+G8&gt;D8,"Over archetype after hire","")),"Outside the archetype model - no target set")</f>
        <v/>
      </c>
      <c r="K8" s="990">
        <f>IFERROR(INDEX('3.3 FTE View'!$M:$M,MATCH("Enterprise Data|(unassigned)",'3.3 FTE View'!$AD:$AD,0)),"-")</f>
        <v/>
      </c>
      <c r="L8" s="991">
        <f>(SUMIFS('REVIEW - Complete Role Mapping'!$AA:$AA,'REVIEW - Complete Role Mapping'!$AJ:$AJ,"Enterprise Data",'REVIEW - Complete Role Mapping'!$AO:$AO,"(unassigned)",'REVIEW - Complete Role Mapping'!$AK:$AK,"Filled"))/1000000</f>
        <v/>
      </c>
      <c r="M8" s="991">
        <f>L8+(SUMIFS($F$38:$F$43,$E$38:$E$43,"Hire")+0.4*SUMIFS($F$38:$F$43,$E$38:$E$43,"Offshore"))/1000000</f>
        <v/>
      </c>
      <c r="N8" s="991">
        <f>IFERROR(M8-K8,"-")</f>
        <v/>
      </c>
      <c r="O8" s="987">
        <f>IFERROR(INDEX('3.3 FTE View'!$F:$F,MATCH("Enterprise Data|(unassigned)",'3.3 FTE View'!$AD:$AD,0)),"-")</f>
        <v/>
      </c>
    </row>
    <row r="9">
      <c r="A9" s="982" t="n"/>
      <c r="B9" s="992" t="inlineStr">
        <is>
          <t>Data Platform</t>
        </is>
      </c>
      <c r="C9" s="987">
        <f>IFERROR(INDEX('3.3 FTE View'!$E:$E,MATCH("Enterprise Data|Data Platform",'3.3 FTE View'!$AD:$AD,0)),"-")</f>
        <v/>
      </c>
      <c r="D9" s="988">
        <f>IFERROR(INDEX('3.3 FTE View'!$G:$G,MATCH("Enterprise Data|Data Platform",'3.3 FTE View'!$AD:$AD,0)),"-")</f>
        <v/>
      </c>
      <c r="E9" s="989">
        <f>COUNTIF($D$45:$D$53,"Filled")</f>
        <v/>
      </c>
      <c r="F9" s="989">
        <f>COUNTIF($D$45:$D$53,"Vacant")</f>
        <v/>
      </c>
      <c r="G9" s="989">
        <f>COUNTIF($E$45:$E$53,"Hire")</f>
        <v/>
      </c>
      <c r="H9" s="989">
        <f>F9-G9-COUNTIF($E$45:$E$53,"Offshore")</f>
        <v/>
      </c>
      <c r="I9" s="989">
        <f>IFERROR(E9+G9-D9,"-")</f>
        <v/>
      </c>
      <c r="J9" s="986">
        <f>IF(ISNUMBER(D9),IF(E9&gt;D9,"Filled already over archetype",IF(E9+G9&gt;D9,"Over archetype after hire","")),"Outside the archetype model - no target set")</f>
        <v/>
      </c>
      <c r="K9" s="990">
        <f>IFERROR(INDEX('3.3 FTE View'!$M:$M,MATCH("Enterprise Data|Data Platform",'3.3 FTE View'!$AD:$AD,0)),"-")</f>
        <v/>
      </c>
      <c r="L9" s="991">
        <f>(SUMIFS('REVIEW - Complete Role Mapping'!$AA:$AA,'REVIEW - Complete Role Mapping'!$AJ:$AJ,"Enterprise Data",'REVIEW - Complete Role Mapping'!$AO:$AO,"Data Platform",'REVIEW - Complete Role Mapping'!$AK:$AK,"Filled"))/1000000</f>
        <v/>
      </c>
      <c r="M9" s="991">
        <f>L9+(SUMIFS($F$45:$F$53,$E$45:$E$53,"Hire")+0.4*SUMIFS($F$45:$F$53,$E$45:$E$53,"Offshore"))/1000000</f>
        <v/>
      </c>
      <c r="N9" s="991">
        <f>IFERROR(M9-K9,"-")</f>
        <v/>
      </c>
      <c r="O9" s="987">
        <f>IFERROR(INDEX('3.3 FTE View'!$F:$F,MATCH("Enterprise Data|Data Platform",'3.3 FTE View'!$AD:$AD,0)),"-")</f>
        <v/>
      </c>
    </row>
    <row r="10">
      <c r="A10" s="982" t="n"/>
      <c r="B10" s="993" t="inlineStr">
        <is>
          <t>Total</t>
        </is>
      </c>
      <c r="C10" s="993" t="inlineStr"/>
      <c r="D10" s="994">
        <f>SUM(D6:D9)</f>
        <v/>
      </c>
      <c r="E10" s="994">
        <f>SUM(E6:E9)</f>
        <v/>
      </c>
      <c r="F10" s="994">
        <f>SUM(F6:F9)</f>
        <v/>
      </c>
      <c r="G10" s="994">
        <f>SUM(G6:G9)</f>
        <v/>
      </c>
      <c r="H10" s="994">
        <f>SUM(H6:H9)</f>
        <v/>
      </c>
      <c r="I10" s="994">
        <f>SUM(I6:I9)</f>
        <v/>
      </c>
      <c r="J10" s="993" t="inlineStr"/>
      <c r="K10" s="995">
        <f>SUM(K6:K9)</f>
        <v/>
      </c>
      <c r="L10" s="995">
        <f>SUM(L6:L9)</f>
        <v/>
      </c>
      <c r="M10" s="995">
        <f>SUM(M6:M9)</f>
        <v/>
      </c>
      <c r="N10" s="995">
        <f>SUM(N6:N9)</f>
        <v/>
      </c>
      <c r="O10" s="993" t="inlineStr"/>
    </row>
    <row r="11">
      <c r="A11" s="982" t="n"/>
      <c r="B11" s="996" t="inlineStr">
        <is>
          <t>Cost to hire all vacancies ($m)</t>
        </is>
      </c>
      <c r="C11" s="1001" t="n"/>
      <c r="D11" s="982" t="n"/>
      <c r="E11" s="997">
        <f>SUMIFS($F$19:$F$53,$D$19:$D$53,"Vacant")/1000000</f>
        <v/>
      </c>
      <c r="F11" s="982" t="n"/>
      <c r="G11" s="982" t="n"/>
      <c r="H11" s="982" t="n"/>
      <c r="I11" s="982" t="n"/>
      <c r="J11" s="982" t="n"/>
      <c r="K11" s="982" t="n"/>
      <c r="L11" s="982" t="n"/>
      <c r="M11" s="982" t="n"/>
      <c r="N11" s="982" t="n"/>
      <c r="O11" s="982" t="n"/>
    </row>
    <row r="12">
      <c r="A12" s="982" t="n"/>
      <c r="B12" s="996" t="inlineStr">
        <is>
          <t>Cost of roles marked Hire ($m)</t>
        </is>
      </c>
      <c r="C12" s="1001" t="n"/>
      <c r="D12" s="982" t="n"/>
      <c r="E12" s="997">
        <f>SUMIF($E$19:$E$53,"Hire",$F$19:$F$53)/1000000</f>
        <v/>
      </c>
      <c r="F12" s="982" t="n"/>
      <c r="G12" s="982" t="n"/>
      <c r="H12" s="982" t="n"/>
      <c r="I12" s="982" t="n"/>
      <c r="J12" s="982" t="n"/>
      <c r="K12" s="982" t="n"/>
      <c r="L12" s="982" t="n"/>
      <c r="M12" s="982" t="n"/>
      <c r="N12" s="982" t="n"/>
      <c r="O12" s="982" t="n"/>
    </row>
    <row r="13">
      <c r="A13" s="982" t="n"/>
      <c r="B13" s="998"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8" t="inlineStr">
        <is>
          <t>"-" in the archetype columns means this real squad has no design archetype target; the comparison sits at portfolio level on 3.2.</t>
        </is>
      </c>
      <c r="C14" s="982" t="n"/>
      <c r="D14" s="982" t="n"/>
      <c r="E14" s="982" t="n"/>
      <c r="F14" s="982" t="n"/>
      <c r="G14" s="982" t="n"/>
      <c r="H14" s="982" t="n"/>
      <c r="I14" s="982" t="n"/>
      <c r="J14" s="982" t="n"/>
      <c r="K14" s="982" t="n"/>
      <c r="L14" s="982" t="n"/>
      <c r="M14" s="982" t="n"/>
      <c r="N14" s="982" t="n"/>
      <c r="O14" s="982" t="n"/>
    </row>
    <row r="15">
      <c r="A15" s="982" t="n"/>
      <c r="B15" s="1008" t="n"/>
      <c r="C15" s="982" t="n"/>
      <c r="D15" s="982" t="n"/>
      <c r="E15" s="982" t="n"/>
      <c r="F15" s="982" t="n"/>
      <c r="G15" s="982" t="n"/>
      <c r="H15" s="982" t="n"/>
      <c r="I15" s="982" t="n"/>
      <c r="J15" s="982" t="n"/>
      <c r="K15" s="982" t="n"/>
      <c r="L15" s="982" t="n"/>
      <c r="M15" s="982" t="n"/>
      <c r="N15" s="982" t="n"/>
      <c r="O15" s="982" t="n"/>
    </row>
    <row r="16">
      <c r="A16" s="982" t="n"/>
      <c r="B16" s="999" t="n"/>
      <c r="C16" s="999" t="n"/>
      <c r="D16" s="999" t="n"/>
      <c r="E16" s="999" t="n"/>
      <c r="F16" s="999" t="n"/>
      <c r="G16" s="984" t="n"/>
      <c r="H16" s="984" t="n"/>
      <c r="I16" s="984" t="n"/>
      <c r="J16" s="984" t="n"/>
      <c r="K16" s="982" t="n"/>
      <c r="L16" s="982" t="n"/>
      <c r="M16" s="982" t="n"/>
      <c r="N16" s="982" t="n"/>
      <c r="O16" s="982" t="n"/>
    </row>
    <row r="17">
      <c r="A17" s="982" t="n"/>
      <c r="B17" s="1002" t="inlineStr">
        <is>
          <t>Enterprise Data FTE</t>
        </is>
      </c>
      <c r="C17" s="984" t="n"/>
      <c r="D17" s="984" t="n"/>
      <c r="E17" s="984" t="n"/>
      <c r="F17" s="984"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4" t="inlineStr">
        <is>
          <t>Reporting &amp; Analytics</t>
        </is>
      </c>
      <c r="C19" s="1004" t="inlineStr"/>
      <c r="D19" s="1004" t="inlineStr"/>
      <c r="E19" s="1004" t="inlineStr"/>
      <c r="F19" s="1004" t="inlineStr"/>
      <c r="G19" s="982" t="n"/>
      <c r="H19" s="982" t="n"/>
      <c r="I19" s="982" t="n"/>
      <c r="J19" s="982" t="n"/>
      <c r="K19" s="982" t="n"/>
      <c r="L19" s="982" t="n"/>
      <c r="M19" s="982" t="n"/>
      <c r="N19" s="982" t="n"/>
      <c r="O19" s="982" t="n"/>
    </row>
    <row r="20">
      <c r="A20" s="982" t="n"/>
      <c r="B20" s="986">
        <f>'REVIEW - Complete Role Mapping'!$B$279</f>
        <v/>
      </c>
      <c r="C20" s="986">
        <f>'REVIEW - Complete Role Mapping'!$C$279</f>
        <v/>
      </c>
      <c r="D20" s="1005">
        <f>'REVIEW - Complete Role Mapping'!$AK$279</f>
        <v/>
      </c>
      <c r="E20" s="986" t="inlineStr"/>
      <c r="F20" s="986" t="inlineStr"/>
      <c r="G20" s="982" t="n"/>
      <c r="H20" s="982" t="n"/>
      <c r="I20" s="982" t="n"/>
      <c r="J20" s="982" t="n"/>
      <c r="K20" s="982" t="n"/>
      <c r="L20" s="982" t="n"/>
      <c r="M20" s="982" t="n"/>
      <c r="N20" s="982" t="n"/>
      <c r="O20" s="982" t="n"/>
    </row>
    <row r="21">
      <c r="A21" s="982" t="n"/>
      <c r="B21" s="986">
        <f>'REVIEW - Complete Role Mapping'!$B$280</f>
        <v/>
      </c>
      <c r="C21" s="986">
        <f>'REVIEW - Complete Role Mapping'!$C$280</f>
        <v/>
      </c>
      <c r="D21" s="1005">
        <f>'REVIEW - Complete Role Mapping'!$AK$280</f>
        <v/>
      </c>
      <c r="E21" s="986" t="inlineStr"/>
      <c r="F21" s="986" t="inlineStr"/>
      <c r="G21" s="982" t="n"/>
      <c r="H21" s="982" t="n"/>
      <c r="I21" s="982" t="n"/>
      <c r="J21" s="982" t="n"/>
      <c r="K21" s="982" t="n"/>
      <c r="L21" s="982" t="n"/>
      <c r="M21" s="982" t="n"/>
      <c r="N21" s="982" t="n"/>
      <c r="O21" s="982" t="n"/>
    </row>
    <row r="22">
      <c r="A22" s="982" t="n"/>
      <c r="B22" s="986">
        <f>'REVIEW - Complete Role Mapping'!$B$290</f>
        <v/>
      </c>
      <c r="C22" s="986">
        <f>'REVIEW - Complete Role Mapping'!$C$290</f>
        <v/>
      </c>
      <c r="D22" s="1005">
        <f>'REVIEW - Complete Role Mapping'!$AK$290</f>
        <v/>
      </c>
      <c r="E22" s="986" t="inlineStr"/>
      <c r="F22" s="986" t="inlineStr"/>
      <c r="G22" s="982" t="n"/>
      <c r="H22" s="982" t="n"/>
      <c r="I22" s="982" t="n"/>
      <c r="J22" s="982" t="n"/>
      <c r="K22" s="982" t="n"/>
      <c r="L22" s="982" t="n"/>
      <c r="M22" s="982" t="n"/>
      <c r="N22" s="982" t="n"/>
      <c r="O22" s="982" t="n"/>
    </row>
    <row r="23">
      <c r="A23" s="982" t="n"/>
      <c r="B23" s="986">
        <f>'REVIEW - Complete Role Mapping'!$B$297</f>
        <v/>
      </c>
      <c r="C23" s="986">
        <f>'REVIEW - Complete Role Mapping'!$C$297</f>
        <v/>
      </c>
      <c r="D23" s="1005">
        <f>'REVIEW - Complete Role Mapping'!$AK$297</f>
        <v/>
      </c>
      <c r="E23" s="986" t="inlineStr"/>
      <c r="F23" s="986" t="inlineStr"/>
      <c r="G23" s="982" t="n"/>
      <c r="H23" s="982" t="n"/>
      <c r="I23" s="982" t="n"/>
      <c r="J23" s="982" t="n"/>
      <c r="K23" s="982" t="n"/>
      <c r="L23" s="982" t="n"/>
      <c r="M23" s="982" t="n"/>
      <c r="N23" s="982" t="n"/>
      <c r="O23" s="982" t="n"/>
    </row>
    <row r="24">
      <c r="A24" s="982" t="n"/>
      <c r="B24" s="986">
        <f>'REVIEW - Complete Role Mapping'!$B$298</f>
        <v/>
      </c>
      <c r="C24" s="986">
        <f>'REVIEW - Complete Role Mapping'!$C$298</f>
        <v/>
      </c>
      <c r="D24" s="1005">
        <f>'REVIEW - Complete Role Mapping'!$AK$298</f>
        <v/>
      </c>
      <c r="E24" s="986" t="inlineStr"/>
      <c r="F24" s="986" t="inlineStr"/>
      <c r="G24" s="982" t="n"/>
      <c r="H24" s="982" t="n"/>
      <c r="I24" s="982" t="n"/>
      <c r="J24" s="982" t="n"/>
      <c r="K24" s="982" t="n"/>
      <c r="L24" s="982" t="n"/>
      <c r="M24" s="982" t="n"/>
      <c r="N24" s="982" t="n"/>
      <c r="O24" s="982" t="n"/>
    </row>
    <row r="25">
      <c r="A25" s="982" t="n"/>
      <c r="B25" s="986">
        <f>'REVIEW - Complete Role Mapping'!$B$308</f>
        <v/>
      </c>
      <c r="C25" s="986">
        <f>'REVIEW - Complete Role Mapping'!$C$308</f>
        <v/>
      </c>
      <c r="D25" s="1005">
        <f>'REVIEW - Complete Role Mapping'!$AK$308</f>
        <v/>
      </c>
      <c r="E25" s="986" t="inlineStr"/>
      <c r="F25" s="986" t="inlineStr"/>
      <c r="G25" s="982" t="n"/>
      <c r="H25" s="982" t="n"/>
      <c r="I25" s="982" t="n"/>
      <c r="J25" s="982" t="n"/>
      <c r="K25" s="982" t="n"/>
      <c r="L25" s="982" t="n"/>
      <c r="M25" s="982" t="n"/>
      <c r="N25" s="982" t="n"/>
      <c r="O25" s="982" t="n"/>
    </row>
    <row r="26">
      <c r="A26" s="982" t="n"/>
      <c r="B26" s="986">
        <f>'REVIEW - Complete Role Mapping'!$B$310</f>
        <v/>
      </c>
      <c r="C26" s="986">
        <f>'REVIEW - Complete Role Mapping'!$C$310</f>
        <v/>
      </c>
      <c r="D26" s="1005">
        <f>'REVIEW - Complete Role Mapping'!$AK$310</f>
        <v/>
      </c>
      <c r="E26" s="986" t="inlineStr"/>
      <c r="F26" s="986" t="inlineStr"/>
      <c r="G26" s="982" t="n"/>
      <c r="H26" s="982" t="n"/>
      <c r="I26" s="982" t="n"/>
      <c r="J26" s="982" t="n"/>
      <c r="K26" s="982" t="n"/>
      <c r="L26" s="982" t="n"/>
      <c r="M26" s="982" t="n"/>
      <c r="N26" s="982" t="n"/>
      <c r="O26" s="982" t="n"/>
    </row>
    <row r="27">
      <c r="A27" s="982" t="n"/>
      <c r="B27" s="986">
        <f>'REVIEW - Complete Role Mapping'!$B$311</f>
        <v/>
      </c>
      <c r="C27" s="986">
        <f>'REVIEW - Complete Role Mapping'!$C$311</f>
        <v/>
      </c>
      <c r="D27" s="1005">
        <f>'REVIEW - Complete Role Mapping'!$AK$311</f>
        <v/>
      </c>
      <c r="E27" s="986" t="inlineStr"/>
      <c r="F27" s="986" t="inlineStr"/>
      <c r="G27" s="982" t="n"/>
      <c r="H27" s="982" t="n"/>
      <c r="I27" s="982" t="n"/>
      <c r="J27" s="982" t="n"/>
      <c r="K27" s="982" t="n"/>
      <c r="L27" s="982" t="n"/>
      <c r="M27" s="982" t="n"/>
      <c r="N27" s="982" t="n"/>
      <c r="O27" s="982" t="n"/>
    </row>
    <row r="28">
      <c r="A28" s="982" t="n"/>
      <c r="B28" s="986">
        <f>'REVIEW - Complete Role Mapping'!$B$318</f>
        <v/>
      </c>
      <c r="C28" s="986">
        <f>'REVIEW - Complete Role Mapping'!$C$318</f>
        <v/>
      </c>
      <c r="D28" s="1005">
        <f>'REVIEW - Complete Role Mapping'!$AK$318</f>
        <v/>
      </c>
      <c r="E28" s="986" t="inlineStr"/>
      <c r="F28" s="986" t="inlineStr"/>
      <c r="G28" s="982" t="n"/>
      <c r="H28" s="982" t="n"/>
      <c r="I28" s="982" t="n"/>
      <c r="J28" s="982" t="n"/>
      <c r="K28" s="982" t="n"/>
      <c r="L28" s="982" t="n"/>
      <c r="M28" s="982" t="n"/>
      <c r="N28" s="982" t="n"/>
      <c r="O28" s="982" t="n"/>
    </row>
    <row r="29">
      <c r="A29" s="982" t="n"/>
      <c r="B29" s="986">
        <f>'REVIEW - Complete Role Mapping'!$B$329</f>
        <v/>
      </c>
      <c r="C29" s="986">
        <f>'REVIEW - Complete Role Mapping'!$C$329</f>
        <v/>
      </c>
      <c r="D29" s="1005">
        <f>'REVIEW - Complete Role Mapping'!$AK$329</f>
        <v/>
      </c>
      <c r="E29" s="1006" t="inlineStr">
        <is>
          <t>Hold</t>
        </is>
      </c>
      <c r="F29" s="1007">
        <f>'REVIEW - Complete Role Mapping'!$AA$329</f>
        <v/>
      </c>
      <c r="G29" s="982" t="n"/>
      <c r="H29" s="982" t="n"/>
      <c r="I29" s="982" t="n"/>
      <c r="J29" s="982" t="n"/>
      <c r="K29" s="982" t="n"/>
      <c r="L29" s="982" t="n"/>
      <c r="M29" s="982" t="n"/>
      <c r="N29" s="982" t="n"/>
      <c r="O29" s="982" t="n"/>
    </row>
    <row r="30">
      <c r="A30" s="982" t="n"/>
      <c r="B30" s="986">
        <f>'REVIEW - Complete Role Mapping'!$B$330</f>
        <v/>
      </c>
      <c r="C30" s="986">
        <f>'REVIEW - Complete Role Mapping'!$C$330</f>
        <v/>
      </c>
      <c r="D30" s="1005">
        <f>'REVIEW - Complete Role Mapping'!$AK$330</f>
        <v/>
      </c>
      <c r="E30" s="1006" t="inlineStr">
        <is>
          <t>Hold</t>
        </is>
      </c>
      <c r="F30" s="1007">
        <f>'REVIEW - Complete Role Mapping'!$AA$330</f>
        <v/>
      </c>
      <c r="G30" s="982" t="n"/>
      <c r="H30" s="982" t="n"/>
      <c r="I30" s="982" t="n"/>
      <c r="J30" s="982" t="n"/>
      <c r="K30" s="982" t="n"/>
      <c r="L30" s="982" t="n"/>
      <c r="M30" s="982" t="n"/>
      <c r="N30" s="982" t="n"/>
      <c r="O30" s="982" t="n"/>
    </row>
    <row r="31">
      <c r="A31" s="982" t="n"/>
      <c r="B31" s="986">
        <f>'REVIEW - Complete Role Mapping'!$B$331</f>
        <v/>
      </c>
      <c r="C31" s="986">
        <f>'REVIEW - Complete Role Mapping'!$C$331</f>
        <v/>
      </c>
      <c r="D31" s="1005">
        <f>'REVIEW - Complete Role Mapping'!$AK$331</f>
        <v/>
      </c>
      <c r="E31" s="986" t="inlineStr"/>
      <c r="F31" s="986" t="inlineStr"/>
      <c r="G31" s="982" t="n"/>
      <c r="H31" s="982" t="n"/>
      <c r="I31" s="982" t="n"/>
      <c r="J31" s="982" t="n"/>
      <c r="K31" s="982" t="n"/>
      <c r="L31" s="982" t="n"/>
      <c r="M31" s="982" t="n"/>
      <c r="N31" s="982" t="n"/>
      <c r="O31" s="982" t="n"/>
    </row>
    <row r="32">
      <c r="A32" s="982" t="n"/>
      <c r="B32" s="1004" t="inlineStr">
        <is>
          <t>Data Science</t>
        </is>
      </c>
      <c r="C32" s="1004" t="inlineStr"/>
      <c r="D32" s="1004" t="inlineStr"/>
      <c r="E32" s="1004" t="inlineStr"/>
      <c r="F32" s="1004" t="inlineStr"/>
      <c r="G32" s="982" t="n"/>
      <c r="H32" s="982" t="n"/>
      <c r="I32" s="982" t="n"/>
      <c r="J32" s="982" t="n"/>
      <c r="K32" s="982" t="n"/>
      <c r="L32" s="982" t="n"/>
      <c r="M32" s="982" t="n"/>
      <c r="N32" s="982" t="n"/>
      <c r="O32" s="982" t="n"/>
    </row>
    <row r="33">
      <c r="A33" s="982" t="n"/>
      <c r="B33" s="986">
        <f>'REVIEW - Complete Role Mapping'!$B$281</f>
        <v/>
      </c>
      <c r="C33" s="986">
        <f>'REVIEW - Complete Role Mapping'!$C$281</f>
        <v/>
      </c>
      <c r="D33" s="1005">
        <f>'REVIEW - Complete Role Mapping'!$AK$281</f>
        <v/>
      </c>
      <c r="E33" s="986" t="inlineStr"/>
      <c r="F33" s="986" t="inlineStr"/>
      <c r="G33" s="982" t="n"/>
      <c r="H33" s="982" t="n"/>
      <c r="I33" s="982" t="n"/>
      <c r="J33" s="982" t="n"/>
      <c r="K33" s="982" t="n"/>
      <c r="L33" s="982" t="n"/>
      <c r="M33" s="982" t="n"/>
      <c r="N33" s="982" t="n"/>
      <c r="O33" s="982" t="n"/>
    </row>
    <row r="34">
      <c r="A34" s="982" t="n"/>
      <c r="B34" s="986">
        <f>'REVIEW - Complete Role Mapping'!$B$295</f>
        <v/>
      </c>
      <c r="C34" s="986">
        <f>'REVIEW - Complete Role Mapping'!$C$295</f>
        <v/>
      </c>
      <c r="D34" s="1005">
        <f>'REVIEW - Complete Role Mapping'!$AK$295</f>
        <v/>
      </c>
      <c r="E34" s="986" t="inlineStr"/>
      <c r="F34" s="986" t="inlineStr"/>
      <c r="G34" s="982" t="n"/>
      <c r="H34" s="982" t="n"/>
      <c r="I34" s="982" t="n"/>
      <c r="J34" s="982" t="n"/>
      <c r="K34" s="982" t="n"/>
      <c r="L34" s="982" t="n"/>
      <c r="M34" s="982" t="n"/>
      <c r="N34" s="982" t="n"/>
      <c r="O34" s="982" t="n"/>
    </row>
    <row r="35">
      <c r="A35" s="982" t="n"/>
      <c r="B35" s="986">
        <f>'REVIEW - Complete Role Mapping'!$B$296</f>
        <v/>
      </c>
      <c r="C35" s="986">
        <f>'REVIEW - Complete Role Mapping'!$C$296</f>
        <v/>
      </c>
      <c r="D35" s="1005">
        <f>'REVIEW - Complete Role Mapping'!$AK$296</f>
        <v/>
      </c>
      <c r="E35" s="986" t="inlineStr"/>
      <c r="F35" s="986" t="inlineStr"/>
      <c r="G35" s="982" t="n"/>
      <c r="H35" s="982" t="n"/>
      <c r="I35" s="982" t="n"/>
      <c r="J35" s="982" t="n"/>
      <c r="K35" s="982" t="n"/>
      <c r="L35" s="982" t="n"/>
      <c r="M35" s="982" t="n"/>
      <c r="N35" s="982" t="n"/>
      <c r="O35" s="982" t="n"/>
    </row>
    <row r="36">
      <c r="A36" s="982" t="n"/>
      <c r="B36" s="986">
        <f>'REVIEW - Complete Role Mapping'!$B$332</f>
        <v/>
      </c>
      <c r="C36" s="986">
        <f>'REVIEW - Complete Role Mapping'!$C$332</f>
        <v/>
      </c>
      <c r="D36" s="1005">
        <f>'REVIEW - Complete Role Mapping'!$AK$332</f>
        <v/>
      </c>
      <c r="E36" s="986" t="inlineStr"/>
      <c r="F36" s="986" t="inlineStr"/>
      <c r="G36" s="982" t="n"/>
      <c r="H36" s="982" t="n"/>
      <c r="I36" s="982" t="n"/>
      <c r="J36" s="982" t="n"/>
      <c r="K36" s="982" t="n"/>
      <c r="L36" s="982" t="n"/>
      <c r="M36" s="982" t="n"/>
      <c r="N36" s="982" t="n"/>
      <c r="O36" s="982" t="n"/>
    </row>
    <row r="37">
      <c r="A37" s="982" t="n"/>
      <c r="B37" s="1004" t="inlineStr">
        <is>
          <t>(unassigned)</t>
        </is>
      </c>
      <c r="C37" s="1004" t="inlineStr"/>
      <c r="D37" s="1004" t="inlineStr"/>
      <c r="E37" s="1004" t="inlineStr"/>
      <c r="F37" s="1004" t="inlineStr"/>
      <c r="G37" s="982" t="n"/>
      <c r="H37" s="982" t="n"/>
      <c r="I37" s="982" t="n"/>
      <c r="J37" s="982" t="n"/>
      <c r="K37" s="982" t="n"/>
      <c r="L37" s="982" t="n"/>
      <c r="M37" s="982" t="n"/>
      <c r="N37" s="982" t="n"/>
      <c r="O37" s="982" t="n"/>
    </row>
    <row r="38">
      <c r="A38" s="982" t="n"/>
      <c r="B38" s="986">
        <f>'REVIEW - Complete Role Mapping'!$B$283</f>
        <v/>
      </c>
      <c r="C38" s="986">
        <f>'REVIEW - Complete Role Mapping'!$C$283</f>
        <v/>
      </c>
      <c r="D38" s="1005">
        <f>'REVIEW - Complete Role Mapping'!$AK$283</f>
        <v/>
      </c>
      <c r="E38" s="986" t="inlineStr"/>
      <c r="F38" s="986" t="inlineStr"/>
      <c r="G38" s="982" t="n"/>
      <c r="H38" s="982" t="n"/>
      <c r="I38" s="982" t="n"/>
      <c r="J38" s="982" t="n"/>
      <c r="K38" s="982" t="n"/>
      <c r="L38" s="982" t="n"/>
      <c r="M38" s="982" t="n"/>
      <c r="N38" s="982" t="n"/>
      <c r="O38" s="982" t="n"/>
    </row>
    <row r="39">
      <c r="A39" s="982" t="n"/>
      <c r="B39" s="986">
        <f>'REVIEW - Complete Role Mapping'!$B$285</f>
        <v/>
      </c>
      <c r="C39" s="986">
        <f>'REVIEW - Complete Role Mapping'!$C$285</f>
        <v/>
      </c>
      <c r="D39" s="1005">
        <f>'REVIEW - Complete Role Mapping'!$AK$285</f>
        <v/>
      </c>
      <c r="E39" s="986" t="inlineStr"/>
      <c r="F39" s="986" t="inlineStr"/>
      <c r="G39" s="982" t="n"/>
      <c r="H39" s="982" t="n"/>
      <c r="I39" s="982" t="n"/>
      <c r="J39" s="982" t="n"/>
      <c r="K39" s="982" t="n"/>
      <c r="L39" s="982" t="n"/>
      <c r="M39" s="982" t="n"/>
      <c r="N39" s="982" t="n"/>
      <c r="O39" s="982" t="n"/>
    </row>
    <row r="40">
      <c r="A40" s="982" t="n"/>
      <c r="B40" s="986">
        <f>'REVIEW - Complete Role Mapping'!$B$286</f>
        <v/>
      </c>
      <c r="C40" s="986">
        <f>'REVIEW - Complete Role Mapping'!$C$286</f>
        <v/>
      </c>
      <c r="D40" s="1005">
        <f>'REVIEW - Complete Role Mapping'!$AK$286</f>
        <v/>
      </c>
      <c r="E40" s="986" t="inlineStr"/>
      <c r="F40" s="986" t="inlineStr"/>
      <c r="G40" s="982" t="n"/>
      <c r="H40" s="982" t="n"/>
      <c r="I40" s="982" t="n"/>
      <c r="J40" s="982" t="n"/>
      <c r="K40" s="982" t="n"/>
      <c r="L40" s="982" t="n"/>
      <c r="M40" s="982" t="n"/>
      <c r="N40" s="982" t="n"/>
      <c r="O40" s="982" t="n"/>
    </row>
    <row r="41">
      <c r="A41" s="982" t="n"/>
      <c r="B41" s="986">
        <f>'REVIEW - Complete Role Mapping'!$B$289</f>
        <v/>
      </c>
      <c r="C41" s="986">
        <f>'REVIEW - Complete Role Mapping'!$C$289</f>
        <v/>
      </c>
      <c r="D41" s="1005">
        <f>'REVIEW - Complete Role Mapping'!$AK$289</f>
        <v/>
      </c>
      <c r="E41" s="986" t="inlineStr"/>
      <c r="F41" s="986" t="inlineStr"/>
      <c r="G41" s="982" t="n"/>
      <c r="H41" s="982" t="n"/>
      <c r="I41" s="982" t="n"/>
      <c r="J41" s="982" t="n"/>
      <c r="K41" s="982" t="n"/>
      <c r="L41" s="982" t="n"/>
      <c r="M41" s="982" t="n"/>
      <c r="N41" s="982" t="n"/>
      <c r="O41" s="982" t="n"/>
    </row>
    <row r="42">
      <c r="A42" s="982" t="n"/>
      <c r="B42" s="986">
        <f>'REVIEW - Complete Role Mapping'!$B$301</f>
        <v/>
      </c>
      <c r="C42" s="986">
        <f>'REVIEW - Complete Role Mapping'!$C$301</f>
        <v/>
      </c>
      <c r="D42" s="1005">
        <f>'REVIEW - Complete Role Mapping'!$AK$301</f>
        <v/>
      </c>
      <c r="E42" s="986" t="inlineStr"/>
      <c r="F42" s="986" t="inlineStr"/>
      <c r="G42" s="982" t="n"/>
      <c r="H42" s="982" t="n"/>
      <c r="I42" s="982" t="n"/>
      <c r="J42" s="982" t="n"/>
      <c r="K42" s="982" t="n"/>
      <c r="L42" s="982" t="n"/>
      <c r="M42" s="982" t="n"/>
      <c r="N42" s="982" t="n"/>
      <c r="O42" s="982" t="n"/>
    </row>
    <row r="43">
      <c r="A43" s="982" t="n"/>
      <c r="B43" s="986">
        <f>'REVIEW - Complete Role Mapping'!$B$313</f>
        <v/>
      </c>
      <c r="C43" s="986">
        <f>'REVIEW - Complete Role Mapping'!$C$313</f>
        <v/>
      </c>
      <c r="D43" s="1005">
        <f>'REVIEW - Complete Role Mapping'!$AK$313</f>
        <v/>
      </c>
      <c r="E43" s="1006" t="inlineStr">
        <is>
          <t>Hold</t>
        </is>
      </c>
      <c r="F43" s="1007">
        <f>'REVIEW - Complete Role Mapping'!$AA$313</f>
        <v/>
      </c>
      <c r="G43" s="982" t="n"/>
      <c r="H43" s="982" t="n"/>
      <c r="I43" s="982" t="n"/>
      <c r="J43" s="982" t="n"/>
      <c r="K43" s="982" t="n"/>
      <c r="L43" s="982" t="n"/>
      <c r="M43" s="982" t="n"/>
      <c r="N43" s="982" t="n"/>
      <c r="O43" s="982" t="n"/>
    </row>
    <row r="44">
      <c r="A44" s="982" t="n"/>
      <c r="B44" s="1004" t="inlineStr">
        <is>
          <t>Data Platform</t>
        </is>
      </c>
      <c r="C44" s="1004" t="inlineStr"/>
      <c r="D44" s="1004" t="inlineStr"/>
      <c r="E44" s="1004" t="inlineStr"/>
      <c r="F44" s="1004" t="inlineStr"/>
      <c r="G44" s="982" t="n"/>
      <c r="H44" s="982" t="n"/>
      <c r="I44" s="982" t="n"/>
      <c r="J44" s="982" t="n"/>
      <c r="K44" s="982" t="n"/>
      <c r="L44" s="982" t="n"/>
      <c r="M44" s="982" t="n"/>
      <c r="N44" s="982" t="n"/>
      <c r="O44" s="982" t="n"/>
    </row>
    <row r="45">
      <c r="A45" s="982" t="n"/>
      <c r="B45" s="986">
        <f>'REVIEW - Complete Role Mapping'!$B$284</f>
        <v/>
      </c>
      <c r="C45" s="986">
        <f>'REVIEW - Complete Role Mapping'!$C$284</f>
        <v/>
      </c>
      <c r="D45" s="1005">
        <f>'REVIEW - Complete Role Mapping'!$AK$284</f>
        <v/>
      </c>
      <c r="E45" s="986" t="inlineStr"/>
      <c r="F45" s="986" t="inlineStr"/>
      <c r="G45" s="982" t="n"/>
      <c r="H45" s="982" t="n"/>
      <c r="I45" s="982" t="n"/>
      <c r="J45" s="982" t="n"/>
      <c r="K45" s="982" t="n"/>
      <c r="L45" s="982" t="n"/>
      <c r="M45" s="982" t="n"/>
      <c r="N45" s="982" t="n"/>
      <c r="O45" s="982" t="n"/>
    </row>
    <row r="46">
      <c r="A46" s="982" t="n"/>
      <c r="B46" s="986">
        <f>'REVIEW - Complete Role Mapping'!$B$307</f>
        <v/>
      </c>
      <c r="C46" s="986">
        <f>'REVIEW - Complete Role Mapping'!$C$307</f>
        <v/>
      </c>
      <c r="D46" s="1005">
        <f>'REVIEW - Complete Role Mapping'!$AK$307</f>
        <v/>
      </c>
      <c r="E46" s="986" t="inlineStr"/>
      <c r="F46" s="986" t="inlineStr"/>
      <c r="G46" s="982" t="n"/>
      <c r="H46" s="982" t="n"/>
      <c r="I46" s="982" t="n"/>
      <c r="J46" s="982" t="n"/>
      <c r="K46" s="982" t="n"/>
      <c r="L46" s="982" t="n"/>
      <c r="M46" s="982" t="n"/>
      <c r="N46" s="982" t="n"/>
      <c r="O46" s="982" t="n"/>
    </row>
    <row r="47">
      <c r="A47" s="982" t="n"/>
      <c r="B47" s="986">
        <f>'REVIEW - Complete Role Mapping'!$B$312</f>
        <v/>
      </c>
      <c r="C47" s="986">
        <f>'REVIEW - Complete Role Mapping'!$C$312</f>
        <v/>
      </c>
      <c r="D47" s="1005">
        <f>'REVIEW - Complete Role Mapping'!$AK$312</f>
        <v/>
      </c>
      <c r="E47" s="986" t="inlineStr"/>
      <c r="F47" s="986" t="inlineStr"/>
      <c r="G47" s="982" t="n"/>
      <c r="H47" s="982" t="n"/>
      <c r="I47" s="982" t="n"/>
      <c r="J47" s="982" t="n"/>
      <c r="K47" s="982" t="n"/>
      <c r="L47" s="982" t="n"/>
      <c r="M47" s="982" t="n"/>
      <c r="N47" s="982" t="n"/>
      <c r="O47" s="982" t="n"/>
    </row>
    <row r="48">
      <c r="A48" s="982" t="n"/>
      <c r="B48" s="986">
        <f>'REVIEW - Complete Role Mapping'!$B$314</f>
        <v/>
      </c>
      <c r="C48" s="986">
        <f>'REVIEW - Complete Role Mapping'!$C$314</f>
        <v/>
      </c>
      <c r="D48" s="1005">
        <f>'REVIEW - Complete Role Mapping'!$AK$314</f>
        <v/>
      </c>
      <c r="E48" s="1006" t="inlineStr">
        <is>
          <t>Hold</t>
        </is>
      </c>
      <c r="F48" s="1007">
        <f>'REVIEW - Complete Role Mapping'!$AA$314</f>
        <v/>
      </c>
      <c r="G48" s="982" t="n"/>
      <c r="H48" s="982" t="n"/>
      <c r="I48" s="982" t="n"/>
      <c r="J48" s="982" t="n"/>
      <c r="K48" s="982" t="n"/>
      <c r="L48" s="982" t="n"/>
      <c r="M48" s="982" t="n"/>
      <c r="N48" s="982" t="n"/>
      <c r="O48" s="982" t="n"/>
    </row>
    <row r="49">
      <c r="A49" s="982" t="n"/>
      <c r="B49" s="986">
        <f>'REVIEW - Complete Role Mapping'!$B$315</f>
        <v/>
      </c>
      <c r="C49" s="986">
        <f>'REVIEW - Complete Role Mapping'!$C$315</f>
        <v/>
      </c>
      <c r="D49" s="1005">
        <f>'REVIEW - Complete Role Mapping'!$AK$315</f>
        <v/>
      </c>
      <c r="E49" s="1006" t="inlineStr">
        <is>
          <t>Hold</t>
        </is>
      </c>
      <c r="F49" s="1007">
        <f>'REVIEW - Complete Role Mapping'!$AA$315</f>
        <v/>
      </c>
      <c r="G49" s="982" t="n"/>
      <c r="H49" s="982" t="n"/>
      <c r="I49" s="982" t="n"/>
      <c r="J49" s="982" t="n"/>
      <c r="K49" s="982" t="n"/>
      <c r="L49" s="982" t="n"/>
      <c r="M49" s="982" t="n"/>
      <c r="N49" s="982" t="n"/>
      <c r="O49" s="982" t="n"/>
    </row>
    <row r="50">
      <c r="A50" s="982" t="n"/>
      <c r="B50" s="986">
        <f>'REVIEW - Complete Role Mapping'!$B$316</f>
        <v/>
      </c>
      <c r="C50" s="986">
        <f>'REVIEW - Complete Role Mapping'!$C$316</f>
        <v/>
      </c>
      <c r="D50" s="1005">
        <f>'REVIEW - Complete Role Mapping'!$AK$316</f>
        <v/>
      </c>
      <c r="E50" s="1006" t="inlineStr">
        <is>
          <t>Hold</t>
        </is>
      </c>
      <c r="F50" s="1007">
        <f>'REVIEW - Complete Role Mapping'!$AA$316</f>
        <v/>
      </c>
      <c r="G50" s="982" t="n"/>
      <c r="H50" s="982" t="n"/>
      <c r="I50" s="982" t="n"/>
      <c r="J50" s="982" t="n"/>
      <c r="K50" s="982" t="n"/>
      <c r="L50" s="982" t="n"/>
      <c r="M50" s="982" t="n"/>
      <c r="N50" s="982" t="n"/>
      <c r="O50" s="982" t="n"/>
    </row>
    <row r="51">
      <c r="A51" s="982" t="n"/>
      <c r="B51" s="986">
        <f>'REVIEW - Complete Role Mapping'!$B$317</f>
        <v/>
      </c>
      <c r="C51" s="986">
        <f>'REVIEW - Complete Role Mapping'!$C$317</f>
        <v/>
      </c>
      <c r="D51" s="1005">
        <f>'REVIEW - Complete Role Mapping'!$AK$317</f>
        <v/>
      </c>
      <c r="E51" s="1006" t="inlineStr">
        <is>
          <t>Hold</t>
        </is>
      </c>
      <c r="F51" s="1007">
        <f>'REVIEW - Complete Role Mapping'!$AA$317</f>
        <v/>
      </c>
      <c r="G51" s="982" t="n"/>
      <c r="H51" s="982" t="n"/>
      <c r="I51" s="982" t="n"/>
      <c r="J51" s="982" t="n"/>
      <c r="K51" s="982" t="n"/>
      <c r="L51" s="982" t="n"/>
      <c r="M51" s="982" t="n"/>
      <c r="N51" s="982" t="n"/>
      <c r="O51" s="982" t="n"/>
    </row>
    <row r="52">
      <c r="A52" s="982" t="n"/>
      <c r="B52" s="986">
        <f>'REVIEW - Complete Role Mapping'!$B$319</f>
        <v/>
      </c>
      <c r="C52" s="986">
        <f>'REVIEW - Complete Role Mapping'!$C$319</f>
        <v/>
      </c>
      <c r="D52" s="1005">
        <f>'REVIEW - Complete Role Mapping'!$AK$319</f>
        <v/>
      </c>
      <c r="E52" s="1006" t="inlineStr">
        <is>
          <t>Hold</t>
        </is>
      </c>
      <c r="F52" s="1007">
        <f>'REVIEW - Complete Role Mapping'!$AA$319</f>
        <v/>
      </c>
      <c r="G52" s="982" t="n"/>
      <c r="H52" s="982" t="n"/>
      <c r="I52" s="982" t="n"/>
      <c r="J52" s="982" t="n"/>
      <c r="K52" s="982" t="n"/>
      <c r="L52" s="982" t="n"/>
      <c r="M52" s="982" t="n"/>
      <c r="N52" s="982" t="n"/>
      <c r="O52" s="982" t="n"/>
    </row>
    <row r="53">
      <c r="A53" s="982" t="n"/>
      <c r="B53" s="986">
        <f>'REVIEW - Complete Role Mapping'!$B$320</f>
        <v/>
      </c>
      <c r="C53" s="986">
        <f>'REVIEW - Complete Role Mapping'!$C$320</f>
        <v/>
      </c>
      <c r="D53" s="1005">
        <f>'REVIEW - Complete Role Mapping'!$AK$320</f>
        <v/>
      </c>
      <c r="E53" s="1006" t="inlineStr">
        <is>
          <t>Hold</t>
        </is>
      </c>
      <c r="F53" s="1007">
        <f>'REVIEW - Complete Role Mapping'!$AA$320</f>
        <v/>
      </c>
      <c r="G53" s="982" t="n"/>
      <c r="H53" s="982" t="n"/>
      <c r="I53" s="982" t="n"/>
      <c r="J53" s="982" t="n"/>
      <c r="K53" s="982" t="n"/>
      <c r="L53" s="982" t="n"/>
      <c r="M53" s="982" t="n"/>
      <c r="N53" s="982" t="n"/>
      <c r="O53" s="982" t="n"/>
    </row>
    <row r="54">
      <c r="A54" s="982" t="n"/>
      <c r="B54" s="1003" t="n"/>
      <c r="C54" s="1003" t="n"/>
      <c r="D54" s="1003" t="n"/>
      <c r="E54" s="982" t="n"/>
      <c r="F54" s="982" t="n"/>
      <c r="G54" s="982" t="n"/>
      <c r="H54" s="982" t="n"/>
      <c r="I54" s="982" t="n"/>
      <c r="J54" s="982" t="n"/>
      <c r="K54" s="982" t="n"/>
      <c r="L54" s="982" t="n"/>
      <c r="M54" s="982" t="n"/>
      <c r="N54" s="982" t="n"/>
      <c r="O54" s="982" t="n"/>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9 E30 E43 E48 E49 E50 E51 E52 E53" showDropDown="0" showInputMessage="0" showErrorMessage="0" allowBlank="0"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A2:O7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TDD Group Functions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EGI TDD</t>
        </is>
      </c>
      <c r="C6" s="987">
        <f>IFERROR(INDEX('3.3 FTE View'!$E:$E,MATCH("TDD Group Functions|EGI TDD",'3.3 FTE View'!$AD:$AD,0)),"-")</f>
        <v/>
      </c>
      <c r="D6" s="988">
        <f>IFERROR(INDEX('3.3 FTE View'!$G:$G,MATCH("TDD Group Functions|EGI TDD",'3.3 FTE View'!$AD:$AD,0)),"-")</f>
        <v/>
      </c>
      <c r="E6" s="989">
        <f>COUNTIF($D$23:$D$26,"Filled")</f>
        <v/>
      </c>
      <c r="F6" s="989">
        <f>COUNTIF($D$23:$D$26,"Vacant")</f>
        <v/>
      </c>
      <c r="G6" s="989">
        <f>COUNTIF($E$23:$E$26,"Hire")</f>
        <v/>
      </c>
      <c r="H6" s="989">
        <f>F6-G6-COUNTIF($E$23:$E$26,"Offshore")</f>
        <v/>
      </c>
      <c r="I6" s="989">
        <f>IFERROR(E6+G6-D6,"-")</f>
        <v/>
      </c>
      <c r="J6" s="986">
        <f>IF(ISNUMBER(D6),IF(E6&gt;D6,"Filled already over archetype",IF(E6+G6&gt;D6,"Over archetype after hire","")),"Outside the archetype model - no target set")</f>
        <v/>
      </c>
      <c r="K6" s="990">
        <f>IFERROR(INDEX('3.3 FTE View'!$M:$M,MATCH("TDD Group Functions|EGI TDD",'3.3 FTE View'!$AD:$AD,0)),"-")</f>
        <v/>
      </c>
      <c r="L6" s="991">
        <f>(SUMIFS('REVIEW - Complete Role Mapping'!$AA:$AA,'REVIEW - Complete Role Mapping'!$AJ:$AJ,"TDD Group Functions",'REVIEW - Complete Role Mapping'!$AO:$AO,"EGI TDD",'REVIEW - Complete Role Mapping'!$AK:$AK,"Filled"))/1000000</f>
        <v/>
      </c>
      <c r="M6" s="991">
        <f>L6+(SUMIFS($F$23:$F$26,$E$23:$E$26,"Hire")+0.4*SUMIFS($F$23:$F$26,$E$23:$E$26,"Offshore"))/1000000</f>
        <v/>
      </c>
      <c r="N6" s="991">
        <f>IFERROR(M6-K6,"-")</f>
        <v/>
      </c>
      <c r="O6" s="987">
        <f>IFERROR(INDEX('3.3 FTE View'!$F:$F,MATCH("TDD Group Functions|EGI TDD",'3.3 FTE View'!$AD:$AD,0)),"-")</f>
        <v/>
      </c>
    </row>
    <row r="7">
      <c r="A7" s="982" t="n"/>
      <c r="B7" s="992" t="inlineStr">
        <is>
          <t>Cloud, Network &amp; Infra Ops</t>
        </is>
      </c>
      <c r="C7" s="987">
        <f>IFERROR(INDEX('3.3 FTE View'!$E:$E,MATCH("TDD Group Functions|Cloud, Network &amp; Infra Ops",'3.3 FTE View'!$AD:$AD,0)),"-")</f>
        <v/>
      </c>
      <c r="D7" s="988">
        <f>IFERROR(INDEX('3.3 FTE View'!$G:$G,MATCH("TDD Group Functions|Cloud, Network &amp; Infra Ops",'3.3 FTE View'!$AD:$AD,0)),"-")</f>
        <v/>
      </c>
      <c r="E7" s="989">
        <f>COUNTIF($D$28:$D$39,"Filled")</f>
        <v/>
      </c>
      <c r="F7" s="989">
        <f>COUNTIF($D$28:$D$39,"Vacant")</f>
        <v/>
      </c>
      <c r="G7" s="989">
        <f>COUNTIF($E$28:$E$39,"Hire")</f>
        <v/>
      </c>
      <c r="H7" s="989">
        <f>F7-G7-COUNTIF($E$28:$E$39,"Offshore")</f>
        <v/>
      </c>
      <c r="I7" s="989">
        <f>IFERROR(E7+G7-D7,"-")</f>
        <v/>
      </c>
      <c r="J7" s="986">
        <f>IF(ISNUMBER(D7),IF(E7&gt;D7,"Filled already over archetype",IF(E7+G7&gt;D7,"Over archetype after hire","")),"Outside the archetype model - no target set")</f>
        <v/>
      </c>
      <c r="K7" s="990">
        <f>IFERROR(INDEX('3.3 FTE View'!$M:$M,MATCH("TDD Group Functions|Cloud, Network &amp; Infra Ops",'3.3 FTE View'!$AD:$AD,0)),"-")</f>
        <v/>
      </c>
      <c r="L7" s="991">
        <f>(SUMIFS('REVIEW - Complete Role Mapping'!$AA:$AA,'REVIEW - Complete Role Mapping'!$AJ:$AJ,"TDD Group Functions",'REVIEW - Complete Role Mapping'!$AO:$AO,"Cloud, Network &amp; Infra Ops",'REVIEW - Complete Role Mapping'!$AK:$AK,"Filled"))/1000000</f>
        <v/>
      </c>
      <c r="M7" s="991">
        <f>L7+(SUMIFS($F$28:$F$39,$E$28:$E$39,"Hire")+0.4*SUMIFS($F$28:$F$39,$E$28:$E$39,"Offshore"))/1000000</f>
        <v/>
      </c>
      <c r="N7" s="991">
        <f>IFERROR(M7-K7,"-")</f>
        <v/>
      </c>
      <c r="O7" s="987">
        <f>IFERROR(INDEX('3.3 FTE View'!$F:$F,MATCH("TDD Group Functions|Cloud, Network &amp; Infra Ops",'3.3 FTE View'!$AD:$AD,0)),"-")</f>
        <v/>
      </c>
    </row>
    <row r="8">
      <c r="A8" s="982" t="n"/>
      <c r="B8" s="986" t="inlineStr">
        <is>
          <t>DevOps &amp; QE</t>
        </is>
      </c>
      <c r="C8" s="987">
        <f>IFERROR(INDEX('3.3 FTE View'!$E:$E,MATCH("TDD Group Functions|DevOps &amp; QE",'3.3 FTE View'!$AD:$AD,0)),"-")</f>
        <v/>
      </c>
      <c r="D8" s="988">
        <f>IFERROR(INDEX('3.3 FTE View'!$G:$G,MATCH("TDD Group Functions|DevOps &amp; QE",'3.3 FTE View'!$AD:$AD,0)),"-")</f>
        <v/>
      </c>
      <c r="E8" s="989">
        <f>COUNTIF($D$41:$D$48,"Filled")</f>
        <v/>
      </c>
      <c r="F8" s="989">
        <f>COUNTIF($D$41:$D$48,"Vacant")</f>
        <v/>
      </c>
      <c r="G8" s="989">
        <f>COUNTIF($E$41:$E$48,"Hire")</f>
        <v/>
      </c>
      <c r="H8" s="989">
        <f>F8-G8-COUNTIF($E$41:$E$48,"Offshore")</f>
        <v/>
      </c>
      <c r="I8" s="989">
        <f>IFERROR(E8+G8-D8,"-")</f>
        <v/>
      </c>
      <c r="J8" s="986">
        <f>IF(ISNUMBER(D8),IF(E8&gt;D8,"Filled already over archetype",IF(E8+G8&gt;D8,"Over archetype after hire","")),"Outside the archetype model - no target set")</f>
        <v/>
      </c>
      <c r="K8" s="990">
        <f>IFERROR(INDEX('3.3 FTE View'!$M:$M,MATCH("TDD Group Functions|DevOps &amp; QE",'3.3 FTE View'!$AD:$AD,0)),"-")</f>
        <v/>
      </c>
      <c r="L8" s="991">
        <f>(SUMIFS('REVIEW - Complete Role Mapping'!$AA:$AA,'REVIEW - Complete Role Mapping'!$AJ:$AJ,"TDD Group Functions",'REVIEW - Complete Role Mapping'!$AO:$AO,"DevOps &amp; QE",'REVIEW - Complete Role Mapping'!$AK:$AK,"Filled"))/1000000</f>
        <v/>
      </c>
      <c r="M8" s="991">
        <f>L8+(SUMIFS($F$41:$F$48,$E$41:$E$48,"Hire")+0.4*SUMIFS($F$41:$F$48,$E$41:$E$48,"Offshore"))/1000000</f>
        <v/>
      </c>
      <c r="N8" s="991">
        <f>IFERROR(M8-K8,"-")</f>
        <v/>
      </c>
      <c r="O8" s="987">
        <f>IFERROR(INDEX('3.3 FTE View'!$F:$F,MATCH("TDD Group Functions|DevOps &amp; QE",'3.3 FTE View'!$AD:$AD,0)),"-")</f>
        <v/>
      </c>
    </row>
    <row r="9">
      <c r="A9" s="982" t="n"/>
      <c r="B9" s="992" t="inlineStr">
        <is>
          <t>Integration &amp; Process Automation</t>
        </is>
      </c>
      <c r="C9" s="987">
        <f>IFERROR(INDEX('3.3 FTE View'!$E:$E,MATCH("TDD Group Functions|Integration &amp; Process Automation",'3.3 FTE View'!$AD:$AD,0)),"-")</f>
        <v/>
      </c>
      <c r="D9" s="988">
        <f>IFERROR(INDEX('3.3 FTE View'!$G:$G,MATCH("TDD Group Functions|Integration &amp; Process Automation",'3.3 FTE View'!$AD:$AD,0)),"-")</f>
        <v/>
      </c>
      <c r="E9" s="989">
        <f>COUNTIF($D$50:$D$60,"Filled")</f>
        <v/>
      </c>
      <c r="F9" s="989">
        <f>COUNTIF($D$50:$D$60,"Vacant")</f>
        <v/>
      </c>
      <c r="G9" s="989">
        <f>COUNTIF($E$50:$E$60,"Hire")</f>
        <v/>
      </c>
      <c r="H9" s="989">
        <f>F9-G9-COUNTIF($E$50:$E$60,"Offshore")</f>
        <v/>
      </c>
      <c r="I9" s="989">
        <f>IFERROR(E9+G9-D9,"-")</f>
        <v/>
      </c>
      <c r="J9" s="986">
        <f>IF(ISNUMBER(D9),IF(E9&gt;D9,"Filled already over archetype",IF(E9+G9&gt;D9,"Over archetype after hire","")),"Outside the archetype model - no target set")</f>
        <v/>
      </c>
      <c r="K9" s="990">
        <f>IFERROR(INDEX('3.3 FTE View'!$M:$M,MATCH("TDD Group Functions|Integration &amp; Process Automation",'3.3 FTE View'!$AD:$AD,0)),"-")</f>
        <v/>
      </c>
      <c r="L9" s="991">
        <f>(SUMIFS('REVIEW - Complete Role Mapping'!$AA:$AA,'REVIEW - Complete Role Mapping'!$AJ:$AJ,"TDD Group Functions",'REVIEW - Complete Role Mapping'!$AO:$AO,"Integration &amp; Process Automation",'REVIEW - Complete Role Mapping'!$AK:$AK,"Filled"))/1000000</f>
        <v/>
      </c>
      <c r="M9" s="991">
        <f>L9+(SUMIFS($F$50:$F$60,$E$50:$E$60,"Hire")+0.4*SUMIFS($F$50:$F$60,$E$50:$E$60,"Offshore"))/1000000</f>
        <v/>
      </c>
      <c r="N9" s="991">
        <f>IFERROR(M9-K9,"-")</f>
        <v/>
      </c>
      <c r="O9" s="987">
        <f>IFERROR(INDEX('3.3 FTE View'!$F:$F,MATCH("TDD Group Functions|Integration &amp; Process Automation",'3.3 FTE View'!$AD:$AD,0)),"-")</f>
        <v/>
      </c>
    </row>
    <row r="10">
      <c r="A10" s="982" t="n"/>
      <c r="B10" s="986" t="inlineStr">
        <is>
          <t>Workplace &amp; Enterprise Tooling</t>
        </is>
      </c>
      <c r="C10" s="987">
        <f>IFERROR(INDEX('3.3 FTE View'!$E:$E,MATCH("TDD Group Functions|Workplace &amp; Enterprise Tooling",'3.3 FTE View'!$AD:$AD,0)),"-")</f>
        <v/>
      </c>
      <c r="D10" s="988">
        <f>IFERROR(INDEX('3.3 FTE View'!$G:$G,MATCH("TDD Group Functions|Workplace &amp; Enterprise Tooling",'3.3 FTE View'!$AD:$AD,0)),"-")</f>
        <v/>
      </c>
      <c r="E10" s="989">
        <f>COUNTIF($D$62:$D$67,"Filled")</f>
        <v/>
      </c>
      <c r="F10" s="989">
        <f>COUNTIF($D$62:$D$67,"Vacant")</f>
        <v/>
      </c>
      <c r="G10" s="989">
        <f>COUNTIF($E$62:$E$67,"Hire")</f>
        <v/>
      </c>
      <c r="H10" s="989">
        <f>F10-G10-COUNTIF($E$62:$E$67,"Offshore")</f>
        <v/>
      </c>
      <c r="I10" s="989">
        <f>IFERROR(E10+G10-D10,"-")</f>
        <v/>
      </c>
      <c r="J10" s="986">
        <f>IF(ISNUMBER(D10),IF(E10&gt;D10,"Filled already over archetype",IF(E10+G10&gt;D10,"Over archetype after hire","")),"Outside the archetype model - no target set")</f>
        <v/>
      </c>
      <c r="K10" s="990">
        <f>IFERROR(INDEX('3.3 FTE View'!$M:$M,MATCH("TDD Group Functions|Workplace &amp; Enterprise Tooling",'3.3 FTE View'!$AD:$AD,0)),"-")</f>
        <v/>
      </c>
      <c r="L10" s="991">
        <f>(SUMIFS('REVIEW - Complete Role Mapping'!$AA:$AA,'REVIEW - Complete Role Mapping'!$AJ:$AJ,"TDD Group Functions",'REVIEW - Complete Role Mapping'!$AO:$AO,"Workplace &amp; Enterprise Tooling",'REVIEW - Complete Role Mapping'!$AK:$AK,"Filled"))/1000000</f>
        <v/>
      </c>
      <c r="M10" s="991">
        <f>L10+(SUMIFS($F$62:$F$67,$E$62:$E$67,"Hire")+0.4*SUMIFS($F$62:$F$67,$E$62:$E$67,"Offshore"))/1000000</f>
        <v/>
      </c>
      <c r="N10" s="991">
        <f>IFERROR(M10-K10,"-")</f>
        <v/>
      </c>
      <c r="O10" s="987">
        <f>IFERROR(INDEX('3.3 FTE View'!$F:$F,MATCH("TDD Group Functions|Workplace &amp; Enterprise Tooling",'3.3 FTE View'!$AD:$AD,0)),"-")</f>
        <v/>
      </c>
    </row>
    <row r="11">
      <c r="A11" s="982" t="n"/>
      <c r="B11" s="992" t="inlineStr">
        <is>
          <t>Leadership</t>
        </is>
      </c>
      <c r="C11" s="987">
        <f>IFERROR(INDEX('3.3 FTE View'!$E:$E,MATCH("TDD Group Functions|Leadership",'3.3 FTE View'!$AD:$AD,0)),"-")</f>
        <v/>
      </c>
      <c r="D11" s="988">
        <f>IFERROR(INDEX('3.3 FTE View'!$G:$G,MATCH("TDD Group Functions|Leadership",'3.3 FTE View'!$AD:$AD,0)),"-")</f>
        <v/>
      </c>
      <c r="E11" s="989">
        <f>COUNTIF($D$69:$D$73,"Filled")</f>
        <v/>
      </c>
      <c r="F11" s="989">
        <f>COUNTIF($D$69:$D$73,"Vacant")</f>
        <v/>
      </c>
      <c r="G11" s="989">
        <f>COUNTIF($E$69:$E$73,"Hire")</f>
        <v/>
      </c>
      <c r="H11" s="989">
        <f>F11-G11-COUNTIF($E$69:$E$73,"Offshore")</f>
        <v/>
      </c>
      <c r="I11" s="989">
        <f>IFERROR(E11+G11-D11,"-")</f>
        <v/>
      </c>
      <c r="J11" s="986">
        <f>IF(ISNUMBER(D11),IF(E11&gt;D11,"Filled already over archetype",IF(E11+G11&gt;D11,"Over archetype after hire","")),"Outside the archetype model - no target set")</f>
        <v/>
      </c>
      <c r="K11" s="990">
        <f>IFERROR(INDEX('3.3 FTE View'!$M:$M,MATCH("TDD Group Functions|Leadership",'3.3 FTE View'!$AD:$AD,0)),"-")</f>
        <v/>
      </c>
      <c r="L11" s="991">
        <f>(SUMIFS('REVIEW - Complete Role Mapping'!$AA:$AA,'REVIEW - Complete Role Mapping'!$AJ:$AJ,"TDD Group Functions",'REVIEW - Complete Role Mapping'!$AO:$AO,"Leadership",'REVIEW - Complete Role Mapping'!$AK:$AK,"Filled"))/1000000</f>
        <v/>
      </c>
      <c r="M11" s="991">
        <f>L11+(SUMIFS($F$69:$F$73,$E$69:$E$73,"Hire")+0.4*SUMIFS($F$69:$F$73,$E$69:$E$73,"Offshore"))/1000000</f>
        <v/>
      </c>
      <c r="N11" s="991">
        <f>IFERROR(M11-K11,"-")</f>
        <v/>
      </c>
      <c r="O11" s="987">
        <f>IFERROR(INDEX('3.3 FTE View'!$F:$F,MATCH("TDD Group Functions|Leadership",'3.3 FTE View'!$AD:$AD,0)),"-")</f>
        <v/>
      </c>
    </row>
    <row r="12">
      <c r="A12" s="982" t="n"/>
      <c r="B12" s="986" t="inlineStr">
        <is>
          <t>(unassigned)</t>
        </is>
      </c>
      <c r="C12" s="987">
        <f>IFERROR(INDEX('3.3 FTE View'!$E:$E,MATCH("TDD Group Functions|(unassigned)",'3.3 FTE View'!$AD:$AD,0)),"-")</f>
        <v/>
      </c>
      <c r="D12" s="988">
        <f>IFERROR(INDEX('3.3 FTE View'!$G:$G,MATCH("TDD Group Functions|(unassigned)",'3.3 FTE View'!$AD:$AD,0)),"-")</f>
        <v/>
      </c>
      <c r="E12" s="989">
        <f>COUNTIF($D$75:$D$75,"Filled")</f>
        <v/>
      </c>
      <c r="F12" s="989">
        <f>COUNTIF($D$75:$D$75,"Vacant")</f>
        <v/>
      </c>
      <c r="G12" s="989">
        <f>COUNTIF($E$75:$E$75,"Hire")</f>
        <v/>
      </c>
      <c r="H12" s="989">
        <f>F12-G12-COUNTIF($E$75:$E$75,"Offshore")</f>
        <v/>
      </c>
      <c r="I12" s="989">
        <f>IFERROR(E12+G12-D12,"-")</f>
        <v/>
      </c>
      <c r="J12" s="986">
        <f>IF(ISNUMBER(D12),IF(E12&gt;D12,"Filled already over archetype",IF(E12+G12&gt;D12,"Over archetype after hire","")),"Outside the archetype model - no target set")</f>
        <v/>
      </c>
      <c r="K12" s="990">
        <f>IFERROR(INDEX('3.3 FTE View'!$M:$M,MATCH("TDD Group Functions|(unassigned)",'3.3 FTE View'!$AD:$AD,0)),"-")</f>
        <v/>
      </c>
      <c r="L12" s="991">
        <f>(SUMIFS('REVIEW - Complete Role Mapping'!$AA:$AA,'REVIEW - Complete Role Mapping'!$AJ:$AJ,"TDD Group Functions",'REVIEW - Complete Role Mapping'!$AO:$AO,"(unassigned)",'REVIEW - Complete Role Mapping'!$AK:$AK,"Filled"))/1000000</f>
        <v/>
      </c>
      <c r="M12" s="991">
        <f>L12+(SUMIFS($F$75:$F$75,$E$75:$E$75,"Hire")+0.4*SUMIFS($F$75:$F$75,$E$75:$E$75,"Offshore"))/1000000</f>
        <v/>
      </c>
      <c r="N12" s="991">
        <f>IFERROR(M12-K12,"-")</f>
        <v/>
      </c>
      <c r="O12" s="987">
        <f>IFERROR(INDEX('3.3 FTE View'!$F:$F,MATCH("TDD Group Functions|(unassigned)",'3.3 FTE View'!$AD:$AD,0)),"-")</f>
        <v/>
      </c>
    </row>
    <row r="13">
      <c r="A13" s="982" t="n"/>
      <c r="B13" s="993" t="inlineStr">
        <is>
          <t>Total</t>
        </is>
      </c>
      <c r="C13" s="993" t="inlineStr"/>
      <c r="D13" s="994">
        <f>SUM(D6:D12)</f>
        <v/>
      </c>
      <c r="E13" s="994">
        <f>SUM(E6:E12)</f>
        <v/>
      </c>
      <c r="F13" s="994">
        <f>SUM(F6:F12)</f>
        <v/>
      </c>
      <c r="G13" s="994">
        <f>SUM(G6:G12)</f>
        <v/>
      </c>
      <c r="H13" s="994">
        <f>SUM(H6:H12)</f>
        <v/>
      </c>
      <c r="I13" s="994">
        <f>SUM(I6:I12)</f>
        <v/>
      </c>
      <c r="J13" s="993" t="inlineStr"/>
      <c r="K13" s="995">
        <f>SUM(K6:K12)</f>
        <v/>
      </c>
      <c r="L13" s="995">
        <f>SUM(L6:L12)</f>
        <v/>
      </c>
      <c r="M13" s="995">
        <f>SUM(M6:M12)</f>
        <v/>
      </c>
      <c r="N13" s="995">
        <f>SUM(N6:N12)</f>
        <v/>
      </c>
      <c r="O13" s="993" t="inlineStr"/>
    </row>
    <row r="14">
      <c r="A14" s="982" t="n"/>
      <c r="B14" s="996" t="inlineStr">
        <is>
          <t>Cost to hire all vacancies ($m)</t>
        </is>
      </c>
      <c r="C14" s="982" t="n"/>
      <c r="D14" s="982" t="n"/>
      <c r="E14" s="997">
        <f>SUMIFS($F$22:$F$75,$D$22:$D$75,"Vacant")/1000000</f>
        <v/>
      </c>
      <c r="F14" s="982" t="n"/>
      <c r="G14" s="982" t="n"/>
      <c r="H14" s="982" t="n"/>
      <c r="I14" s="982" t="n"/>
      <c r="J14" s="982" t="n"/>
      <c r="K14" s="982" t="n"/>
      <c r="L14" s="982" t="n"/>
      <c r="M14" s="982" t="n"/>
      <c r="N14" s="982" t="n"/>
      <c r="O14" s="982" t="n"/>
    </row>
    <row r="15">
      <c r="A15" s="982" t="n"/>
      <c r="B15" s="996" t="inlineStr">
        <is>
          <t>Cost of roles marked Hire ($m)</t>
        </is>
      </c>
      <c r="C15" s="982" t="n"/>
      <c r="D15" s="982" t="n"/>
      <c r="E15" s="997">
        <f>SUMIF($E$22:$E$75,"Hire",$F$22:$F$75)/1000000</f>
        <v/>
      </c>
      <c r="F15" s="982" t="n"/>
      <c r="G15" s="982" t="n"/>
      <c r="H15" s="982" t="n"/>
      <c r="I15" s="982" t="n"/>
      <c r="J15" s="982" t="n"/>
      <c r="K15" s="982" t="n"/>
      <c r="L15" s="982" t="n"/>
      <c r="M15" s="982" t="n"/>
      <c r="N15" s="982" t="n"/>
      <c r="O15" s="982" t="n"/>
    </row>
    <row r="16">
      <c r="A16" s="982" t="n"/>
      <c r="B16" s="998" t="inlineStr">
        <is>
          <t>Vacant roles are priced at standard title rates - indicative until an offer is made.</t>
        </is>
      </c>
      <c r="C16" s="982" t="n"/>
      <c r="D16" s="982" t="n"/>
      <c r="E16" s="982" t="n"/>
      <c r="F16" s="982" t="n"/>
      <c r="G16" s="982" t="n"/>
      <c r="H16" s="982" t="n"/>
      <c r="I16" s="982" t="n"/>
      <c r="J16" s="982" t="n"/>
      <c r="K16" s="982" t="n"/>
      <c r="L16" s="982" t="n"/>
      <c r="M16" s="982" t="n"/>
      <c r="N16" s="982" t="n"/>
      <c r="O16" s="982" t="n"/>
    </row>
    <row r="17">
      <c r="A17" s="982" t="n"/>
      <c r="B17" s="998" t="inlineStr">
        <is>
          <t>"-" in the archetype columns means this real squad has no design archetype target; the comparison sits at portfolio level on 3.2.</t>
        </is>
      </c>
      <c r="C17" s="999" t="n"/>
      <c r="D17" s="999" t="n"/>
      <c r="E17" s="999" t="n"/>
      <c r="F17" s="999" t="n"/>
      <c r="G17" s="984" t="n"/>
      <c r="H17" s="984" t="n"/>
      <c r="I17" s="984" t="n"/>
      <c r="J17" s="984" t="n"/>
      <c r="K17" s="982" t="n"/>
      <c r="L17" s="982" t="n"/>
      <c r="M17" s="982" t="n"/>
      <c r="N17" s="982" t="n"/>
      <c r="O17" s="982" t="n"/>
    </row>
    <row r="18">
      <c r="A18" s="982" t="n"/>
      <c r="B18" s="984" t="n"/>
      <c r="C18" s="984" t="n"/>
      <c r="D18" s="984" t="n"/>
      <c r="E18" s="984" t="n"/>
      <c r="F18" s="984" t="n"/>
      <c r="G18" s="982" t="n"/>
      <c r="H18" s="982" t="n"/>
      <c r="I18" s="982" t="n"/>
      <c r="J18" s="982" t="n"/>
      <c r="K18" s="982" t="n"/>
      <c r="L18" s="982" t="n"/>
      <c r="M18" s="982" t="n"/>
      <c r="N18" s="982" t="n"/>
      <c r="O18" s="982" t="n"/>
    </row>
    <row r="19">
      <c r="A19" s="982" t="n"/>
      <c r="B19" s="1001" t="n"/>
      <c r="C19" s="1001" t="n"/>
      <c r="D19" s="1001" t="n"/>
      <c r="E19" s="1001" t="n"/>
      <c r="F19" s="982" t="n"/>
      <c r="G19" s="982" t="n"/>
      <c r="H19" s="982" t="n"/>
      <c r="I19" s="982" t="n"/>
      <c r="J19" s="982" t="n"/>
      <c r="K19" s="982" t="n"/>
      <c r="L19" s="982" t="n"/>
      <c r="M19" s="982" t="n"/>
      <c r="N19" s="982" t="n"/>
      <c r="O19" s="982" t="n"/>
    </row>
    <row r="20">
      <c r="A20" s="982" t="n"/>
      <c r="B20" s="1002" t="inlineStr">
        <is>
          <t>TDD Group Functions FTE</t>
        </is>
      </c>
      <c r="C20" s="1003" t="n"/>
      <c r="D20" s="1003" t="n"/>
      <c r="E20" s="982" t="n"/>
      <c r="F20" s="982" t="n"/>
      <c r="G20" s="982" t="n"/>
      <c r="H20" s="982" t="n"/>
      <c r="I20" s="982" t="n"/>
      <c r="J20" s="982" t="n"/>
      <c r="K20" s="982" t="n"/>
      <c r="L20" s="982" t="n"/>
      <c r="M20" s="982" t="n"/>
      <c r="N20" s="982" t="n"/>
      <c r="O20" s="982" t="n"/>
    </row>
    <row r="21">
      <c r="A21" s="982" t="n"/>
      <c r="B21" s="985" t="inlineStr">
        <is>
          <t>Name</t>
        </is>
      </c>
      <c r="C21" s="985" t="inlineStr">
        <is>
          <t>Role</t>
        </is>
      </c>
      <c r="D21" s="985" t="inlineStr">
        <is>
          <t>Status</t>
        </is>
      </c>
      <c r="E21" s="985" t="inlineStr">
        <is>
          <t>Vacancy lever</t>
        </is>
      </c>
      <c r="F21" s="985" t="inlineStr">
        <is>
          <t>Cost if hired ($)</t>
        </is>
      </c>
      <c r="G21" s="982" t="n"/>
      <c r="H21" s="982" t="n"/>
      <c r="I21" s="982" t="n"/>
      <c r="J21" s="982" t="n"/>
      <c r="K21" s="982" t="n"/>
      <c r="L21" s="982" t="n"/>
      <c r="M21" s="982" t="n"/>
      <c r="N21" s="982" t="n"/>
      <c r="O21" s="982" t="n"/>
    </row>
    <row r="22">
      <c r="A22" s="982" t="n"/>
      <c r="B22" s="1004" t="inlineStr">
        <is>
          <t>EGI TDD</t>
        </is>
      </c>
      <c r="C22" s="1004" t="inlineStr"/>
      <c r="D22" s="1004" t="inlineStr"/>
      <c r="E22" s="1004" t="inlineStr"/>
      <c r="F22" s="1004" t="inlineStr"/>
      <c r="G22" s="982" t="n"/>
      <c r="H22" s="982" t="n"/>
      <c r="I22" s="982" t="n"/>
      <c r="J22" s="982" t="n"/>
      <c r="K22" s="982" t="n"/>
      <c r="L22" s="982" t="n"/>
      <c r="M22" s="982" t="n"/>
      <c r="N22" s="982" t="n"/>
      <c r="O22" s="982" t="n"/>
    </row>
    <row r="23">
      <c r="A23" s="982" t="n"/>
      <c r="B23" s="986">
        <f>'REVIEW - Complete Role Mapping'!$B$449</f>
        <v/>
      </c>
      <c r="C23" s="986">
        <f>'REVIEW - Complete Role Mapping'!$C$449</f>
        <v/>
      </c>
      <c r="D23" s="1005">
        <f>'REVIEW - Complete Role Mapping'!$AK$449</f>
        <v/>
      </c>
      <c r="E23" s="986" t="inlineStr"/>
      <c r="F23" s="986" t="inlineStr"/>
      <c r="G23" s="982" t="n"/>
      <c r="H23" s="982" t="n"/>
      <c r="I23" s="982" t="n"/>
      <c r="J23" s="982" t="n"/>
      <c r="K23" s="982" t="n"/>
      <c r="L23" s="982" t="n"/>
      <c r="M23" s="982" t="n"/>
      <c r="N23" s="982" t="n"/>
      <c r="O23" s="982" t="n"/>
    </row>
    <row r="24">
      <c r="A24" s="982" t="n"/>
      <c r="B24" s="986">
        <f>'REVIEW - Complete Role Mapping'!$B$450</f>
        <v/>
      </c>
      <c r="C24" s="986">
        <f>'REVIEW - Complete Role Mapping'!$C$450</f>
        <v/>
      </c>
      <c r="D24" s="1005">
        <f>'REVIEW - Complete Role Mapping'!$AK$450</f>
        <v/>
      </c>
      <c r="E24" s="986" t="inlineStr"/>
      <c r="F24" s="986" t="inlineStr"/>
      <c r="G24" s="982" t="n"/>
      <c r="H24" s="982" t="n"/>
      <c r="I24" s="982" t="n"/>
      <c r="J24" s="982" t="n"/>
      <c r="K24" s="982" t="n"/>
      <c r="L24" s="982" t="n"/>
      <c r="M24" s="982" t="n"/>
      <c r="N24" s="982" t="n"/>
      <c r="O24" s="982" t="n"/>
    </row>
    <row r="25">
      <c r="A25" s="982" t="n"/>
      <c r="B25" s="986">
        <f>'REVIEW - Complete Role Mapping'!$B$451</f>
        <v/>
      </c>
      <c r="C25" s="986">
        <f>'REVIEW - Complete Role Mapping'!$C$451</f>
        <v/>
      </c>
      <c r="D25" s="1005">
        <f>'REVIEW - Complete Role Mapping'!$AK$451</f>
        <v/>
      </c>
      <c r="E25" s="986" t="inlineStr"/>
      <c r="F25" s="986" t="inlineStr"/>
      <c r="G25" s="982" t="n"/>
      <c r="H25" s="982" t="n"/>
      <c r="I25" s="982" t="n"/>
      <c r="J25" s="982" t="n"/>
      <c r="K25" s="982" t="n"/>
      <c r="L25" s="982" t="n"/>
      <c r="M25" s="982" t="n"/>
      <c r="N25" s="982" t="n"/>
      <c r="O25" s="982" t="n"/>
    </row>
    <row r="26">
      <c r="A26" s="982" t="n"/>
      <c r="B26" s="986">
        <f>'REVIEW - Complete Role Mapping'!$B$452</f>
        <v/>
      </c>
      <c r="C26" s="986">
        <f>'REVIEW - Complete Role Mapping'!$C$452</f>
        <v/>
      </c>
      <c r="D26" s="1005">
        <f>'REVIEW - Complete Role Mapping'!$AK$452</f>
        <v/>
      </c>
      <c r="E26" s="986" t="inlineStr"/>
      <c r="F26" s="986" t="inlineStr"/>
      <c r="G26" s="982" t="n"/>
      <c r="H26" s="982" t="n"/>
      <c r="I26" s="982" t="n"/>
      <c r="J26" s="982" t="n"/>
      <c r="K26" s="982" t="n"/>
      <c r="L26" s="982" t="n"/>
      <c r="M26" s="982" t="n"/>
      <c r="N26" s="982" t="n"/>
      <c r="O26" s="982" t="n"/>
    </row>
    <row r="27">
      <c r="A27" s="982" t="n"/>
      <c r="B27" s="1004" t="inlineStr">
        <is>
          <t>Cloud, Network &amp; Infra Ops</t>
        </is>
      </c>
      <c r="C27" s="1004" t="inlineStr"/>
      <c r="D27" s="1004" t="inlineStr"/>
      <c r="E27" s="1004" t="inlineStr"/>
      <c r="F27" s="1004" t="inlineStr"/>
      <c r="G27" s="982" t="n"/>
      <c r="H27" s="982" t="n"/>
      <c r="I27" s="982" t="n"/>
      <c r="J27" s="982" t="n"/>
      <c r="K27" s="982" t="n"/>
      <c r="L27" s="982" t="n"/>
      <c r="M27" s="982" t="n"/>
      <c r="N27" s="982" t="n"/>
      <c r="O27" s="982" t="n"/>
    </row>
    <row r="28">
      <c r="A28" s="982" t="n"/>
      <c r="B28" s="986">
        <f>'REVIEW - Complete Role Mapping'!$B$468</f>
        <v/>
      </c>
      <c r="C28" s="986">
        <f>'REVIEW - Complete Role Mapping'!$C$468</f>
        <v/>
      </c>
      <c r="D28" s="1005">
        <f>'REVIEW - Complete Role Mapping'!$AK$468</f>
        <v/>
      </c>
      <c r="E28" s="986" t="inlineStr"/>
      <c r="F28" s="986" t="inlineStr"/>
      <c r="G28" s="982" t="n"/>
      <c r="H28" s="982" t="n"/>
      <c r="I28" s="982" t="n"/>
      <c r="J28" s="982" t="n"/>
      <c r="K28" s="982" t="n"/>
      <c r="L28" s="982" t="n"/>
      <c r="M28" s="982" t="n"/>
      <c r="N28" s="982" t="n"/>
      <c r="O28" s="982" t="n"/>
    </row>
    <row r="29">
      <c r="A29" s="982" t="n"/>
      <c r="B29" s="986">
        <f>'REVIEW - Complete Role Mapping'!$B$469</f>
        <v/>
      </c>
      <c r="C29" s="986">
        <f>'REVIEW - Complete Role Mapping'!$C$469</f>
        <v/>
      </c>
      <c r="D29" s="1005">
        <f>'REVIEW - Complete Role Mapping'!$AK$469</f>
        <v/>
      </c>
      <c r="E29" s="986" t="inlineStr"/>
      <c r="F29" s="986" t="inlineStr"/>
      <c r="G29" s="982" t="n"/>
      <c r="H29" s="982" t="n"/>
      <c r="I29" s="982" t="n"/>
      <c r="J29" s="982" t="n"/>
      <c r="K29" s="982" t="n"/>
      <c r="L29" s="982" t="n"/>
      <c r="M29" s="982" t="n"/>
      <c r="N29" s="982" t="n"/>
      <c r="O29" s="982" t="n"/>
    </row>
    <row r="30">
      <c r="A30" s="982" t="n"/>
      <c r="B30" s="986">
        <f>'REVIEW - Complete Role Mapping'!$B$470</f>
        <v/>
      </c>
      <c r="C30" s="986">
        <f>'REVIEW - Complete Role Mapping'!$C$470</f>
        <v/>
      </c>
      <c r="D30" s="1005">
        <f>'REVIEW - Complete Role Mapping'!$AK$470</f>
        <v/>
      </c>
      <c r="E30" s="986" t="inlineStr"/>
      <c r="F30" s="986" t="inlineStr"/>
      <c r="G30" s="982" t="n"/>
      <c r="H30" s="982" t="n"/>
      <c r="I30" s="982" t="n"/>
      <c r="J30" s="982" t="n"/>
      <c r="K30" s="982" t="n"/>
      <c r="L30" s="982" t="n"/>
      <c r="M30" s="982" t="n"/>
      <c r="N30" s="982" t="n"/>
      <c r="O30" s="982" t="n"/>
    </row>
    <row r="31">
      <c r="A31" s="982" t="n"/>
      <c r="B31" s="986">
        <f>'REVIEW - Complete Role Mapping'!$B$471</f>
        <v/>
      </c>
      <c r="C31" s="986">
        <f>'REVIEW - Complete Role Mapping'!$C$471</f>
        <v/>
      </c>
      <c r="D31" s="1005">
        <f>'REVIEW - Complete Role Mapping'!$AK$471</f>
        <v/>
      </c>
      <c r="E31" s="986" t="inlineStr"/>
      <c r="F31" s="986" t="inlineStr"/>
      <c r="G31" s="982" t="n"/>
      <c r="H31" s="982" t="n"/>
      <c r="I31" s="982" t="n"/>
      <c r="J31" s="982" t="n"/>
      <c r="K31" s="982" t="n"/>
      <c r="L31" s="982" t="n"/>
      <c r="M31" s="982" t="n"/>
      <c r="N31" s="982" t="n"/>
      <c r="O31" s="982" t="n"/>
    </row>
    <row r="32">
      <c r="A32" s="982" t="n"/>
      <c r="B32" s="986">
        <f>'REVIEW - Complete Role Mapping'!$B$472</f>
        <v/>
      </c>
      <c r="C32" s="986">
        <f>'REVIEW - Complete Role Mapping'!$C$472</f>
        <v/>
      </c>
      <c r="D32" s="1005">
        <f>'REVIEW - Complete Role Mapping'!$AK$472</f>
        <v/>
      </c>
      <c r="E32" s="986" t="inlineStr"/>
      <c r="F32" s="986" t="inlineStr"/>
      <c r="G32" s="982" t="n"/>
      <c r="H32" s="982" t="n"/>
      <c r="I32" s="982" t="n"/>
      <c r="J32" s="982" t="n"/>
      <c r="K32" s="982" t="n"/>
      <c r="L32" s="982" t="n"/>
      <c r="M32" s="982" t="n"/>
      <c r="N32" s="982" t="n"/>
      <c r="O32" s="982" t="n"/>
    </row>
    <row r="33">
      <c r="A33" s="982" t="n"/>
      <c r="B33" s="986">
        <f>'REVIEW - Complete Role Mapping'!$B$473</f>
        <v/>
      </c>
      <c r="C33" s="986">
        <f>'REVIEW - Complete Role Mapping'!$C$473</f>
        <v/>
      </c>
      <c r="D33" s="1005">
        <f>'REVIEW - Complete Role Mapping'!$AK$473</f>
        <v/>
      </c>
      <c r="E33" s="1006" t="inlineStr">
        <is>
          <t>Hold</t>
        </is>
      </c>
      <c r="F33" s="1007">
        <f>'REVIEW - Complete Role Mapping'!$AA$473</f>
        <v/>
      </c>
      <c r="G33" s="982" t="n"/>
      <c r="H33" s="982" t="n"/>
      <c r="I33" s="982" t="n"/>
      <c r="J33" s="982" t="n"/>
      <c r="K33" s="982" t="n"/>
      <c r="L33" s="982" t="n"/>
      <c r="M33" s="982" t="n"/>
      <c r="N33" s="982" t="n"/>
      <c r="O33" s="982" t="n"/>
    </row>
    <row r="34">
      <c r="A34" s="982" t="n"/>
      <c r="B34" s="986">
        <f>'REVIEW - Complete Role Mapping'!$B$474</f>
        <v/>
      </c>
      <c r="C34" s="986">
        <f>'REVIEW - Complete Role Mapping'!$C$474</f>
        <v/>
      </c>
      <c r="D34" s="1005">
        <f>'REVIEW - Complete Role Mapping'!$AK$474</f>
        <v/>
      </c>
      <c r="E34" s="1006" t="inlineStr">
        <is>
          <t>Hold</t>
        </is>
      </c>
      <c r="F34" s="1007">
        <f>'REVIEW - Complete Role Mapping'!$AA$474</f>
        <v/>
      </c>
      <c r="G34" s="982" t="n"/>
      <c r="H34" s="982" t="n"/>
      <c r="I34" s="982" t="n"/>
      <c r="J34" s="982" t="n"/>
      <c r="K34" s="982" t="n"/>
      <c r="L34" s="982" t="n"/>
      <c r="M34" s="982" t="n"/>
      <c r="N34" s="982" t="n"/>
      <c r="O34" s="982" t="n"/>
    </row>
    <row r="35">
      <c r="A35" s="982" t="n"/>
      <c r="B35" s="986">
        <f>'REVIEW - Complete Role Mapping'!$B$475</f>
        <v/>
      </c>
      <c r="C35" s="986">
        <f>'REVIEW - Complete Role Mapping'!$C$475</f>
        <v/>
      </c>
      <c r="D35" s="1005">
        <f>'REVIEW - Complete Role Mapping'!$AK$475</f>
        <v/>
      </c>
      <c r="E35" s="1006" t="inlineStr">
        <is>
          <t>Hold</t>
        </is>
      </c>
      <c r="F35" s="1007">
        <f>'REVIEW - Complete Role Mapping'!$AA$475</f>
        <v/>
      </c>
      <c r="G35" s="982" t="n"/>
      <c r="H35" s="982" t="n"/>
      <c r="I35" s="982" t="n"/>
      <c r="J35" s="982" t="n"/>
      <c r="K35" s="982" t="n"/>
      <c r="L35" s="982" t="n"/>
      <c r="M35" s="982" t="n"/>
      <c r="N35" s="982" t="n"/>
      <c r="O35" s="982" t="n"/>
    </row>
    <row r="36">
      <c r="A36" s="982" t="n"/>
      <c r="B36" s="986">
        <f>'REVIEW - Complete Role Mapping'!$B$476</f>
        <v/>
      </c>
      <c r="C36" s="986">
        <f>'REVIEW - Complete Role Mapping'!$C$476</f>
        <v/>
      </c>
      <c r="D36" s="1005">
        <f>'REVIEW - Complete Role Mapping'!$AK$476</f>
        <v/>
      </c>
      <c r="E36" s="1006" t="inlineStr">
        <is>
          <t>Hold</t>
        </is>
      </c>
      <c r="F36" s="1007">
        <f>'REVIEW - Complete Role Mapping'!$AA$476</f>
        <v/>
      </c>
      <c r="G36" s="982" t="n"/>
      <c r="H36" s="982" t="n"/>
      <c r="I36" s="982" t="n"/>
      <c r="J36" s="982" t="n"/>
      <c r="K36" s="982" t="n"/>
      <c r="L36" s="982" t="n"/>
      <c r="M36" s="982" t="n"/>
      <c r="N36" s="982" t="n"/>
      <c r="O36" s="982" t="n"/>
    </row>
    <row r="37">
      <c r="A37" s="982" t="n"/>
      <c r="B37" s="986">
        <f>'REVIEW - Complete Role Mapping'!$B$477</f>
        <v/>
      </c>
      <c r="C37" s="986">
        <f>'REVIEW - Complete Role Mapping'!$C$477</f>
        <v/>
      </c>
      <c r="D37" s="1005">
        <f>'REVIEW - Complete Role Mapping'!$AK$477</f>
        <v/>
      </c>
      <c r="E37" s="986" t="inlineStr"/>
      <c r="F37" s="986" t="inlineStr"/>
      <c r="G37" s="982" t="n"/>
      <c r="H37" s="982" t="n"/>
      <c r="I37" s="982" t="n"/>
      <c r="J37" s="982" t="n"/>
      <c r="K37" s="982" t="n"/>
      <c r="L37" s="982" t="n"/>
      <c r="M37" s="982" t="n"/>
      <c r="N37" s="982" t="n"/>
      <c r="O37" s="982" t="n"/>
    </row>
    <row r="38">
      <c r="A38" s="982" t="n"/>
      <c r="B38" s="986">
        <f>'REVIEW - Complete Role Mapping'!$B$478</f>
        <v/>
      </c>
      <c r="C38" s="986">
        <f>'REVIEW - Complete Role Mapping'!$C$478</f>
        <v/>
      </c>
      <c r="D38" s="1005">
        <f>'REVIEW - Complete Role Mapping'!$AK$478</f>
        <v/>
      </c>
      <c r="E38" s="986" t="inlineStr"/>
      <c r="F38" s="986" t="inlineStr"/>
      <c r="G38" s="982" t="n"/>
      <c r="H38" s="982" t="n"/>
      <c r="I38" s="982" t="n"/>
      <c r="J38" s="982" t="n"/>
      <c r="K38" s="982" t="n"/>
      <c r="L38" s="982" t="n"/>
      <c r="M38" s="982" t="n"/>
      <c r="N38" s="982" t="n"/>
      <c r="O38" s="982" t="n"/>
    </row>
    <row r="39">
      <c r="A39" s="982" t="n"/>
      <c r="B39" s="986">
        <f>'REVIEW - Complete Role Mapping'!$B$513</f>
        <v/>
      </c>
      <c r="C39" s="986">
        <f>'REVIEW - Complete Role Mapping'!$C$513</f>
        <v/>
      </c>
      <c r="D39" s="1005">
        <f>'REVIEW - Complete Role Mapping'!$AK$513</f>
        <v/>
      </c>
      <c r="E39" s="1006" t="inlineStr">
        <is>
          <t>Hold</t>
        </is>
      </c>
      <c r="F39" s="1007">
        <f>'REVIEW - Complete Role Mapping'!$AA$513</f>
        <v/>
      </c>
      <c r="G39" s="982" t="n"/>
      <c r="H39" s="982" t="n"/>
      <c r="I39" s="982" t="n"/>
      <c r="J39" s="982" t="n"/>
      <c r="K39" s="982" t="n"/>
      <c r="L39" s="982" t="n"/>
      <c r="M39" s="982" t="n"/>
      <c r="N39" s="982" t="n"/>
      <c r="O39" s="982" t="n"/>
    </row>
    <row r="40">
      <c r="A40" s="982" t="n"/>
      <c r="B40" s="1004" t="inlineStr">
        <is>
          <t>DevOps &amp; QE</t>
        </is>
      </c>
      <c r="C40" s="1004" t="inlineStr"/>
      <c r="D40" s="1004" t="inlineStr"/>
      <c r="E40" s="1004" t="inlineStr"/>
      <c r="F40" s="1004" t="inlineStr"/>
      <c r="G40" s="982" t="n"/>
      <c r="H40" s="982" t="n"/>
      <c r="I40" s="982" t="n"/>
      <c r="J40" s="982" t="n"/>
      <c r="K40" s="982" t="n"/>
      <c r="L40" s="982" t="n"/>
      <c r="M40" s="982" t="n"/>
      <c r="N40" s="982" t="n"/>
      <c r="O40" s="982" t="n"/>
    </row>
    <row r="41">
      <c r="A41" s="982" t="n"/>
      <c r="B41" s="986">
        <f>'REVIEW - Complete Role Mapping'!$B$479</f>
        <v/>
      </c>
      <c r="C41" s="986">
        <f>'REVIEW - Complete Role Mapping'!$C$479</f>
        <v/>
      </c>
      <c r="D41" s="1005">
        <f>'REVIEW - Complete Role Mapping'!$AK$479</f>
        <v/>
      </c>
      <c r="E41" s="986" t="inlineStr"/>
      <c r="F41" s="986" t="inlineStr"/>
      <c r="G41" s="982" t="n"/>
      <c r="H41" s="982" t="n"/>
      <c r="I41" s="982" t="n"/>
      <c r="J41" s="982" t="n"/>
      <c r="K41" s="982" t="n"/>
      <c r="L41" s="982" t="n"/>
      <c r="M41" s="982" t="n"/>
      <c r="N41" s="982" t="n"/>
      <c r="O41" s="982" t="n"/>
    </row>
    <row r="42">
      <c r="A42" s="982" t="n"/>
      <c r="B42" s="986">
        <f>'REVIEW - Complete Role Mapping'!$B$480</f>
        <v/>
      </c>
      <c r="C42" s="986">
        <f>'REVIEW - Complete Role Mapping'!$C$480</f>
        <v/>
      </c>
      <c r="D42" s="1005">
        <f>'REVIEW - Complete Role Mapping'!$AK$480</f>
        <v/>
      </c>
      <c r="E42" s="986" t="inlineStr"/>
      <c r="F42" s="986" t="inlineStr"/>
      <c r="G42" s="982" t="n"/>
      <c r="H42" s="982" t="n"/>
      <c r="I42" s="982" t="n"/>
      <c r="J42" s="982" t="n"/>
      <c r="K42" s="982" t="n"/>
      <c r="L42" s="982" t="n"/>
      <c r="M42" s="982" t="n"/>
      <c r="N42" s="982" t="n"/>
      <c r="O42" s="982" t="n"/>
    </row>
    <row r="43">
      <c r="A43" s="982" t="n"/>
      <c r="B43" s="986">
        <f>'REVIEW - Complete Role Mapping'!$B$481</f>
        <v/>
      </c>
      <c r="C43" s="986">
        <f>'REVIEW - Complete Role Mapping'!$C$481</f>
        <v/>
      </c>
      <c r="D43" s="1005">
        <f>'REVIEW - Complete Role Mapping'!$AK$481</f>
        <v/>
      </c>
      <c r="E43" s="986" t="inlineStr"/>
      <c r="F43" s="986" t="inlineStr"/>
      <c r="G43" s="982" t="n"/>
      <c r="H43" s="982" t="n"/>
      <c r="I43" s="982" t="n"/>
      <c r="J43" s="982" t="n"/>
      <c r="K43" s="982" t="n"/>
      <c r="L43" s="982" t="n"/>
      <c r="M43" s="982" t="n"/>
      <c r="N43" s="982" t="n"/>
      <c r="O43" s="982" t="n"/>
    </row>
    <row r="44">
      <c r="A44" s="982" t="n"/>
      <c r="B44" s="986">
        <f>'REVIEW - Complete Role Mapping'!$B$482</f>
        <v/>
      </c>
      <c r="C44" s="986">
        <f>'REVIEW - Complete Role Mapping'!$C$482</f>
        <v/>
      </c>
      <c r="D44" s="1005">
        <f>'REVIEW - Complete Role Mapping'!$AK$482</f>
        <v/>
      </c>
      <c r="E44" s="986" t="inlineStr"/>
      <c r="F44" s="986" t="inlineStr"/>
      <c r="G44" s="982" t="n"/>
      <c r="H44" s="982" t="n"/>
      <c r="I44" s="982" t="n"/>
      <c r="J44" s="982" t="n"/>
      <c r="K44" s="982" t="n"/>
      <c r="L44" s="982" t="n"/>
      <c r="M44" s="982" t="n"/>
      <c r="N44" s="982" t="n"/>
      <c r="O44" s="982" t="n"/>
    </row>
    <row r="45">
      <c r="A45" s="982" t="n"/>
      <c r="B45" s="986">
        <f>'REVIEW - Complete Role Mapping'!$B$515</f>
        <v/>
      </c>
      <c r="C45" s="986">
        <f>'REVIEW - Complete Role Mapping'!$C$515</f>
        <v/>
      </c>
      <c r="D45" s="1005">
        <f>'REVIEW - Complete Role Mapping'!$AK$515</f>
        <v/>
      </c>
      <c r="E45" s="1006" t="inlineStr">
        <is>
          <t>Hold</t>
        </is>
      </c>
      <c r="F45" s="1007">
        <f>'REVIEW - Complete Role Mapping'!$AA$515</f>
        <v/>
      </c>
      <c r="G45" s="982" t="n"/>
      <c r="H45" s="982" t="n"/>
      <c r="I45" s="982" t="n"/>
      <c r="J45" s="982" t="n"/>
      <c r="K45" s="982" t="n"/>
      <c r="L45" s="982" t="n"/>
      <c r="M45" s="982" t="n"/>
      <c r="N45" s="982" t="n"/>
      <c r="O45" s="982" t="n"/>
    </row>
    <row r="46">
      <c r="A46" s="982" t="n"/>
      <c r="B46" s="986">
        <f>'REVIEW - Complete Role Mapping'!$B$520</f>
        <v/>
      </c>
      <c r="C46" s="986">
        <f>'REVIEW - Complete Role Mapping'!$C$520</f>
        <v/>
      </c>
      <c r="D46" s="1005">
        <f>'REVIEW - Complete Role Mapping'!$AK$520</f>
        <v/>
      </c>
      <c r="E46" s="1006" t="inlineStr">
        <is>
          <t>Hold</t>
        </is>
      </c>
      <c r="F46" s="1007">
        <f>'REVIEW - Complete Role Mapping'!$AA$520</f>
        <v/>
      </c>
      <c r="G46" s="982" t="n"/>
      <c r="H46" s="982" t="n"/>
      <c r="I46" s="982" t="n"/>
      <c r="J46" s="982" t="n"/>
      <c r="K46" s="982" t="n"/>
      <c r="L46" s="982" t="n"/>
      <c r="M46" s="982" t="n"/>
      <c r="N46" s="982" t="n"/>
      <c r="O46" s="982" t="n"/>
    </row>
    <row r="47">
      <c r="A47" s="982" t="n"/>
      <c r="B47" s="986">
        <f>'REVIEW - Complete Role Mapping'!$B$521</f>
        <v/>
      </c>
      <c r="C47" s="986">
        <f>'REVIEW - Complete Role Mapping'!$C$521</f>
        <v/>
      </c>
      <c r="D47" s="1005">
        <f>'REVIEW - Complete Role Mapping'!$AK$521</f>
        <v/>
      </c>
      <c r="E47" s="1006" t="inlineStr">
        <is>
          <t>Hold</t>
        </is>
      </c>
      <c r="F47" s="1007">
        <f>'REVIEW - Complete Role Mapping'!$AA$521</f>
        <v/>
      </c>
      <c r="G47" s="982" t="n"/>
      <c r="H47" s="982" t="n"/>
      <c r="I47" s="982" t="n"/>
      <c r="J47" s="982" t="n"/>
      <c r="K47" s="982" t="n"/>
      <c r="L47" s="982" t="n"/>
      <c r="M47" s="982" t="n"/>
      <c r="N47" s="982" t="n"/>
      <c r="O47" s="982" t="n"/>
    </row>
    <row r="48">
      <c r="A48" s="982" t="n"/>
      <c r="B48" s="986">
        <f>'REVIEW - Complete Role Mapping'!$B$522</f>
        <v/>
      </c>
      <c r="C48" s="986">
        <f>'REVIEW - Complete Role Mapping'!$C$522</f>
        <v/>
      </c>
      <c r="D48" s="1005">
        <f>'REVIEW - Complete Role Mapping'!$AK$522</f>
        <v/>
      </c>
      <c r="E48" s="1006" t="inlineStr">
        <is>
          <t>Hold</t>
        </is>
      </c>
      <c r="F48" s="1007">
        <f>'REVIEW - Complete Role Mapping'!$AA$522</f>
        <v/>
      </c>
      <c r="G48" s="982" t="n"/>
      <c r="H48" s="982" t="n"/>
      <c r="I48" s="982" t="n"/>
      <c r="J48" s="982" t="n"/>
      <c r="K48" s="982" t="n"/>
      <c r="L48" s="982" t="n"/>
      <c r="M48" s="982" t="n"/>
      <c r="N48" s="982" t="n"/>
      <c r="O48" s="982" t="n"/>
    </row>
    <row r="49">
      <c r="A49" s="982" t="n"/>
      <c r="B49" s="1004" t="inlineStr">
        <is>
          <t>Integration &amp; Process Automation</t>
        </is>
      </c>
      <c r="C49" s="1004" t="inlineStr"/>
      <c r="D49" s="1004" t="inlineStr"/>
      <c r="E49" s="1004" t="inlineStr"/>
      <c r="F49" s="1004" t="inlineStr"/>
      <c r="G49" s="982" t="n"/>
      <c r="H49" s="982" t="n"/>
      <c r="I49" s="982" t="n"/>
      <c r="J49" s="982" t="n"/>
      <c r="K49" s="982" t="n"/>
      <c r="L49" s="982" t="n"/>
      <c r="M49" s="982" t="n"/>
      <c r="N49" s="982" t="n"/>
      <c r="O49" s="982" t="n"/>
    </row>
    <row r="50">
      <c r="A50" s="982" t="n"/>
      <c r="B50" s="986">
        <f>'REVIEW - Complete Role Mapping'!$B$483</f>
        <v/>
      </c>
      <c r="C50" s="986">
        <f>'REVIEW - Complete Role Mapping'!$C$483</f>
        <v/>
      </c>
      <c r="D50" s="1005">
        <f>'REVIEW - Complete Role Mapping'!$AK$483</f>
        <v/>
      </c>
      <c r="E50" s="986" t="inlineStr"/>
      <c r="F50" s="986" t="inlineStr"/>
      <c r="G50" s="982" t="n"/>
      <c r="H50" s="982" t="n"/>
      <c r="I50" s="982" t="n"/>
      <c r="J50" s="982" t="n"/>
      <c r="K50" s="982" t="n"/>
      <c r="L50" s="982" t="n"/>
      <c r="M50" s="982" t="n"/>
      <c r="N50" s="982" t="n"/>
      <c r="O50" s="982" t="n"/>
    </row>
    <row r="51">
      <c r="A51" s="982" t="n"/>
      <c r="B51" s="986">
        <f>'REVIEW - Complete Role Mapping'!$B$484</f>
        <v/>
      </c>
      <c r="C51" s="986">
        <f>'REVIEW - Complete Role Mapping'!$C$484</f>
        <v/>
      </c>
      <c r="D51" s="1005">
        <f>'REVIEW - Complete Role Mapping'!$AK$484</f>
        <v/>
      </c>
      <c r="E51" s="986" t="inlineStr"/>
      <c r="F51" s="986" t="inlineStr"/>
      <c r="G51" s="982" t="n"/>
      <c r="H51" s="982" t="n"/>
      <c r="I51" s="982" t="n"/>
      <c r="J51" s="982" t="n"/>
      <c r="K51" s="982" t="n"/>
      <c r="L51" s="982" t="n"/>
      <c r="M51" s="982" t="n"/>
      <c r="N51" s="982" t="n"/>
      <c r="O51" s="982" t="n"/>
    </row>
    <row r="52">
      <c r="A52" s="982" t="n"/>
      <c r="B52" s="986">
        <f>'REVIEW - Complete Role Mapping'!$B$485</f>
        <v/>
      </c>
      <c r="C52" s="986">
        <f>'REVIEW - Complete Role Mapping'!$C$485</f>
        <v/>
      </c>
      <c r="D52" s="1005">
        <f>'REVIEW - Complete Role Mapping'!$AK$485</f>
        <v/>
      </c>
      <c r="E52" s="986" t="inlineStr"/>
      <c r="F52" s="986" t="inlineStr"/>
      <c r="G52" s="982" t="n"/>
      <c r="H52" s="982" t="n"/>
      <c r="I52" s="982" t="n"/>
      <c r="J52" s="982" t="n"/>
      <c r="K52" s="982" t="n"/>
      <c r="L52" s="982" t="n"/>
      <c r="M52" s="982" t="n"/>
      <c r="N52" s="982" t="n"/>
      <c r="O52" s="982" t="n"/>
    </row>
    <row r="53">
      <c r="A53" s="982" t="n"/>
      <c r="B53" s="986">
        <f>'REVIEW - Complete Role Mapping'!$B$486</f>
        <v/>
      </c>
      <c r="C53" s="986">
        <f>'REVIEW - Complete Role Mapping'!$C$486</f>
        <v/>
      </c>
      <c r="D53" s="1005">
        <f>'REVIEW - Complete Role Mapping'!$AK$486</f>
        <v/>
      </c>
      <c r="E53" s="986" t="inlineStr"/>
      <c r="F53" s="986" t="inlineStr"/>
      <c r="G53" s="982" t="n"/>
      <c r="H53" s="982" t="n"/>
      <c r="I53" s="982" t="n"/>
      <c r="J53" s="982" t="n"/>
      <c r="K53" s="982" t="n"/>
      <c r="L53" s="982" t="n"/>
      <c r="M53" s="982" t="n"/>
      <c r="N53" s="982" t="n"/>
      <c r="O53" s="982" t="n"/>
    </row>
    <row r="54">
      <c r="A54" s="982" t="n"/>
      <c r="B54" s="986">
        <f>'REVIEW - Complete Role Mapping'!$B$487</f>
        <v/>
      </c>
      <c r="C54" s="986">
        <f>'REVIEW - Complete Role Mapping'!$C$487</f>
        <v/>
      </c>
      <c r="D54" s="1005">
        <f>'REVIEW - Complete Role Mapping'!$AK$487</f>
        <v/>
      </c>
      <c r="E54" s="986" t="inlineStr"/>
      <c r="F54" s="986" t="inlineStr"/>
      <c r="G54" s="982" t="n"/>
      <c r="H54" s="982" t="n"/>
      <c r="I54" s="982" t="n"/>
      <c r="J54" s="982" t="n"/>
      <c r="K54" s="982" t="n"/>
      <c r="L54" s="982" t="n"/>
      <c r="M54" s="982" t="n"/>
      <c r="N54" s="982" t="n"/>
      <c r="O54" s="982" t="n"/>
    </row>
    <row r="55">
      <c r="A55" s="982" t="n"/>
      <c r="B55" s="986">
        <f>'REVIEW - Complete Role Mapping'!$B$488</f>
        <v/>
      </c>
      <c r="C55" s="986">
        <f>'REVIEW - Complete Role Mapping'!$C$488</f>
        <v/>
      </c>
      <c r="D55" s="1005">
        <f>'REVIEW - Complete Role Mapping'!$AK$488</f>
        <v/>
      </c>
      <c r="E55" s="986" t="inlineStr"/>
      <c r="F55" s="986" t="inlineStr"/>
      <c r="G55" s="982" t="n"/>
      <c r="H55" s="982" t="n"/>
      <c r="I55" s="982" t="n"/>
      <c r="J55" s="982" t="n"/>
      <c r="K55" s="982" t="n"/>
      <c r="L55" s="982" t="n"/>
      <c r="M55" s="982" t="n"/>
      <c r="N55" s="982" t="n"/>
      <c r="O55" s="982" t="n"/>
    </row>
    <row r="56">
      <c r="A56" s="982" t="n"/>
      <c r="B56" s="986">
        <f>'REVIEW - Complete Role Mapping'!$B$489</f>
        <v/>
      </c>
      <c r="C56" s="986">
        <f>'REVIEW - Complete Role Mapping'!$C$489</f>
        <v/>
      </c>
      <c r="D56" s="1005">
        <f>'REVIEW - Complete Role Mapping'!$AK$489</f>
        <v/>
      </c>
      <c r="E56" s="986" t="inlineStr"/>
      <c r="F56" s="986" t="inlineStr"/>
      <c r="G56" s="982" t="n"/>
      <c r="H56" s="982" t="n"/>
      <c r="I56" s="982" t="n"/>
      <c r="J56" s="982" t="n"/>
      <c r="K56" s="982" t="n"/>
      <c r="L56" s="982" t="n"/>
      <c r="M56" s="982" t="n"/>
      <c r="N56" s="982" t="n"/>
      <c r="O56" s="982" t="n"/>
    </row>
    <row r="57">
      <c r="A57" s="982" t="n"/>
      <c r="B57" s="986">
        <f>'REVIEW - Complete Role Mapping'!$B$490</f>
        <v/>
      </c>
      <c r="C57" s="986">
        <f>'REVIEW - Complete Role Mapping'!$C$490</f>
        <v/>
      </c>
      <c r="D57" s="1005">
        <f>'REVIEW - Complete Role Mapping'!$AK$490</f>
        <v/>
      </c>
      <c r="E57" s="986" t="inlineStr"/>
      <c r="F57" s="986" t="inlineStr"/>
      <c r="G57" s="982" t="n"/>
      <c r="H57" s="982" t="n"/>
      <c r="I57" s="982" t="n"/>
      <c r="J57" s="982" t="n"/>
      <c r="K57" s="982" t="n"/>
      <c r="L57" s="982" t="n"/>
      <c r="M57" s="982" t="n"/>
      <c r="N57" s="982" t="n"/>
      <c r="O57" s="982" t="n"/>
    </row>
    <row r="58">
      <c r="A58" s="982" t="n"/>
      <c r="B58" s="986">
        <f>'REVIEW - Complete Role Mapping'!$B$491</f>
        <v/>
      </c>
      <c r="C58" s="986">
        <f>'REVIEW - Complete Role Mapping'!$C$491</f>
        <v/>
      </c>
      <c r="D58" s="1005">
        <f>'REVIEW - Complete Role Mapping'!$AK$491</f>
        <v/>
      </c>
      <c r="E58" s="986" t="inlineStr"/>
      <c r="F58" s="986" t="inlineStr"/>
      <c r="G58" s="982" t="n"/>
      <c r="H58" s="982" t="n"/>
      <c r="I58" s="982" t="n"/>
      <c r="J58" s="982" t="n"/>
      <c r="K58" s="982" t="n"/>
      <c r="L58" s="982" t="n"/>
      <c r="M58" s="982" t="n"/>
      <c r="N58" s="982" t="n"/>
      <c r="O58" s="982" t="n"/>
    </row>
    <row r="59">
      <c r="A59" s="982" t="n"/>
      <c r="B59" s="986">
        <f>'REVIEW - Complete Role Mapping'!$B$514</f>
        <v/>
      </c>
      <c r="C59" s="986">
        <f>'REVIEW - Complete Role Mapping'!$C$514</f>
        <v/>
      </c>
      <c r="D59" s="1005">
        <f>'REVIEW - Complete Role Mapping'!$AK$514</f>
        <v/>
      </c>
      <c r="E59" s="1006" t="inlineStr">
        <is>
          <t>Hold</t>
        </is>
      </c>
      <c r="F59" s="1007">
        <f>'REVIEW - Complete Role Mapping'!$AA$514</f>
        <v/>
      </c>
      <c r="G59" s="982" t="n"/>
      <c r="H59" s="982" t="n"/>
      <c r="I59" s="982" t="n"/>
      <c r="J59" s="982" t="n"/>
      <c r="K59" s="982" t="n"/>
      <c r="L59" s="982" t="n"/>
      <c r="M59" s="982" t="n"/>
      <c r="N59" s="982" t="n"/>
      <c r="O59" s="982" t="n"/>
    </row>
    <row r="60">
      <c r="A60" s="982" t="n"/>
      <c r="B60" s="986">
        <f>'REVIEW - Complete Role Mapping'!$B$516</f>
        <v/>
      </c>
      <c r="C60" s="986">
        <f>'REVIEW - Complete Role Mapping'!$C$516</f>
        <v/>
      </c>
      <c r="D60" s="1005">
        <f>'REVIEW - Complete Role Mapping'!$AK$516</f>
        <v/>
      </c>
      <c r="E60" s="1006" t="inlineStr">
        <is>
          <t>Hold</t>
        </is>
      </c>
      <c r="F60" s="1007">
        <f>'REVIEW - Complete Role Mapping'!$AA$516</f>
        <v/>
      </c>
      <c r="G60" s="982" t="n"/>
      <c r="H60" s="982" t="n"/>
      <c r="I60" s="982" t="n"/>
      <c r="J60" s="982" t="n"/>
      <c r="K60" s="982" t="n"/>
      <c r="L60" s="982" t="n"/>
      <c r="M60" s="982" t="n"/>
      <c r="N60" s="982" t="n"/>
      <c r="O60" s="982" t="n"/>
    </row>
    <row r="61">
      <c r="A61" s="982" t="n"/>
      <c r="B61" s="1004" t="inlineStr">
        <is>
          <t>Workplace &amp; Enterprise Tooling</t>
        </is>
      </c>
      <c r="C61" s="1004" t="inlineStr"/>
      <c r="D61" s="1004" t="inlineStr"/>
      <c r="E61" s="1004" t="inlineStr"/>
      <c r="F61" s="1004" t="inlineStr"/>
      <c r="G61" s="982" t="n"/>
      <c r="H61" s="982" t="n"/>
      <c r="I61" s="982" t="n"/>
      <c r="J61" s="982" t="n"/>
      <c r="K61" s="982" t="n"/>
      <c r="L61" s="982" t="n"/>
      <c r="M61" s="982" t="n"/>
      <c r="N61" s="982" t="n"/>
      <c r="O61" s="982" t="n"/>
    </row>
    <row r="62">
      <c r="B62" s="986">
        <f>'REVIEW - Complete Role Mapping'!$B$492</f>
        <v/>
      </c>
      <c r="C62" s="986">
        <f>'REVIEW - Complete Role Mapping'!$C$492</f>
        <v/>
      </c>
      <c r="D62" s="1005">
        <f>'REVIEW - Complete Role Mapping'!$AK$492</f>
        <v/>
      </c>
      <c r="E62" s="986" t="inlineStr"/>
      <c r="F62" s="986" t="inlineStr"/>
    </row>
    <row r="63">
      <c r="B63" s="986">
        <f>'REVIEW - Complete Role Mapping'!$B$493</f>
        <v/>
      </c>
      <c r="C63" s="986">
        <f>'REVIEW - Complete Role Mapping'!$C$493</f>
        <v/>
      </c>
      <c r="D63" s="1005">
        <f>'REVIEW - Complete Role Mapping'!$AK$493</f>
        <v/>
      </c>
      <c r="E63" s="986" t="inlineStr"/>
      <c r="F63" s="986" t="inlineStr"/>
    </row>
    <row r="64">
      <c r="B64" s="986">
        <f>'REVIEW - Complete Role Mapping'!$B$494</f>
        <v/>
      </c>
      <c r="C64" s="986">
        <f>'REVIEW - Complete Role Mapping'!$C$494</f>
        <v/>
      </c>
      <c r="D64" s="1005">
        <f>'REVIEW - Complete Role Mapping'!$AK$494</f>
        <v/>
      </c>
      <c r="E64" s="986" t="inlineStr"/>
      <c r="F64" s="986" t="inlineStr"/>
    </row>
    <row r="65">
      <c r="B65" s="986">
        <f>'REVIEW - Complete Role Mapping'!$B$517</f>
        <v/>
      </c>
      <c r="C65" s="986">
        <f>'REVIEW - Complete Role Mapping'!$C$517</f>
        <v/>
      </c>
      <c r="D65" s="1005">
        <f>'REVIEW - Complete Role Mapping'!$AK$517</f>
        <v/>
      </c>
      <c r="E65" s="1006" t="inlineStr">
        <is>
          <t>Hold</t>
        </is>
      </c>
      <c r="F65" s="1007">
        <f>'REVIEW - Complete Role Mapping'!$AA$517</f>
        <v/>
      </c>
    </row>
    <row r="66">
      <c r="B66" s="986">
        <f>'REVIEW - Complete Role Mapping'!$B$519</f>
        <v/>
      </c>
      <c r="C66" s="986">
        <f>'REVIEW - Complete Role Mapping'!$C$519</f>
        <v/>
      </c>
      <c r="D66" s="1005">
        <f>'REVIEW - Complete Role Mapping'!$AK$519</f>
        <v/>
      </c>
      <c r="E66" s="1006" t="inlineStr">
        <is>
          <t>Hold</t>
        </is>
      </c>
      <c r="F66" s="1007">
        <f>'REVIEW - Complete Role Mapping'!$AA$519</f>
        <v/>
      </c>
    </row>
    <row r="67">
      <c r="B67" s="986">
        <f>'REVIEW - Complete Role Mapping'!$B$527</f>
        <v/>
      </c>
      <c r="C67" s="986">
        <f>'REVIEW - Complete Role Mapping'!$C$527</f>
        <v/>
      </c>
      <c r="D67" s="1005">
        <f>'REVIEW - Complete Role Mapping'!$AK$527</f>
        <v/>
      </c>
      <c r="E67" s="986" t="inlineStr"/>
      <c r="F67" s="986" t="inlineStr"/>
    </row>
    <row r="68">
      <c r="B68" s="1004" t="inlineStr">
        <is>
          <t>Leadership</t>
        </is>
      </c>
      <c r="C68" s="1004" t="inlineStr"/>
      <c r="D68" s="1004" t="inlineStr"/>
      <c r="E68" s="1004" t="inlineStr"/>
      <c r="F68" s="1004" t="inlineStr"/>
    </row>
    <row r="69">
      <c r="B69" s="986">
        <f>'REVIEW - Complete Role Mapping'!$B$512</f>
        <v/>
      </c>
      <c r="C69" s="986">
        <f>'REVIEW - Complete Role Mapping'!$C$512</f>
        <v/>
      </c>
      <c r="D69" s="1005">
        <f>'REVIEW - Complete Role Mapping'!$AK$512</f>
        <v/>
      </c>
      <c r="E69" s="1006" t="inlineStr">
        <is>
          <t>Hold</t>
        </is>
      </c>
      <c r="F69" s="1007">
        <f>'REVIEW - Complete Role Mapping'!$AA$512</f>
        <v/>
      </c>
    </row>
    <row r="70">
      <c r="B70" s="986">
        <f>'REVIEW - Complete Role Mapping'!$B$518</f>
        <v/>
      </c>
      <c r="C70" s="986">
        <f>'REVIEW - Complete Role Mapping'!$C$518</f>
        <v/>
      </c>
      <c r="D70" s="1005">
        <f>'REVIEW - Complete Role Mapping'!$AK$518</f>
        <v/>
      </c>
      <c r="E70" s="1006" t="inlineStr">
        <is>
          <t>Hold</t>
        </is>
      </c>
      <c r="F70" s="1007">
        <f>'REVIEW - Complete Role Mapping'!$AA$518</f>
        <v/>
      </c>
    </row>
    <row r="71">
      <c r="B71" s="986">
        <f>'REVIEW - Complete Role Mapping'!$B$523</f>
        <v/>
      </c>
      <c r="C71" s="986">
        <f>'REVIEW - Complete Role Mapping'!$C$523</f>
        <v/>
      </c>
      <c r="D71" s="1005">
        <f>'REVIEW - Complete Role Mapping'!$AK$523</f>
        <v/>
      </c>
      <c r="E71" s="1006" t="inlineStr">
        <is>
          <t>Hold</t>
        </is>
      </c>
      <c r="F71" s="1007">
        <f>'REVIEW - Complete Role Mapping'!$AA$523</f>
        <v/>
      </c>
    </row>
    <row r="72">
      <c r="B72" s="986">
        <f>'REVIEW - Complete Role Mapping'!$B$524</f>
        <v/>
      </c>
      <c r="C72" s="986">
        <f>'REVIEW - Complete Role Mapping'!$C$524</f>
        <v/>
      </c>
      <c r="D72" s="1005">
        <f>'REVIEW - Complete Role Mapping'!$AK$524</f>
        <v/>
      </c>
      <c r="E72" s="1006" t="inlineStr">
        <is>
          <t>Hold</t>
        </is>
      </c>
      <c r="F72" s="1007">
        <f>'REVIEW - Complete Role Mapping'!$AA$524</f>
        <v/>
      </c>
    </row>
    <row r="73">
      <c r="B73" s="986">
        <f>'REVIEW - Complete Role Mapping'!$B$525</f>
        <v/>
      </c>
      <c r="C73" s="986">
        <f>'REVIEW - Complete Role Mapping'!$C$525</f>
        <v/>
      </c>
      <c r="D73" s="1005">
        <f>'REVIEW - Complete Role Mapping'!$AK$525</f>
        <v/>
      </c>
      <c r="E73" s="1006" t="inlineStr">
        <is>
          <t>Hold</t>
        </is>
      </c>
      <c r="F73" s="1007">
        <f>'REVIEW - Complete Role Mapping'!$AA$525</f>
        <v/>
      </c>
    </row>
    <row r="74">
      <c r="B74" s="1004" t="inlineStr">
        <is>
          <t>(unassigned)</t>
        </is>
      </c>
      <c r="C74" s="1004" t="inlineStr"/>
      <c r="D74" s="1004" t="inlineStr"/>
      <c r="E74" s="1004" t="inlineStr"/>
      <c r="F74" s="1004" t="inlineStr"/>
    </row>
    <row r="75">
      <c r="B75" s="986">
        <f>'REVIEW - Complete Role Mapping'!$B$528</f>
        <v/>
      </c>
      <c r="C75" s="986">
        <f>'REVIEW - Complete Role Mapping'!$C$528</f>
        <v/>
      </c>
      <c r="D75" s="1005">
        <f>'REVIEW - Complete Role Mapping'!$AK$528</f>
        <v/>
      </c>
      <c r="E75" s="986" t="inlineStr"/>
      <c r="F75" s="986" t="inlineStr"/>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33 E34 E35 E36 E39 E45 E46 E47 E48 E59 E60 E65 E66 E69 E70 E71 E72 E73" showDropDown="0" showInputMessage="0" showErrorMessage="0" allowBlank="0"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A2:O40"/>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P&amp;C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EGI P&amp;C</t>
        </is>
      </c>
      <c r="C6" s="987">
        <f>IFERROR(INDEX('3.3 FTE View'!$E:$E,MATCH("P&amp;C|EGI P&amp;C",'3.3 FTE View'!$AD:$AD,0)),"-")</f>
        <v/>
      </c>
      <c r="D6" s="988">
        <f>IFERROR(INDEX('3.3 FTE View'!$G:$G,MATCH("P&amp;C|EGI P&amp;C",'3.3 FTE View'!$AD:$AD,0)),"-")</f>
        <v/>
      </c>
      <c r="E6" s="989">
        <f>COUNTIF($D$20:$D$20,"Filled")</f>
        <v/>
      </c>
      <c r="F6" s="989">
        <f>COUNTIF($D$20:$D$20,"Vacant")</f>
        <v/>
      </c>
      <c r="G6" s="989">
        <f>COUNTIF($E$20:$E$20,"Hire")</f>
        <v/>
      </c>
      <c r="H6" s="989">
        <f>F6-G6-COUNTIF($E$20:$E$20,"Offshore")</f>
        <v/>
      </c>
      <c r="I6" s="989">
        <f>IFERROR(E6+G6-D6,"-")</f>
        <v/>
      </c>
      <c r="J6" s="986">
        <f>IF(ISNUMBER(D6),IF(E6&gt;D6,"Filled already over archetype",IF(E6+G6&gt;D6,"Over archetype after hire","")),"Outside the archetype model - no target set")</f>
        <v/>
      </c>
      <c r="K6" s="990">
        <f>IFERROR(INDEX('3.3 FTE View'!$M:$M,MATCH("P&amp;C|EGI P&amp;C",'3.3 FTE View'!$AD:$AD,0)),"-")</f>
        <v/>
      </c>
      <c r="L6" s="991">
        <f>(SUMIFS('REVIEW - Complete Role Mapping'!$AA:$AA,'REVIEW - Complete Role Mapping'!$AJ:$AJ,"P&amp;C",'REVIEW - Complete Role Mapping'!$AO:$AO,"EGI P&amp;C",'REVIEW - Complete Role Mapping'!$AK:$AK,"Filled"))/1000000</f>
        <v/>
      </c>
      <c r="M6" s="991">
        <f>L6+(SUMIFS($F$20:$F$20,$E$20:$E$20,"Hire")+0.4*SUMIFS($F$20:$F$20,$E$20:$E$20,"Offshore"))/1000000</f>
        <v/>
      </c>
      <c r="N6" s="991">
        <f>IFERROR(M6-K6,"-")</f>
        <v/>
      </c>
      <c r="O6" s="987">
        <f>IFERROR(INDEX('3.3 FTE View'!$F:$F,MATCH("P&amp;C|EGI P&amp;C",'3.3 FTE View'!$AD:$AD,0)),"-")</f>
        <v/>
      </c>
    </row>
    <row r="7">
      <c r="A7" s="982" t="n"/>
      <c r="B7" s="992" t="inlineStr">
        <is>
          <t>P&amp;C</t>
        </is>
      </c>
      <c r="C7" s="987">
        <f>IFERROR(INDEX('3.3 FTE View'!$E:$E,MATCH("P&amp;C|P&amp;C",'3.3 FTE View'!$AD:$AD,0)),"-")</f>
        <v/>
      </c>
      <c r="D7" s="988">
        <f>IFERROR(INDEX('3.3 FTE View'!$G:$G,MATCH("P&amp;C|P&amp;C",'3.3 FTE View'!$AD:$AD,0)),"-")</f>
        <v/>
      </c>
      <c r="E7" s="989">
        <f>COUNTIF($D$22:$D$29,"Filled")</f>
        <v/>
      </c>
      <c r="F7" s="989">
        <f>COUNTIF($D$22:$D$29,"Vacant")</f>
        <v/>
      </c>
      <c r="G7" s="989">
        <f>COUNTIF($E$22:$E$29,"Hire")</f>
        <v/>
      </c>
      <c r="H7" s="989">
        <f>F7-G7-COUNTIF($E$22:$E$29,"Offshore")</f>
        <v/>
      </c>
      <c r="I7" s="989">
        <f>IFERROR(E7+G7-D7,"-")</f>
        <v/>
      </c>
      <c r="J7" s="986">
        <f>IF(ISNUMBER(D7),IF(E7&gt;D7,"Filled already over archetype",IF(E7+G7&gt;D7,"Over archetype after hire","")),"Outside the archetype model - no target set")</f>
        <v/>
      </c>
      <c r="K7" s="990">
        <f>IFERROR(INDEX('3.3 FTE View'!$M:$M,MATCH("P&amp;C|P&amp;C",'3.3 FTE View'!$AD:$AD,0)),"-")</f>
        <v/>
      </c>
      <c r="L7" s="991">
        <f>(SUMIFS('REVIEW - Complete Role Mapping'!$AA:$AA,'REVIEW - Complete Role Mapping'!$AJ:$AJ,"P&amp;C",'REVIEW - Complete Role Mapping'!$AO:$AO,"P&amp;C",'REVIEW - Complete Role Mapping'!$AK:$AK,"Filled"))/1000000</f>
        <v/>
      </c>
      <c r="M7" s="991">
        <f>L7+(SUMIFS($F$22:$F$29,$E$22:$E$29,"Hire")+0.4*SUMIFS($F$22:$F$29,$E$22:$E$29,"Offshore"))/1000000</f>
        <v/>
      </c>
      <c r="N7" s="991">
        <f>IFERROR(M7-K7,"-")</f>
        <v/>
      </c>
      <c r="O7" s="987">
        <f>IFERROR(INDEX('3.3 FTE View'!$F:$F,MATCH("P&amp;C|P&amp;C",'3.3 FTE View'!$AD:$AD,0)),"-")</f>
        <v/>
      </c>
    </row>
    <row r="8">
      <c r="A8" s="982" t="n"/>
      <c r="B8" s="986" t="inlineStr">
        <is>
          <t>P&amp;C RTA</t>
        </is>
      </c>
      <c r="C8" s="987">
        <f>IFERROR(INDEX('3.3 FTE View'!$E:$E,MATCH("P&amp;C|P&amp;C RTA",'3.3 FTE View'!$AD:$AD,0)),"-")</f>
        <v/>
      </c>
      <c r="D8" s="988">
        <f>IFERROR(INDEX('3.3 FTE View'!$G:$G,MATCH("P&amp;C|P&amp;C RTA",'3.3 FTE View'!$AD:$AD,0)),"-")</f>
        <v/>
      </c>
      <c r="E8" s="989">
        <f>COUNTIF($D$31:$D$36,"Filled")</f>
        <v/>
      </c>
      <c r="F8" s="989">
        <f>COUNTIF($D$31:$D$36,"Vacant")</f>
        <v/>
      </c>
      <c r="G8" s="989">
        <f>COUNTIF($E$31:$E$36,"Hire")</f>
        <v/>
      </c>
      <c r="H8" s="989">
        <f>F8-G8-COUNTIF($E$31:$E$36,"Offshore")</f>
        <v/>
      </c>
      <c r="I8" s="989">
        <f>IFERROR(E8+G8-D8,"-")</f>
        <v/>
      </c>
      <c r="J8" s="986">
        <f>IF(ISNUMBER(D8),IF(E8&gt;D8,"Filled already over archetype",IF(E8+G8&gt;D8,"Over archetype after hire","")),"Outside the archetype model - no target set")</f>
        <v/>
      </c>
      <c r="K8" s="990">
        <f>IFERROR(INDEX('3.3 FTE View'!$M:$M,MATCH("P&amp;C|P&amp;C RTA",'3.3 FTE View'!$AD:$AD,0)),"-")</f>
        <v/>
      </c>
      <c r="L8" s="991">
        <f>(SUMIFS('REVIEW - Complete Role Mapping'!$AA:$AA,'REVIEW - Complete Role Mapping'!$AJ:$AJ,"P&amp;C",'REVIEW - Complete Role Mapping'!$AO:$AO,"P&amp;C RTA",'REVIEW - Complete Role Mapping'!$AK:$AK,"Filled"))/1000000</f>
        <v/>
      </c>
      <c r="M8" s="991">
        <f>L8+(SUMIFS($F$31:$F$36,$E$31:$E$36,"Hire")+0.4*SUMIFS($F$31:$F$36,$E$31:$E$36,"Offshore"))/1000000</f>
        <v/>
      </c>
      <c r="N8" s="991">
        <f>IFERROR(M8-K8,"-")</f>
        <v/>
      </c>
      <c r="O8" s="987">
        <f>IFERROR(INDEX('3.3 FTE View'!$F:$F,MATCH("P&amp;C|P&amp;C RTA",'3.3 FTE View'!$AD:$AD,0)),"-")</f>
        <v/>
      </c>
    </row>
    <row r="9">
      <c r="A9" s="982" t="n"/>
      <c r="B9" s="992" t="inlineStr">
        <is>
          <t>Leadership</t>
        </is>
      </c>
      <c r="C9" s="987">
        <f>IFERROR(INDEX('3.3 FTE View'!$E:$E,MATCH("P&amp;C|Leadership",'3.3 FTE View'!$AD:$AD,0)),"-")</f>
        <v/>
      </c>
      <c r="D9" s="988">
        <f>IFERROR(INDEX('3.3 FTE View'!$G:$G,MATCH("P&amp;C|Leadership",'3.3 FTE View'!$AD:$AD,0)),"-")</f>
        <v/>
      </c>
      <c r="E9" s="989">
        <f>COUNTIF($D$38:$D$40,"Filled")</f>
        <v/>
      </c>
      <c r="F9" s="989">
        <f>COUNTIF($D$38:$D$40,"Vacant")</f>
        <v/>
      </c>
      <c r="G9" s="989">
        <f>COUNTIF($E$38:$E$40,"Hire")</f>
        <v/>
      </c>
      <c r="H9" s="989">
        <f>F9-G9-COUNTIF($E$38:$E$40,"Offshore")</f>
        <v/>
      </c>
      <c r="I9" s="989">
        <f>IFERROR(E9+G9-D9,"-")</f>
        <v/>
      </c>
      <c r="J9" s="986">
        <f>IF(ISNUMBER(D9),IF(E9&gt;D9,"Filled already over archetype",IF(E9+G9&gt;D9,"Over archetype after hire","")),"Outside the archetype model - no target set")</f>
        <v/>
      </c>
      <c r="K9" s="990">
        <f>IFERROR(INDEX('3.3 FTE View'!$M:$M,MATCH("P&amp;C|Leadership",'3.3 FTE View'!$AD:$AD,0)),"-")</f>
        <v/>
      </c>
      <c r="L9" s="991">
        <f>(SUMIFS('REVIEW - Complete Role Mapping'!$AA:$AA,'REVIEW - Complete Role Mapping'!$AJ:$AJ,"P&amp;C",'REVIEW - Complete Role Mapping'!$AO:$AO,"Leadership",'REVIEW - Complete Role Mapping'!$AK:$AK,"Filled"))/1000000</f>
        <v/>
      </c>
      <c r="M9" s="991">
        <f>L9+(SUMIFS($F$38:$F$40,$E$38:$E$40,"Hire")+0.4*SUMIFS($F$38:$F$40,$E$38:$E$40,"Offshore"))/1000000</f>
        <v/>
      </c>
      <c r="N9" s="991">
        <f>IFERROR(M9-K9,"-")</f>
        <v/>
      </c>
      <c r="O9" s="987">
        <f>IFERROR(INDEX('3.3 FTE View'!$F:$F,MATCH("P&amp;C|Leadership",'3.3 FTE View'!$AD:$AD,0)),"-")</f>
        <v/>
      </c>
    </row>
    <row r="10">
      <c r="A10" s="982" t="n"/>
      <c r="B10" s="993" t="inlineStr">
        <is>
          <t>Total</t>
        </is>
      </c>
      <c r="C10" s="993" t="inlineStr"/>
      <c r="D10" s="994">
        <f>SUM(D6:D9)</f>
        <v/>
      </c>
      <c r="E10" s="994">
        <f>SUM(E6:E9)</f>
        <v/>
      </c>
      <c r="F10" s="994">
        <f>SUM(F6:F9)</f>
        <v/>
      </c>
      <c r="G10" s="994">
        <f>SUM(G6:G9)</f>
        <v/>
      </c>
      <c r="H10" s="994">
        <f>SUM(H6:H9)</f>
        <v/>
      </c>
      <c r="I10" s="994">
        <f>SUM(I6:I9)</f>
        <v/>
      </c>
      <c r="J10" s="993" t="inlineStr"/>
      <c r="K10" s="995">
        <f>SUM(K6:K9)</f>
        <v/>
      </c>
      <c r="L10" s="995">
        <f>SUM(L6:L9)</f>
        <v/>
      </c>
      <c r="M10" s="995">
        <f>SUM(M6:M9)</f>
        <v/>
      </c>
      <c r="N10" s="995">
        <f>SUM(N6:N9)</f>
        <v/>
      </c>
      <c r="O10" s="993" t="inlineStr"/>
    </row>
    <row r="11">
      <c r="A11" s="982" t="n"/>
      <c r="B11" s="996" t="inlineStr">
        <is>
          <t>Cost to hire all vacancies ($m)</t>
        </is>
      </c>
      <c r="C11" s="1001" t="n"/>
      <c r="D11" s="982" t="n"/>
      <c r="E11" s="997">
        <f>SUMIFS($F$19:$F$40,$D$19:$D$40,"Vacant")/1000000</f>
        <v/>
      </c>
      <c r="F11" s="982" t="n"/>
      <c r="G11" s="982" t="n"/>
      <c r="H11" s="982" t="n"/>
      <c r="I11" s="982" t="n"/>
      <c r="J11" s="982" t="n"/>
      <c r="K11" s="982" t="n"/>
      <c r="L11" s="982" t="n"/>
      <c r="M11" s="982" t="n"/>
      <c r="N11" s="982" t="n"/>
      <c r="O11" s="982" t="n"/>
    </row>
    <row r="12">
      <c r="A12" s="982" t="n"/>
      <c r="B12" s="996" t="inlineStr">
        <is>
          <t>Cost of roles marked Hire ($m)</t>
        </is>
      </c>
      <c r="C12" s="982" t="n"/>
      <c r="D12" s="982" t="n"/>
      <c r="E12" s="997">
        <f>SUMIF($E$19:$E$40,"Hire",$F$19:$F$40)/1000000</f>
        <v/>
      </c>
      <c r="F12" s="982" t="n"/>
      <c r="G12" s="982" t="n"/>
      <c r="H12" s="982" t="n"/>
      <c r="I12" s="982" t="n"/>
      <c r="J12" s="982" t="n"/>
      <c r="K12" s="982" t="n"/>
      <c r="L12" s="982" t="n"/>
      <c r="M12" s="982" t="n"/>
      <c r="N12" s="982" t="n"/>
      <c r="O12" s="982" t="n"/>
    </row>
    <row r="13">
      <c r="A13" s="982" t="n"/>
      <c r="B13" s="998"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8" t="inlineStr">
        <is>
          <t>"-" in the archetype columns means this real squad has no design archetype target; the comparison sits at portfolio level on 3.2.</t>
        </is>
      </c>
      <c r="C14" s="982" t="n"/>
      <c r="D14" s="982" t="n"/>
      <c r="E14" s="982" t="n"/>
      <c r="F14" s="982" t="n"/>
      <c r="G14" s="982" t="n"/>
      <c r="H14" s="982" t="n"/>
      <c r="I14" s="982" t="n"/>
      <c r="J14" s="982" t="n"/>
      <c r="K14" s="982" t="n"/>
      <c r="L14" s="982" t="n"/>
      <c r="M14" s="982" t="n"/>
      <c r="N14" s="982" t="n"/>
      <c r="O14" s="982" t="n"/>
    </row>
    <row r="15">
      <c r="A15" s="982" t="n"/>
      <c r="B15" s="999" t="n"/>
      <c r="C15" s="999" t="n"/>
      <c r="D15" s="999" t="n"/>
      <c r="E15" s="999" t="n"/>
      <c r="F15" s="999"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P&amp;C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4" t="inlineStr">
        <is>
          <t>EGI P&amp;C</t>
        </is>
      </c>
      <c r="C19" s="1004" t="inlineStr"/>
      <c r="D19" s="1004" t="inlineStr"/>
      <c r="E19" s="1004" t="inlineStr"/>
      <c r="F19" s="1004" t="inlineStr"/>
      <c r="G19" s="982" t="n"/>
      <c r="H19" s="982" t="n"/>
      <c r="I19" s="982" t="n"/>
      <c r="J19" s="982" t="n"/>
      <c r="K19" s="982" t="n"/>
      <c r="L19" s="982" t="n"/>
      <c r="M19" s="982" t="n"/>
      <c r="N19" s="982" t="n"/>
      <c r="O19" s="982" t="n"/>
    </row>
    <row r="20">
      <c r="A20" s="982" t="n"/>
      <c r="B20" s="986">
        <f>'REVIEW - Complete Role Mapping'!$B$448</f>
        <v/>
      </c>
      <c r="C20" s="986">
        <f>'REVIEW - Complete Role Mapping'!$C$448</f>
        <v/>
      </c>
      <c r="D20" s="1005">
        <f>'REVIEW - Complete Role Mapping'!$AK$448</f>
        <v/>
      </c>
      <c r="E20" s="986" t="inlineStr"/>
      <c r="F20" s="986" t="inlineStr"/>
      <c r="G20" s="982" t="n"/>
      <c r="H20" s="982" t="n"/>
      <c r="I20" s="982" t="n"/>
      <c r="J20" s="982" t="n"/>
      <c r="K20" s="982" t="n"/>
      <c r="L20" s="982" t="n"/>
      <c r="M20" s="982" t="n"/>
      <c r="N20" s="982" t="n"/>
      <c r="O20" s="982" t="n"/>
    </row>
    <row r="21">
      <c r="A21" s="982" t="n"/>
      <c r="B21" s="1004" t="inlineStr">
        <is>
          <t>P&amp;C</t>
        </is>
      </c>
      <c r="C21" s="1004" t="inlineStr"/>
      <c r="D21" s="1004" t="inlineStr"/>
      <c r="E21" s="1004" t="inlineStr"/>
      <c r="F21" s="1004" t="inlineStr"/>
      <c r="G21" s="982" t="n"/>
      <c r="H21" s="982" t="n"/>
      <c r="I21" s="982" t="n"/>
      <c r="J21" s="982" t="n"/>
      <c r="K21" s="982" t="n"/>
      <c r="L21" s="982" t="n"/>
      <c r="M21" s="982" t="n"/>
      <c r="N21" s="982" t="n"/>
      <c r="O21" s="982" t="n"/>
    </row>
    <row r="22">
      <c r="A22" s="982" t="n"/>
      <c r="B22" s="986">
        <f>'REVIEW - Complete Role Mapping'!$B$460</f>
        <v/>
      </c>
      <c r="C22" s="986">
        <f>'REVIEW - Complete Role Mapping'!$C$460</f>
        <v/>
      </c>
      <c r="D22" s="1005">
        <f>'REVIEW - Complete Role Mapping'!$AK$460</f>
        <v/>
      </c>
      <c r="E22" s="986" t="inlineStr"/>
      <c r="F22" s="986" t="inlineStr"/>
      <c r="G22" s="982" t="n"/>
      <c r="H22" s="982" t="n"/>
      <c r="I22" s="982" t="n"/>
      <c r="J22" s="982" t="n"/>
      <c r="K22" s="982" t="n"/>
      <c r="L22" s="982" t="n"/>
      <c r="M22" s="982" t="n"/>
      <c r="N22" s="982" t="n"/>
      <c r="O22" s="982" t="n"/>
    </row>
    <row r="23">
      <c r="A23" s="982" t="n"/>
      <c r="B23" s="986">
        <f>'REVIEW - Complete Role Mapping'!$B$461</f>
        <v/>
      </c>
      <c r="C23" s="986">
        <f>'REVIEW - Complete Role Mapping'!$C$461</f>
        <v/>
      </c>
      <c r="D23" s="1005">
        <f>'REVIEW - Complete Role Mapping'!$AK$461</f>
        <v/>
      </c>
      <c r="E23" s="986" t="inlineStr"/>
      <c r="F23" s="986" t="inlineStr"/>
      <c r="G23" s="982" t="n"/>
      <c r="H23" s="982" t="n"/>
      <c r="I23" s="982" t="n"/>
      <c r="J23" s="982" t="n"/>
      <c r="K23" s="982" t="n"/>
      <c r="L23" s="982" t="n"/>
      <c r="M23" s="982" t="n"/>
      <c r="N23" s="982" t="n"/>
      <c r="O23" s="982" t="n"/>
    </row>
    <row r="24">
      <c r="A24" s="982" t="n"/>
      <c r="B24" s="986">
        <f>'REVIEW - Complete Role Mapping'!$B$462</f>
        <v/>
      </c>
      <c r="C24" s="986">
        <f>'REVIEW - Complete Role Mapping'!$C$462</f>
        <v/>
      </c>
      <c r="D24" s="1005">
        <f>'REVIEW - Complete Role Mapping'!$AK$462</f>
        <v/>
      </c>
      <c r="E24" s="986" t="inlineStr"/>
      <c r="F24" s="986" t="inlineStr"/>
      <c r="G24" s="982" t="n"/>
      <c r="H24" s="982" t="n"/>
      <c r="I24" s="982" t="n"/>
      <c r="J24" s="982" t="n"/>
      <c r="K24" s="982" t="n"/>
      <c r="L24" s="982" t="n"/>
      <c r="M24" s="982" t="n"/>
      <c r="N24" s="982" t="n"/>
      <c r="O24" s="982" t="n"/>
    </row>
    <row r="25">
      <c r="A25" s="982" t="n"/>
      <c r="B25" s="986">
        <f>'REVIEW - Complete Role Mapping'!$B$463</f>
        <v/>
      </c>
      <c r="C25" s="986">
        <f>'REVIEW - Complete Role Mapping'!$C$463</f>
        <v/>
      </c>
      <c r="D25" s="1005">
        <f>'REVIEW - Complete Role Mapping'!$AK$463</f>
        <v/>
      </c>
      <c r="E25" s="986" t="inlineStr"/>
      <c r="F25" s="986" t="inlineStr"/>
      <c r="G25" s="982" t="n"/>
      <c r="H25" s="982" t="n"/>
      <c r="I25" s="982" t="n"/>
      <c r="J25" s="982" t="n"/>
      <c r="K25" s="982" t="n"/>
      <c r="L25" s="982" t="n"/>
      <c r="M25" s="982" t="n"/>
      <c r="N25" s="982" t="n"/>
      <c r="O25" s="982" t="n"/>
    </row>
    <row r="26">
      <c r="A26" s="982" t="n"/>
      <c r="B26" s="986">
        <f>'REVIEW - Complete Role Mapping'!$B$464</f>
        <v/>
      </c>
      <c r="C26" s="986">
        <f>'REVIEW - Complete Role Mapping'!$C$464</f>
        <v/>
      </c>
      <c r="D26" s="1005">
        <f>'REVIEW - Complete Role Mapping'!$AK$464</f>
        <v/>
      </c>
      <c r="E26" s="986" t="inlineStr"/>
      <c r="F26" s="986" t="inlineStr"/>
      <c r="G26" s="982" t="n"/>
      <c r="H26" s="982" t="n"/>
      <c r="I26" s="982" t="n"/>
      <c r="J26" s="982" t="n"/>
      <c r="K26" s="982" t="n"/>
      <c r="L26" s="982" t="n"/>
      <c r="M26" s="982" t="n"/>
      <c r="N26" s="982" t="n"/>
      <c r="O26" s="982" t="n"/>
    </row>
    <row r="27">
      <c r="A27" s="982" t="n"/>
      <c r="B27" s="986">
        <f>'REVIEW - Complete Role Mapping'!$B$504</f>
        <v/>
      </c>
      <c r="C27" s="986">
        <f>'REVIEW - Complete Role Mapping'!$C$504</f>
        <v/>
      </c>
      <c r="D27" s="1005">
        <f>'REVIEW - Complete Role Mapping'!$AK$504</f>
        <v/>
      </c>
      <c r="E27" s="1006" t="inlineStr">
        <is>
          <t>Hold</t>
        </is>
      </c>
      <c r="F27" s="1007">
        <f>'REVIEW - Complete Role Mapping'!$AA$504</f>
        <v/>
      </c>
      <c r="G27" s="982" t="n"/>
      <c r="H27" s="982" t="n"/>
      <c r="I27" s="982" t="n"/>
      <c r="J27" s="982" t="n"/>
      <c r="K27" s="982" t="n"/>
      <c r="L27" s="982" t="n"/>
      <c r="M27" s="982" t="n"/>
      <c r="N27" s="982" t="n"/>
      <c r="O27" s="982" t="n"/>
    </row>
    <row r="28">
      <c r="A28" s="982" t="n"/>
      <c r="B28" s="986">
        <f>'REVIEW - Complete Role Mapping'!$B$505</f>
        <v/>
      </c>
      <c r="C28" s="986">
        <f>'REVIEW - Complete Role Mapping'!$C$505</f>
        <v/>
      </c>
      <c r="D28" s="1005">
        <f>'REVIEW - Complete Role Mapping'!$AK$505</f>
        <v/>
      </c>
      <c r="E28" s="1006" t="inlineStr">
        <is>
          <t>Hold</t>
        </is>
      </c>
      <c r="F28" s="1007">
        <f>'REVIEW - Complete Role Mapping'!$AA$505</f>
        <v/>
      </c>
      <c r="G28" s="982" t="n"/>
      <c r="H28" s="982" t="n"/>
      <c r="I28" s="982" t="n"/>
      <c r="J28" s="982" t="n"/>
      <c r="K28" s="982" t="n"/>
      <c r="L28" s="982" t="n"/>
      <c r="M28" s="982" t="n"/>
      <c r="N28" s="982" t="n"/>
      <c r="O28" s="982" t="n"/>
    </row>
    <row r="29">
      <c r="A29" s="982" t="n"/>
      <c r="B29" s="986">
        <f>'REVIEW - Complete Role Mapping'!$B$507</f>
        <v/>
      </c>
      <c r="C29" s="986">
        <f>'REVIEW - Complete Role Mapping'!$C$507</f>
        <v/>
      </c>
      <c r="D29" s="1005">
        <f>'REVIEW - Complete Role Mapping'!$AK$507</f>
        <v/>
      </c>
      <c r="E29" s="1006" t="inlineStr">
        <is>
          <t>Hold</t>
        </is>
      </c>
      <c r="F29" s="1007">
        <f>'REVIEW - Complete Role Mapping'!$AA$507</f>
        <v/>
      </c>
      <c r="G29" s="982" t="n"/>
      <c r="H29" s="982" t="n"/>
      <c r="I29" s="982" t="n"/>
      <c r="J29" s="982" t="n"/>
      <c r="K29" s="982" t="n"/>
      <c r="L29" s="982" t="n"/>
      <c r="M29" s="982" t="n"/>
      <c r="N29" s="982" t="n"/>
      <c r="O29" s="982" t="n"/>
    </row>
    <row r="30">
      <c r="A30" s="982" t="n"/>
      <c r="B30" s="1004" t="inlineStr">
        <is>
          <t>P&amp;C RTA</t>
        </is>
      </c>
      <c r="C30" s="1004" t="inlineStr"/>
      <c r="D30" s="1004" t="inlineStr"/>
      <c r="E30" s="1004" t="inlineStr"/>
      <c r="F30" s="1004" t="inlineStr"/>
      <c r="G30" s="982" t="n"/>
      <c r="H30" s="982" t="n"/>
      <c r="I30" s="982" t="n"/>
      <c r="J30" s="982" t="n"/>
      <c r="K30" s="982" t="n"/>
      <c r="L30" s="982" t="n"/>
      <c r="M30" s="982" t="n"/>
      <c r="N30" s="982" t="n"/>
      <c r="O30" s="982" t="n"/>
    </row>
    <row r="31">
      <c r="A31" s="982" t="n"/>
      <c r="B31" s="986">
        <f>'REVIEW - Complete Role Mapping'!$B$465</f>
        <v/>
      </c>
      <c r="C31" s="986">
        <f>'REVIEW - Complete Role Mapping'!$C$465</f>
        <v/>
      </c>
      <c r="D31" s="1005">
        <f>'REVIEW - Complete Role Mapping'!$AK$465</f>
        <v/>
      </c>
      <c r="E31" s="986" t="inlineStr"/>
      <c r="F31" s="986" t="inlineStr"/>
      <c r="G31" s="982" t="n"/>
      <c r="H31" s="982" t="n"/>
      <c r="I31" s="982" t="n"/>
      <c r="J31" s="982" t="n"/>
      <c r="K31" s="982" t="n"/>
      <c r="L31" s="982" t="n"/>
      <c r="M31" s="982" t="n"/>
      <c r="N31" s="982" t="n"/>
      <c r="O31" s="982" t="n"/>
    </row>
    <row r="32">
      <c r="A32" s="982" t="n"/>
      <c r="B32" s="986">
        <f>'REVIEW - Complete Role Mapping'!$B$502</f>
        <v/>
      </c>
      <c r="C32" s="986">
        <f>'REVIEW - Complete Role Mapping'!$C$502</f>
        <v/>
      </c>
      <c r="D32" s="1005">
        <f>'REVIEW - Complete Role Mapping'!$AK$502</f>
        <v/>
      </c>
      <c r="E32" s="1006" t="inlineStr">
        <is>
          <t>Hold</t>
        </is>
      </c>
      <c r="F32" s="1007">
        <f>'REVIEW - Complete Role Mapping'!$AA$502</f>
        <v/>
      </c>
      <c r="G32" s="982" t="n"/>
      <c r="H32" s="982" t="n"/>
      <c r="I32" s="982" t="n"/>
      <c r="J32" s="982" t="n"/>
      <c r="K32" s="982" t="n"/>
      <c r="L32" s="982" t="n"/>
      <c r="M32" s="982" t="n"/>
      <c r="N32" s="982" t="n"/>
      <c r="O32" s="982" t="n"/>
    </row>
    <row r="33">
      <c r="A33" s="982" t="n"/>
      <c r="B33" s="986">
        <f>'REVIEW - Complete Role Mapping'!$B$503</f>
        <v/>
      </c>
      <c r="C33" s="986">
        <f>'REVIEW - Complete Role Mapping'!$C$503</f>
        <v/>
      </c>
      <c r="D33" s="1005">
        <f>'REVIEW - Complete Role Mapping'!$AK$503</f>
        <v/>
      </c>
      <c r="E33" s="1006" t="inlineStr">
        <is>
          <t>Hold</t>
        </is>
      </c>
      <c r="F33" s="1007">
        <f>'REVIEW - Complete Role Mapping'!$AA$503</f>
        <v/>
      </c>
      <c r="G33" s="982" t="n"/>
      <c r="H33" s="982" t="n"/>
      <c r="I33" s="982" t="n"/>
      <c r="J33" s="982" t="n"/>
      <c r="K33" s="982" t="n"/>
      <c r="L33" s="982" t="n"/>
      <c r="M33" s="982" t="n"/>
      <c r="N33" s="982" t="n"/>
      <c r="O33" s="982" t="n"/>
    </row>
    <row r="34">
      <c r="A34" s="982" t="n"/>
      <c r="B34" s="986">
        <f>'REVIEW - Complete Role Mapping'!$B$506</f>
        <v/>
      </c>
      <c r="C34" s="986">
        <f>'REVIEW - Complete Role Mapping'!$C$506</f>
        <v/>
      </c>
      <c r="D34" s="1005">
        <f>'REVIEW - Complete Role Mapping'!$AK$506</f>
        <v/>
      </c>
      <c r="E34" s="1006" t="inlineStr">
        <is>
          <t>Hold</t>
        </is>
      </c>
      <c r="F34" s="1007">
        <f>'REVIEW - Complete Role Mapping'!$AA$506</f>
        <v/>
      </c>
      <c r="G34" s="982" t="n"/>
      <c r="H34" s="982" t="n"/>
      <c r="I34" s="982" t="n"/>
      <c r="J34" s="982" t="n"/>
      <c r="K34" s="982" t="n"/>
      <c r="L34" s="982" t="n"/>
      <c r="M34" s="982" t="n"/>
      <c r="N34" s="982" t="n"/>
      <c r="O34" s="982" t="n"/>
    </row>
    <row r="35">
      <c r="B35" s="986">
        <f>'REVIEW - Complete Role Mapping'!$B$508</f>
        <v/>
      </c>
      <c r="C35" s="986">
        <f>'REVIEW - Complete Role Mapping'!$C$508</f>
        <v/>
      </c>
      <c r="D35" s="1005">
        <f>'REVIEW - Complete Role Mapping'!$AK$508</f>
        <v/>
      </c>
      <c r="E35" s="1006" t="inlineStr">
        <is>
          <t>Hold</t>
        </is>
      </c>
      <c r="F35" s="1007">
        <f>'REVIEW - Complete Role Mapping'!$AA$508</f>
        <v/>
      </c>
    </row>
    <row r="36">
      <c r="B36" s="986">
        <f>'REVIEW - Complete Role Mapping'!$B$509</f>
        <v/>
      </c>
      <c r="C36" s="986">
        <f>'REVIEW - Complete Role Mapping'!$C$509</f>
        <v/>
      </c>
      <c r="D36" s="1005">
        <f>'REVIEW - Complete Role Mapping'!$AK$509</f>
        <v/>
      </c>
      <c r="E36" s="1006" t="inlineStr">
        <is>
          <t>Hold</t>
        </is>
      </c>
      <c r="F36" s="1007">
        <f>'REVIEW - Complete Role Mapping'!$AA$509</f>
        <v/>
      </c>
    </row>
    <row r="37">
      <c r="B37" s="1004" t="inlineStr">
        <is>
          <t>Leadership</t>
        </is>
      </c>
      <c r="C37" s="1004" t="inlineStr"/>
      <c r="D37" s="1004" t="inlineStr"/>
      <c r="E37" s="1004" t="inlineStr"/>
      <c r="F37" s="1004" t="inlineStr"/>
    </row>
    <row r="38">
      <c r="B38" s="986">
        <f>'REVIEW - Complete Role Mapping'!$B$466</f>
        <v/>
      </c>
      <c r="C38" s="986">
        <f>'REVIEW - Complete Role Mapping'!$C$466</f>
        <v/>
      </c>
      <c r="D38" s="1005">
        <f>'REVIEW - Complete Role Mapping'!$AK$466</f>
        <v/>
      </c>
      <c r="E38" s="986" t="inlineStr"/>
      <c r="F38" s="986" t="inlineStr"/>
    </row>
    <row r="39">
      <c r="B39" s="986">
        <f>'REVIEW - Complete Role Mapping'!$B$510</f>
        <v/>
      </c>
      <c r="C39" s="986">
        <f>'REVIEW - Complete Role Mapping'!$C$510</f>
        <v/>
      </c>
      <c r="D39" s="1005">
        <f>'REVIEW - Complete Role Mapping'!$AK$510</f>
        <v/>
      </c>
      <c r="E39" s="1006" t="inlineStr">
        <is>
          <t>Hold</t>
        </is>
      </c>
      <c r="F39" s="1007">
        <f>'REVIEW - Complete Role Mapping'!$AA$510</f>
        <v/>
      </c>
    </row>
    <row r="40">
      <c r="B40" s="986">
        <f>'REVIEW - Complete Role Mapping'!$B$511</f>
        <v/>
      </c>
      <c r="C40" s="986">
        <f>'REVIEW - Complete Role Mapping'!$C$511</f>
        <v/>
      </c>
      <c r="D40" s="1005">
        <f>'REVIEW - Complete Role Mapping'!$AK$511</f>
        <v/>
      </c>
      <c r="E40" s="1006" t="inlineStr">
        <is>
          <t>Hold</t>
        </is>
      </c>
      <c r="F40" s="1007">
        <f>'REVIEW - Complete Role Mapping'!$AA$511</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7 E28 E29 E32 E33 E34 E35 E36 E39 E40" showDropDown="0" showInputMessage="0" showErrorMessage="0" allowBlank="0"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A2:O38"/>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Finance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EGI Finance</t>
        </is>
      </c>
      <c r="C6" s="987">
        <f>IFERROR(INDEX('3.3 FTE View'!$E:$E,MATCH("Finance|EGI Finance",'3.3 FTE View'!$AD:$AD,0)),"-")</f>
        <v/>
      </c>
      <c r="D6" s="988">
        <f>IFERROR(INDEX('3.3 FTE View'!$G:$G,MATCH("Finance|EGI Finance",'3.3 FTE View'!$AD:$AD,0)),"-")</f>
        <v/>
      </c>
      <c r="E6" s="989">
        <f>COUNTIF($D$20:$D$20,"Filled")</f>
        <v/>
      </c>
      <c r="F6" s="989">
        <f>COUNTIF($D$20:$D$20,"Vacant")</f>
        <v/>
      </c>
      <c r="G6" s="989">
        <f>COUNTIF($E$20:$E$20,"Hire")</f>
        <v/>
      </c>
      <c r="H6" s="989">
        <f>F6-G6-COUNTIF($E$20:$E$20,"Offshore")</f>
        <v/>
      </c>
      <c r="I6" s="989">
        <f>IFERROR(E6+G6-D6,"-")</f>
        <v/>
      </c>
      <c r="J6" s="986">
        <f>IF(ISNUMBER(D6),IF(E6&gt;D6,"Filled already over archetype",IF(E6+G6&gt;D6,"Over archetype after hire","")),"Outside the archetype model - no target set")</f>
        <v/>
      </c>
      <c r="K6" s="990">
        <f>IFERROR(INDEX('3.3 FTE View'!$M:$M,MATCH("Finance|EGI Finance",'3.3 FTE View'!$AD:$AD,0)),"-")</f>
        <v/>
      </c>
      <c r="L6" s="991">
        <f>(SUMIFS('REVIEW - Complete Role Mapping'!$AA:$AA,'REVIEW - Complete Role Mapping'!$AJ:$AJ,"Finance",'REVIEW - Complete Role Mapping'!$AO:$AO,"EGI Finance",'REVIEW - Complete Role Mapping'!$AK:$AK,"Filled"))/1000000</f>
        <v/>
      </c>
      <c r="M6" s="991">
        <f>L6+(SUMIFS($F$20:$F$20,$E$20:$E$20,"Hire")+0.4*SUMIFS($F$20:$F$20,$E$20:$E$20,"Offshore"))/1000000</f>
        <v/>
      </c>
      <c r="N6" s="991">
        <f>IFERROR(M6-K6,"-")</f>
        <v/>
      </c>
      <c r="O6" s="987">
        <f>IFERROR(INDEX('3.3 FTE View'!$F:$F,MATCH("Finance|EGI Finance",'3.3 FTE View'!$AD:$AD,0)),"-")</f>
        <v/>
      </c>
    </row>
    <row r="7">
      <c r="A7" s="982" t="n"/>
      <c r="B7" s="992" t="inlineStr">
        <is>
          <t>SAP ERP</t>
        </is>
      </c>
      <c r="C7" s="987">
        <f>IFERROR(INDEX('3.3 FTE View'!$E:$E,MATCH("Finance|SAP ERP",'3.3 FTE View'!$AD:$AD,0)),"-")</f>
        <v/>
      </c>
      <c r="D7" s="988">
        <f>IFERROR(INDEX('3.3 FTE View'!$G:$G,MATCH("Finance|SAP ERP",'3.3 FTE View'!$AD:$AD,0)),"-")</f>
        <v/>
      </c>
      <c r="E7" s="989">
        <f>COUNTIF($D$22:$D$30,"Filled")</f>
        <v/>
      </c>
      <c r="F7" s="989">
        <f>COUNTIF($D$22:$D$30,"Vacant")</f>
        <v/>
      </c>
      <c r="G7" s="989">
        <f>COUNTIF($E$22:$E$30,"Hire")</f>
        <v/>
      </c>
      <c r="H7" s="989">
        <f>F7-G7-COUNTIF($E$22:$E$30,"Offshore")</f>
        <v/>
      </c>
      <c r="I7" s="989">
        <f>IFERROR(E7+G7-D7,"-")</f>
        <v/>
      </c>
      <c r="J7" s="986">
        <f>IF(ISNUMBER(D7),IF(E7&gt;D7,"Filled already over archetype",IF(E7+G7&gt;D7,"Over archetype after hire","")),"Outside the archetype model - no target set")</f>
        <v/>
      </c>
      <c r="K7" s="990">
        <f>IFERROR(INDEX('3.3 FTE View'!$M:$M,MATCH("Finance|SAP ERP",'3.3 FTE View'!$AD:$AD,0)),"-")</f>
        <v/>
      </c>
      <c r="L7" s="991">
        <f>(SUMIFS('REVIEW - Complete Role Mapping'!$AA:$AA,'REVIEW - Complete Role Mapping'!$AJ:$AJ,"Finance",'REVIEW - Complete Role Mapping'!$AO:$AO,"SAP ERP",'REVIEW - Complete Role Mapping'!$AK:$AK,"Filled"))/1000000</f>
        <v/>
      </c>
      <c r="M7" s="991">
        <f>L7+(SUMIFS($F$22:$F$30,$E$22:$E$30,"Hire")+0.4*SUMIFS($F$22:$F$30,$E$22:$E$30,"Offshore"))/1000000</f>
        <v/>
      </c>
      <c r="N7" s="991">
        <f>IFERROR(M7-K7,"-")</f>
        <v/>
      </c>
      <c r="O7" s="987">
        <f>IFERROR(INDEX('3.3 FTE View'!$F:$F,MATCH("Finance|SAP ERP",'3.3 FTE View'!$AD:$AD,0)),"-")</f>
        <v/>
      </c>
    </row>
    <row r="8">
      <c r="A8" s="982" t="n"/>
      <c r="B8" s="986" t="inlineStr">
        <is>
          <t>Leadership</t>
        </is>
      </c>
      <c r="C8" s="987">
        <f>IFERROR(INDEX('3.3 FTE View'!$E:$E,MATCH("Finance|Leadership",'3.3 FTE View'!$AD:$AD,0)),"-")</f>
        <v/>
      </c>
      <c r="D8" s="988">
        <f>IFERROR(INDEX('3.3 FTE View'!$G:$G,MATCH("Finance|Leadership",'3.3 FTE View'!$AD:$AD,0)),"-")</f>
        <v/>
      </c>
      <c r="E8" s="989">
        <f>COUNTIF($D$32:$D$32,"Filled")</f>
        <v/>
      </c>
      <c r="F8" s="989">
        <f>COUNTIF($D$32:$D$32,"Vacant")</f>
        <v/>
      </c>
      <c r="G8" s="989">
        <f>COUNTIF($E$32:$E$32,"Hire")</f>
        <v/>
      </c>
      <c r="H8" s="989">
        <f>F8-G8-COUNTIF($E$32:$E$32,"Offshore")</f>
        <v/>
      </c>
      <c r="I8" s="989">
        <f>IFERROR(E8+G8-D8,"-")</f>
        <v/>
      </c>
      <c r="J8" s="986">
        <f>IF(ISNUMBER(D8),IF(E8&gt;D8,"Filled already over archetype",IF(E8+G8&gt;D8,"Over archetype after hire","")),"Outside the archetype model - no target set")</f>
        <v/>
      </c>
      <c r="K8" s="990">
        <f>IFERROR(INDEX('3.3 FTE View'!$M:$M,MATCH("Finance|Leadership",'3.3 FTE View'!$AD:$AD,0)),"-")</f>
        <v/>
      </c>
      <c r="L8" s="991">
        <f>(SUMIFS('REVIEW - Complete Role Mapping'!$AA:$AA,'REVIEW - Complete Role Mapping'!$AJ:$AJ,"Finance",'REVIEW - Complete Role Mapping'!$AO:$AO,"Leadership",'REVIEW - Complete Role Mapping'!$AK:$AK,"Filled"))/1000000</f>
        <v/>
      </c>
      <c r="M8" s="991">
        <f>L8+(SUMIFS($F$32:$F$32,$E$32:$E$32,"Hire")+0.4*SUMIFS($F$32:$F$32,$E$32:$E$32,"Offshore"))/1000000</f>
        <v/>
      </c>
      <c r="N8" s="991">
        <f>IFERROR(M8-K8,"-")</f>
        <v/>
      </c>
      <c r="O8" s="987">
        <f>IFERROR(INDEX('3.3 FTE View'!$F:$F,MATCH("Finance|Leadership",'3.3 FTE View'!$AD:$AD,0)),"-")</f>
        <v/>
      </c>
    </row>
    <row r="9">
      <c r="A9" s="982" t="n"/>
      <c r="B9" s="992" t="inlineStr">
        <is>
          <t>NZ Finance</t>
        </is>
      </c>
      <c r="C9" s="987">
        <f>IFERROR(INDEX('3.3 FTE View'!$E:$E,MATCH("Finance|NZ Finance",'3.3 FTE View'!$AD:$AD,0)),"-")</f>
        <v/>
      </c>
      <c r="D9" s="988">
        <f>IFERROR(INDEX('3.3 FTE View'!$G:$G,MATCH("Finance|NZ Finance",'3.3 FTE View'!$AD:$AD,0)),"-")</f>
        <v/>
      </c>
      <c r="E9" s="989">
        <f>COUNTIF($D$34:$D$38,"Filled")</f>
        <v/>
      </c>
      <c r="F9" s="989">
        <f>COUNTIF($D$34:$D$38,"Vacant")</f>
        <v/>
      </c>
      <c r="G9" s="989">
        <f>COUNTIF($E$34:$E$38,"Hire")</f>
        <v/>
      </c>
      <c r="H9" s="989">
        <f>F9-G9-COUNTIF($E$34:$E$38,"Offshore")</f>
        <v/>
      </c>
      <c r="I9" s="989">
        <f>IFERROR(E9+G9-D9,"-")</f>
        <v/>
      </c>
      <c r="J9" s="986">
        <f>IF(ISNUMBER(D9),IF(E9&gt;D9,"Filled already over archetype",IF(E9+G9&gt;D9,"Over archetype after hire","")),"Outside the archetype model - no target set")</f>
        <v/>
      </c>
      <c r="K9" s="990">
        <f>IFERROR(INDEX('3.3 FTE View'!$M:$M,MATCH("Finance|NZ Finance",'3.3 FTE View'!$AD:$AD,0)),"-")</f>
        <v/>
      </c>
      <c r="L9" s="991">
        <f>(SUMIFS('REVIEW - Complete Role Mapping'!$AA:$AA,'REVIEW - Complete Role Mapping'!$AJ:$AJ,"Finance",'REVIEW - Complete Role Mapping'!$AO:$AO,"NZ Finance",'REVIEW - Complete Role Mapping'!$AK:$AK,"Filled"))/1000000</f>
        <v/>
      </c>
      <c r="M9" s="991">
        <f>L9+(SUMIFS($F$34:$F$38,$E$34:$E$38,"Hire")+0.4*SUMIFS($F$34:$F$38,$E$34:$E$38,"Offshore"))/1000000</f>
        <v/>
      </c>
      <c r="N9" s="991">
        <f>IFERROR(M9-K9,"-")</f>
        <v/>
      </c>
      <c r="O9" s="987">
        <f>IFERROR(INDEX('3.3 FTE View'!$F:$F,MATCH("Finance|NZ Finance",'3.3 FTE View'!$AD:$AD,0)),"-")</f>
        <v/>
      </c>
    </row>
    <row r="10">
      <c r="A10" s="982" t="n"/>
      <c r="B10" s="993" t="inlineStr">
        <is>
          <t>Total</t>
        </is>
      </c>
      <c r="C10" s="993" t="inlineStr"/>
      <c r="D10" s="994">
        <f>SUM(D6:D9)</f>
        <v/>
      </c>
      <c r="E10" s="994">
        <f>SUM(E6:E9)</f>
        <v/>
      </c>
      <c r="F10" s="994">
        <f>SUM(F6:F9)</f>
        <v/>
      </c>
      <c r="G10" s="994">
        <f>SUM(G6:G9)</f>
        <v/>
      </c>
      <c r="H10" s="994">
        <f>SUM(H6:H9)</f>
        <v/>
      </c>
      <c r="I10" s="994">
        <f>SUM(I6:I9)</f>
        <v/>
      </c>
      <c r="J10" s="993" t="inlineStr"/>
      <c r="K10" s="995">
        <f>SUM(K6:K9)</f>
        <v/>
      </c>
      <c r="L10" s="995">
        <f>SUM(L6:L9)</f>
        <v/>
      </c>
      <c r="M10" s="995">
        <f>SUM(M6:M9)</f>
        <v/>
      </c>
      <c r="N10" s="995">
        <f>SUM(N6:N9)</f>
        <v/>
      </c>
      <c r="O10" s="993" t="inlineStr"/>
    </row>
    <row r="11">
      <c r="A11" s="982" t="n"/>
      <c r="B11" s="996" t="inlineStr">
        <is>
          <t>Cost to hire all vacancies ($m)</t>
        </is>
      </c>
      <c r="C11" s="1001" t="n"/>
      <c r="D11" s="982" t="n"/>
      <c r="E11" s="997">
        <f>SUMIFS($F$19:$F$38,$D$19:$D$38,"Vacant")/1000000</f>
        <v/>
      </c>
      <c r="F11" s="982" t="n"/>
      <c r="G11" s="982" t="n"/>
      <c r="H11" s="982" t="n"/>
      <c r="I11" s="982" t="n"/>
      <c r="J11" s="982" t="n"/>
      <c r="K11" s="982" t="n"/>
      <c r="L11" s="982" t="n"/>
      <c r="M11" s="982" t="n"/>
      <c r="N11" s="982" t="n"/>
      <c r="O11" s="982" t="n"/>
    </row>
    <row r="12">
      <c r="A12" s="982" t="n"/>
      <c r="B12" s="996" t="inlineStr">
        <is>
          <t>Cost of roles marked Hire ($m)</t>
        </is>
      </c>
      <c r="C12" s="982" t="n"/>
      <c r="D12" s="982" t="n"/>
      <c r="E12" s="997">
        <f>SUMIF($E$19:$E$38,"Hire",$F$19:$F$38)/1000000</f>
        <v/>
      </c>
      <c r="F12" s="982" t="n"/>
      <c r="G12" s="982" t="n"/>
      <c r="H12" s="982" t="n"/>
      <c r="I12" s="982" t="n"/>
      <c r="J12" s="982" t="n"/>
      <c r="K12" s="982" t="n"/>
      <c r="L12" s="982" t="n"/>
      <c r="M12" s="982" t="n"/>
      <c r="N12" s="982" t="n"/>
      <c r="O12" s="982" t="n"/>
    </row>
    <row r="13">
      <c r="A13" s="982" t="n"/>
      <c r="B13" s="998"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8" t="inlineStr">
        <is>
          <t>"-" in the archetype columns means this real squad has no design archetype target; the comparison sits at portfolio level on 3.2.</t>
        </is>
      </c>
      <c r="C14" s="982" t="n"/>
      <c r="D14" s="982" t="n"/>
      <c r="E14" s="982" t="n"/>
      <c r="F14" s="982" t="n"/>
      <c r="G14" s="982" t="n"/>
      <c r="H14" s="982" t="n"/>
      <c r="I14" s="982" t="n"/>
      <c r="J14" s="982" t="n"/>
      <c r="K14" s="982" t="n"/>
      <c r="L14" s="982" t="n"/>
      <c r="M14" s="982" t="n"/>
      <c r="N14" s="982" t="n"/>
      <c r="O14" s="982" t="n"/>
    </row>
    <row r="15">
      <c r="A15" s="982" t="n"/>
      <c r="B15" s="999" t="n"/>
      <c r="C15" s="999" t="n"/>
      <c r="D15" s="999" t="n"/>
      <c r="E15" s="999" t="n"/>
      <c r="F15" s="999"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Finance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4" t="inlineStr">
        <is>
          <t>EGI Finance</t>
        </is>
      </c>
      <c r="C19" s="1004" t="inlineStr"/>
      <c r="D19" s="1004" t="inlineStr"/>
      <c r="E19" s="1004" t="inlineStr"/>
      <c r="F19" s="1004" t="inlineStr"/>
      <c r="G19" s="982" t="n"/>
      <c r="H19" s="982" t="n"/>
      <c r="I19" s="982" t="n"/>
      <c r="J19" s="982" t="n"/>
      <c r="K19" s="982" t="n"/>
      <c r="L19" s="982" t="n"/>
      <c r="M19" s="982" t="n"/>
      <c r="N19" s="982" t="n"/>
      <c r="O19" s="982" t="n"/>
    </row>
    <row r="20">
      <c r="A20" s="982" t="n"/>
      <c r="B20" s="986">
        <f>'REVIEW - Complete Role Mapping'!$B$447</f>
        <v/>
      </c>
      <c r="C20" s="986">
        <f>'REVIEW - Complete Role Mapping'!$C$447</f>
        <v/>
      </c>
      <c r="D20" s="1005">
        <f>'REVIEW - Complete Role Mapping'!$AK$447</f>
        <v/>
      </c>
      <c r="E20" s="986" t="inlineStr"/>
      <c r="F20" s="986" t="inlineStr"/>
      <c r="G20" s="982" t="n"/>
      <c r="H20" s="982" t="n"/>
      <c r="I20" s="982" t="n"/>
      <c r="J20" s="982" t="n"/>
      <c r="K20" s="982" t="n"/>
      <c r="L20" s="982" t="n"/>
      <c r="M20" s="982" t="n"/>
      <c r="N20" s="982" t="n"/>
      <c r="O20" s="982" t="n"/>
    </row>
    <row r="21">
      <c r="A21" s="982" t="n"/>
      <c r="B21" s="1004" t="inlineStr">
        <is>
          <t>SAP ERP</t>
        </is>
      </c>
      <c r="C21" s="1004" t="inlineStr"/>
      <c r="D21" s="1004" t="inlineStr"/>
      <c r="E21" s="1004" t="inlineStr"/>
      <c r="F21" s="1004" t="inlineStr"/>
      <c r="G21" s="982" t="n"/>
      <c r="H21" s="982" t="n"/>
      <c r="I21" s="982" t="n"/>
      <c r="J21" s="982" t="n"/>
      <c r="K21" s="982" t="n"/>
      <c r="L21" s="982" t="n"/>
      <c r="M21" s="982" t="n"/>
      <c r="N21" s="982" t="n"/>
      <c r="O21" s="982" t="n"/>
    </row>
    <row r="22">
      <c r="A22" s="982" t="n"/>
      <c r="B22" s="986">
        <f>'REVIEW - Complete Role Mapping'!$B$453</f>
        <v/>
      </c>
      <c r="C22" s="986">
        <f>'REVIEW - Complete Role Mapping'!$C$453</f>
        <v/>
      </c>
      <c r="D22" s="1005">
        <f>'REVIEW - Complete Role Mapping'!$AK$453</f>
        <v/>
      </c>
      <c r="E22" s="986" t="inlineStr"/>
      <c r="F22" s="986" t="inlineStr"/>
      <c r="G22" s="982" t="n"/>
      <c r="H22" s="982" t="n"/>
      <c r="I22" s="982" t="n"/>
      <c r="J22" s="982" t="n"/>
      <c r="K22" s="982" t="n"/>
      <c r="L22" s="982" t="n"/>
      <c r="M22" s="982" t="n"/>
      <c r="N22" s="982" t="n"/>
      <c r="O22" s="982" t="n"/>
    </row>
    <row r="23">
      <c r="A23" s="982" t="n"/>
      <c r="B23" s="986">
        <f>'REVIEW - Complete Role Mapping'!$B$454</f>
        <v/>
      </c>
      <c r="C23" s="986">
        <f>'REVIEW - Complete Role Mapping'!$C$454</f>
        <v/>
      </c>
      <c r="D23" s="1005">
        <f>'REVIEW - Complete Role Mapping'!$AK$454</f>
        <v/>
      </c>
      <c r="E23" s="986" t="inlineStr"/>
      <c r="F23" s="986" t="inlineStr"/>
      <c r="G23" s="982" t="n"/>
      <c r="H23" s="982" t="n"/>
      <c r="I23" s="982" t="n"/>
      <c r="J23" s="982" t="n"/>
      <c r="K23" s="982" t="n"/>
      <c r="L23" s="982" t="n"/>
      <c r="M23" s="982" t="n"/>
      <c r="N23" s="982" t="n"/>
      <c r="O23" s="982" t="n"/>
    </row>
    <row r="24">
      <c r="A24" s="982" t="n"/>
      <c r="B24" s="986">
        <f>'REVIEW - Complete Role Mapping'!$B$495</f>
        <v/>
      </c>
      <c r="C24" s="986">
        <f>'REVIEW - Complete Role Mapping'!$C$495</f>
        <v/>
      </c>
      <c r="D24" s="1005">
        <f>'REVIEW - Complete Role Mapping'!$AK$495</f>
        <v/>
      </c>
      <c r="E24" s="1006" t="inlineStr">
        <is>
          <t>Hold</t>
        </is>
      </c>
      <c r="F24" s="1007">
        <f>'REVIEW - Complete Role Mapping'!$AA$495</f>
        <v/>
      </c>
      <c r="G24" s="982" t="n"/>
      <c r="H24" s="982" t="n"/>
      <c r="I24" s="982" t="n"/>
      <c r="J24" s="982" t="n"/>
      <c r="K24" s="982" t="n"/>
      <c r="L24" s="982" t="n"/>
      <c r="M24" s="982" t="n"/>
      <c r="N24" s="982" t="n"/>
      <c r="O24" s="982" t="n"/>
    </row>
    <row r="25">
      <c r="A25" s="982" t="n"/>
      <c r="B25" s="986">
        <f>'REVIEW - Complete Role Mapping'!$B$496</f>
        <v/>
      </c>
      <c r="C25" s="986">
        <f>'REVIEW - Complete Role Mapping'!$C$496</f>
        <v/>
      </c>
      <c r="D25" s="1005">
        <f>'REVIEW - Complete Role Mapping'!$AK$496</f>
        <v/>
      </c>
      <c r="E25" s="1006" t="inlineStr">
        <is>
          <t>Hold</t>
        </is>
      </c>
      <c r="F25" s="1007">
        <f>'REVIEW - Complete Role Mapping'!$AA$496</f>
        <v/>
      </c>
      <c r="G25" s="982" t="n"/>
      <c r="H25" s="982" t="n"/>
      <c r="I25" s="982" t="n"/>
      <c r="J25" s="982" t="n"/>
      <c r="K25" s="982" t="n"/>
      <c r="L25" s="982" t="n"/>
      <c r="M25" s="982" t="n"/>
      <c r="N25" s="982" t="n"/>
      <c r="O25" s="982" t="n"/>
    </row>
    <row r="26">
      <c r="A26" s="982" t="n"/>
      <c r="B26" s="986">
        <f>'REVIEW - Complete Role Mapping'!$B$497</f>
        <v/>
      </c>
      <c r="C26" s="986">
        <f>'REVIEW - Complete Role Mapping'!$C$497</f>
        <v/>
      </c>
      <c r="D26" s="1005">
        <f>'REVIEW - Complete Role Mapping'!$AK$497</f>
        <v/>
      </c>
      <c r="E26" s="1006" t="inlineStr">
        <is>
          <t>Hold</t>
        </is>
      </c>
      <c r="F26" s="1007">
        <f>'REVIEW - Complete Role Mapping'!$AA$497</f>
        <v/>
      </c>
      <c r="G26" s="982" t="n"/>
      <c r="H26" s="982" t="n"/>
      <c r="I26" s="982" t="n"/>
      <c r="J26" s="982" t="n"/>
      <c r="K26" s="982" t="n"/>
      <c r="L26" s="982" t="n"/>
      <c r="M26" s="982" t="n"/>
      <c r="N26" s="982" t="n"/>
      <c r="O26" s="982" t="n"/>
    </row>
    <row r="27">
      <c r="A27" s="982" t="n"/>
      <c r="B27" s="986">
        <f>'REVIEW - Complete Role Mapping'!$B$498</f>
        <v/>
      </c>
      <c r="C27" s="986">
        <f>'REVIEW - Complete Role Mapping'!$C$498</f>
        <v/>
      </c>
      <c r="D27" s="1005">
        <f>'REVIEW - Complete Role Mapping'!$AK$498</f>
        <v/>
      </c>
      <c r="E27" s="1006" t="inlineStr">
        <is>
          <t>Hold</t>
        </is>
      </c>
      <c r="F27" s="1007">
        <f>'REVIEW - Complete Role Mapping'!$AA$498</f>
        <v/>
      </c>
      <c r="G27" s="982" t="n"/>
      <c r="H27" s="982" t="n"/>
      <c r="I27" s="982" t="n"/>
      <c r="J27" s="982" t="n"/>
      <c r="K27" s="982" t="n"/>
      <c r="L27" s="982" t="n"/>
      <c r="M27" s="982" t="n"/>
      <c r="N27" s="982" t="n"/>
      <c r="O27" s="982" t="n"/>
    </row>
    <row r="28">
      <c r="A28" s="982" t="n"/>
      <c r="B28" s="986">
        <f>'REVIEW - Complete Role Mapping'!$B$499</f>
        <v/>
      </c>
      <c r="C28" s="986">
        <f>'REVIEW - Complete Role Mapping'!$C$499</f>
        <v/>
      </c>
      <c r="D28" s="1005">
        <f>'REVIEW - Complete Role Mapping'!$AK$499</f>
        <v/>
      </c>
      <c r="E28" s="1006" t="inlineStr">
        <is>
          <t>Hold</t>
        </is>
      </c>
      <c r="F28" s="1007">
        <f>'REVIEW - Complete Role Mapping'!$AA$499</f>
        <v/>
      </c>
      <c r="G28" s="982" t="n"/>
      <c r="H28" s="982" t="n"/>
      <c r="I28" s="982" t="n"/>
      <c r="J28" s="982" t="n"/>
      <c r="K28" s="982" t="n"/>
      <c r="L28" s="982" t="n"/>
      <c r="M28" s="982" t="n"/>
      <c r="N28" s="982" t="n"/>
      <c r="O28" s="982" t="n"/>
    </row>
    <row r="29">
      <c r="A29" s="982" t="n"/>
      <c r="B29" s="986">
        <f>'REVIEW - Complete Role Mapping'!$B$501</f>
        <v/>
      </c>
      <c r="C29" s="986">
        <f>'REVIEW - Complete Role Mapping'!$C$501</f>
        <v/>
      </c>
      <c r="D29" s="1005">
        <f>'REVIEW - Complete Role Mapping'!$AK$501</f>
        <v/>
      </c>
      <c r="E29" s="1006" t="inlineStr">
        <is>
          <t>Hold</t>
        </is>
      </c>
      <c r="F29" s="1007">
        <f>'REVIEW - Complete Role Mapping'!$AA$501</f>
        <v/>
      </c>
      <c r="G29" s="982" t="n"/>
      <c r="H29" s="982" t="n"/>
      <c r="I29" s="982" t="n"/>
      <c r="J29" s="982" t="n"/>
      <c r="K29" s="982" t="n"/>
      <c r="L29" s="982" t="n"/>
      <c r="M29" s="982" t="n"/>
      <c r="N29" s="982" t="n"/>
      <c r="O29" s="982" t="n"/>
    </row>
    <row r="30">
      <c r="A30" s="982" t="n"/>
      <c r="B30" s="986">
        <f>'REVIEW - Complete Role Mapping'!$B$526</f>
        <v/>
      </c>
      <c r="C30" s="986">
        <f>'REVIEW - Complete Role Mapping'!$C$526</f>
        <v/>
      </c>
      <c r="D30" s="1005">
        <f>'REVIEW - Complete Role Mapping'!$AK$526</f>
        <v/>
      </c>
      <c r="E30" s="1006" t="inlineStr">
        <is>
          <t>Hold</t>
        </is>
      </c>
      <c r="F30" s="1007">
        <f>'REVIEW - Complete Role Mapping'!$AA$526</f>
        <v/>
      </c>
      <c r="G30" s="982" t="n"/>
      <c r="H30" s="982" t="n"/>
      <c r="I30" s="982" t="n"/>
      <c r="J30" s="982" t="n"/>
      <c r="K30" s="982" t="n"/>
      <c r="L30" s="982" t="n"/>
      <c r="M30" s="982" t="n"/>
      <c r="N30" s="982" t="n"/>
      <c r="O30" s="982" t="n"/>
    </row>
    <row r="31">
      <c r="A31" s="982" t="n"/>
      <c r="B31" s="1004" t="inlineStr">
        <is>
          <t>Leadership</t>
        </is>
      </c>
      <c r="C31" s="1004" t="inlineStr"/>
      <c r="D31" s="1004" t="inlineStr"/>
      <c r="E31" s="1004" t="inlineStr"/>
      <c r="F31" s="1004" t="inlineStr"/>
      <c r="G31" s="982" t="n"/>
      <c r="H31" s="982" t="n"/>
      <c r="I31" s="982" t="n"/>
      <c r="J31" s="982" t="n"/>
      <c r="K31" s="982" t="n"/>
      <c r="L31" s="982" t="n"/>
      <c r="M31" s="982" t="n"/>
      <c r="N31" s="982" t="n"/>
      <c r="O31" s="982" t="n"/>
    </row>
    <row r="32">
      <c r="A32" s="982" t="n"/>
      <c r="B32" s="986">
        <f>'REVIEW - Complete Role Mapping'!$B$455</f>
        <v/>
      </c>
      <c r="C32" s="986">
        <f>'REVIEW - Complete Role Mapping'!$C$455</f>
        <v/>
      </c>
      <c r="D32" s="1005">
        <f>'REVIEW - Complete Role Mapping'!$AK$455</f>
        <v/>
      </c>
      <c r="E32" s="986" t="inlineStr"/>
      <c r="F32" s="986" t="inlineStr"/>
      <c r="G32" s="982" t="n"/>
      <c r="H32" s="982" t="n"/>
      <c r="I32" s="982" t="n"/>
      <c r="J32" s="982" t="n"/>
      <c r="K32" s="982" t="n"/>
      <c r="L32" s="982" t="n"/>
      <c r="M32" s="982" t="n"/>
      <c r="N32" s="982" t="n"/>
      <c r="O32" s="982" t="n"/>
    </row>
    <row r="33">
      <c r="A33" s="982" t="n"/>
      <c r="B33" s="1004" t="inlineStr">
        <is>
          <t>NZ Finance</t>
        </is>
      </c>
      <c r="C33" s="1004" t="inlineStr"/>
      <c r="D33" s="1004" t="inlineStr"/>
      <c r="E33" s="1004" t="inlineStr"/>
      <c r="F33" s="1004" t="inlineStr"/>
      <c r="G33" s="982" t="n"/>
      <c r="H33" s="982" t="n"/>
      <c r="I33" s="982" t="n"/>
      <c r="J33" s="982" t="n"/>
      <c r="K33" s="982" t="n"/>
      <c r="L33" s="982" t="n"/>
      <c r="M33" s="982" t="n"/>
      <c r="N33" s="982" t="n"/>
      <c r="O33" s="982" t="n"/>
    </row>
    <row r="34">
      <c r="A34" s="982" t="n"/>
      <c r="B34" s="986">
        <f>'REVIEW - Complete Role Mapping'!$B$456</f>
        <v/>
      </c>
      <c r="C34" s="986">
        <f>'REVIEW - Complete Role Mapping'!$C$456</f>
        <v/>
      </c>
      <c r="D34" s="1005">
        <f>'REVIEW - Complete Role Mapping'!$AK$456</f>
        <v/>
      </c>
      <c r="E34" s="986" t="inlineStr"/>
      <c r="F34" s="986" t="inlineStr"/>
      <c r="G34" s="982" t="n"/>
      <c r="H34" s="982" t="n"/>
      <c r="I34" s="982" t="n"/>
      <c r="J34" s="982" t="n"/>
      <c r="K34" s="982" t="n"/>
      <c r="L34" s="982" t="n"/>
      <c r="M34" s="982" t="n"/>
      <c r="N34" s="982" t="n"/>
      <c r="O34" s="982" t="n"/>
    </row>
    <row r="35">
      <c r="B35" s="986">
        <f>'REVIEW - Complete Role Mapping'!$B$457</f>
        <v/>
      </c>
      <c r="C35" s="986">
        <f>'REVIEW - Complete Role Mapping'!$C$457</f>
        <v/>
      </c>
      <c r="D35" s="1005">
        <f>'REVIEW - Complete Role Mapping'!$AK$457</f>
        <v/>
      </c>
      <c r="E35" s="986" t="inlineStr"/>
      <c r="F35" s="986" t="inlineStr"/>
    </row>
    <row r="36">
      <c r="B36" s="986">
        <f>'REVIEW - Complete Role Mapping'!$B$458</f>
        <v/>
      </c>
      <c r="C36" s="986">
        <f>'REVIEW - Complete Role Mapping'!$C$458</f>
        <v/>
      </c>
      <c r="D36" s="1005">
        <f>'REVIEW - Complete Role Mapping'!$AK$458</f>
        <v/>
      </c>
      <c r="E36" s="1006" t="inlineStr">
        <is>
          <t>Hold</t>
        </is>
      </c>
      <c r="F36" s="1007">
        <f>'REVIEW - Complete Role Mapping'!$AA$458</f>
        <v/>
      </c>
    </row>
    <row r="37">
      <c r="B37" s="986">
        <f>'REVIEW - Complete Role Mapping'!$B$459</f>
        <v/>
      </c>
      <c r="C37" s="986">
        <f>'REVIEW - Complete Role Mapping'!$C$459</f>
        <v/>
      </c>
      <c r="D37" s="1005">
        <f>'REVIEW - Complete Role Mapping'!$AK$459</f>
        <v/>
      </c>
      <c r="E37" s="1006" t="inlineStr">
        <is>
          <t>Hold</t>
        </is>
      </c>
      <c r="F37" s="1007">
        <f>'REVIEW - Complete Role Mapping'!$AA$459</f>
        <v/>
      </c>
    </row>
    <row r="38">
      <c r="B38" s="986">
        <f>'REVIEW - Complete Role Mapping'!$B$500</f>
        <v/>
      </c>
      <c r="C38" s="986">
        <f>'REVIEW - Complete Role Mapping'!$C$500</f>
        <v/>
      </c>
      <c r="D38" s="1005">
        <f>'REVIEW - Complete Role Mapping'!$AK$500</f>
        <v/>
      </c>
      <c r="E38" s="1006" t="inlineStr">
        <is>
          <t>Hold</t>
        </is>
      </c>
      <c r="F38" s="1007">
        <f>'REVIEW - Complete Role Mapping'!$AA$500</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4 E25 E26 E27 E28 E29 E30 E36 E37 E38" showDropDown="0" showInputMessage="0" showErrorMessage="0" allowBlank="0"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O60"/>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Infrastructure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Manufacturing Group Projects</t>
        </is>
      </c>
      <c r="C6" s="987">
        <f>IFERROR(INDEX('3.3 FTE View'!$E:$E,MATCH("Infrastructure|Manufacturing Group Projects",'3.3 FTE View'!$AD:$AD,0)),"-")</f>
        <v/>
      </c>
      <c r="D6" s="988">
        <f>IFERROR(INDEX('3.3 FTE View'!$G:$G,MATCH("Infrastructure|Manufacturing Group Projects",'3.3 FTE View'!$AD:$AD,0)),"-")</f>
        <v/>
      </c>
      <c r="E6" s="989">
        <f>COUNTIF($D$21:$D$29,"Filled")</f>
        <v/>
      </c>
      <c r="F6" s="989">
        <f>COUNTIF($D$21:$D$29,"Vacant")</f>
        <v/>
      </c>
      <c r="G6" s="989">
        <f>COUNTIF($E$21:$E$29,"Hire")</f>
        <v/>
      </c>
      <c r="H6" s="989">
        <f>F6-G6-COUNTIF($E$21:$E$29,"Offshore")</f>
        <v/>
      </c>
      <c r="I6" s="989">
        <f>IFERROR(E6+G6-D6,"-")</f>
        <v/>
      </c>
      <c r="J6" s="986">
        <f>IF(ISNUMBER(D6),IF(E6&gt;D6,"Filled already over archetype",IF(E6+G6&gt;D6,"Over archetype after hire","")),"Outside the archetype model - no target set")</f>
        <v/>
      </c>
      <c r="K6" s="990">
        <f>IFERROR(INDEX('3.3 FTE View'!$M:$M,MATCH("Infrastructure|Manufacturing Group Projects",'3.3 FTE View'!$AD:$AD,0)),"-")</f>
        <v/>
      </c>
      <c r="L6" s="991">
        <f>(SUMIFS('REVIEW - Complete Role Mapping'!$AA:$AA,'REVIEW - Complete Role Mapping'!$AJ:$AJ,"Infrastructure",'REVIEW - Complete Role Mapping'!$AO:$AO,"Manufacturing Group Projects",'REVIEW - Complete Role Mapping'!$AK:$AK,"Filled"))/1000000</f>
        <v/>
      </c>
      <c r="M6" s="991">
        <f>L6+(SUMIFS($F$21:$F$29,$E$21:$E$29,"Hire")+0.4*SUMIFS($F$21:$F$29,$E$21:$E$29,"Offshore"))/1000000</f>
        <v/>
      </c>
      <c r="N6" s="991">
        <f>IFERROR(M6-K6,"-")</f>
        <v/>
      </c>
      <c r="O6" s="987">
        <f>IFERROR(INDEX('3.3 FTE View'!$F:$F,MATCH("Infrastructure|Manufacturing Group Projects",'3.3 FTE View'!$AD:$AD,0)),"-")</f>
        <v/>
      </c>
    </row>
    <row r="7">
      <c r="A7" s="982" t="n"/>
      <c r="B7" s="992" t="inlineStr">
        <is>
          <t>Technology Support</t>
        </is>
      </c>
      <c r="C7" s="987">
        <f>IFERROR(INDEX('3.3 FTE View'!$E:$E,MATCH("Infrastructure|Technology Support",'3.3 FTE View'!$AD:$AD,0)),"-")</f>
        <v/>
      </c>
      <c r="D7" s="988">
        <f>IFERROR(INDEX('3.3 FTE View'!$G:$G,MATCH("Infrastructure|Technology Support",'3.3 FTE View'!$AD:$AD,0)),"-")</f>
        <v/>
      </c>
      <c r="E7" s="989">
        <f>COUNTIF($D$31:$D$35,"Filled")</f>
        <v/>
      </c>
      <c r="F7" s="989">
        <f>COUNTIF($D$31:$D$35,"Vacant")</f>
        <v/>
      </c>
      <c r="G7" s="989">
        <f>COUNTIF($E$31:$E$35,"Hire")</f>
        <v/>
      </c>
      <c r="H7" s="989">
        <f>F7-G7-COUNTIF($E$31:$E$35,"Offshore")</f>
        <v/>
      </c>
      <c r="I7" s="989">
        <f>IFERROR(E7+G7-D7,"-")</f>
        <v/>
      </c>
      <c r="J7" s="986">
        <f>IF(ISNUMBER(D7),IF(E7&gt;D7,"Filled already over archetype",IF(E7+G7&gt;D7,"Over archetype after hire","")),"Outside the archetype model - no target set")</f>
        <v/>
      </c>
      <c r="K7" s="990">
        <f>IFERROR(INDEX('3.3 FTE View'!$M:$M,MATCH("Infrastructure|Technology Support",'3.3 FTE View'!$AD:$AD,0)),"-")</f>
        <v/>
      </c>
      <c r="L7" s="991">
        <f>(SUMIFS('REVIEW - Complete Role Mapping'!$AA:$AA,'REVIEW - Complete Role Mapping'!$AJ:$AJ,"Infrastructure",'REVIEW - Complete Role Mapping'!$AO:$AO,"Technology Support",'REVIEW - Complete Role Mapping'!$AK:$AK,"Filled"))/1000000</f>
        <v/>
      </c>
      <c r="M7" s="991">
        <f>L7+(SUMIFS($F$31:$F$35,$E$31:$E$35,"Hire")+0.4*SUMIFS($F$31:$F$35,$E$31:$E$35,"Offshore"))/1000000</f>
        <v/>
      </c>
      <c r="N7" s="991">
        <f>IFERROR(M7-K7,"-")</f>
        <v/>
      </c>
      <c r="O7" s="987">
        <f>IFERROR(INDEX('3.3 FTE View'!$F:$F,MATCH("Infrastructure|Technology Support",'3.3 FTE View'!$AD:$AD,0)),"-")</f>
        <v/>
      </c>
    </row>
    <row r="8">
      <c r="A8" s="982" t="n"/>
      <c r="B8" s="986" t="inlineStr">
        <is>
          <t>Leadership</t>
        </is>
      </c>
      <c r="C8" s="987">
        <f>IFERROR(INDEX('3.3 FTE View'!$E:$E,MATCH("Infrastructure|Leadership",'3.3 FTE View'!$AD:$AD,0)),"-")</f>
        <v/>
      </c>
      <c r="D8" s="988">
        <f>IFERROR(INDEX('3.3 FTE View'!$G:$G,MATCH("Infrastructure|Leadership",'3.3 FTE View'!$AD:$AD,0)),"-")</f>
        <v/>
      </c>
      <c r="E8" s="989">
        <f>COUNTIF($D$37:$D$41,"Filled")</f>
        <v/>
      </c>
      <c r="F8" s="989">
        <f>COUNTIF($D$37:$D$41,"Vacant")</f>
        <v/>
      </c>
      <c r="G8" s="989">
        <f>COUNTIF($E$37:$E$41,"Hire")</f>
        <v/>
      </c>
      <c r="H8" s="989">
        <f>F8-G8-COUNTIF($E$37:$E$41,"Offshore")</f>
        <v/>
      </c>
      <c r="I8" s="989">
        <f>IFERROR(E8+G8-D8,"-")</f>
        <v/>
      </c>
      <c r="J8" s="986">
        <f>IF(ISNUMBER(D8),IF(E8&gt;D8,"Filled already over archetype",IF(E8+G8&gt;D8,"Over archetype after hire","")),"Outside the archetype model - no target set")</f>
        <v/>
      </c>
      <c r="K8" s="990">
        <f>IFERROR(INDEX('3.3 FTE View'!$M:$M,MATCH("Infrastructure|Leadership",'3.3 FTE View'!$AD:$AD,0)),"-")</f>
        <v/>
      </c>
      <c r="L8" s="991">
        <f>(SUMIFS('REVIEW - Complete Role Mapping'!$AA:$AA,'REVIEW - Complete Role Mapping'!$AJ:$AJ,"Infrastructure",'REVIEW - Complete Role Mapping'!$AO:$AO,"Leadership",'REVIEW - Complete Role Mapping'!$AK:$AK,"Filled"))/1000000</f>
        <v/>
      </c>
      <c r="M8" s="991">
        <f>L8+(SUMIFS($F$37:$F$41,$E$37:$E$41,"Hire")+0.4*SUMIFS($F$37:$F$41,$E$37:$E$41,"Offshore"))/1000000</f>
        <v/>
      </c>
      <c r="N8" s="991">
        <f>IFERROR(M8-K8,"-")</f>
        <v/>
      </c>
      <c r="O8" s="987">
        <f>IFERROR(INDEX('3.3 FTE View'!$F:$F,MATCH("Infrastructure|Leadership",'3.3 FTE View'!$AD:$AD,0)),"-")</f>
        <v/>
      </c>
    </row>
    <row r="9">
      <c r="A9" s="982" t="n"/>
      <c r="B9" s="992" t="inlineStr">
        <is>
          <t>Distribution, Sales &amp; Services</t>
        </is>
      </c>
      <c r="C9" s="987">
        <f>IFERROR(INDEX('3.3 FTE View'!$E:$E,MATCH("Infrastructure|Distribution, Sales &amp; Services",'3.3 FTE View'!$AD:$AD,0)),"-")</f>
        <v/>
      </c>
      <c r="D9" s="988">
        <f>IFERROR(INDEX('3.3 FTE View'!$G:$G,MATCH("Infrastructure|Distribution, Sales &amp; Services",'3.3 FTE View'!$AD:$AD,0)),"-")</f>
        <v/>
      </c>
      <c r="E9" s="989">
        <f>COUNTIF($D$43:$D$52,"Filled")</f>
        <v/>
      </c>
      <c r="F9" s="989">
        <f>COUNTIF($D$43:$D$52,"Vacant")</f>
        <v/>
      </c>
      <c r="G9" s="989">
        <f>COUNTIF($E$43:$E$52,"Hire")</f>
        <v/>
      </c>
      <c r="H9" s="989">
        <f>F9-G9-COUNTIF($E$43:$E$52,"Offshore")</f>
        <v/>
      </c>
      <c r="I9" s="989">
        <f>IFERROR(E9+G9-D9,"-")</f>
        <v/>
      </c>
      <c r="J9" s="986">
        <f>IF(ISNUMBER(D9),IF(E9&gt;D9,"Filled already over archetype",IF(E9+G9&gt;D9,"Over archetype after hire","")),"Outside the archetype model - no target set")</f>
        <v/>
      </c>
      <c r="K9" s="990">
        <f>IFERROR(INDEX('3.3 FTE View'!$M:$M,MATCH("Infrastructure|Distribution, Sales &amp; Services",'3.3 FTE View'!$AD:$AD,0)),"-")</f>
        <v/>
      </c>
      <c r="L9" s="991">
        <f>(SUMIFS('REVIEW - Complete Role Mapping'!$AA:$AA,'REVIEW - Complete Role Mapping'!$AJ:$AJ,"Infrastructure",'REVIEW - Complete Role Mapping'!$AO:$AO,"Distribution, Sales &amp; Services",'REVIEW - Complete Role Mapping'!$AK:$AK,"Filled"))/1000000</f>
        <v/>
      </c>
      <c r="M9" s="991">
        <f>L9+(SUMIFS($F$43:$F$52,$E$43:$E$52,"Hire")+0.4*SUMIFS($F$43:$F$52,$E$43:$E$52,"Offshore"))/1000000</f>
        <v/>
      </c>
      <c r="N9" s="991">
        <f>IFERROR(M9-K9,"-")</f>
        <v/>
      </c>
      <c r="O9" s="987">
        <f>IFERROR(INDEX('3.3 FTE View'!$F:$F,MATCH("Infrastructure|Distribution, Sales &amp; Services",'3.3 FTE View'!$AD:$AD,0)),"-")</f>
        <v/>
      </c>
    </row>
    <row r="10">
      <c r="A10" s="982" t="n"/>
      <c r="B10" s="986" t="inlineStr">
        <is>
          <t>Data &amp; Insights</t>
        </is>
      </c>
      <c r="C10" s="987">
        <f>IFERROR(INDEX('3.3 FTE View'!$E:$E,MATCH("Infrastructure|Data &amp; Insights",'3.3 FTE View'!$AD:$AD,0)),"-")</f>
        <v/>
      </c>
      <c r="D10" s="988">
        <f>IFERROR(INDEX('3.3 FTE View'!$G:$G,MATCH("Infrastructure|Data &amp; Insights",'3.3 FTE View'!$AD:$AD,0)),"-")</f>
        <v/>
      </c>
      <c r="E10" s="989">
        <f>COUNTIF($D$54:$D$60,"Filled")</f>
        <v/>
      </c>
      <c r="F10" s="989">
        <f>COUNTIF($D$54:$D$60,"Vacant")</f>
        <v/>
      </c>
      <c r="G10" s="989">
        <f>COUNTIF($E$54:$E$60,"Hire")</f>
        <v/>
      </c>
      <c r="H10" s="989">
        <f>F10-G10-COUNTIF($E$54:$E$60,"Offshore")</f>
        <v/>
      </c>
      <c r="I10" s="989">
        <f>IFERROR(E10+G10-D10,"-")</f>
        <v/>
      </c>
      <c r="J10" s="986">
        <f>IF(ISNUMBER(D10),IF(E10&gt;D10,"Filled already over archetype",IF(E10+G10&gt;D10,"Over archetype after hire","")),"Outside the archetype model - no target set")</f>
        <v/>
      </c>
      <c r="K10" s="990">
        <f>IFERROR(INDEX('3.3 FTE View'!$M:$M,MATCH("Infrastructure|Data &amp; Insights",'3.3 FTE View'!$AD:$AD,0)),"-")</f>
        <v/>
      </c>
      <c r="L10" s="991">
        <f>(SUMIFS('REVIEW - Complete Role Mapping'!$AA:$AA,'REVIEW - Complete Role Mapping'!$AJ:$AJ,"Infrastructure",'REVIEW - Complete Role Mapping'!$AO:$AO,"Data &amp; Insights",'REVIEW - Complete Role Mapping'!$AK:$AK,"Filled"))/1000000</f>
        <v/>
      </c>
      <c r="M10" s="991">
        <f>L10+(SUMIFS($F$54:$F$60,$E$54:$E$60,"Hire")+0.4*SUMIFS($F$54:$F$60,$E$54:$E$60,"Offshore"))/1000000</f>
        <v/>
      </c>
      <c r="N10" s="991">
        <f>IFERROR(M10-K10,"-")</f>
        <v/>
      </c>
      <c r="O10" s="987">
        <f>IFERROR(INDEX('3.3 FTE View'!$F:$F,MATCH("Infrastructure|Data &amp; Insights",'3.3 FTE View'!$AD:$AD,0)),"-")</f>
        <v/>
      </c>
    </row>
    <row r="11">
      <c r="A11" s="982" t="n"/>
      <c r="B11" s="993" t="inlineStr">
        <is>
          <t>Total</t>
        </is>
      </c>
      <c r="C11" s="993" t="inlineStr"/>
      <c r="D11" s="994">
        <f>SUM(D6:D10)</f>
        <v/>
      </c>
      <c r="E11" s="994">
        <f>SUM(E6:E10)</f>
        <v/>
      </c>
      <c r="F11" s="994">
        <f>SUM(F6:F10)</f>
        <v/>
      </c>
      <c r="G11" s="994">
        <f>SUM(G6:G10)</f>
        <v/>
      </c>
      <c r="H11" s="994">
        <f>SUM(H6:H10)</f>
        <v/>
      </c>
      <c r="I11" s="994">
        <f>SUM(I6:I10)</f>
        <v/>
      </c>
      <c r="J11" s="993" t="inlineStr"/>
      <c r="K11" s="995">
        <f>SUM(K6:K10)</f>
        <v/>
      </c>
      <c r="L11" s="995">
        <f>SUM(L6:L10)</f>
        <v/>
      </c>
      <c r="M11" s="995">
        <f>SUM(M6:M10)</f>
        <v/>
      </c>
      <c r="N11" s="995">
        <f>SUM(N6:N10)</f>
        <v/>
      </c>
      <c r="O11" s="993" t="inlineStr"/>
    </row>
    <row r="12">
      <c r="A12" s="982" t="n"/>
      <c r="B12" s="996" t="inlineStr">
        <is>
          <t>Cost to hire all vacancies ($m)</t>
        </is>
      </c>
      <c r="C12" s="1001" t="n"/>
      <c r="D12" s="982" t="n"/>
      <c r="E12" s="997">
        <f>SUMIFS($F$20:$F$60,$D$20:$D$60,"Vacant")/1000000</f>
        <v/>
      </c>
      <c r="F12" s="982" t="n"/>
      <c r="G12" s="982" t="n"/>
      <c r="H12" s="982" t="n"/>
      <c r="I12" s="982" t="n"/>
      <c r="J12" s="982" t="n"/>
      <c r="K12" s="982" t="n"/>
      <c r="L12" s="982" t="n"/>
      <c r="M12" s="982" t="n"/>
      <c r="N12" s="982" t="n"/>
      <c r="O12" s="982" t="n"/>
    </row>
    <row r="13">
      <c r="A13" s="982" t="n"/>
      <c r="B13" s="996" t="inlineStr">
        <is>
          <t>Cost of roles marked Hire ($m)</t>
        </is>
      </c>
      <c r="C13" s="982" t="n"/>
      <c r="D13" s="982" t="n"/>
      <c r="E13" s="997">
        <f>SUMIF($E$20:$E$60,"Hire",$F$20:$F$60)/1000000</f>
        <v/>
      </c>
      <c r="F13" s="982" t="n"/>
      <c r="G13" s="982" t="n"/>
      <c r="H13" s="982" t="n"/>
      <c r="I13" s="982" t="n"/>
      <c r="J13" s="982" t="n"/>
      <c r="K13" s="982" t="n"/>
      <c r="L13" s="982" t="n"/>
      <c r="M13" s="982" t="n"/>
      <c r="N13" s="982" t="n"/>
      <c r="O13" s="982" t="n"/>
    </row>
    <row r="14">
      <c r="A14" s="982" t="n"/>
      <c r="B14" s="998"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8" t="inlineStr">
        <is>
          <t>"-" in the archetype columns means this real squad has no design archetype target; the comparison sits at portfolio level on 3.2.</t>
        </is>
      </c>
      <c r="C15" s="982" t="n"/>
      <c r="D15" s="982" t="n"/>
      <c r="E15" s="982" t="n"/>
      <c r="F15" s="982" t="n"/>
      <c r="G15" s="982" t="n"/>
      <c r="H15" s="982" t="n"/>
      <c r="I15" s="982" t="n"/>
      <c r="J15" s="982" t="n"/>
      <c r="K15" s="982" t="n"/>
      <c r="L15" s="982" t="n"/>
      <c r="M15" s="982" t="n"/>
      <c r="N15" s="982" t="n"/>
      <c r="O15" s="982" t="n"/>
    </row>
    <row r="16">
      <c r="A16" s="982" t="n"/>
      <c r="B16" s="999" t="n"/>
      <c r="C16" s="999" t="n"/>
      <c r="D16" s="999" t="n"/>
      <c r="E16" s="999" t="n"/>
      <c r="F16" s="999" t="n"/>
      <c r="G16" s="984" t="n"/>
      <c r="H16" s="984" t="n"/>
      <c r="I16" s="984" t="n"/>
      <c r="J16" s="984" t="n"/>
      <c r="K16" s="982" t="n"/>
      <c r="L16" s="982" t="n"/>
      <c r="M16" s="982" t="n"/>
      <c r="N16" s="982" t="n"/>
      <c r="O16" s="982" t="n"/>
    </row>
    <row r="17">
      <c r="A17" s="982" t="n"/>
      <c r="B17" s="984" t="n"/>
      <c r="C17" s="984" t="n"/>
      <c r="D17" s="984" t="n"/>
      <c r="E17" s="984" t="n"/>
      <c r="F17" s="984" t="n"/>
      <c r="G17" s="982" t="n"/>
      <c r="H17" s="982" t="n"/>
      <c r="I17" s="982" t="n"/>
      <c r="J17" s="982" t="n"/>
      <c r="K17" s="982" t="n"/>
      <c r="L17" s="982" t="n"/>
      <c r="M17" s="982" t="n"/>
      <c r="N17" s="982" t="n"/>
      <c r="O17" s="982" t="n"/>
    </row>
    <row r="18">
      <c r="A18" s="982" t="n"/>
      <c r="B18" s="1002" t="inlineStr">
        <is>
          <t>Infrastructure FTE</t>
        </is>
      </c>
      <c r="C18" s="1001" t="n"/>
      <c r="D18" s="1001" t="n"/>
      <c r="E18" s="1001"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4" t="inlineStr">
        <is>
          <t>Manufacturing Group Projects</t>
        </is>
      </c>
      <c r="C20" s="1004" t="inlineStr"/>
      <c r="D20" s="1004" t="inlineStr"/>
      <c r="E20" s="1004" t="inlineStr"/>
      <c r="F20" s="1004" t="inlineStr"/>
      <c r="G20" s="982" t="n"/>
      <c r="H20" s="982" t="n"/>
      <c r="I20" s="982" t="n"/>
      <c r="J20" s="982" t="n"/>
      <c r="K20" s="982" t="n"/>
      <c r="L20" s="982" t="n"/>
      <c r="M20" s="982" t="n"/>
      <c r="N20" s="982" t="n"/>
      <c r="O20" s="982" t="n"/>
    </row>
    <row r="21">
      <c r="A21" s="982" t="n"/>
      <c r="B21" s="986">
        <f>'REVIEW - Complete Role Mapping'!$B$333</f>
        <v/>
      </c>
      <c r="C21" s="986">
        <f>'REVIEW - Complete Role Mapping'!$C$333</f>
        <v/>
      </c>
      <c r="D21" s="1005">
        <f>'REVIEW - Complete Role Mapping'!$AK$333</f>
        <v/>
      </c>
      <c r="E21" s="986" t="inlineStr"/>
      <c r="F21" s="986" t="inlineStr"/>
      <c r="G21" s="982" t="n"/>
      <c r="H21" s="982" t="n"/>
      <c r="I21" s="982" t="n"/>
      <c r="J21" s="982" t="n"/>
      <c r="K21" s="982" t="n"/>
      <c r="L21" s="982" t="n"/>
      <c r="M21" s="982" t="n"/>
      <c r="N21" s="982" t="n"/>
      <c r="O21" s="982" t="n"/>
    </row>
    <row r="22">
      <c r="A22" s="982" t="n"/>
      <c r="B22" s="986">
        <f>'REVIEW - Complete Role Mapping'!$B$356</f>
        <v/>
      </c>
      <c r="C22" s="986">
        <f>'REVIEW - Complete Role Mapping'!$C$356</f>
        <v/>
      </c>
      <c r="D22" s="1005">
        <f>'REVIEW - Complete Role Mapping'!$AK$356</f>
        <v/>
      </c>
      <c r="E22" s="986" t="inlineStr"/>
      <c r="F22" s="986" t="inlineStr"/>
      <c r="G22" s="982" t="n"/>
      <c r="H22" s="982" t="n"/>
      <c r="I22" s="982" t="n"/>
      <c r="J22" s="982" t="n"/>
      <c r="K22" s="982" t="n"/>
      <c r="L22" s="982" t="n"/>
      <c r="M22" s="982" t="n"/>
      <c r="N22" s="982" t="n"/>
      <c r="O22" s="982" t="n"/>
    </row>
    <row r="23">
      <c r="A23" s="982" t="n"/>
      <c r="B23" s="986">
        <f>'REVIEW - Complete Role Mapping'!$B$361</f>
        <v/>
      </c>
      <c r="C23" s="986">
        <f>'REVIEW - Complete Role Mapping'!$C$361</f>
        <v/>
      </c>
      <c r="D23" s="1005">
        <f>'REVIEW - Complete Role Mapping'!$AK$361</f>
        <v/>
      </c>
      <c r="E23" s="986" t="inlineStr"/>
      <c r="F23" s="986" t="inlineStr"/>
      <c r="G23" s="982" t="n"/>
      <c r="H23" s="982" t="n"/>
      <c r="I23" s="982" t="n"/>
      <c r="J23" s="982" t="n"/>
      <c r="K23" s="982" t="n"/>
      <c r="L23" s="982" t="n"/>
      <c r="M23" s="982" t="n"/>
      <c r="N23" s="982" t="n"/>
      <c r="O23" s="982" t="n"/>
    </row>
    <row r="24">
      <c r="A24" s="982" t="n"/>
      <c r="B24" s="986">
        <f>'REVIEW - Complete Role Mapping'!$B$372</f>
        <v/>
      </c>
      <c r="C24" s="986">
        <f>'REVIEW - Complete Role Mapping'!$C$372</f>
        <v/>
      </c>
      <c r="D24" s="1005">
        <f>'REVIEW - Complete Role Mapping'!$AK$372</f>
        <v/>
      </c>
      <c r="E24" s="986" t="inlineStr"/>
      <c r="F24" s="986" t="inlineStr"/>
      <c r="G24" s="982" t="n"/>
      <c r="H24" s="982" t="n"/>
      <c r="I24" s="982" t="n"/>
      <c r="J24" s="982" t="n"/>
      <c r="K24" s="982" t="n"/>
      <c r="L24" s="982" t="n"/>
      <c r="M24" s="982" t="n"/>
      <c r="N24" s="982" t="n"/>
      <c r="O24" s="982" t="n"/>
    </row>
    <row r="25">
      <c r="A25" s="982" t="n"/>
      <c r="B25" s="986">
        <f>'REVIEW - Complete Role Mapping'!$B$387</f>
        <v/>
      </c>
      <c r="C25" s="986">
        <f>'REVIEW - Complete Role Mapping'!$C$387</f>
        <v/>
      </c>
      <c r="D25" s="1005">
        <f>'REVIEW - Complete Role Mapping'!$AK$387</f>
        <v/>
      </c>
      <c r="E25" s="986" t="inlineStr"/>
      <c r="F25" s="986" t="inlineStr"/>
      <c r="G25" s="982" t="n"/>
      <c r="H25" s="982" t="n"/>
      <c r="I25" s="982" t="n"/>
      <c r="J25" s="982" t="n"/>
      <c r="K25" s="982" t="n"/>
      <c r="L25" s="982" t="n"/>
      <c r="M25" s="982" t="n"/>
      <c r="N25" s="982" t="n"/>
      <c r="O25" s="982" t="n"/>
    </row>
    <row r="26">
      <c r="A26" s="982" t="n"/>
      <c r="B26" s="986">
        <f>'REVIEW - Complete Role Mapping'!$B$411</f>
        <v/>
      </c>
      <c r="C26" s="986">
        <f>'REVIEW - Complete Role Mapping'!$C$411</f>
        <v/>
      </c>
      <c r="D26" s="1005">
        <f>'REVIEW - Complete Role Mapping'!$AK$411</f>
        <v/>
      </c>
      <c r="E26" s="986" t="inlineStr"/>
      <c r="F26" s="986" t="inlineStr"/>
      <c r="G26" s="982" t="n"/>
      <c r="H26" s="982" t="n"/>
      <c r="I26" s="982" t="n"/>
      <c r="J26" s="982" t="n"/>
      <c r="K26" s="982" t="n"/>
      <c r="L26" s="982" t="n"/>
      <c r="M26" s="982" t="n"/>
      <c r="N26" s="982" t="n"/>
      <c r="O26" s="982" t="n"/>
    </row>
    <row r="27">
      <c r="A27" s="982" t="n"/>
      <c r="B27" s="986">
        <f>'REVIEW - Complete Role Mapping'!$B$429</f>
        <v/>
      </c>
      <c r="C27" s="986">
        <f>'REVIEW - Complete Role Mapping'!$C$429</f>
        <v/>
      </c>
      <c r="D27" s="1005">
        <f>'REVIEW - Complete Role Mapping'!$AK$429</f>
        <v/>
      </c>
      <c r="E27" s="1006" t="inlineStr">
        <is>
          <t>Hold</t>
        </is>
      </c>
      <c r="F27" s="1007">
        <f>'REVIEW - Complete Role Mapping'!$AA$429</f>
        <v/>
      </c>
      <c r="G27" s="982" t="n"/>
      <c r="H27" s="982" t="n"/>
      <c r="I27" s="982" t="n"/>
      <c r="J27" s="982" t="n"/>
      <c r="K27" s="982" t="n"/>
      <c r="L27" s="982" t="n"/>
      <c r="M27" s="982" t="n"/>
      <c r="N27" s="982" t="n"/>
      <c r="O27" s="982" t="n"/>
    </row>
    <row r="28">
      <c r="A28" s="982" t="n"/>
      <c r="B28" s="986">
        <f>'REVIEW - Complete Role Mapping'!$B$430</f>
        <v/>
      </c>
      <c r="C28" s="986">
        <f>'REVIEW - Complete Role Mapping'!$C$430</f>
        <v/>
      </c>
      <c r="D28" s="1005">
        <f>'REVIEW - Complete Role Mapping'!$AK$430</f>
        <v/>
      </c>
      <c r="E28" s="1006" t="inlineStr">
        <is>
          <t>Hold</t>
        </is>
      </c>
      <c r="F28" s="1007">
        <f>'REVIEW - Complete Role Mapping'!$AA$430</f>
        <v/>
      </c>
      <c r="G28" s="982" t="n"/>
      <c r="H28" s="982" t="n"/>
      <c r="I28" s="982" t="n"/>
      <c r="J28" s="982" t="n"/>
      <c r="K28" s="982" t="n"/>
      <c r="L28" s="982" t="n"/>
      <c r="M28" s="982" t="n"/>
      <c r="N28" s="982" t="n"/>
      <c r="O28" s="982" t="n"/>
    </row>
    <row r="29">
      <c r="A29" s="982" t="n"/>
      <c r="B29" s="986">
        <f>'REVIEW - Complete Role Mapping'!$B$443</f>
        <v/>
      </c>
      <c r="C29" s="986">
        <f>'REVIEW - Complete Role Mapping'!$C$443</f>
        <v/>
      </c>
      <c r="D29" s="1005">
        <f>'REVIEW - Complete Role Mapping'!$AK$443</f>
        <v/>
      </c>
      <c r="E29" s="986" t="inlineStr"/>
      <c r="F29" s="986" t="inlineStr"/>
      <c r="G29" s="982" t="n"/>
      <c r="H29" s="982" t="n"/>
      <c r="I29" s="982" t="n"/>
      <c r="J29" s="982" t="n"/>
      <c r="K29" s="982" t="n"/>
      <c r="L29" s="982" t="n"/>
      <c r="M29" s="982" t="n"/>
      <c r="N29" s="982" t="n"/>
      <c r="O29" s="982" t="n"/>
    </row>
    <row r="30">
      <c r="A30" s="982" t="n"/>
      <c r="B30" s="1004" t="inlineStr">
        <is>
          <t>Technology Support</t>
        </is>
      </c>
      <c r="C30" s="1004" t="inlineStr"/>
      <c r="D30" s="1004" t="inlineStr"/>
      <c r="E30" s="1004" t="inlineStr"/>
      <c r="F30" s="1004" t="inlineStr"/>
      <c r="G30" s="982" t="n"/>
      <c r="H30" s="982" t="n"/>
      <c r="I30" s="982" t="n"/>
      <c r="J30" s="982" t="n"/>
      <c r="K30" s="982" t="n"/>
      <c r="L30" s="982" t="n"/>
      <c r="M30" s="982" t="n"/>
      <c r="N30" s="982" t="n"/>
      <c r="O30" s="982" t="n"/>
    </row>
    <row r="31">
      <c r="A31" s="982" t="n"/>
      <c r="B31" s="986">
        <f>'REVIEW - Complete Role Mapping'!$B$335</f>
        <v/>
      </c>
      <c r="C31" s="986">
        <f>'REVIEW - Complete Role Mapping'!$C$335</f>
        <v/>
      </c>
      <c r="D31" s="1005">
        <f>'REVIEW - Complete Role Mapping'!$AK$335</f>
        <v/>
      </c>
      <c r="E31" s="986" t="inlineStr"/>
      <c r="F31" s="986" t="inlineStr"/>
      <c r="G31" s="982" t="n"/>
      <c r="H31" s="982" t="n"/>
      <c r="I31" s="982" t="n"/>
      <c r="J31" s="982" t="n"/>
      <c r="K31" s="982" t="n"/>
      <c r="L31" s="982" t="n"/>
      <c r="M31" s="982" t="n"/>
      <c r="N31" s="982" t="n"/>
      <c r="O31" s="982" t="n"/>
    </row>
    <row r="32">
      <c r="A32" s="982" t="n"/>
      <c r="B32" s="986">
        <f>'REVIEW - Complete Role Mapping'!$B$365</f>
        <v/>
      </c>
      <c r="C32" s="986">
        <f>'REVIEW - Complete Role Mapping'!$C$365</f>
        <v/>
      </c>
      <c r="D32" s="1005">
        <f>'REVIEW - Complete Role Mapping'!$AK$365</f>
        <v/>
      </c>
      <c r="E32" s="986" t="inlineStr"/>
      <c r="F32" s="986" t="inlineStr"/>
      <c r="G32" s="982" t="n"/>
      <c r="H32" s="982" t="n"/>
      <c r="I32" s="982" t="n"/>
      <c r="J32" s="982" t="n"/>
      <c r="K32" s="982" t="n"/>
      <c r="L32" s="982" t="n"/>
      <c r="M32" s="982" t="n"/>
      <c r="N32" s="982" t="n"/>
      <c r="O32" s="982" t="n"/>
    </row>
    <row r="33">
      <c r="A33" s="982" t="n"/>
      <c r="B33" s="986">
        <f>'REVIEW - Complete Role Mapping'!$B$396</f>
        <v/>
      </c>
      <c r="C33" s="986">
        <f>'REVIEW - Complete Role Mapping'!$C$396</f>
        <v/>
      </c>
      <c r="D33" s="1005">
        <f>'REVIEW - Complete Role Mapping'!$AK$396</f>
        <v/>
      </c>
      <c r="E33" s="986" t="inlineStr"/>
      <c r="F33" s="986" t="inlineStr"/>
      <c r="G33" s="982" t="n"/>
      <c r="H33" s="982" t="n"/>
      <c r="I33" s="982" t="n"/>
      <c r="J33" s="982" t="n"/>
      <c r="K33" s="982" t="n"/>
      <c r="L33" s="982" t="n"/>
      <c r="M33" s="982" t="n"/>
      <c r="N33" s="982" t="n"/>
      <c r="O33" s="982" t="n"/>
    </row>
    <row r="34">
      <c r="A34" s="982" t="n"/>
      <c r="B34" s="986">
        <f>'REVIEW - Complete Role Mapping'!$B$401</f>
        <v/>
      </c>
      <c r="C34" s="986">
        <f>'REVIEW - Complete Role Mapping'!$C$401</f>
        <v/>
      </c>
      <c r="D34" s="1005">
        <f>'REVIEW - Complete Role Mapping'!$AK$401</f>
        <v/>
      </c>
      <c r="E34" s="986" t="inlineStr"/>
      <c r="F34" s="986" t="inlineStr"/>
      <c r="G34" s="982" t="n"/>
      <c r="H34" s="982" t="n"/>
      <c r="I34" s="982" t="n"/>
      <c r="J34" s="982" t="n"/>
      <c r="K34" s="982" t="n"/>
      <c r="L34" s="982" t="n"/>
      <c r="M34" s="982" t="n"/>
      <c r="N34" s="982" t="n"/>
      <c r="O34" s="982" t="n"/>
    </row>
    <row r="35">
      <c r="A35" s="982" t="n"/>
      <c r="B35" s="986">
        <f>'REVIEW - Complete Role Mapping'!$B$409</f>
        <v/>
      </c>
      <c r="C35" s="986">
        <f>'REVIEW - Complete Role Mapping'!$C$409</f>
        <v/>
      </c>
      <c r="D35" s="1005">
        <f>'REVIEW - Complete Role Mapping'!$AK$409</f>
        <v/>
      </c>
      <c r="E35" s="986" t="inlineStr"/>
      <c r="F35" s="986" t="inlineStr"/>
      <c r="G35" s="982" t="n"/>
      <c r="H35" s="982" t="n"/>
      <c r="I35" s="982" t="n"/>
      <c r="J35" s="982" t="n"/>
      <c r="K35" s="982" t="n"/>
      <c r="L35" s="982" t="n"/>
      <c r="M35" s="982" t="n"/>
      <c r="N35" s="982" t="n"/>
      <c r="O35" s="982" t="n"/>
    </row>
    <row r="36">
      <c r="A36" s="982" t="n"/>
      <c r="B36" s="1004" t="inlineStr">
        <is>
          <t>Leadership</t>
        </is>
      </c>
      <c r="C36" s="1004" t="inlineStr"/>
      <c r="D36" s="1004" t="inlineStr"/>
      <c r="E36" s="1004" t="inlineStr"/>
      <c r="F36" s="1004" t="inlineStr"/>
      <c r="G36" s="982" t="n"/>
      <c r="H36" s="982" t="n"/>
      <c r="I36" s="982" t="n"/>
      <c r="J36" s="982" t="n"/>
      <c r="K36" s="982" t="n"/>
      <c r="L36" s="982" t="n"/>
      <c r="M36" s="982" t="n"/>
      <c r="N36" s="982" t="n"/>
      <c r="O36" s="982" t="n"/>
    </row>
    <row r="37">
      <c r="A37" s="982" t="n"/>
      <c r="B37" s="986">
        <f>'REVIEW - Complete Role Mapping'!$B$339</f>
        <v/>
      </c>
      <c r="C37" s="986">
        <f>'REVIEW - Complete Role Mapping'!$C$339</f>
        <v/>
      </c>
      <c r="D37" s="1005">
        <f>'REVIEW - Complete Role Mapping'!$AK$339</f>
        <v/>
      </c>
      <c r="E37" s="986" t="inlineStr"/>
      <c r="F37" s="986" t="inlineStr"/>
      <c r="G37" s="982" t="n"/>
      <c r="H37" s="982" t="n"/>
      <c r="I37" s="982" t="n"/>
      <c r="J37" s="982" t="n"/>
      <c r="K37" s="982" t="n"/>
      <c r="L37" s="982" t="n"/>
      <c r="M37" s="982" t="n"/>
      <c r="N37" s="982" t="n"/>
      <c r="O37" s="982" t="n"/>
    </row>
    <row r="38">
      <c r="A38" s="982" t="n"/>
      <c r="B38" s="986">
        <f>'REVIEW - Complete Role Mapping'!$B$364</f>
        <v/>
      </c>
      <c r="C38" s="986">
        <f>'REVIEW - Complete Role Mapping'!$C$364</f>
        <v/>
      </c>
      <c r="D38" s="1005">
        <f>'REVIEW - Complete Role Mapping'!$AK$364</f>
        <v/>
      </c>
      <c r="E38" s="986" t="inlineStr"/>
      <c r="F38" s="986" t="inlineStr"/>
      <c r="G38" s="982" t="n"/>
      <c r="H38" s="982" t="n"/>
      <c r="I38" s="982" t="n"/>
      <c r="J38" s="982" t="n"/>
      <c r="K38" s="982" t="n"/>
      <c r="L38" s="982" t="n"/>
      <c r="M38" s="982" t="n"/>
      <c r="N38" s="982" t="n"/>
      <c r="O38" s="982" t="n"/>
    </row>
    <row r="39">
      <c r="A39" s="982" t="n"/>
      <c r="B39" s="986">
        <f>'REVIEW - Complete Role Mapping'!$B$426</f>
        <v/>
      </c>
      <c r="C39" s="986">
        <f>'REVIEW - Complete Role Mapping'!$C$426</f>
        <v/>
      </c>
      <c r="D39" s="1005">
        <f>'REVIEW - Complete Role Mapping'!$AK$426</f>
        <v/>
      </c>
      <c r="E39" s="1006" t="inlineStr">
        <is>
          <t>Hold</t>
        </is>
      </c>
      <c r="F39" s="1007">
        <f>'REVIEW - Complete Role Mapping'!$AA$426</f>
        <v/>
      </c>
      <c r="G39" s="982" t="n"/>
      <c r="H39" s="982" t="n"/>
      <c r="I39" s="982" t="n"/>
      <c r="J39" s="982" t="n"/>
      <c r="K39" s="982" t="n"/>
      <c r="L39" s="982" t="n"/>
      <c r="M39" s="982" t="n"/>
      <c r="N39" s="982" t="n"/>
      <c r="O39" s="982" t="n"/>
    </row>
    <row r="40">
      <c r="A40" s="982" t="n"/>
      <c r="B40" s="986">
        <f>'REVIEW - Complete Role Mapping'!$B$427</f>
        <v/>
      </c>
      <c r="C40" s="986">
        <f>'REVIEW - Complete Role Mapping'!$C$427</f>
        <v/>
      </c>
      <c r="D40" s="1005">
        <f>'REVIEW - Complete Role Mapping'!$AK$427</f>
        <v/>
      </c>
      <c r="E40" s="1006" t="inlineStr">
        <is>
          <t>Hold</t>
        </is>
      </c>
      <c r="F40" s="1007">
        <f>'REVIEW - Complete Role Mapping'!$AA$427</f>
        <v/>
      </c>
      <c r="G40" s="982" t="n"/>
      <c r="H40" s="982" t="n"/>
      <c r="I40" s="982" t="n"/>
      <c r="J40" s="982" t="n"/>
      <c r="K40" s="982" t="n"/>
      <c r="L40" s="982" t="n"/>
      <c r="M40" s="982" t="n"/>
      <c r="N40" s="982" t="n"/>
      <c r="O40" s="982" t="n"/>
    </row>
    <row r="41">
      <c r="A41" s="982" t="n"/>
      <c r="B41" s="986">
        <f>'REVIEW - Complete Role Mapping'!$B$428</f>
        <v/>
      </c>
      <c r="C41" s="986">
        <f>'REVIEW - Complete Role Mapping'!$C$428</f>
        <v/>
      </c>
      <c r="D41" s="1005">
        <f>'REVIEW - Complete Role Mapping'!$AK$428</f>
        <v/>
      </c>
      <c r="E41" s="1006" t="inlineStr">
        <is>
          <t>Hold</t>
        </is>
      </c>
      <c r="F41" s="1007">
        <f>'REVIEW - Complete Role Mapping'!$AA$428</f>
        <v/>
      </c>
      <c r="G41" s="982" t="n"/>
      <c r="H41" s="982" t="n"/>
      <c r="I41" s="982" t="n"/>
      <c r="J41" s="982" t="n"/>
      <c r="K41" s="982" t="n"/>
      <c r="L41" s="982" t="n"/>
      <c r="M41" s="982" t="n"/>
      <c r="N41" s="982" t="n"/>
      <c r="O41" s="982" t="n"/>
    </row>
    <row r="42">
      <c r="A42" s="982" t="n"/>
      <c r="B42" s="1004" t="inlineStr">
        <is>
          <t>Distribution, Sales &amp; Services</t>
        </is>
      </c>
      <c r="C42" s="1004" t="inlineStr"/>
      <c r="D42" s="1004" t="inlineStr"/>
      <c r="E42" s="1004" t="inlineStr"/>
      <c r="F42" s="1004" t="inlineStr"/>
      <c r="G42" s="982" t="n"/>
      <c r="H42" s="982" t="n"/>
      <c r="I42" s="982" t="n"/>
      <c r="J42" s="982" t="n"/>
      <c r="K42" s="982" t="n"/>
      <c r="L42" s="982" t="n"/>
      <c r="M42" s="982" t="n"/>
      <c r="N42" s="982" t="n"/>
      <c r="O42" s="982" t="n"/>
    </row>
    <row r="43">
      <c r="A43" s="982" t="n"/>
      <c r="B43" s="986">
        <f>'REVIEW - Complete Role Mapping'!$B$341</f>
        <v/>
      </c>
      <c r="C43" s="986">
        <f>'REVIEW - Complete Role Mapping'!$C$341</f>
        <v/>
      </c>
      <c r="D43" s="1005">
        <f>'REVIEW - Complete Role Mapping'!$AK$341</f>
        <v/>
      </c>
      <c r="E43" s="986" t="inlineStr"/>
      <c r="F43" s="986" t="inlineStr"/>
      <c r="G43" s="982" t="n"/>
      <c r="H43" s="982" t="n"/>
      <c r="I43" s="982" t="n"/>
      <c r="J43" s="982" t="n"/>
      <c r="K43" s="982" t="n"/>
      <c r="L43" s="982" t="n"/>
      <c r="M43" s="982" t="n"/>
      <c r="N43" s="982" t="n"/>
      <c r="O43" s="982" t="n"/>
    </row>
    <row r="44">
      <c r="A44" s="982" t="n"/>
      <c r="B44" s="986">
        <f>'REVIEW - Complete Role Mapping'!$B$345</f>
        <v/>
      </c>
      <c r="C44" s="986">
        <f>'REVIEW - Complete Role Mapping'!$C$345</f>
        <v/>
      </c>
      <c r="D44" s="1005">
        <f>'REVIEW - Complete Role Mapping'!$AK$345</f>
        <v/>
      </c>
      <c r="E44" s="986" t="inlineStr"/>
      <c r="F44" s="986" t="inlineStr"/>
      <c r="G44" s="982" t="n"/>
      <c r="H44" s="982" t="n"/>
      <c r="I44" s="982" t="n"/>
      <c r="J44" s="982" t="n"/>
      <c r="K44" s="982" t="n"/>
      <c r="L44" s="982" t="n"/>
      <c r="M44" s="982" t="n"/>
      <c r="N44" s="982" t="n"/>
      <c r="O44" s="982" t="n"/>
    </row>
    <row r="45">
      <c r="A45" s="982" t="n"/>
      <c r="B45" s="986">
        <f>'REVIEW - Complete Role Mapping'!$B$349</f>
        <v/>
      </c>
      <c r="C45" s="986">
        <f>'REVIEW - Complete Role Mapping'!$C$349</f>
        <v/>
      </c>
      <c r="D45" s="1005">
        <f>'REVIEW - Complete Role Mapping'!$AK$349</f>
        <v/>
      </c>
      <c r="E45" s="986" t="inlineStr"/>
      <c r="F45" s="986" t="inlineStr"/>
      <c r="G45" s="982" t="n"/>
      <c r="H45" s="982" t="n"/>
      <c r="I45" s="982" t="n"/>
      <c r="J45" s="982" t="n"/>
      <c r="K45" s="982" t="n"/>
      <c r="L45" s="982" t="n"/>
      <c r="M45" s="982" t="n"/>
      <c r="N45" s="982" t="n"/>
      <c r="O45" s="982" t="n"/>
    </row>
    <row r="46">
      <c r="A46" s="982" t="n"/>
      <c r="B46" s="986">
        <f>'REVIEW - Complete Role Mapping'!$B$375</f>
        <v/>
      </c>
      <c r="C46" s="986">
        <f>'REVIEW - Complete Role Mapping'!$C$375</f>
        <v/>
      </c>
      <c r="D46" s="1005">
        <f>'REVIEW - Complete Role Mapping'!$AK$375</f>
        <v/>
      </c>
      <c r="E46" s="986" t="inlineStr"/>
      <c r="F46" s="986" t="inlineStr"/>
      <c r="G46" s="982" t="n"/>
      <c r="H46" s="982" t="n"/>
      <c r="I46" s="982" t="n"/>
      <c r="J46" s="982" t="n"/>
      <c r="K46" s="982" t="n"/>
      <c r="L46" s="982" t="n"/>
      <c r="M46" s="982" t="n"/>
      <c r="N46" s="982" t="n"/>
      <c r="O46" s="982" t="n"/>
    </row>
    <row r="47">
      <c r="A47" s="982" t="n"/>
      <c r="B47" s="986">
        <f>'REVIEW - Complete Role Mapping'!$B$397</f>
        <v/>
      </c>
      <c r="C47" s="986">
        <f>'REVIEW - Complete Role Mapping'!$C$397</f>
        <v/>
      </c>
      <c r="D47" s="1005">
        <f>'REVIEW - Complete Role Mapping'!$AK$397</f>
        <v/>
      </c>
      <c r="E47" s="986" t="inlineStr"/>
      <c r="F47" s="986" t="inlineStr"/>
      <c r="G47" s="982" t="n"/>
      <c r="H47" s="982" t="n"/>
      <c r="I47" s="982" t="n"/>
      <c r="J47" s="982" t="n"/>
      <c r="K47" s="982" t="n"/>
      <c r="L47" s="982" t="n"/>
      <c r="M47" s="982" t="n"/>
      <c r="N47" s="982" t="n"/>
      <c r="O47" s="982" t="n"/>
    </row>
    <row r="48">
      <c r="A48" s="982" t="n"/>
      <c r="B48" s="986">
        <f>'REVIEW - Complete Role Mapping'!$B$400</f>
        <v/>
      </c>
      <c r="C48" s="986">
        <f>'REVIEW - Complete Role Mapping'!$C$400</f>
        <v/>
      </c>
      <c r="D48" s="1005">
        <f>'REVIEW - Complete Role Mapping'!$AK$400</f>
        <v/>
      </c>
      <c r="E48" s="986" t="inlineStr"/>
      <c r="F48" s="986" t="inlineStr"/>
      <c r="G48" s="982" t="n"/>
      <c r="H48" s="982" t="n"/>
      <c r="I48" s="982" t="n"/>
      <c r="J48" s="982" t="n"/>
      <c r="K48" s="982" t="n"/>
      <c r="L48" s="982" t="n"/>
      <c r="M48" s="982" t="n"/>
      <c r="N48" s="982" t="n"/>
      <c r="O48" s="982" t="n"/>
    </row>
    <row r="49">
      <c r="A49" s="982" t="n"/>
      <c r="B49" s="986">
        <f>'REVIEW - Complete Role Mapping'!$B$404</f>
        <v/>
      </c>
      <c r="C49" s="986">
        <f>'REVIEW - Complete Role Mapping'!$C$404</f>
        <v/>
      </c>
      <c r="D49" s="1005">
        <f>'REVIEW - Complete Role Mapping'!$AK$404</f>
        <v/>
      </c>
      <c r="E49" s="986" t="inlineStr"/>
      <c r="F49" s="986" t="inlineStr"/>
      <c r="G49" s="982" t="n"/>
      <c r="H49" s="982" t="n"/>
      <c r="I49" s="982" t="n"/>
      <c r="J49" s="982" t="n"/>
      <c r="K49" s="982" t="n"/>
      <c r="L49" s="982" t="n"/>
      <c r="M49" s="982" t="n"/>
      <c r="N49" s="982" t="n"/>
      <c r="O49" s="982" t="n"/>
    </row>
    <row r="50">
      <c r="A50" s="982" t="n"/>
      <c r="B50" s="986">
        <f>'REVIEW - Complete Role Mapping'!$B$406</f>
        <v/>
      </c>
      <c r="C50" s="986">
        <f>'REVIEW - Complete Role Mapping'!$C$406</f>
        <v/>
      </c>
      <c r="D50" s="1005">
        <f>'REVIEW - Complete Role Mapping'!$AK$406</f>
        <v/>
      </c>
      <c r="E50" s="986" t="inlineStr"/>
      <c r="F50" s="986" t="inlineStr"/>
      <c r="G50" s="982" t="n"/>
      <c r="H50" s="982" t="n"/>
      <c r="I50" s="982" t="n"/>
      <c r="J50" s="982" t="n"/>
      <c r="K50" s="982" t="n"/>
      <c r="L50" s="982" t="n"/>
      <c r="M50" s="982" t="n"/>
      <c r="N50" s="982" t="n"/>
      <c r="O50" s="982" t="n"/>
    </row>
    <row r="51">
      <c r="A51" s="982" t="n"/>
      <c r="B51" s="986">
        <f>'REVIEW - Complete Role Mapping'!$B$431</f>
        <v/>
      </c>
      <c r="C51" s="986">
        <f>'REVIEW - Complete Role Mapping'!$C$431</f>
        <v/>
      </c>
      <c r="D51" s="1005">
        <f>'REVIEW - Complete Role Mapping'!$AK$431</f>
        <v/>
      </c>
      <c r="E51" s="1006" t="inlineStr">
        <is>
          <t>Hold</t>
        </is>
      </c>
      <c r="F51" s="1007">
        <f>'REVIEW - Complete Role Mapping'!$AA$431</f>
        <v/>
      </c>
      <c r="G51" s="982" t="n"/>
      <c r="H51" s="982" t="n"/>
      <c r="I51" s="982" t="n"/>
      <c r="J51" s="982" t="n"/>
      <c r="K51" s="982" t="n"/>
      <c r="L51" s="982" t="n"/>
      <c r="M51" s="982" t="n"/>
      <c r="N51" s="982" t="n"/>
      <c r="O51" s="982" t="n"/>
    </row>
    <row r="52">
      <c r="B52" s="986">
        <f>'REVIEW - Complete Role Mapping'!$B$432</f>
        <v/>
      </c>
      <c r="C52" s="986">
        <f>'REVIEW - Complete Role Mapping'!$C$432</f>
        <v/>
      </c>
      <c r="D52" s="1005">
        <f>'REVIEW - Complete Role Mapping'!$AK$432</f>
        <v/>
      </c>
      <c r="E52" s="1006" t="inlineStr">
        <is>
          <t>Hold</t>
        </is>
      </c>
      <c r="F52" s="1007">
        <f>'REVIEW - Complete Role Mapping'!$AA$432</f>
        <v/>
      </c>
    </row>
    <row r="53">
      <c r="B53" s="1004" t="inlineStr">
        <is>
          <t>Data &amp; Insights</t>
        </is>
      </c>
      <c r="C53" s="1004" t="inlineStr"/>
      <c r="D53" s="1004" t="inlineStr"/>
      <c r="E53" s="1004" t="inlineStr"/>
      <c r="F53" s="1004" t="inlineStr"/>
    </row>
    <row r="54">
      <c r="B54" s="986">
        <f>'REVIEW - Complete Role Mapping'!$B$403</f>
        <v/>
      </c>
      <c r="C54" s="986">
        <f>'REVIEW - Complete Role Mapping'!$C$403</f>
        <v/>
      </c>
      <c r="D54" s="1005">
        <f>'REVIEW - Complete Role Mapping'!$AK$403</f>
        <v/>
      </c>
      <c r="E54" s="986" t="inlineStr"/>
      <c r="F54" s="986" t="inlineStr"/>
    </row>
    <row r="55">
      <c r="B55" s="986">
        <f>'REVIEW - Complete Role Mapping'!$B$407</f>
        <v/>
      </c>
      <c r="C55" s="986">
        <f>'REVIEW - Complete Role Mapping'!$C$407</f>
        <v/>
      </c>
      <c r="D55" s="1005">
        <f>'REVIEW - Complete Role Mapping'!$AK$407</f>
        <v/>
      </c>
      <c r="E55" s="986" t="inlineStr"/>
      <c r="F55" s="986" t="inlineStr"/>
    </row>
    <row r="56">
      <c r="B56" s="986">
        <f>'REVIEW - Complete Role Mapping'!$B$433</f>
        <v/>
      </c>
      <c r="C56" s="986">
        <f>'REVIEW - Complete Role Mapping'!$C$433</f>
        <v/>
      </c>
      <c r="D56" s="1005">
        <f>'REVIEW - Complete Role Mapping'!$AK$433</f>
        <v/>
      </c>
      <c r="E56" s="1006" t="inlineStr">
        <is>
          <t>Hold</t>
        </is>
      </c>
      <c r="F56" s="1007">
        <f>'REVIEW - Complete Role Mapping'!$AA$433</f>
        <v/>
      </c>
    </row>
    <row r="57">
      <c r="B57" s="986">
        <f>'REVIEW - Complete Role Mapping'!$B$434</f>
        <v/>
      </c>
      <c r="C57" s="986">
        <f>'REVIEW - Complete Role Mapping'!$C$434</f>
        <v/>
      </c>
      <c r="D57" s="1005">
        <f>'REVIEW - Complete Role Mapping'!$AK$434</f>
        <v/>
      </c>
      <c r="E57" s="1006" t="inlineStr">
        <is>
          <t>Hold</t>
        </is>
      </c>
      <c r="F57" s="1007">
        <f>'REVIEW - Complete Role Mapping'!$AA$434</f>
        <v/>
      </c>
    </row>
    <row r="58">
      <c r="B58" s="986">
        <f>'REVIEW - Complete Role Mapping'!$B$435</f>
        <v/>
      </c>
      <c r="C58" s="986">
        <f>'REVIEW - Complete Role Mapping'!$C$435</f>
        <v/>
      </c>
      <c r="D58" s="1005">
        <f>'REVIEW - Complete Role Mapping'!$AK$435</f>
        <v/>
      </c>
      <c r="E58" s="1006" t="inlineStr">
        <is>
          <t>Hold</t>
        </is>
      </c>
      <c r="F58" s="1007">
        <f>'REVIEW - Complete Role Mapping'!$AA$435</f>
        <v/>
      </c>
    </row>
    <row r="59">
      <c r="B59" s="986">
        <f>'REVIEW - Complete Role Mapping'!$B$436</f>
        <v/>
      </c>
      <c r="C59" s="986">
        <f>'REVIEW - Complete Role Mapping'!$C$436</f>
        <v/>
      </c>
      <c r="D59" s="1005">
        <f>'REVIEW - Complete Role Mapping'!$AK$436</f>
        <v/>
      </c>
      <c r="E59" s="1006" t="inlineStr">
        <is>
          <t>Hold</t>
        </is>
      </c>
      <c r="F59" s="1007">
        <f>'REVIEW - Complete Role Mapping'!$AA$436</f>
        <v/>
      </c>
    </row>
    <row r="60">
      <c r="B60" s="986">
        <f>'REVIEW - Complete Role Mapping'!$B$437</f>
        <v/>
      </c>
      <c r="C60" s="986">
        <f>'REVIEW - Complete Role Mapping'!$C$437</f>
        <v/>
      </c>
      <c r="D60" s="1005">
        <f>'REVIEW - Complete Role Mapping'!$AK$437</f>
        <v/>
      </c>
      <c r="E60" s="1006" t="inlineStr">
        <is>
          <t>Hold</t>
        </is>
      </c>
      <c r="F60" s="1007">
        <f>'REVIEW - Complete Role Mapping'!$AA$437</f>
        <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7 E28 E39 E40 E41 E51 E52 E56 E57 E58 E59 E60" showDropDown="0" showInputMessage="0" showErrorMessage="0" allowBlank="0"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5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Energy Solutions &amp; B2B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B2B</t>
        </is>
      </c>
      <c r="C6" s="987">
        <f>IFERROR(INDEX('3.3 FTE View'!$E:$E,MATCH("Energy Solutions &amp; B2B|B2B",'3.3 FTE View'!$AD:$AD,0)),"-")</f>
        <v/>
      </c>
      <c r="D6" s="988">
        <f>IFERROR(INDEX('3.3 FTE View'!$G:$G,MATCH("Energy Solutions &amp; B2B|B2B",'3.3 FTE View'!$AD:$AD,0)),"-")</f>
        <v/>
      </c>
      <c r="E6" s="989">
        <f>COUNTIF($D$20:$D$33,"Filled")</f>
        <v/>
      </c>
      <c r="F6" s="989">
        <f>COUNTIF($D$20:$D$33,"Vacant")</f>
        <v/>
      </c>
      <c r="G6" s="989">
        <f>COUNTIF($E$20:$E$33,"Hire")</f>
        <v/>
      </c>
      <c r="H6" s="989">
        <f>F6-G6-COUNTIF($E$20:$E$33,"Offshore")</f>
        <v/>
      </c>
      <c r="I6" s="989">
        <f>IFERROR(E6+G6-D6,"-")</f>
        <v/>
      </c>
      <c r="J6" s="986">
        <f>IF(ISNUMBER(D6),IF(E6&gt;D6,"Filled already over archetype",IF(E6+G6&gt;D6,"Over archetype after hire","")),"Outside the archetype model - no target set")</f>
        <v/>
      </c>
      <c r="K6" s="990">
        <f>IFERROR(INDEX('3.3 FTE View'!$M:$M,MATCH("Energy Solutions &amp; B2B|B2B",'3.3 FTE View'!$AD:$AD,0)),"-")</f>
        <v/>
      </c>
      <c r="L6" s="991">
        <f>(SUMIFS('REVIEW - Complete Role Mapping'!$AA:$AA,'REVIEW - Complete Role Mapping'!$AJ:$AJ,"Energy Solutions &amp; B2B",'REVIEW - Complete Role Mapping'!$AO:$AO,"B2B",'REVIEW - Complete Role Mapping'!$AK:$AK,"Filled"))/1000000</f>
        <v/>
      </c>
      <c r="M6" s="991">
        <f>L6+(SUMIFS($F$20:$F$33,$E$20:$E$33,"Hire")+0.4*SUMIFS($F$20:$F$33,$E$20:$E$33,"Offshore"))/1000000</f>
        <v/>
      </c>
      <c r="N6" s="991">
        <f>IFERROR(M6-K6,"-")</f>
        <v/>
      </c>
      <c r="O6" s="987">
        <f>IFERROR(INDEX('3.3 FTE View'!$F:$F,MATCH("Energy Solutions &amp; B2B|B2B",'3.3 FTE View'!$AD:$AD,0)),"-")</f>
        <v/>
      </c>
    </row>
    <row r="7">
      <c r="A7" s="982" t="n"/>
      <c r="B7" s="992" t="inlineStr">
        <is>
          <t>EVCI</t>
        </is>
      </c>
      <c r="C7" s="987">
        <f>IFERROR(INDEX('3.3 FTE View'!$E:$E,MATCH("Energy Solutions &amp; B2B|EVCI",'3.3 FTE View'!$AD:$AD,0)),"-")</f>
        <v/>
      </c>
      <c r="D7" s="988">
        <f>IFERROR(INDEX('3.3 FTE View'!$G:$G,MATCH("Energy Solutions &amp; B2B|EVCI",'3.3 FTE View'!$AD:$AD,0)),"-")</f>
        <v/>
      </c>
      <c r="E7" s="989">
        <f>COUNTIF($D$35:$D$40,"Filled")</f>
        <v/>
      </c>
      <c r="F7" s="989">
        <f>COUNTIF($D$35:$D$40,"Vacant")</f>
        <v/>
      </c>
      <c r="G7" s="989">
        <f>COUNTIF($E$35:$E$40,"Hire")</f>
        <v/>
      </c>
      <c r="H7" s="989">
        <f>F7-G7-COUNTIF($E$35:$E$40,"Offshore")</f>
        <v/>
      </c>
      <c r="I7" s="989">
        <f>IFERROR(E7+G7-D7,"-")</f>
        <v/>
      </c>
      <c r="J7" s="986">
        <f>IF(ISNUMBER(D7),IF(E7&gt;D7,"Filled already over archetype",IF(E7+G7&gt;D7,"Over archetype after hire","")),"Outside the archetype model - no target set")</f>
        <v/>
      </c>
      <c r="K7" s="990">
        <f>IFERROR(INDEX('3.3 FTE View'!$M:$M,MATCH("Energy Solutions &amp; B2B|EVCI",'3.3 FTE View'!$AD:$AD,0)),"-")</f>
        <v/>
      </c>
      <c r="L7" s="991">
        <f>(SUMIFS('REVIEW - Complete Role Mapping'!$AA:$AA,'REVIEW - Complete Role Mapping'!$AJ:$AJ,"Energy Solutions &amp; B2B",'REVIEW - Complete Role Mapping'!$AO:$AO,"EVCI",'REVIEW - Complete Role Mapping'!$AK:$AK,"Filled"))/1000000</f>
        <v/>
      </c>
      <c r="M7" s="991">
        <f>L7+(SUMIFS($F$35:$F$40,$E$35:$E$40,"Hire")+0.4*SUMIFS($F$35:$F$40,$E$35:$E$40,"Offshore"))/1000000</f>
        <v/>
      </c>
      <c r="N7" s="991">
        <f>IFERROR(M7-K7,"-")</f>
        <v/>
      </c>
      <c r="O7" s="987">
        <f>IFERROR(INDEX('3.3 FTE View'!$F:$F,MATCH("Energy Solutions &amp; B2B|EVCI",'3.3 FTE View'!$AD:$AD,0)),"-")</f>
        <v/>
      </c>
    </row>
    <row r="8">
      <c r="A8" s="982" t="n"/>
      <c r="B8" s="986" t="inlineStr">
        <is>
          <t>Energy</t>
        </is>
      </c>
      <c r="C8" s="987">
        <f>IFERROR(INDEX('3.3 FTE View'!$E:$E,MATCH("Energy Solutions &amp; B2B|Energy",'3.3 FTE View'!$AD:$AD,0)),"-")</f>
        <v/>
      </c>
      <c r="D8" s="988">
        <f>IFERROR(INDEX('3.3 FTE View'!$G:$G,MATCH("Energy Solutions &amp; B2B|Energy",'3.3 FTE View'!$AD:$AD,0)),"-")</f>
        <v/>
      </c>
      <c r="E8" s="989">
        <f>COUNTIF($D$42:$D$50,"Filled")</f>
        <v/>
      </c>
      <c r="F8" s="989">
        <f>COUNTIF($D$42:$D$50,"Vacant")</f>
        <v/>
      </c>
      <c r="G8" s="989">
        <f>COUNTIF($E$42:$E$50,"Hire")</f>
        <v/>
      </c>
      <c r="H8" s="989">
        <f>F8-G8-COUNTIF($E$42:$E$50,"Offshore")</f>
        <v/>
      </c>
      <c r="I8" s="989">
        <f>IFERROR(E8+G8-D8,"-")</f>
        <v/>
      </c>
      <c r="J8" s="986">
        <f>IF(ISNUMBER(D8),IF(E8&gt;D8,"Filled already over archetype",IF(E8+G8&gt;D8,"Over archetype after hire","")),"Outside the archetype model - no target set")</f>
        <v/>
      </c>
      <c r="K8" s="990">
        <f>IFERROR(INDEX('3.3 FTE View'!$M:$M,MATCH("Energy Solutions &amp; B2B|Energy",'3.3 FTE View'!$AD:$AD,0)),"-")</f>
        <v/>
      </c>
      <c r="L8" s="991">
        <f>(SUMIFS('REVIEW - Complete Role Mapping'!$AA:$AA,'REVIEW - Complete Role Mapping'!$AJ:$AJ,"Energy Solutions &amp; B2B",'REVIEW - Complete Role Mapping'!$AO:$AO,"Energy",'REVIEW - Complete Role Mapping'!$AK:$AK,"Filled"))/1000000</f>
        <v/>
      </c>
      <c r="M8" s="991">
        <f>L8+(SUMIFS($F$42:$F$50,$E$42:$E$50,"Hire")+0.4*SUMIFS($F$42:$F$50,$E$42:$E$50,"Offshore"))/1000000</f>
        <v/>
      </c>
      <c r="N8" s="991">
        <f>IFERROR(M8-K8,"-")</f>
        <v/>
      </c>
      <c r="O8" s="987">
        <f>IFERROR(INDEX('3.3 FTE View'!$F:$F,MATCH("Energy Solutions &amp; B2B|Energy",'3.3 FTE View'!$AD:$AD,0)),"-")</f>
        <v/>
      </c>
    </row>
    <row r="9">
      <c r="A9" s="982" t="n"/>
      <c r="B9" s="992" t="inlineStr">
        <is>
          <t>Leadership</t>
        </is>
      </c>
      <c r="C9" s="987">
        <f>IFERROR(INDEX('3.3 FTE View'!$E:$E,MATCH("Energy Solutions &amp; B2B|Leadership",'3.3 FTE View'!$AD:$AD,0)),"-")</f>
        <v/>
      </c>
      <c r="D9" s="988">
        <f>IFERROR(INDEX('3.3 FTE View'!$G:$G,MATCH("Energy Solutions &amp; B2B|Leadership",'3.3 FTE View'!$AD:$AD,0)),"-")</f>
        <v/>
      </c>
      <c r="E9" s="989">
        <f>COUNTIF($D$52:$D$55,"Filled")</f>
        <v/>
      </c>
      <c r="F9" s="989">
        <f>COUNTIF($D$52:$D$55,"Vacant")</f>
        <v/>
      </c>
      <c r="G9" s="989">
        <f>COUNTIF($E$52:$E$55,"Hire")</f>
        <v/>
      </c>
      <c r="H9" s="989">
        <f>F9-G9-COUNTIF($E$52:$E$55,"Offshore")</f>
        <v/>
      </c>
      <c r="I9" s="989">
        <f>IFERROR(E9+G9-D9,"-")</f>
        <v/>
      </c>
      <c r="J9" s="986">
        <f>IF(ISNUMBER(D9),IF(E9&gt;D9,"Filled already over archetype",IF(E9+G9&gt;D9,"Over archetype after hire","")),"Outside the archetype model - no target set")</f>
        <v/>
      </c>
      <c r="K9" s="990">
        <f>IFERROR(INDEX('3.3 FTE View'!$M:$M,MATCH("Energy Solutions &amp; B2B|Leadership",'3.3 FTE View'!$AD:$AD,0)),"-")</f>
        <v/>
      </c>
      <c r="L9" s="991">
        <f>(SUMIFS('REVIEW - Complete Role Mapping'!$AA:$AA,'REVIEW - Complete Role Mapping'!$AJ:$AJ,"Energy Solutions &amp; B2B",'REVIEW - Complete Role Mapping'!$AO:$AO,"Leadership",'REVIEW - Complete Role Mapping'!$AK:$AK,"Filled"))/1000000</f>
        <v/>
      </c>
      <c r="M9" s="991">
        <f>L9+(SUMIFS($F$52:$F$55,$E$52:$E$55,"Hire")+0.4*SUMIFS($F$52:$F$55,$E$52:$E$55,"Offshore"))/1000000</f>
        <v/>
      </c>
      <c r="N9" s="991">
        <f>IFERROR(M9-K9,"-")</f>
        <v/>
      </c>
      <c r="O9" s="987">
        <f>IFERROR(INDEX('3.3 FTE View'!$F:$F,MATCH("Energy Solutions &amp; B2B|Leadership",'3.3 FTE View'!$AD:$AD,0)),"-")</f>
        <v/>
      </c>
    </row>
    <row r="10">
      <c r="A10" s="982" t="n"/>
      <c r="B10" s="993" t="inlineStr">
        <is>
          <t>Total</t>
        </is>
      </c>
      <c r="C10" s="993" t="inlineStr"/>
      <c r="D10" s="994">
        <f>SUM(D6:D9)</f>
        <v/>
      </c>
      <c r="E10" s="994">
        <f>SUM(E6:E9)</f>
        <v/>
      </c>
      <c r="F10" s="994">
        <f>SUM(F6:F9)</f>
        <v/>
      </c>
      <c r="G10" s="994">
        <f>SUM(G6:G9)</f>
        <v/>
      </c>
      <c r="H10" s="994">
        <f>SUM(H6:H9)</f>
        <v/>
      </c>
      <c r="I10" s="994">
        <f>SUM(I6:I9)</f>
        <v/>
      </c>
      <c r="J10" s="993" t="inlineStr"/>
      <c r="K10" s="995">
        <f>SUM(K6:K9)</f>
        <v/>
      </c>
      <c r="L10" s="995">
        <f>SUM(L6:L9)</f>
        <v/>
      </c>
      <c r="M10" s="995">
        <f>SUM(M6:M9)</f>
        <v/>
      </c>
      <c r="N10" s="995">
        <f>SUM(N6:N9)</f>
        <v/>
      </c>
      <c r="O10" s="993" t="inlineStr"/>
    </row>
    <row r="11">
      <c r="A11" s="982" t="n"/>
      <c r="B11" s="996" t="inlineStr">
        <is>
          <t>Cost to hire all vacancies ($m)</t>
        </is>
      </c>
      <c r="C11" s="1001" t="n"/>
      <c r="D11" s="982" t="n"/>
      <c r="E11" s="997">
        <f>SUMIFS($F$19:$F$55,$D$19:$D$55,"Vacant")/1000000</f>
        <v/>
      </c>
      <c r="F11" s="982" t="n"/>
      <c r="G11" s="982" t="n"/>
      <c r="H11" s="982" t="n"/>
      <c r="I11" s="982" t="n"/>
      <c r="J11" s="982" t="n"/>
      <c r="K11" s="982" t="n"/>
      <c r="L11" s="982" t="n"/>
      <c r="M11" s="982" t="n"/>
      <c r="N11" s="982" t="n"/>
      <c r="O11" s="982" t="n"/>
    </row>
    <row r="12">
      <c r="A12" s="982" t="n"/>
      <c r="B12" s="996" t="inlineStr">
        <is>
          <t>Cost of roles marked Hire ($m)</t>
        </is>
      </c>
      <c r="C12" s="982" t="n"/>
      <c r="D12" s="982" t="n"/>
      <c r="E12" s="997">
        <f>SUMIF($E$19:$E$55,"Hire",$F$19:$F$55)/1000000</f>
        <v/>
      </c>
      <c r="F12" s="982" t="n"/>
      <c r="G12" s="982" t="n"/>
      <c r="H12" s="982" t="n"/>
      <c r="I12" s="982" t="n"/>
      <c r="J12" s="982" t="n"/>
      <c r="K12" s="982" t="n"/>
      <c r="L12" s="982" t="n"/>
      <c r="M12" s="982" t="n"/>
      <c r="N12" s="982" t="n"/>
      <c r="O12" s="982" t="n"/>
    </row>
    <row r="13">
      <c r="A13" s="982" t="n"/>
      <c r="B13" s="998"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8" t="inlineStr">
        <is>
          <t>"-" in the archetype columns means this real squad has no design archetype target; the comparison sits at portfolio level on 3.2.</t>
        </is>
      </c>
      <c r="C14" s="982" t="n"/>
      <c r="D14" s="982" t="n"/>
      <c r="E14" s="982" t="n"/>
      <c r="F14" s="982" t="n"/>
      <c r="G14" s="982" t="n"/>
      <c r="H14" s="982" t="n"/>
      <c r="I14" s="982" t="n"/>
      <c r="J14" s="982" t="n"/>
      <c r="K14" s="982" t="n"/>
      <c r="L14" s="982" t="n"/>
      <c r="M14" s="982" t="n"/>
      <c r="N14" s="982" t="n"/>
      <c r="O14" s="982" t="n"/>
    </row>
    <row r="15">
      <c r="A15" s="982" t="n"/>
      <c r="B15" s="999" t="n"/>
      <c r="C15" s="999" t="n"/>
      <c r="D15" s="999" t="n"/>
      <c r="E15" s="999" t="n"/>
      <c r="F15" s="999"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Energy Solutions &amp; B2B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4" t="inlineStr">
        <is>
          <t>B2B</t>
        </is>
      </c>
      <c r="C19" s="1004" t="inlineStr"/>
      <c r="D19" s="1004" t="inlineStr"/>
      <c r="E19" s="1004" t="inlineStr"/>
      <c r="F19" s="1004" t="inlineStr"/>
      <c r="G19" s="982" t="n"/>
      <c r="H19" s="982" t="n"/>
      <c r="I19" s="982" t="n"/>
      <c r="J19" s="982" t="n"/>
      <c r="K19" s="982" t="n"/>
      <c r="L19" s="982" t="n"/>
      <c r="M19" s="982" t="n"/>
      <c r="N19" s="982" t="n"/>
      <c r="O19" s="982" t="n"/>
    </row>
    <row r="20">
      <c r="A20" s="982" t="n"/>
      <c r="B20" s="986">
        <f>'REVIEW - Complete Role Mapping'!$B$334</f>
        <v/>
      </c>
      <c r="C20" s="986">
        <f>'REVIEW - Complete Role Mapping'!$C$334</f>
        <v/>
      </c>
      <c r="D20" s="1005">
        <f>'REVIEW - Complete Role Mapping'!$AK$334</f>
        <v/>
      </c>
      <c r="E20" s="986" t="inlineStr"/>
      <c r="F20" s="986" t="inlineStr"/>
      <c r="G20" s="982" t="n"/>
      <c r="H20" s="982" t="n"/>
      <c r="I20" s="982" t="n"/>
      <c r="J20" s="982" t="n"/>
      <c r="K20" s="982" t="n"/>
      <c r="L20" s="982" t="n"/>
      <c r="M20" s="982" t="n"/>
      <c r="N20" s="982" t="n"/>
      <c r="O20" s="982" t="n"/>
    </row>
    <row r="21">
      <c r="A21" s="982" t="n"/>
      <c r="B21" s="986">
        <f>'REVIEW - Complete Role Mapping'!$B$337</f>
        <v/>
      </c>
      <c r="C21" s="986">
        <f>'REVIEW - Complete Role Mapping'!$C$337</f>
        <v/>
      </c>
      <c r="D21" s="1005">
        <f>'REVIEW - Complete Role Mapping'!$AK$337</f>
        <v/>
      </c>
      <c r="E21" s="986" t="inlineStr"/>
      <c r="F21" s="986" t="inlineStr"/>
      <c r="G21" s="982" t="n"/>
      <c r="H21" s="982" t="n"/>
      <c r="I21" s="982" t="n"/>
      <c r="J21" s="982" t="n"/>
      <c r="K21" s="982" t="n"/>
      <c r="L21" s="982" t="n"/>
      <c r="M21" s="982" t="n"/>
      <c r="N21" s="982" t="n"/>
      <c r="O21" s="982" t="n"/>
    </row>
    <row r="22">
      <c r="A22" s="982" t="n"/>
      <c r="B22" s="986">
        <f>'REVIEW - Complete Role Mapping'!$B$348</f>
        <v/>
      </c>
      <c r="C22" s="986">
        <f>'REVIEW - Complete Role Mapping'!$C$348</f>
        <v/>
      </c>
      <c r="D22" s="1005">
        <f>'REVIEW - Complete Role Mapping'!$AK$348</f>
        <v/>
      </c>
      <c r="E22" s="986" t="inlineStr"/>
      <c r="F22" s="986" t="inlineStr"/>
      <c r="G22" s="982" t="n"/>
      <c r="H22" s="982" t="n"/>
      <c r="I22" s="982" t="n"/>
      <c r="J22" s="982" t="n"/>
      <c r="K22" s="982" t="n"/>
      <c r="L22" s="982" t="n"/>
      <c r="M22" s="982" t="n"/>
      <c r="N22" s="982" t="n"/>
      <c r="O22" s="982" t="n"/>
    </row>
    <row r="23">
      <c r="A23" s="982" t="n"/>
      <c r="B23" s="986">
        <f>'REVIEW - Complete Role Mapping'!$B$357</f>
        <v/>
      </c>
      <c r="C23" s="986">
        <f>'REVIEW - Complete Role Mapping'!$C$357</f>
        <v/>
      </c>
      <c r="D23" s="1005">
        <f>'REVIEW - Complete Role Mapping'!$AK$357</f>
        <v/>
      </c>
      <c r="E23" s="986" t="inlineStr"/>
      <c r="F23" s="986" t="inlineStr"/>
      <c r="G23" s="982" t="n"/>
      <c r="H23" s="982" t="n"/>
      <c r="I23" s="982" t="n"/>
      <c r="J23" s="982" t="n"/>
      <c r="K23" s="982" t="n"/>
      <c r="L23" s="982" t="n"/>
      <c r="M23" s="982" t="n"/>
      <c r="N23" s="982" t="n"/>
      <c r="O23" s="982" t="n"/>
    </row>
    <row r="24">
      <c r="A24" s="982" t="n"/>
      <c r="B24" s="986">
        <f>'REVIEW - Complete Role Mapping'!$B$362</f>
        <v/>
      </c>
      <c r="C24" s="986">
        <f>'REVIEW - Complete Role Mapping'!$C$362</f>
        <v/>
      </c>
      <c r="D24" s="1005">
        <f>'REVIEW - Complete Role Mapping'!$AK$362</f>
        <v/>
      </c>
      <c r="E24" s="986" t="inlineStr"/>
      <c r="F24" s="986" t="inlineStr"/>
      <c r="G24" s="982" t="n"/>
      <c r="H24" s="982" t="n"/>
      <c r="I24" s="982" t="n"/>
      <c r="J24" s="982" t="n"/>
      <c r="K24" s="982" t="n"/>
      <c r="L24" s="982" t="n"/>
      <c r="M24" s="982" t="n"/>
      <c r="N24" s="982" t="n"/>
      <c r="O24" s="982" t="n"/>
    </row>
    <row r="25">
      <c r="A25" s="982" t="n"/>
      <c r="B25" s="986">
        <f>'REVIEW - Complete Role Mapping'!$B$374</f>
        <v/>
      </c>
      <c r="C25" s="986">
        <f>'REVIEW - Complete Role Mapping'!$C$374</f>
        <v/>
      </c>
      <c r="D25" s="1005">
        <f>'REVIEW - Complete Role Mapping'!$AK$374</f>
        <v/>
      </c>
      <c r="E25" s="986" t="inlineStr"/>
      <c r="F25" s="986" t="inlineStr"/>
      <c r="G25" s="982" t="n"/>
      <c r="H25" s="982" t="n"/>
      <c r="I25" s="982" t="n"/>
      <c r="J25" s="982" t="n"/>
      <c r="K25" s="982" t="n"/>
      <c r="L25" s="982" t="n"/>
      <c r="M25" s="982" t="n"/>
      <c r="N25" s="982" t="n"/>
      <c r="O25" s="982" t="n"/>
    </row>
    <row r="26">
      <c r="A26" s="982" t="n"/>
      <c r="B26" s="986">
        <f>'REVIEW - Complete Role Mapping'!$B$386</f>
        <v/>
      </c>
      <c r="C26" s="986">
        <f>'REVIEW - Complete Role Mapping'!$C$386</f>
        <v/>
      </c>
      <c r="D26" s="1005">
        <f>'REVIEW - Complete Role Mapping'!$AK$386</f>
        <v/>
      </c>
      <c r="E26" s="986" t="inlineStr"/>
      <c r="F26" s="986" t="inlineStr"/>
      <c r="G26" s="982" t="n"/>
      <c r="H26" s="982" t="n"/>
      <c r="I26" s="982" t="n"/>
      <c r="J26" s="982" t="n"/>
      <c r="K26" s="982" t="n"/>
      <c r="L26" s="982" t="n"/>
      <c r="M26" s="982" t="n"/>
      <c r="N26" s="982" t="n"/>
      <c r="O26" s="982" t="n"/>
    </row>
    <row r="27">
      <c r="A27" s="982" t="n"/>
      <c r="B27" s="986">
        <f>'REVIEW - Complete Role Mapping'!$B$389</f>
        <v/>
      </c>
      <c r="C27" s="986">
        <f>'REVIEW - Complete Role Mapping'!$C$389</f>
        <v/>
      </c>
      <c r="D27" s="1005">
        <f>'REVIEW - Complete Role Mapping'!$AK$389</f>
        <v/>
      </c>
      <c r="E27" s="986" t="inlineStr"/>
      <c r="F27" s="986" t="inlineStr"/>
      <c r="G27" s="982" t="n"/>
      <c r="H27" s="982" t="n"/>
      <c r="I27" s="982" t="n"/>
      <c r="J27" s="982" t="n"/>
      <c r="K27" s="982" t="n"/>
      <c r="L27" s="982" t="n"/>
      <c r="M27" s="982" t="n"/>
      <c r="N27" s="982" t="n"/>
      <c r="O27" s="982" t="n"/>
    </row>
    <row r="28">
      <c r="A28" s="982" t="n"/>
      <c r="B28" s="986">
        <f>'REVIEW - Complete Role Mapping'!$B$390</f>
        <v/>
      </c>
      <c r="C28" s="986">
        <f>'REVIEW - Complete Role Mapping'!$C$390</f>
        <v/>
      </c>
      <c r="D28" s="1005">
        <f>'REVIEW - Complete Role Mapping'!$AK$390</f>
        <v/>
      </c>
      <c r="E28" s="986" t="inlineStr"/>
      <c r="F28" s="986" t="inlineStr"/>
      <c r="G28" s="982" t="n"/>
      <c r="H28" s="982" t="n"/>
      <c r="I28" s="982" t="n"/>
      <c r="J28" s="982" t="n"/>
      <c r="K28" s="982" t="n"/>
      <c r="L28" s="982" t="n"/>
      <c r="M28" s="982" t="n"/>
      <c r="N28" s="982" t="n"/>
      <c r="O28" s="982" t="n"/>
    </row>
    <row r="29">
      <c r="A29" s="982" t="n"/>
      <c r="B29" s="986">
        <f>'REVIEW - Complete Role Mapping'!$B$391</f>
        <v/>
      </c>
      <c r="C29" s="986">
        <f>'REVIEW - Complete Role Mapping'!$C$391</f>
        <v/>
      </c>
      <c r="D29" s="1005">
        <f>'REVIEW - Complete Role Mapping'!$AK$391</f>
        <v/>
      </c>
      <c r="E29" s="986" t="inlineStr"/>
      <c r="F29" s="986" t="inlineStr"/>
      <c r="G29" s="982" t="n"/>
      <c r="H29" s="982" t="n"/>
      <c r="I29" s="982" t="n"/>
      <c r="J29" s="982" t="n"/>
      <c r="K29" s="982" t="n"/>
      <c r="L29" s="982" t="n"/>
      <c r="M29" s="982" t="n"/>
      <c r="N29" s="982" t="n"/>
      <c r="O29" s="982" t="n"/>
    </row>
    <row r="30">
      <c r="A30" s="982" t="n"/>
      <c r="B30" s="986">
        <f>'REVIEW - Complete Role Mapping'!$B$399</f>
        <v/>
      </c>
      <c r="C30" s="986">
        <f>'REVIEW - Complete Role Mapping'!$C$399</f>
        <v/>
      </c>
      <c r="D30" s="1005">
        <f>'REVIEW - Complete Role Mapping'!$AK$399</f>
        <v/>
      </c>
      <c r="E30" s="986" t="inlineStr"/>
      <c r="F30" s="986" t="inlineStr"/>
      <c r="G30" s="982" t="n"/>
      <c r="H30" s="982" t="n"/>
      <c r="I30" s="982" t="n"/>
      <c r="J30" s="982" t="n"/>
      <c r="K30" s="982" t="n"/>
      <c r="L30" s="982" t="n"/>
      <c r="M30" s="982" t="n"/>
      <c r="N30" s="982" t="n"/>
      <c r="O30" s="982" t="n"/>
    </row>
    <row r="31">
      <c r="A31" s="982" t="n"/>
      <c r="B31" s="986">
        <f>'REVIEW - Complete Role Mapping'!$B$412</f>
        <v/>
      </c>
      <c r="C31" s="986">
        <f>'REVIEW - Complete Role Mapping'!$C$412</f>
        <v/>
      </c>
      <c r="D31" s="1005">
        <f>'REVIEW - Complete Role Mapping'!$AK$412</f>
        <v/>
      </c>
      <c r="E31" s="1006" t="inlineStr">
        <is>
          <t>Hold</t>
        </is>
      </c>
      <c r="F31" s="1007">
        <f>'REVIEW - Complete Role Mapping'!$AA$412</f>
        <v/>
      </c>
      <c r="G31" s="982" t="n"/>
      <c r="H31" s="982" t="n"/>
      <c r="I31" s="982" t="n"/>
      <c r="J31" s="982" t="n"/>
      <c r="K31" s="982" t="n"/>
      <c r="L31" s="982" t="n"/>
      <c r="M31" s="982" t="n"/>
      <c r="N31" s="982" t="n"/>
      <c r="O31" s="982" t="n"/>
    </row>
    <row r="32">
      <c r="A32" s="982" t="n"/>
      <c r="B32" s="986">
        <f>'REVIEW - Complete Role Mapping'!$B$413</f>
        <v/>
      </c>
      <c r="C32" s="986">
        <f>'REVIEW - Complete Role Mapping'!$C$413</f>
        <v/>
      </c>
      <c r="D32" s="1005">
        <f>'REVIEW - Complete Role Mapping'!$AK$413</f>
        <v/>
      </c>
      <c r="E32" s="1006" t="inlineStr">
        <is>
          <t>Hold</t>
        </is>
      </c>
      <c r="F32" s="1007">
        <f>'REVIEW - Complete Role Mapping'!$AA$413</f>
        <v/>
      </c>
      <c r="G32" s="982" t="n"/>
      <c r="H32" s="982" t="n"/>
      <c r="I32" s="982" t="n"/>
      <c r="J32" s="982" t="n"/>
      <c r="K32" s="982" t="n"/>
      <c r="L32" s="982" t="n"/>
      <c r="M32" s="982" t="n"/>
      <c r="N32" s="982" t="n"/>
      <c r="O32" s="982" t="n"/>
    </row>
    <row r="33">
      <c r="A33" s="982" t="n"/>
      <c r="B33" s="986">
        <f>'REVIEW - Complete Role Mapping'!$B$438</f>
        <v/>
      </c>
      <c r="C33" s="986">
        <f>'REVIEW - Complete Role Mapping'!$C$438</f>
        <v/>
      </c>
      <c r="D33" s="1005">
        <f>'REVIEW - Complete Role Mapping'!$AK$438</f>
        <v/>
      </c>
      <c r="E33" s="1006" t="inlineStr">
        <is>
          <t>Hold</t>
        </is>
      </c>
      <c r="F33" s="1007">
        <f>'REVIEW - Complete Role Mapping'!$AA$438</f>
        <v/>
      </c>
      <c r="G33" s="982" t="n"/>
      <c r="H33" s="982" t="n"/>
      <c r="I33" s="982" t="n"/>
      <c r="J33" s="982" t="n"/>
      <c r="K33" s="982" t="n"/>
      <c r="L33" s="982" t="n"/>
      <c r="M33" s="982" t="n"/>
      <c r="N33" s="982" t="n"/>
      <c r="O33" s="982" t="n"/>
    </row>
    <row r="34">
      <c r="A34" s="982" t="n"/>
      <c r="B34" s="1004" t="inlineStr">
        <is>
          <t>EVCI</t>
        </is>
      </c>
      <c r="C34" s="1004" t="inlineStr"/>
      <c r="D34" s="1004" t="inlineStr"/>
      <c r="E34" s="1004" t="inlineStr"/>
      <c r="F34" s="1004" t="inlineStr"/>
      <c r="G34" s="982" t="n"/>
      <c r="H34" s="982" t="n"/>
      <c r="I34" s="982" t="n"/>
      <c r="J34" s="982" t="n"/>
      <c r="K34" s="982" t="n"/>
      <c r="L34" s="982" t="n"/>
      <c r="M34" s="982" t="n"/>
      <c r="N34" s="982" t="n"/>
      <c r="O34" s="982" t="n"/>
    </row>
    <row r="35">
      <c r="A35" s="982" t="n"/>
      <c r="B35" s="986">
        <f>'REVIEW - Complete Role Mapping'!$B$340</f>
        <v/>
      </c>
      <c r="C35" s="986">
        <f>'REVIEW - Complete Role Mapping'!$C$340</f>
        <v/>
      </c>
      <c r="D35" s="1005">
        <f>'REVIEW - Complete Role Mapping'!$AK$340</f>
        <v/>
      </c>
      <c r="E35" s="986" t="inlineStr"/>
      <c r="F35" s="986" t="inlineStr"/>
      <c r="G35" s="982" t="n"/>
      <c r="H35" s="982" t="n"/>
      <c r="I35" s="982" t="n"/>
      <c r="J35" s="982" t="n"/>
      <c r="K35" s="982" t="n"/>
      <c r="L35" s="982" t="n"/>
      <c r="M35" s="982" t="n"/>
      <c r="N35" s="982" t="n"/>
      <c r="O35" s="982" t="n"/>
    </row>
    <row r="36">
      <c r="A36" s="982" t="n"/>
      <c r="B36" s="986">
        <f>'REVIEW - Complete Role Mapping'!$B$342</f>
        <v/>
      </c>
      <c r="C36" s="986">
        <f>'REVIEW - Complete Role Mapping'!$C$342</f>
        <v/>
      </c>
      <c r="D36" s="1005">
        <f>'REVIEW - Complete Role Mapping'!$AK$342</f>
        <v/>
      </c>
      <c r="E36" s="986" t="inlineStr"/>
      <c r="F36" s="986" t="inlineStr"/>
      <c r="G36" s="982" t="n"/>
      <c r="H36" s="982" t="n"/>
      <c r="I36" s="982" t="n"/>
      <c r="J36" s="982" t="n"/>
      <c r="K36" s="982" t="n"/>
      <c r="L36" s="982" t="n"/>
      <c r="M36" s="982" t="n"/>
      <c r="N36" s="982" t="n"/>
      <c r="O36" s="982" t="n"/>
    </row>
    <row r="37">
      <c r="A37" s="982" t="n"/>
      <c r="B37" s="986">
        <f>'REVIEW - Complete Role Mapping'!$B$351</f>
        <v/>
      </c>
      <c r="C37" s="986">
        <f>'REVIEW - Complete Role Mapping'!$C$351</f>
        <v/>
      </c>
      <c r="D37" s="1005">
        <f>'REVIEW - Complete Role Mapping'!$AK$351</f>
        <v/>
      </c>
      <c r="E37" s="986" t="inlineStr"/>
      <c r="F37" s="986" t="inlineStr"/>
      <c r="G37" s="982" t="n"/>
      <c r="H37" s="982" t="n"/>
      <c r="I37" s="982" t="n"/>
      <c r="J37" s="982" t="n"/>
      <c r="K37" s="982" t="n"/>
      <c r="L37" s="982" t="n"/>
      <c r="M37" s="982" t="n"/>
      <c r="N37" s="982" t="n"/>
      <c r="O37" s="982" t="n"/>
    </row>
    <row r="38">
      <c r="A38" s="982" t="n"/>
      <c r="B38" s="986">
        <f>'REVIEW - Complete Role Mapping'!$B$366</f>
        <v/>
      </c>
      <c r="C38" s="986">
        <f>'REVIEW - Complete Role Mapping'!$C$366</f>
        <v/>
      </c>
      <c r="D38" s="1005">
        <f>'REVIEW - Complete Role Mapping'!$AK$366</f>
        <v/>
      </c>
      <c r="E38" s="986" t="inlineStr"/>
      <c r="F38" s="986" t="inlineStr"/>
      <c r="G38" s="982" t="n"/>
      <c r="H38" s="982" t="n"/>
      <c r="I38" s="982" t="n"/>
      <c r="J38" s="982" t="n"/>
      <c r="K38" s="982" t="n"/>
      <c r="L38" s="982" t="n"/>
      <c r="M38" s="982" t="n"/>
      <c r="N38" s="982" t="n"/>
      <c r="O38" s="982" t="n"/>
    </row>
    <row r="39">
      <c r="A39" s="982" t="n"/>
      <c r="B39" s="986">
        <f>'REVIEW - Complete Role Mapping'!$B$377</f>
        <v/>
      </c>
      <c r="C39" s="986">
        <f>'REVIEW - Complete Role Mapping'!$C$377</f>
        <v/>
      </c>
      <c r="D39" s="1005">
        <f>'REVIEW - Complete Role Mapping'!$AK$377</f>
        <v/>
      </c>
      <c r="E39" s="986" t="inlineStr"/>
      <c r="F39" s="986" t="inlineStr"/>
      <c r="G39" s="982" t="n"/>
      <c r="H39" s="982" t="n"/>
      <c r="I39" s="982" t="n"/>
      <c r="J39" s="982" t="n"/>
      <c r="K39" s="982" t="n"/>
      <c r="L39" s="982" t="n"/>
      <c r="M39" s="982" t="n"/>
      <c r="N39" s="982" t="n"/>
      <c r="O39" s="982" t="n"/>
    </row>
    <row r="40">
      <c r="A40" s="982" t="n"/>
      <c r="B40" s="986">
        <f>'REVIEW - Complete Role Mapping'!$B$382</f>
        <v/>
      </c>
      <c r="C40" s="986">
        <f>'REVIEW - Complete Role Mapping'!$C$382</f>
        <v/>
      </c>
      <c r="D40" s="1005">
        <f>'REVIEW - Complete Role Mapping'!$AK$382</f>
        <v/>
      </c>
      <c r="E40" s="986" t="inlineStr"/>
      <c r="F40" s="986" t="inlineStr"/>
      <c r="G40" s="982" t="n"/>
      <c r="H40" s="982" t="n"/>
      <c r="I40" s="982" t="n"/>
      <c r="J40" s="982" t="n"/>
      <c r="K40" s="982" t="n"/>
      <c r="L40" s="982" t="n"/>
      <c r="M40" s="982" t="n"/>
      <c r="N40" s="982" t="n"/>
      <c r="O40" s="982" t="n"/>
    </row>
    <row r="41">
      <c r="A41" s="982" t="n"/>
      <c r="B41" s="1004" t="inlineStr">
        <is>
          <t>Energy</t>
        </is>
      </c>
      <c r="C41" s="1004" t="inlineStr"/>
      <c r="D41" s="1004" t="inlineStr"/>
      <c r="E41" s="1004" t="inlineStr"/>
      <c r="F41" s="1004" t="inlineStr"/>
      <c r="G41" s="982" t="n"/>
      <c r="H41" s="982" t="n"/>
      <c r="I41" s="982" t="n"/>
      <c r="J41" s="982" t="n"/>
      <c r="K41" s="982" t="n"/>
      <c r="L41" s="982" t="n"/>
      <c r="M41" s="982" t="n"/>
      <c r="N41" s="982" t="n"/>
      <c r="O41" s="982" t="n"/>
    </row>
    <row r="42">
      <c r="A42" s="982" t="n"/>
      <c r="B42" s="986">
        <f>'REVIEW - Complete Role Mapping'!$B$352</f>
        <v/>
      </c>
      <c r="C42" s="986">
        <f>'REVIEW - Complete Role Mapping'!$C$352</f>
        <v/>
      </c>
      <c r="D42" s="1005">
        <f>'REVIEW - Complete Role Mapping'!$AK$352</f>
        <v/>
      </c>
      <c r="E42" s="986" t="inlineStr"/>
      <c r="F42" s="986" t="inlineStr"/>
      <c r="G42" s="982" t="n"/>
      <c r="H42" s="982" t="n"/>
      <c r="I42" s="982" t="n"/>
      <c r="J42" s="982" t="n"/>
      <c r="K42" s="982" t="n"/>
      <c r="L42" s="982" t="n"/>
      <c r="M42" s="982" t="n"/>
      <c r="N42" s="982" t="n"/>
      <c r="O42" s="982" t="n"/>
    </row>
    <row r="43">
      <c r="A43" s="982" t="n"/>
      <c r="B43" s="986">
        <f>'REVIEW - Complete Role Mapping'!$B$360</f>
        <v/>
      </c>
      <c r="C43" s="986">
        <f>'REVIEW - Complete Role Mapping'!$C$360</f>
        <v/>
      </c>
      <c r="D43" s="1005">
        <f>'REVIEW - Complete Role Mapping'!$AK$360</f>
        <v/>
      </c>
      <c r="E43" s="986" t="inlineStr"/>
      <c r="F43" s="986" t="inlineStr"/>
      <c r="G43" s="982" t="n"/>
      <c r="H43" s="982" t="n"/>
      <c r="I43" s="982" t="n"/>
      <c r="J43" s="982" t="n"/>
      <c r="K43" s="982" t="n"/>
      <c r="L43" s="982" t="n"/>
      <c r="M43" s="982" t="n"/>
      <c r="N43" s="982" t="n"/>
      <c r="O43" s="982" t="n"/>
    </row>
    <row r="44">
      <c r="A44" s="982" t="n"/>
      <c r="B44" s="986">
        <f>'REVIEW - Complete Role Mapping'!$B$367</f>
        <v/>
      </c>
      <c r="C44" s="986">
        <f>'REVIEW - Complete Role Mapping'!$C$367</f>
        <v/>
      </c>
      <c r="D44" s="1005">
        <f>'REVIEW - Complete Role Mapping'!$AK$367</f>
        <v/>
      </c>
      <c r="E44" s="986" t="inlineStr"/>
      <c r="F44" s="986" t="inlineStr"/>
      <c r="G44" s="982" t="n"/>
      <c r="H44" s="982" t="n"/>
      <c r="I44" s="982" t="n"/>
      <c r="J44" s="982" t="n"/>
      <c r="K44" s="982" t="n"/>
      <c r="L44" s="982" t="n"/>
      <c r="M44" s="982" t="n"/>
      <c r="N44" s="982" t="n"/>
      <c r="O44" s="982" t="n"/>
    </row>
    <row r="45">
      <c r="A45" s="982" t="n"/>
      <c r="B45" s="986">
        <f>'REVIEW - Complete Role Mapping'!$B$371</f>
        <v/>
      </c>
      <c r="C45" s="986">
        <f>'REVIEW - Complete Role Mapping'!$C$371</f>
        <v/>
      </c>
      <c r="D45" s="1005">
        <f>'REVIEW - Complete Role Mapping'!$AK$371</f>
        <v/>
      </c>
      <c r="E45" s="986" t="inlineStr"/>
      <c r="F45" s="986" t="inlineStr"/>
      <c r="G45" s="982" t="n"/>
      <c r="H45" s="982" t="n"/>
      <c r="I45" s="982" t="n"/>
      <c r="J45" s="982" t="n"/>
      <c r="K45" s="982" t="n"/>
      <c r="L45" s="982" t="n"/>
      <c r="M45" s="982" t="n"/>
      <c r="N45" s="982" t="n"/>
      <c r="O45" s="982" t="n"/>
    </row>
    <row r="46">
      <c r="A46" s="982" t="n"/>
      <c r="B46" s="986">
        <f>'REVIEW - Complete Role Mapping'!$B$388</f>
        <v/>
      </c>
      <c r="C46" s="986">
        <f>'REVIEW - Complete Role Mapping'!$C$388</f>
        <v/>
      </c>
      <c r="D46" s="1005">
        <f>'REVIEW - Complete Role Mapping'!$AK$388</f>
        <v/>
      </c>
      <c r="E46" s="986" t="inlineStr"/>
      <c r="F46" s="986" t="inlineStr"/>
      <c r="G46" s="982" t="n"/>
      <c r="H46" s="982" t="n"/>
      <c r="I46" s="982" t="n"/>
      <c r="J46" s="982" t="n"/>
      <c r="K46" s="982" t="n"/>
      <c r="L46" s="982" t="n"/>
      <c r="M46" s="982" t="n"/>
      <c r="N46" s="982" t="n"/>
      <c r="O46" s="982" t="n"/>
    </row>
    <row r="47">
      <c r="A47" s="982" t="n"/>
      <c r="B47" s="986">
        <f>'REVIEW - Complete Role Mapping'!$B$416</f>
        <v/>
      </c>
      <c r="C47" s="986">
        <f>'REVIEW - Complete Role Mapping'!$C$416</f>
        <v/>
      </c>
      <c r="D47" s="1005">
        <f>'REVIEW - Complete Role Mapping'!$AK$416</f>
        <v/>
      </c>
      <c r="E47" s="1006" t="inlineStr">
        <is>
          <t>Hold</t>
        </is>
      </c>
      <c r="F47" s="1007">
        <f>'REVIEW - Complete Role Mapping'!$AA$416</f>
        <v/>
      </c>
      <c r="G47" s="982" t="n"/>
      <c r="H47" s="982" t="n"/>
      <c r="I47" s="982" t="n"/>
      <c r="J47" s="982" t="n"/>
      <c r="K47" s="982" t="n"/>
      <c r="L47" s="982" t="n"/>
      <c r="M47" s="982" t="n"/>
      <c r="N47" s="982" t="n"/>
      <c r="O47" s="982" t="n"/>
    </row>
    <row r="48">
      <c r="A48" s="982" t="n"/>
      <c r="B48" s="986">
        <f>'REVIEW - Complete Role Mapping'!$B$417</f>
        <v/>
      </c>
      <c r="C48" s="986">
        <f>'REVIEW - Complete Role Mapping'!$C$417</f>
        <v/>
      </c>
      <c r="D48" s="1005">
        <f>'REVIEW - Complete Role Mapping'!$AK$417</f>
        <v/>
      </c>
      <c r="E48" s="1006" t="inlineStr">
        <is>
          <t>Hold</t>
        </is>
      </c>
      <c r="F48" s="1007">
        <f>'REVIEW - Complete Role Mapping'!$AA$417</f>
        <v/>
      </c>
      <c r="G48" s="982" t="n"/>
      <c r="H48" s="982" t="n"/>
      <c r="I48" s="982" t="n"/>
      <c r="J48" s="982" t="n"/>
      <c r="K48" s="982" t="n"/>
      <c r="L48" s="982" t="n"/>
      <c r="M48" s="982" t="n"/>
      <c r="N48" s="982" t="n"/>
      <c r="O48" s="982" t="n"/>
    </row>
    <row r="49">
      <c r="A49" s="982" t="n"/>
      <c r="B49" s="986">
        <f>'REVIEW - Complete Role Mapping'!$B$418</f>
        <v/>
      </c>
      <c r="C49" s="986">
        <f>'REVIEW - Complete Role Mapping'!$C$418</f>
        <v/>
      </c>
      <c r="D49" s="1005">
        <f>'REVIEW - Complete Role Mapping'!$AK$418</f>
        <v/>
      </c>
      <c r="E49" s="1006" t="inlineStr">
        <is>
          <t>Hold</t>
        </is>
      </c>
      <c r="F49" s="1007">
        <f>'REVIEW - Complete Role Mapping'!$AA$418</f>
        <v/>
      </c>
      <c r="G49" s="982" t="n"/>
      <c r="H49" s="982" t="n"/>
      <c r="I49" s="982" t="n"/>
      <c r="J49" s="982" t="n"/>
      <c r="K49" s="982" t="n"/>
      <c r="L49" s="982" t="n"/>
      <c r="M49" s="982" t="n"/>
      <c r="N49" s="982" t="n"/>
      <c r="O49" s="982" t="n"/>
    </row>
    <row r="50">
      <c r="A50" s="982" t="n"/>
      <c r="B50" s="986">
        <f>'REVIEW - Complete Role Mapping'!$B$439</f>
        <v/>
      </c>
      <c r="C50" s="986">
        <f>'REVIEW - Complete Role Mapping'!$C$439</f>
        <v/>
      </c>
      <c r="D50" s="1005">
        <f>'REVIEW - Complete Role Mapping'!$AK$439</f>
        <v/>
      </c>
      <c r="E50" s="1006" t="inlineStr">
        <is>
          <t>Hold</t>
        </is>
      </c>
      <c r="F50" s="1007">
        <f>'REVIEW - Complete Role Mapping'!$AA$439</f>
        <v/>
      </c>
      <c r="G50" s="982" t="n"/>
      <c r="H50" s="982" t="n"/>
      <c r="I50" s="982" t="n"/>
      <c r="J50" s="982" t="n"/>
      <c r="K50" s="982" t="n"/>
      <c r="L50" s="982" t="n"/>
      <c r="M50" s="982" t="n"/>
      <c r="N50" s="982" t="n"/>
      <c r="O50" s="982" t="n"/>
    </row>
    <row r="51">
      <c r="A51" s="982" t="n"/>
      <c r="B51" s="1004" t="inlineStr">
        <is>
          <t>Leadership</t>
        </is>
      </c>
      <c r="C51" s="1004" t="inlineStr"/>
      <c r="D51" s="1004" t="inlineStr"/>
      <c r="E51" s="1004" t="inlineStr"/>
      <c r="F51" s="1004" t="inlineStr"/>
      <c r="G51" s="982" t="n"/>
      <c r="H51" s="982" t="n"/>
      <c r="I51" s="982" t="n"/>
      <c r="J51" s="982" t="n"/>
      <c r="K51" s="982" t="n"/>
      <c r="L51" s="982" t="n"/>
      <c r="M51" s="982" t="n"/>
      <c r="N51" s="982" t="n"/>
      <c r="O51" s="982" t="n"/>
    </row>
    <row r="52">
      <c r="A52" s="982" t="n"/>
      <c r="B52" s="986">
        <f>'REVIEW - Complete Role Mapping'!$B$359</f>
        <v/>
      </c>
      <c r="C52" s="986">
        <f>'REVIEW - Complete Role Mapping'!$C$359</f>
        <v/>
      </c>
      <c r="D52" s="1005">
        <f>'REVIEW - Complete Role Mapping'!$AK$359</f>
        <v/>
      </c>
      <c r="E52" s="986" t="inlineStr"/>
      <c r="F52" s="986" t="inlineStr"/>
      <c r="G52" s="982" t="n"/>
      <c r="H52" s="982" t="n"/>
      <c r="I52" s="982" t="n"/>
      <c r="J52" s="982" t="n"/>
      <c r="K52" s="982" t="n"/>
      <c r="L52" s="982" t="n"/>
      <c r="M52" s="982" t="n"/>
      <c r="N52" s="982" t="n"/>
      <c r="O52" s="982" t="n"/>
    </row>
    <row r="53">
      <c r="B53" s="986">
        <f>'REVIEW - Complete Role Mapping'!$B$385</f>
        <v/>
      </c>
      <c r="C53" s="986">
        <f>'REVIEW - Complete Role Mapping'!$C$385</f>
        <v/>
      </c>
      <c r="D53" s="1005">
        <f>'REVIEW - Complete Role Mapping'!$AK$385</f>
        <v/>
      </c>
      <c r="E53" s="986" t="inlineStr"/>
      <c r="F53" s="986" t="inlineStr"/>
    </row>
    <row r="54">
      <c r="B54" s="986">
        <f>'REVIEW - Complete Role Mapping'!$B$414</f>
        <v/>
      </c>
      <c r="C54" s="986">
        <f>'REVIEW - Complete Role Mapping'!$C$414</f>
        <v/>
      </c>
      <c r="D54" s="1005">
        <f>'REVIEW - Complete Role Mapping'!$AK$414</f>
        <v/>
      </c>
      <c r="E54" s="1006" t="inlineStr">
        <is>
          <t>Hold</t>
        </is>
      </c>
      <c r="F54" s="1007">
        <f>'REVIEW - Complete Role Mapping'!$AA$414</f>
        <v/>
      </c>
    </row>
    <row r="55">
      <c r="B55" s="986">
        <f>'REVIEW - Complete Role Mapping'!$B$415</f>
        <v/>
      </c>
      <c r="C55" s="986">
        <f>'REVIEW - Complete Role Mapping'!$C$415</f>
        <v/>
      </c>
      <c r="D55" s="1005">
        <f>'REVIEW - Complete Role Mapping'!$AK$415</f>
        <v/>
      </c>
      <c r="E55" s="1006" t="inlineStr">
        <is>
          <t>Hold</t>
        </is>
      </c>
      <c r="F55" s="1007">
        <f>'REVIEW - Complete Role Mapping'!$AA$415</f>
        <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31 E32 E33 E47 E48 E49 E50 E54 E55" showDropDown="0" showInputMessage="0" showErrorMessage="0" allowBlank="0"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66"/>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Commercial Fuels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Leadership</t>
        </is>
      </c>
      <c r="C6" s="987">
        <f>IFERROR(INDEX('3.3 FTE View'!$E:$E,MATCH("Commercial Fuels|Leadership",'3.3 FTE View'!$AD:$AD,0)),"-")</f>
        <v/>
      </c>
      <c r="D6" s="988">
        <f>IFERROR(INDEX('3.3 FTE View'!$G:$G,MATCH("Commercial Fuels|Leadership",'3.3 FTE View'!$AD:$AD,0)),"-")</f>
        <v/>
      </c>
      <c r="E6" s="989">
        <f>COUNTIF($D$21:$D$24,"Filled")</f>
        <v/>
      </c>
      <c r="F6" s="989">
        <f>COUNTIF($D$21:$D$24,"Vacant")</f>
        <v/>
      </c>
      <c r="G6" s="989">
        <f>COUNTIF($E$21:$E$24,"Hire")</f>
        <v/>
      </c>
      <c r="H6" s="989">
        <f>F6-G6-COUNTIF($E$21:$E$24,"Offshore")</f>
        <v/>
      </c>
      <c r="I6" s="989">
        <f>IFERROR(E6+G6-D6,"-")</f>
        <v/>
      </c>
      <c r="J6" s="986">
        <f>IF(ISNUMBER(D6),IF(E6&gt;D6,"Filled already over archetype",IF(E6+G6&gt;D6,"Over archetype after hire","")),"Outside the archetype model - no target set")</f>
        <v/>
      </c>
      <c r="K6" s="990">
        <f>IFERROR(INDEX('3.3 FTE View'!$M:$M,MATCH("Commercial Fuels|Leadership",'3.3 FTE View'!$AD:$AD,0)),"-")</f>
        <v/>
      </c>
      <c r="L6" s="991">
        <f>(SUMIFS('REVIEW - Complete Role Mapping'!$AA:$AA,'REVIEW - Complete Role Mapping'!$AJ:$AJ,"Commercial Fuels",'REVIEW - Complete Role Mapping'!$AO:$AO,"Leadership",'REVIEW - Complete Role Mapping'!$AK:$AK,"Filled"))/1000000</f>
        <v/>
      </c>
      <c r="M6" s="991">
        <f>L6+(SUMIFS($F$21:$F$24,$E$21:$E$24,"Hire")+0.4*SUMIFS($F$21:$F$24,$E$21:$E$24,"Offshore"))/1000000</f>
        <v/>
      </c>
      <c r="N6" s="991">
        <f>IFERROR(M6-K6,"-")</f>
        <v/>
      </c>
      <c r="O6" s="987">
        <f>IFERROR(INDEX('3.3 FTE View'!$F:$F,MATCH("Commercial Fuels|Leadership",'3.3 FTE View'!$AD:$AD,0)),"-")</f>
        <v/>
      </c>
    </row>
    <row r="7">
      <c r="A7" s="982" t="n"/>
      <c r="B7" s="992" t="inlineStr">
        <is>
          <t>CTRM</t>
        </is>
      </c>
      <c r="C7" s="987">
        <f>IFERROR(INDEX('3.3 FTE View'!$E:$E,MATCH("Commercial Fuels|CTRM",'3.3 FTE View'!$AD:$AD,0)),"-")</f>
        <v/>
      </c>
      <c r="D7" s="988">
        <f>IFERROR(INDEX('3.3 FTE View'!$G:$G,MATCH("Commercial Fuels|CTRM",'3.3 FTE View'!$AD:$AD,0)),"-")</f>
        <v/>
      </c>
      <c r="E7" s="989">
        <f>COUNTIF($D$26:$D$39,"Filled")</f>
        <v/>
      </c>
      <c r="F7" s="989">
        <f>COUNTIF($D$26:$D$39,"Vacant")</f>
        <v/>
      </c>
      <c r="G7" s="989">
        <f>COUNTIF($E$26:$E$39,"Hire")</f>
        <v/>
      </c>
      <c r="H7" s="989">
        <f>F7-G7-COUNTIF($E$26:$E$39,"Offshore")</f>
        <v/>
      </c>
      <c r="I7" s="989">
        <f>IFERROR(E7+G7-D7,"-")</f>
        <v/>
      </c>
      <c r="J7" s="986">
        <f>IF(ISNUMBER(D7),IF(E7&gt;D7,"Filled already over archetype",IF(E7+G7&gt;D7,"Over archetype after hire","")),"Outside the archetype model - no target set")</f>
        <v/>
      </c>
      <c r="K7" s="990">
        <f>IFERROR(INDEX('3.3 FTE View'!$M:$M,MATCH("Commercial Fuels|CTRM",'3.3 FTE View'!$AD:$AD,0)),"-")</f>
        <v/>
      </c>
      <c r="L7" s="991">
        <f>(SUMIFS('REVIEW - Complete Role Mapping'!$AA:$AA,'REVIEW - Complete Role Mapping'!$AJ:$AJ,"Commercial Fuels",'REVIEW - Complete Role Mapping'!$AO:$AO,"CTRM",'REVIEW - Complete Role Mapping'!$AK:$AK,"Filled"))/1000000</f>
        <v/>
      </c>
      <c r="M7" s="991">
        <f>L7+(SUMIFS($F$26:$F$39,$E$26:$E$39,"Hire")+0.4*SUMIFS($F$26:$F$39,$E$26:$E$39,"Offshore"))/1000000</f>
        <v/>
      </c>
      <c r="N7" s="991">
        <f>IFERROR(M7-K7,"-")</f>
        <v/>
      </c>
      <c r="O7" s="987">
        <f>IFERROR(INDEX('3.3 FTE View'!$F:$F,MATCH("Commercial Fuels|CTRM",'3.3 FTE View'!$AD:$AD,0)),"-")</f>
        <v/>
      </c>
    </row>
    <row r="8">
      <c r="A8" s="982" t="n"/>
      <c r="B8" s="986" t="inlineStr">
        <is>
          <t>Supply</t>
        </is>
      </c>
      <c r="C8" s="987">
        <f>IFERROR(INDEX('3.3 FTE View'!$E:$E,MATCH("Commercial Fuels|Supply",'3.3 FTE View'!$AD:$AD,0)),"-")</f>
        <v/>
      </c>
      <c r="D8" s="988">
        <f>IFERROR(INDEX('3.3 FTE View'!$G:$G,MATCH("Commercial Fuels|Supply",'3.3 FTE View'!$AD:$AD,0)),"-")</f>
        <v/>
      </c>
      <c r="E8" s="989">
        <f>COUNTIF($D$41:$D$45,"Filled")</f>
        <v/>
      </c>
      <c r="F8" s="989">
        <f>COUNTIF($D$41:$D$45,"Vacant")</f>
        <v/>
      </c>
      <c r="G8" s="989">
        <f>COUNTIF($E$41:$E$45,"Hire")</f>
        <v/>
      </c>
      <c r="H8" s="989">
        <f>F8-G8-COUNTIF($E$41:$E$45,"Offshore")</f>
        <v/>
      </c>
      <c r="I8" s="989">
        <f>IFERROR(E8+G8-D8,"-")</f>
        <v/>
      </c>
      <c r="J8" s="986">
        <f>IF(ISNUMBER(D8),IF(E8&gt;D8,"Filled already over archetype",IF(E8+G8&gt;D8,"Over archetype after hire","")),"Outside the archetype model - no target set")</f>
        <v/>
      </c>
      <c r="K8" s="990">
        <f>IFERROR(INDEX('3.3 FTE View'!$M:$M,MATCH("Commercial Fuels|Supply",'3.3 FTE View'!$AD:$AD,0)),"-")</f>
        <v/>
      </c>
      <c r="L8" s="991">
        <f>(SUMIFS('REVIEW - Complete Role Mapping'!$AA:$AA,'REVIEW - Complete Role Mapping'!$AJ:$AJ,"Commercial Fuels",'REVIEW - Complete Role Mapping'!$AO:$AO,"Supply",'REVIEW - Complete Role Mapping'!$AK:$AK,"Filled"))/1000000</f>
        <v/>
      </c>
      <c r="M8" s="991">
        <f>L8+(SUMIFS($F$41:$F$45,$E$41:$E$45,"Hire")+0.4*SUMIFS($F$41:$F$45,$E$41:$E$45,"Offshore"))/1000000</f>
        <v/>
      </c>
      <c r="N8" s="991">
        <f>IFERROR(M8-K8,"-")</f>
        <v/>
      </c>
      <c r="O8" s="987">
        <f>IFERROR(INDEX('3.3 FTE View'!$F:$F,MATCH("Commercial Fuels|Supply",'3.3 FTE View'!$AD:$AD,0)),"-")</f>
        <v/>
      </c>
    </row>
    <row r="9">
      <c r="A9" s="982" t="n"/>
      <c r="B9" s="992" t="inlineStr">
        <is>
          <t>Trading &amp; Shipping Data</t>
        </is>
      </c>
      <c r="C9" s="987">
        <f>IFERROR(INDEX('3.3 FTE View'!$E:$E,MATCH("Commercial Fuels|Trading &amp; Shipping Data",'3.3 FTE View'!$AD:$AD,0)),"-")</f>
        <v/>
      </c>
      <c r="D9" s="988">
        <f>IFERROR(INDEX('3.3 FTE View'!$G:$G,MATCH("Commercial Fuels|Trading &amp; Shipping Data",'3.3 FTE View'!$AD:$AD,0)),"-")</f>
        <v/>
      </c>
      <c r="E9" s="989">
        <f>COUNTIF($D$47:$D$53,"Filled")</f>
        <v/>
      </c>
      <c r="F9" s="989">
        <f>COUNTIF($D$47:$D$53,"Vacant")</f>
        <v/>
      </c>
      <c r="G9" s="989">
        <f>COUNTIF($E$47:$E$53,"Hire")</f>
        <v/>
      </c>
      <c r="H9" s="989">
        <f>F9-G9-COUNTIF($E$47:$E$53,"Offshore")</f>
        <v/>
      </c>
      <c r="I9" s="989">
        <f>IFERROR(E9+G9-D9,"-")</f>
        <v/>
      </c>
      <c r="J9" s="986">
        <f>IF(ISNUMBER(D9),IF(E9&gt;D9,"Filled already over archetype",IF(E9+G9&gt;D9,"Over archetype after hire","")),"Outside the archetype model - no target set")</f>
        <v/>
      </c>
      <c r="K9" s="990">
        <f>IFERROR(INDEX('3.3 FTE View'!$M:$M,MATCH("Commercial Fuels|Trading &amp; Shipping Data",'3.3 FTE View'!$AD:$AD,0)),"-")</f>
        <v/>
      </c>
      <c r="L9" s="991">
        <f>(SUMIFS('REVIEW - Complete Role Mapping'!$AA:$AA,'REVIEW - Complete Role Mapping'!$AJ:$AJ,"Commercial Fuels",'REVIEW - Complete Role Mapping'!$AO:$AO,"Trading &amp; Shipping Data",'REVIEW - Complete Role Mapping'!$AK:$AK,"Filled"))/1000000</f>
        <v/>
      </c>
      <c r="M9" s="991">
        <f>L9+(SUMIFS($F$47:$F$53,$E$47:$E$53,"Hire")+0.4*SUMIFS($F$47:$F$53,$E$47:$E$53,"Offshore"))/1000000</f>
        <v/>
      </c>
      <c r="N9" s="991">
        <f>IFERROR(M9-K9,"-")</f>
        <v/>
      </c>
      <c r="O9" s="987">
        <f>IFERROR(INDEX('3.3 FTE View'!$F:$F,MATCH("Commercial Fuels|Trading &amp; Shipping Data",'3.3 FTE View'!$AD:$AD,0)),"-")</f>
        <v/>
      </c>
    </row>
    <row r="10">
      <c r="A10" s="982" t="n"/>
      <c r="B10" s="986" t="inlineStr">
        <is>
          <t>Trading &amp; Shipping</t>
        </is>
      </c>
      <c r="C10" s="987">
        <f>IFERROR(INDEX('3.3 FTE View'!$E:$E,MATCH("Commercial Fuels|Trading &amp; Shipping",'3.3 FTE View'!$AD:$AD,0)),"-")</f>
        <v/>
      </c>
      <c r="D10" s="988">
        <f>IFERROR(INDEX('3.3 FTE View'!$G:$G,MATCH("Commercial Fuels|Trading &amp; Shipping",'3.3 FTE View'!$AD:$AD,0)),"-")</f>
        <v/>
      </c>
      <c r="E10" s="989">
        <f>COUNTIF($D$55:$D$66,"Filled")</f>
        <v/>
      </c>
      <c r="F10" s="989">
        <f>COUNTIF($D$55:$D$66,"Vacant")</f>
        <v/>
      </c>
      <c r="G10" s="989">
        <f>COUNTIF($E$55:$E$66,"Hire")</f>
        <v/>
      </c>
      <c r="H10" s="989">
        <f>F10-G10-COUNTIF($E$55:$E$66,"Offshore")</f>
        <v/>
      </c>
      <c r="I10" s="989">
        <f>IFERROR(E10+G10-D10,"-")</f>
        <v/>
      </c>
      <c r="J10" s="986">
        <f>IF(ISNUMBER(D10),IF(E10&gt;D10,"Filled already over archetype",IF(E10+G10&gt;D10,"Over archetype after hire","")),"Outside the archetype model - no target set")</f>
        <v/>
      </c>
      <c r="K10" s="990">
        <f>IFERROR(INDEX('3.3 FTE View'!$M:$M,MATCH("Commercial Fuels|Trading &amp; Shipping",'3.3 FTE View'!$AD:$AD,0)),"-")</f>
        <v/>
      </c>
      <c r="L10" s="991">
        <f>(SUMIFS('REVIEW - Complete Role Mapping'!$AA:$AA,'REVIEW - Complete Role Mapping'!$AJ:$AJ,"Commercial Fuels",'REVIEW - Complete Role Mapping'!$AO:$AO,"Trading &amp; Shipping",'REVIEW - Complete Role Mapping'!$AK:$AK,"Filled"))/1000000</f>
        <v/>
      </c>
      <c r="M10" s="991">
        <f>L10+(SUMIFS($F$55:$F$66,$E$55:$E$66,"Hire")+0.4*SUMIFS($F$55:$F$66,$E$55:$E$66,"Offshore"))/1000000</f>
        <v/>
      </c>
      <c r="N10" s="991">
        <f>IFERROR(M10-K10,"-")</f>
        <v/>
      </c>
      <c r="O10" s="987">
        <f>IFERROR(INDEX('3.3 FTE View'!$F:$F,MATCH("Commercial Fuels|Trading &amp; Shipping",'3.3 FTE View'!$AD:$AD,0)),"-")</f>
        <v/>
      </c>
    </row>
    <row r="11">
      <c r="A11" s="982" t="n"/>
      <c r="B11" s="993" t="inlineStr">
        <is>
          <t>Total</t>
        </is>
      </c>
      <c r="C11" s="993" t="inlineStr"/>
      <c r="D11" s="994">
        <f>SUM(D6:D10)</f>
        <v/>
      </c>
      <c r="E11" s="994">
        <f>SUM(E6:E10)</f>
        <v/>
      </c>
      <c r="F11" s="994">
        <f>SUM(F6:F10)</f>
        <v/>
      </c>
      <c r="G11" s="994">
        <f>SUM(G6:G10)</f>
        <v/>
      </c>
      <c r="H11" s="994">
        <f>SUM(H6:H10)</f>
        <v/>
      </c>
      <c r="I11" s="994">
        <f>SUM(I6:I10)</f>
        <v/>
      </c>
      <c r="J11" s="993" t="inlineStr"/>
      <c r="K11" s="995">
        <f>SUM(K6:K10)</f>
        <v/>
      </c>
      <c r="L11" s="995">
        <f>SUM(L6:L10)</f>
        <v/>
      </c>
      <c r="M11" s="995">
        <f>SUM(M6:M10)</f>
        <v/>
      </c>
      <c r="N11" s="995">
        <f>SUM(N6:N10)</f>
        <v/>
      </c>
      <c r="O11" s="993" t="inlineStr"/>
    </row>
    <row r="12">
      <c r="A12" s="982" t="n"/>
      <c r="B12" s="996" t="inlineStr">
        <is>
          <t>Cost to hire all vacancies ($m)</t>
        </is>
      </c>
      <c r="C12" s="1001" t="n"/>
      <c r="D12" s="982" t="n"/>
      <c r="E12" s="997">
        <f>SUMIFS($F$20:$F$66,$D$20:$D$66,"Vacant")/1000000</f>
        <v/>
      </c>
      <c r="F12" s="982" t="n"/>
      <c r="G12" s="982" t="n"/>
      <c r="H12" s="982" t="n"/>
      <c r="I12" s="982" t="n"/>
      <c r="J12" s="982" t="n"/>
      <c r="K12" s="982" t="n"/>
      <c r="L12" s="982" t="n"/>
      <c r="M12" s="982" t="n"/>
      <c r="N12" s="982" t="n"/>
      <c r="O12" s="982" t="n"/>
    </row>
    <row r="13">
      <c r="A13" s="982" t="n"/>
      <c r="B13" s="996" t="inlineStr">
        <is>
          <t>Cost of roles marked Hire ($m)</t>
        </is>
      </c>
      <c r="C13" s="982" t="n"/>
      <c r="D13" s="982" t="n"/>
      <c r="E13" s="997">
        <f>SUMIF($E$20:$E$66,"Hire",$F$20:$F$66)/1000000</f>
        <v/>
      </c>
      <c r="F13" s="982" t="n"/>
      <c r="G13" s="982" t="n"/>
      <c r="H13" s="982" t="n"/>
      <c r="I13" s="982" t="n"/>
      <c r="J13" s="982" t="n"/>
      <c r="K13" s="982" t="n"/>
      <c r="L13" s="982" t="n"/>
      <c r="M13" s="982" t="n"/>
      <c r="N13" s="982" t="n"/>
      <c r="O13" s="982" t="n"/>
    </row>
    <row r="14">
      <c r="A14" s="982" t="n"/>
      <c r="B14" s="998"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8" t="inlineStr">
        <is>
          <t>"-" in the archetype columns means this real squad has no design archetype target; the comparison sits at portfolio level on 3.2.</t>
        </is>
      </c>
      <c r="C15" s="982" t="n"/>
      <c r="D15" s="982" t="n"/>
      <c r="E15" s="982" t="n"/>
      <c r="F15" s="982" t="n"/>
      <c r="G15" s="982" t="n"/>
      <c r="H15" s="982" t="n"/>
      <c r="I15" s="982" t="n"/>
      <c r="J15" s="982" t="n"/>
      <c r="K15" s="982" t="n"/>
      <c r="L15" s="982" t="n"/>
      <c r="M15" s="982" t="n"/>
      <c r="N15" s="982" t="n"/>
      <c r="O15" s="982" t="n"/>
    </row>
    <row r="16">
      <c r="A16" s="982" t="n"/>
      <c r="B16" s="999" t="n"/>
      <c r="C16" s="999" t="n"/>
      <c r="D16" s="999" t="n"/>
      <c r="E16" s="999" t="n"/>
      <c r="F16" s="999" t="n"/>
      <c r="G16" s="984" t="n"/>
      <c r="H16" s="984" t="n"/>
      <c r="I16" s="984" t="n"/>
      <c r="J16" s="984" t="n"/>
      <c r="K16" s="982" t="n"/>
      <c r="L16" s="982" t="n"/>
      <c r="M16" s="982" t="n"/>
      <c r="N16" s="982" t="n"/>
      <c r="O16" s="982" t="n"/>
    </row>
    <row r="17">
      <c r="A17" s="982" t="n"/>
      <c r="B17" s="984" t="n"/>
      <c r="C17" s="984" t="n"/>
      <c r="D17" s="984" t="n"/>
      <c r="E17" s="984" t="n"/>
      <c r="F17" s="984" t="n"/>
      <c r="G17" s="982" t="n"/>
      <c r="H17" s="982" t="n"/>
      <c r="I17" s="982" t="n"/>
      <c r="J17" s="982" t="n"/>
      <c r="K17" s="982" t="n"/>
      <c r="L17" s="982" t="n"/>
      <c r="M17" s="982" t="n"/>
      <c r="N17" s="982" t="n"/>
      <c r="O17" s="982" t="n"/>
    </row>
    <row r="18">
      <c r="A18" s="982" t="n"/>
      <c r="B18" s="1002" t="inlineStr">
        <is>
          <t>Commercial Fuels FTE</t>
        </is>
      </c>
      <c r="C18" s="1001" t="n"/>
      <c r="D18" s="1001" t="n"/>
      <c r="E18" s="1001"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4" t="inlineStr">
        <is>
          <t>Leadership</t>
        </is>
      </c>
      <c r="C20" s="1004" t="inlineStr"/>
      <c r="D20" s="1004" t="inlineStr"/>
      <c r="E20" s="1004" t="inlineStr"/>
      <c r="F20" s="1004" t="inlineStr"/>
      <c r="G20" s="982" t="n"/>
      <c r="H20" s="982" t="n"/>
      <c r="I20" s="982" t="n"/>
      <c r="J20" s="982" t="n"/>
      <c r="K20" s="982" t="n"/>
      <c r="L20" s="982" t="n"/>
      <c r="M20" s="982" t="n"/>
      <c r="N20" s="982" t="n"/>
      <c r="O20" s="982" t="n"/>
    </row>
    <row r="21">
      <c r="A21" s="982" t="n"/>
      <c r="B21" s="986">
        <f>'REVIEW - Complete Role Mapping'!$B$336</f>
        <v/>
      </c>
      <c r="C21" s="986">
        <f>'REVIEW - Complete Role Mapping'!$C$336</f>
        <v/>
      </c>
      <c r="D21" s="1005">
        <f>'REVIEW - Complete Role Mapping'!$AK$336</f>
        <v/>
      </c>
      <c r="E21" s="986" t="inlineStr"/>
      <c r="F21" s="986" t="inlineStr"/>
      <c r="G21" s="982" t="n"/>
      <c r="H21" s="982" t="n"/>
      <c r="I21" s="982" t="n"/>
      <c r="J21" s="982" t="n"/>
      <c r="K21" s="982" t="n"/>
      <c r="L21" s="982" t="n"/>
      <c r="M21" s="982" t="n"/>
      <c r="N21" s="982" t="n"/>
      <c r="O21" s="982" t="n"/>
    </row>
    <row r="22">
      <c r="A22" s="982" t="n"/>
      <c r="B22" s="986">
        <f>'REVIEW - Complete Role Mapping'!$B$392</f>
        <v/>
      </c>
      <c r="C22" s="986">
        <f>'REVIEW - Complete Role Mapping'!$C$392</f>
        <v/>
      </c>
      <c r="D22" s="1005">
        <f>'REVIEW - Complete Role Mapping'!$AK$392</f>
        <v/>
      </c>
      <c r="E22" s="986" t="inlineStr"/>
      <c r="F22" s="986" t="inlineStr"/>
      <c r="G22" s="982" t="n"/>
      <c r="H22" s="982" t="n"/>
      <c r="I22" s="982" t="n"/>
      <c r="J22" s="982" t="n"/>
      <c r="K22" s="982" t="n"/>
      <c r="L22" s="982" t="n"/>
      <c r="M22" s="982" t="n"/>
      <c r="N22" s="982" t="n"/>
      <c r="O22" s="982" t="n"/>
    </row>
    <row r="23">
      <c r="A23" s="982" t="n"/>
      <c r="B23" s="986">
        <f>'REVIEW - Complete Role Mapping'!$B$421</f>
        <v/>
      </c>
      <c r="C23" s="986">
        <f>'REVIEW - Complete Role Mapping'!$C$421</f>
        <v/>
      </c>
      <c r="D23" s="1005">
        <f>'REVIEW - Complete Role Mapping'!$AK$421</f>
        <v/>
      </c>
      <c r="E23" s="1006" t="inlineStr">
        <is>
          <t>Hold</t>
        </is>
      </c>
      <c r="F23" s="1007">
        <f>'REVIEW - Complete Role Mapping'!$AA$421</f>
        <v/>
      </c>
      <c r="G23" s="982" t="n"/>
      <c r="H23" s="982" t="n"/>
      <c r="I23" s="982" t="n"/>
      <c r="J23" s="982" t="n"/>
      <c r="K23" s="982" t="n"/>
      <c r="L23" s="982" t="n"/>
      <c r="M23" s="982" t="n"/>
      <c r="N23" s="982" t="n"/>
      <c r="O23" s="982" t="n"/>
    </row>
    <row r="24">
      <c r="A24" s="982" t="n"/>
      <c r="B24" s="986">
        <f>'REVIEW - Complete Role Mapping'!$B$422</f>
        <v/>
      </c>
      <c r="C24" s="986">
        <f>'REVIEW - Complete Role Mapping'!$C$422</f>
        <v/>
      </c>
      <c r="D24" s="1005">
        <f>'REVIEW - Complete Role Mapping'!$AK$422</f>
        <v/>
      </c>
      <c r="E24" s="1006" t="inlineStr">
        <is>
          <t>Hold</t>
        </is>
      </c>
      <c r="F24" s="1007">
        <f>'REVIEW - Complete Role Mapping'!$AA$422</f>
        <v/>
      </c>
      <c r="G24" s="982" t="n"/>
      <c r="H24" s="982" t="n"/>
      <c r="I24" s="982" t="n"/>
      <c r="J24" s="982" t="n"/>
      <c r="K24" s="982" t="n"/>
      <c r="L24" s="982" t="n"/>
      <c r="M24" s="982" t="n"/>
      <c r="N24" s="982" t="n"/>
      <c r="O24" s="982" t="n"/>
    </row>
    <row r="25">
      <c r="A25" s="982" t="n"/>
      <c r="B25" s="1004" t="inlineStr">
        <is>
          <t>CTRM</t>
        </is>
      </c>
      <c r="C25" s="1004" t="inlineStr"/>
      <c r="D25" s="1004" t="inlineStr"/>
      <c r="E25" s="1004" t="inlineStr"/>
      <c r="F25" s="1004" t="inlineStr"/>
      <c r="G25" s="982" t="n"/>
      <c r="H25" s="982" t="n"/>
      <c r="I25" s="982" t="n"/>
      <c r="J25" s="982" t="n"/>
      <c r="K25" s="982" t="n"/>
      <c r="L25" s="982" t="n"/>
      <c r="M25" s="982" t="n"/>
      <c r="N25" s="982" t="n"/>
      <c r="O25" s="982" t="n"/>
    </row>
    <row r="26">
      <c r="A26" s="982" t="n"/>
      <c r="B26" s="986">
        <f>'REVIEW - Complete Role Mapping'!$B$338</f>
        <v/>
      </c>
      <c r="C26" s="986">
        <f>'REVIEW - Complete Role Mapping'!$C$338</f>
        <v/>
      </c>
      <c r="D26" s="1005">
        <f>'REVIEW - Complete Role Mapping'!$AK$338</f>
        <v/>
      </c>
      <c r="E26" s="986" t="inlineStr"/>
      <c r="F26" s="986" t="inlineStr"/>
      <c r="G26" s="982" t="n"/>
      <c r="H26" s="982" t="n"/>
      <c r="I26" s="982" t="n"/>
      <c r="J26" s="982" t="n"/>
      <c r="K26" s="982" t="n"/>
      <c r="L26" s="982" t="n"/>
      <c r="M26" s="982" t="n"/>
      <c r="N26" s="982" t="n"/>
      <c r="O26" s="982" t="n"/>
    </row>
    <row r="27">
      <c r="A27" s="982" t="n"/>
      <c r="B27" s="986">
        <f>'REVIEW - Complete Role Mapping'!$B$350</f>
        <v/>
      </c>
      <c r="C27" s="986">
        <f>'REVIEW - Complete Role Mapping'!$C$350</f>
        <v/>
      </c>
      <c r="D27" s="1005">
        <f>'REVIEW - Complete Role Mapping'!$AK$350</f>
        <v/>
      </c>
      <c r="E27" s="986" t="inlineStr"/>
      <c r="F27" s="986" t="inlineStr"/>
      <c r="G27" s="982" t="n"/>
      <c r="H27" s="982" t="n"/>
      <c r="I27" s="982" t="n"/>
      <c r="J27" s="982" t="n"/>
      <c r="K27" s="982" t="n"/>
      <c r="L27" s="982" t="n"/>
      <c r="M27" s="982" t="n"/>
      <c r="N27" s="982" t="n"/>
      <c r="O27" s="982" t="n"/>
    </row>
    <row r="28">
      <c r="A28" s="982" t="n"/>
      <c r="B28" s="986">
        <f>'REVIEW - Complete Role Mapping'!$B$353</f>
        <v/>
      </c>
      <c r="C28" s="986">
        <f>'REVIEW - Complete Role Mapping'!$C$353</f>
        <v/>
      </c>
      <c r="D28" s="1005">
        <f>'REVIEW - Complete Role Mapping'!$AK$353</f>
        <v/>
      </c>
      <c r="E28" s="986" t="inlineStr"/>
      <c r="F28" s="986" t="inlineStr"/>
      <c r="G28" s="982" t="n"/>
      <c r="H28" s="982" t="n"/>
      <c r="I28" s="982" t="n"/>
      <c r="J28" s="982" t="n"/>
      <c r="K28" s="982" t="n"/>
      <c r="L28" s="982" t="n"/>
      <c r="M28" s="982" t="n"/>
      <c r="N28" s="982" t="n"/>
      <c r="O28" s="982" t="n"/>
    </row>
    <row r="29">
      <c r="A29" s="982" t="n"/>
      <c r="B29" s="986">
        <f>'REVIEW - Complete Role Mapping'!$B$354</f>
        <v/>
      </c>
      <c r="C29" s="986">
        <f>'REVIEW - Complete Role Mapping'!$C$354</f>
        <v/>
      </c>
      <c r="D29" s="1005">
        <f>'REVIEW - Complete Role Mapping'!$AK$354</f>
        <v/>
      </c>
      <c r="E29" s="986" t="inlineStr"/>
      <c r="F29" s="986" t="inlineStr"/>
      <c r="G29" s="982" t="n"/>
      <c r="H29" s="982" t="n"/>
      <c r="I29" s="982" t="n"/>
      <c r="J29" s="982" t="n"/>
      <c r="K29" s="982" t="n"/>
      <c r="L29" s="982" t="n"/>
      <c r="M29" s="982" t="n"/>
      <c r="N29" s="982" t="n"/>
      <c r="O29" s="982" t="n"/>
    </row>
    <row r="30">
      <c r="A30" s="982" t="n"/>
      <c r="B30" s="986">
        <f>'REVIEW - Complete Role Mapping'!$B$358</f>
        <v/>
      </c>
      <c r="C30" s="986">
        <f>'REVIEW - Complete Role Mapping'!$C$358</f>
        <v/>
      </c>
      <c r="D30" s="1005">
        <f>'REVIEW - Complete Role Mapping'!$AK$358</f>
        <v/>
      </c>
      <c r="E30" s="986" t="inlineStr"/>
      <c r="F30" s="986" t="inlineStr"/>
      <c r="G30" s="982" t="n"/>
      <c r="H30" s="982" t="n"/>
      <c r="I30" s="982" t="n"/>
      <c r="J30" s="982" t="n"/>
      <c r="K30" s="982" t="n"/>
      <c r="L30" s="982" t="n"/>
      <c r="M30" s="982" t="n"/>
      <c r="N30" s="982" t="n"/>
      <c r="O30" s="982" t="n"/>
    </row>
    <row r="31">
      <c r="A31" s="982" t="n"/>
      <c r="B31" s="986">
        <f>'REVIEW - Complete Role Mapping'!$B$363</f>
        <v/>
      </c>
      <c r="C31" s="986">
        <f>'REVIEW - Complete Role Mapping'!$C$363</f>
        <v/>
      </c>
      <c r="D31" s="1005">
        <f>'REVIEW - Complete Role Mapping'!$AK$363</f>
        <v/>
      </c>
      <c r="E31" s="986" t="inlineStr"/>
      <c r="F31" s="986" t="inlineStr"/>
      <c r="G31" s="982" t="n"/>
      <c r="H31" s="982" t="n"/>
      <c r="I31" s="982" t="n"/>
      <c r="J31" s="982" t="n"/>
      <c r="K31" s="982" t="n"/>
      <c r="L31" s="982" t="n"/>
      <c r="M31" s="982" t="n"/>
      <c r="N31" s="982" t="n"/>
      <c r="O31" s="982" t="n"/>
    </row>
    <row r="32">
      <c r="A32" s="982" t="n"/>
      <c r="B32" s="986">
        <f>'REVIEW - Complete Role Mapping'!$B$369</f>
        <v/>
      </c>
      <c r="C32" s="986">
        <f>'REVIEW - Complete Role Mapping'!$C$369</f>
        <v/>
      </c>
      <c r="D32" s="1005">
        <f>'REVIEW - Complete Role Mapping'!$AK$369</f>
        <v/>
      </c>
      <c r="E32" s="986" t="inlineStr"/>
      <c r="F32" s="986" t="inlineStr"/>
      <c r="G32" s="982" t="n"/>
      <c r="H32" s="982" t="n"/>
      <c r="I32" s="982" t="n"/>
      <c r="J32" s="982" t="n"/>
      <c r="K32" s="982" t="n"/>
      <c r="L32" s="982" t="n"/>
      <c r="M32" s="982" t="n"/>
      <c r="N32" s="982" t="n"/>
      <c r="O32" s="982" t="n"/>
    </row>
    <row r="33">
      <c r="A33" s="982" t="n"/>
      <c r="B33" s="986">
        <f>'REVIEW - Complete Role Mapping'!$B$383</f>
        <v/>
      </c>
      <c r="C33" s="986">
        <f>'REVIEW - Complete Role Mapping'!$C$383</f>
        <v/>
      </c>
      <c r="D33" s="1005">
        <f>'REVIEW - Complete Role Mapping'!$AK$383</f>
        <v/>
      </c>
      <c r="E33" s="986" t="inlineStr"/>
      <c r="F33" s="986" t="inlineStr"/>
      <c r="G33" s="982" t="n"/>
      <c r="H33" s="982" t="n"/>
      <c r="I33" s="982" t="n"/>
      <c r="J33" s="982" t="n"/>
      <c r="K33" s="982" t="n"/>
      <c r="L33" s="982" t="n"/>
      <c r="M33" s="982" t="n"/>
      <c r="N33" s="982" t="n"/>
      <c r="O33" s="982" t="n"/>
    </row>
    <row r="34">
      <c r="A34" s="982" t="n"/>
      <c r="B34" s="986">
        <f>'REVIEW - Complete Role Mapping'!$B$393</f>
        <v/>
      </c>
      <c r="C34" s="986">
        <f>'REVIEW - Complete Role Mapping'!$C$393</f>
        <v/>
      </c>
      <c r="D34" s="1005">
        <f>'REVIEW - Complete Role Mapping'!$AK$393</f>
        <v/>
      </c>
      <c r="E34" s="986" t="inlineStr"/>
      <c r="F34" s="986" t="inlineStr"/>
      <c r="G34" s="982" t="n"/>
      <c r="H34" s="982" t="n"/>
      <c r="I34" s="982" t="n"/>
      <c r="J34" s="982" t="n"/>
      <c r="K34" s="982" t="n"/>
      <c r="L34" s="982" t="n"/>
      <c r="M34" s="982" t="n"/>
      <c r="N34" s="982" t="n"/>
      <c r="O34" s="982" t="n"/>
    </row>
    <row r="35">
      <c r="A35" s="982" t="n"/>
      <c r="B35" s="986">
        <f>'REVIEW - Complete Role Mapping'!$B$394</f>
        <v/>
      </c>
      <c r="C35" s="986">
        <f>'REVIEW - Complete Role Mapping'!$C$394</f>
        <v/>
      </c>
      <c r="D35" s="1005">
        <f>'REVIEW - Complete Role Mapping'!$AK$394</f>
        <v/>
      </c>
      <c r="E35" s="986" t="inlineStr"/>
      <c r="F35" s="986" t="inlineStr"/>
      <c r="G35" s="982" t="n"/>
      <c r="H35" s="982" t="n"/>
      <c r="I35" s="982" t="n"/>
      <c r="J35" s="982" t="n"/>
      <c r="K35" s="982" t="n"/>
      <c r="L35" s="982" t="n"/>
      <c r="M35" s="982" t="n"/>
      <c r="N35" s="982" t="n"/>
      <c r="O35" s="982" t="n"/>
    </row>
    <row r="36">
      <c r="A36" s="982" t="n"/>
      <c r="B36" s="986">
        <f>'REVIEW - Complete Role Mapping'!$B$398</f>
        <v/>
      </c>
      <c r="C36" s="986">
        <f>'REVIEW - Complete Role Mapping'!$C$398</f>
        <v/>
      </c>
      <c r="D36" s="1005">
        <f>'REVIEW - Complete Role Mapping'!$AK$398</f>
        <v/>
      </c>
      <c r="E36" s="986" t="inlineStr"/>
      <c r="F36" s="986" t="inlineStr"/>
      <c r="G36" s="982" t="n"/>
      <c r="H36" s="982" t="n"/>
      <c r="I36" s="982" t="n"/>
      <c r="J36" s="982" t="n"/>
      <c r="K36" s="982" t="n"/>
      <c r="L36" s="982" t="n"/>
      <c r="M36" s="982" t="n"/>
      <c r="N36" s="982" t="n"/>
      <c r="O36" s="982" t="n"/>
    </row>
    <row r="37">
      <c r="A37" s="982" t="n"/>
      <c r="B37" s="986">
        <f>'REVIEW - Complete Role Mapping'!$B$402</f>
        <v/>
      </c>
      <c r="C37" s="986">
        <f>'REVIEW - Complete Role Mapping'!$C$402</f>
        <v/>
      </c>
      <c r="D37" s="1005">
        <f>'REVIEW - Complete Role Mapping'!$AK$402</f>
        <v/>
      </c>
      <c r="E37" s="986" t="inlineStr"/>
      <c r="F37" s="986" t="inlineStr"/>
      <c r="G37" s="982" t="n"/>
      <c r="H37" s="982" t="n"/>
      <c r="I37" s="982" t="n"/>
      <c r="J37" s="982" t="n"/>
      <c r="K37" s="982" t="n"/>
      <c r="L37" s="982" t="n"/>
      <c r="M37" s="982" t="n"/>
      <c r="N37" s="982" t="n"/>
      <c r="O37" s="982" t="n"/>
    </row>
    <row r="38">
      <c r="A38" s="982" t="n"/>
      <c r="B38" s="986">
        <f>'REVIEW - Complete Role Mapping'!$B$410</f>
        <v/>
      </c>
      <c r="C38" s="986">
        <f>'REVIEW - Complete Role Mapping'!$C$410</f>
        <v/>
      </c>
      <c r="D38" s="1005">
        <f>'REVIEW - Complete Role Mapping'!$AK$410</f>
        <v/>
      </c>
      <c r="E38" s="986" t="inlineStr"/>
      <c r="F38" s="986" t="inlineStr"/>
      <c r="G38" s="982" t="n"/>
      <c r="H38" s="982" t="n"/>
      <c r="I38" s="982" t="n"/>
      <c r="J38" s="982" t="n"/>
      <c r="K38" s="982" t="n"/>
      <c r="L38" s="982" t="n"/>
      <c r="M38" s="982" t="n"/>
      <c r="N38" s="982" t="n"/>
      <c r="O38" s="982" t="n"/>
    </row>
    <row r="39">
      <c r="A39" s="982" t="n"/>
      <c r="B39" s="986">
        <f>'REVIEW - Complete Role Mapping'!$B$444</f>
        <v/>
      </c>
      <c r="C39" s="986">
        <f>'REVIEW - Complete Role Mapping'!$C$444</f>
        <v/>
      </c>
      <c r="D39" s="1005">
        <f>'REVIEW - Complete Role Mapping'!$AK$444</f>
        <v/>
      </c>
      <c r="E39" s="986" t="inlineStr"/>
      <c r="F39" s="986" t="inlineStr"/>
      <c r="G39" s="982" t="n"/>
      <c r="H39" s="982" t="n"/>
      <c r="I39" s="982" t="n"/>
      <c r="J39" s="982" t="n"/>
      <c r="K39" s="982" t="n"/>
      <c r="L39" s="982" t="n"/>
      <c r="M39" s="982" t="n"/>
      <c r="N39" s="982" t="n"/>
      <c r="O39" s="982" t="n"/>
    </row>
    <row r="40">
      <c r="A40" s="982" t="n"/>
      <c r="B40" s="1004" t="inlineStr">
        <is>
          <t>Supply</t>
        </is>
      </c>
      <c r="C40" s="1004" t="inlineStr"/>
      <c r="D40" s="1004" t="inlineStr"/>
      <c r="E40" s="1004" t="inlineStr"/>
      <c r="F40" s="1004" t="inlineStr"/>
      <c r="G40" s="982" t="n"/>
      <c r="H40" s="982" t="n"/>
      <c r="I40" s="982" t="n"/>
      <c r="J40" s="982" t="n"/>
      <c r="K40" s="982" t="n"/>
      <c r="L40" s="982" t="n"/>
      <c r="M40" s="982" t="n"/>
      <c r="N40" s="982" t="n"/>
      <c r="O40" s="982" t="n"/>
    </row>
    <row r="41">
      <c r="A41" s="982" t="n"/>
      <c r="B41" s="986">
        <f>'REVIEW - Complete Role Mapping'!$B$343</f>
        <v/>
      </c>
      <c r="C41" s="986">
        <f>'REVIEW - Complete Role Mapping'!$C$343</f>
        <v/>
      </c>
      <c r="D41" s="1005">
        <f>'REVIEW - Complete Role Mapping'!$AK$343</f>
        <v/>
      </c>
      <c r="E41" s="986" t="inlineStr"/>
      <c r="F41" s="986" t="inlineStr"/>
      <c r="G41" s="982" t="n"/>
      <c r="H41" s="982" t="n"/>
      <c r="I41" s="982" t="n"/>
      <c r="J41" s="982" t="n"/>
      <c r="K41" s="982" t="n"/>
      <c r="L41" s="982" t="n"/>
      <c r="M41" s="982" t="n"/>
      <c r="N41" s="982" t="n"/>
      <c r="O41" s="982" t="n"/>
    </row>
    <row r="42">
      <c r="A42" s="982" t="n"/>
      <c r="B42" s="986">
        <f>'REVIEW - Complete Role Mapping'!$B$419</f>
        <v/>
      </c>
      <c r="C42" s="986">
        <f>'REVIEW - Complete Role Mapping'!$C$419</f>
        <v/>
      </c>
      <c r="D42" s="1005">
        <f>'REVIEW - Complete Role Mapping'!$AK$419</f>
        <v/>
      </c>
      <c r="E42" s="1006" t="inlineStr">
        <is>
          <t>Hold</t>
        </is>
      </c>
      <c r="F42" s="1007">
        <f>'REVIEW - Complete Role Mapping'!$AA$419</f>
        <v/>
      </c>
      <c r="G42" s="982" t="n"/>
      <c r="H42" s="982" t="n"/>
      <c r="I42" s="982" t="n"/>
      <c r="J42" s="982" t="n"/>
      <c r="K42" s="982" t="n"/>
      <c r="L42" s="982" t="n"/>
      <c r="M42" s="982" t="n"/>
      <c r="N42" s="982" t="n"/>
      <c r="O42" s="982" t="n"/>
    </row>
    <row r="43">
      <c r="A43" s="982" t="n"/>
      <c r="B43" s="986">
        <f>'REVIEW - Complete Role Mapping'!$B$423</f>
        <v/>
      </c>
      <c r="C43" s="986">
        <f>'REVIEW - Complete Role Mapping'!$C$423</f>
        <v/>
      </c>
      <c r="D43" s="1005">
        <f>'REVIEW - Complete Role Mapping'!$AK$423</f>
        <v/>
      </c>
      <c r="E43" s="1006" t="inlineStr">
        <is>
          <t>Hold</t>
        </is>
      </c>
      <c r="F43" s="1007">
        <f>'REVIEW - Complete Role Mapping'!$AA$423</f>
        <v/>
      </c>
      <c r="G43" s="982" t="n"/>
      <c r="H43" s="982" t="n"/>
      <c r="I43" s="982" t="n"/>
      <c r="J43" s="982" t="n"/>
      <c r="K43" s="982" t="n"/>
      <c r="L43" s="982" t="n"/>
      <c r="M43" s="982" t="n"/>
      <c r="N43" s="982" t="n"/>
      <c r="O43" s="982" t="n"/>
    </row>
    <row r="44">
      <c r="A44" s="982" t="n"/>
      <c r="B44" s="986">
        <f>'REVIEW - Complete Role Mapping'!$B$440</f>
        <v/>
      </c>
      <c r="C44" s="986">
        <f>'REVIEW - Complete Role Mapping'!$C$440</f>
        <v/>
      </c>
      <c r="D44" s="1005">
        <f>'REVIEW - Complete Role Mapping'!$AK$440</f>
        <v/>
      </c>
      <c r="E44" s="1006" t="inlineStr">
        <is>
          <t>Hold</t>
        </is>
      </c>
      <c r="F44" s="1007">
        <f>'REVIEW - Complete Role Mapping'!$AA$440</f>
        <v/>
      </c>
      <c r="G44" s="982" t="n"/>
      <c r="H44" s="982" t="n"/>
      <c r="I44" s="982" t="n"/>
      <c r="J44" s="982" t="n"/>
      <c r="K44" s="982" t="n"/>
      <c r="L44" s="982" t="n"/>
      <c r="M44" s="982" t="n"/>
      <c r="N44" s="982" t="n"/>
      <c r="O44" s="982" t="n"/>
    </row>
    <row r="45">
      <c r="A45" s="982" t="n"/>
      <c r="B45" s="986">
        <f>'REVIEW - Complete Role Mapping'!$B$441</f>
        <v/>
      </c>
      <c r="C45" s="986">
        <f>'REVIEW - Complete Role Mapping'!$C$441</f>
        <v/>
      </c>
      <c r="D45" s="1005">
        <f>'REVIEW - Complete Role Mapping'!$AK$441</f>
        <v/>
      </c>
      <c r="E45" s="1006" t="inlineStr">
        <is>
          <t>Hold</t>
        </is>
      </c>
      <c r="F45" s="1007">
        <f>'REVIEW - Complete Role Mapping'!$AA$441</f>
        <v/>
      </c>
      <c r="G45" s="982" t="n"/>
      <c r="H45" s="982" t="n"/>
      <c r="I45" s="982" t="n"/>
      <c r="J45" s="982" t="n"/>
      <c r="K45" s="982" t="n"/>
      <c r="L45" s="982" t="n"/>
      <c r="M45" s="982" t="n"/>
      <c r="N45" s="982" t="n"/>
      <c r="O45" s="982" t="n"/>
    </row>
    <row r="46">
      <c r="A46" s="982" t="n"/>
      <c r="B46" s="1004" t="inlineStr">
        <is>
          <t>Trading &amp; Shipping Data</t>
        </is>
      </c>
      <c r="C46" s="1004" t="inlineStr"/>
      <c r="D46" s="1004" t="inlineStr"/>
      <c r="E46" s="1004" t="inlineStr"/>
      <c r="F46" s="1004" t="inlineStr"/>
      <c r="G46" s="982" t="n"/>
      <c r="H46" s="982" t="n"/>
      <c r="I46" s="982" t="n"/>
      <c r="J46" s="982" t="n"/>
      <c r="K46" s="982" t="n"/>
      <c r="L46" s="982" t="n"/>
      <c r="M46" s="982" t="n"/>
      <c r="N46" s="982" t="n"/>
      <c r="O46" s="982" t="n"/>
    </row>
    <row r="47">
      <c r="A47" s="982" t="n"/>
      <c r="B47" s="986">
        <f>'REVIEW - Complete Role Mapping'!$B$344</f>
        <v/>
      </c>
      <c r="C47" s="986">
        <f>'REVIEW - Complete Role Mapping'!$C$344</f>
        <v/>
      </c>
      <c r="D47" s="1005">
        <f>'REVIEW - Complete Role Mapping'!$AK$344</f>
        <v/>
      </c>
      <c r="E47" s="986" t="inlineStr"/>
      <c r="F47" s="986" t="inlineStr"/>
      <c r="G47" s="982" t="n"/>
      <c r="H47" s="982" t="n"/>
      <c r="I47" s="982" t="n"/>
      <c r="J47" s="982" t="n"/>
      <c r="K47" s="982" t="n"/>
      <c r="L47" s="982" t="n"/>
      <c r="M47" s="982" t="n"/>
      <c r="N47" s="982" t="n"/>
      <c r="O47" s="982" t="n"/>
    </row>
    <row r="48">
      <c r="A48" s="982" t="n"/>
      <c r="B48" s="986">
        <f>'REVIEW - Complete Role Mapping'!$B$346</f>
        <v/>
      </c>
      <c r="C48" s="986">
        <f>'REVIEW - Complete Role Mapping'!$C$346</f>
        <v/>
      </c>
      <c r="D48" s="1005">
        <f>'REVIEW - Complete Role Mapping'!$AK$346</f>
        <v/>
      </c>
      <c r="E48" s="986" t="inlineStr"/>
      <c r="F48" s="986" t="inlineStr"/>
      <c r="G48" s="982" t="n"/>
      <c r="H48" s="982" t="n"/>
      <c r="I48" s="982" t="n"/>
      <c r="J48" s="982" t="n"/>
      <c r="K48" s="982" t="n"/>
      <c r="L48" s="982" t="n"/>
      <c r="M48" s="982" t="n"/>
      <c r="N48" s="982" t="n"/>
      <c r="O48" s="982" t="n"/>
    </row>
    <row r="49">
      <c r="A49" s="982" t="n"/>
      <c r="B49" s="986">
        <f>'REVIEW - Complete Role Mapping'!$B$347</f>
        <v/>
      </c>
      <c r="C49" s="986">
        <f>'REVIEW - Complete Role Mapping'!$C$347</f>
        <v/>
      </c>
      <c r="D49" s="1005">
        <f>'REVIEW - Complete Role Mapping'!$AK$347</f>
        <v/>
      </c>
      <c r="E49" s="986" t="inlineStr"/>
      <c r="F49" s="986" t="inlineStr"/>
      <c r="G49" s="982" t="n"/>
      <c r="H49" s="982" t="n"/>
      <c r="I49" s="982" t="n"/>
      <c r="J49" s="982" t="n"/>
      <c r="K49" s="982" t="n"/>
      <c r="L49" s="982" t="n"/>
      <c r="M49" s="982" t="n"/>
      <c r="N49" s="982" t="n"/>
      <c r="O49" s="982" t="n"/>
    </row>
    <row r="50">
      <c r="A50" s="982" t="n"/>
      <c r="B50" s="986">
        <f>'REVIEW - Complete Role Mapping'!$B$376</f>
        <v/>
      </c>
      <c r="C50" s="986">
        <f>'REVIEW - Complete Role Mapping'!$C$376</f>
        <v/>
      </c>
      <c r="D50" s="1005">
        <f>'REVIEW - Complete Role Mapping'!$AK$376</f>
        <v/>
      </c>
      <c r="E50" s="986" t="inlineStr"/>
      <c r="F50" s="986" t="inlineStr"/>
      <c r="G50" s="982" t="n"/>
      <c r="H50" s="982" t="n"/>
      <c r="I50" s="982" t="n"/>
      <c r="J50" s="982" t="n"/>
      <c r="K50" s="982" t="n"/>
      <c r="L50" s="982" t="n"/>
      <c r="M50" s="982" t="n"/>
      <c r="N50" s="982" t="n"/>
      <c r="O50" s="982" t="n"/>
    </row>
    <row r="51">
      <c r="A51" s="982" t="n"/>
      <c r="B51" s="986">
        <f>'REVIEW - Complete Role Mapping'!$B$381</f>
        <v/>
      </c>
      <c r="C51" s="986">
        <f>'REVIEW - Complete Role Mapping'!$C$381</f>
        <v/>
      </c>
      <c r="D51" s="1005">
        <f>'REVIEW - Complete Role Mapping'!$AK$381</f>
        <v/>
      </c>
      <c r="E51" s="986" t="inlineStr"/>
      <c r="F51" s="986" t="inlineStr"/>
      <c r="G51" s="982" t="n"/>
      <c r="H51" s="982" t="n"/>
      <c r="I51" s="982" t="n"/>
      <c r="J51" s="982" t="n"/>
      <c r="K51" s="982" t="n"/>
      <c r="L51" s="982" t="n"/>
      <c r="M51" s="982" t="n"/>
      <c r="N51" s="982" t="n"/>
      <c r="O51" s="982" t="n"/>
    </row>
    <row r="52">
      <c r="A52" s="982" t="n"/>
      <c r="B52" s="986">
        <f>'REVIEW - Complete Role Mapping'!$B$405</f>
        <v/>
      </c>
      <c r="C52" s="986">
        <f>'REVIEW - Complete Role Mapping'!$C$405</f>
        <v/>
      </c>
      <c r="D52" s="1005">
        <f>'REVIEW - Complete Role Mapping'!$AK$405</f>
        <v/>
      </c>
      <c r="E52" s="986" t="inlineStr"/>
      <c r="F52" s="986" t="inlineStr"/>
      <c r="G52" s="982" t="n"/>
      <c r="H52" s="982" t="n"/>
      <c r="I52" s="982" t="n"/>
      <c r="J52" s="982" t="n"/>
      <c r="K52" s="982" t="n"/>
      <c r="L52" s="982" t="n"/>
      <c r="M52" s="982" t="n"/>
      <c r="N52" s="982" t="n"/>
      <c r="O52" s="982" t="n"/>
    </row>
    <row r="53">
      <c r="A53" s="982" t="n"/>
      <c r="B53" s="986">
        <f>'REVIEW - Complete Role Mapping'!$B$445</f>
        <v/>
      </c>
      <c r="C53" s="986">
        <f>'REVIEW - Complete Role Mapping'!$C$445</f>
        <v/>
      </c>
      <c r="D53" s="1005">
        <f>'REVIEW - Complete Role Mapping'!$AK$445</f>
        <v/>
      </c>
      <c r="E53" s="986" t="inlineStr"/>
      <c r="F53" s="986" t="inlineStr"/>
      <c r="G53" s="982" t="n"/>
      <c r="H53" s="982" t="n"/>
      <c r="I53" s="982" t="n"/>
      <c r="J53" s="982" t="n"/>
      <c r="K53" s="982" t="n"/>
      <c r="L53" s="982" t="n"/>
      <c r="M53" s="982" t="n"/>
      <c r="N53" s="982" t="n"/>
      <c r="O53" s="982" t="n"/>
    </row>
    <row r="54">
      <c r="A54" s="982" t="n"/>
      <c r="B54" s="1004" t="inlineStr">
        <is>
          <t>Trading &amp; Shipping</t>
        </is>
      </c>
      <c r="C54" s="1004" t="inlineStr"/>
      <c r="D54" s="1004" t="inlineStr"/>
      <c r="E54" s="1004" t="inlineStr"/>
      <c r="F54" s="1004" t="inlineStr"/>
      <c r="G54" s="982" t="n"/>
      <c r="H54" s="982" t="n"/>
      <c r="I54" s="982" t="n"/>
      <c r="J54" s="982" t="n"/>
      <c r="K54" s="982" t="n"/>
      <c r="L54" s="982" t="n"/>
      <c r="M54" s="982" t="n"/>
      <c r="N54" s="982" t="n"/>
      <c r="O54" s="982" t="n"/>
    </row>
    <row r="55">
      <c r="A55" s="982" t="n"/>
      <c r="B55" s="986">
        <f>'REVIEW - Complete Role Mapping'!$B$355</f>
        <v/>
      </c>
      <c r="C55" s="986">
        <f>'REVIEW - Complete Role Mapping'!$C$355</f>
        <v/>
      </c>
      <c r="D55" s="1005">
        <f>'REVIEW - Complete Role Mapping'!$AK$355</f>
        <v/>
      </c>
      <c r="E55" s="986" t="inlineStr"/>
      <c r="F55" s="986" t="inlineStr"/>
      <c r="G55" s="982" t="n"/>
      <c r="H55" s="982" t="n"/>
      <c r="I55" s="982" t="n"/>
      <c r="J55" s="982" t="n"/>
      <c r="K55" s="982" t="n"/>
      <c r="L55" s="982" t="n"/>
      <c r="M55" s="982" t="n"/>
      <c r="N55" s="982" t="n"/>
      <c r="O55" s="982" t="n"/>
    </row>
    <row r="56">
      <c r="A56" s="982" t="n"/>
      <c r="B56" s="986">
        <f>'REVIEW - Complete Role Mapping'!$B$368</f>
        <v/>
      </c>
      <c r="C56" s="986">
        <f>'REVIEW - Complete Role Mapping'!$C$368</f>
        <v/>
      </c>
      <c r="D56" s="1005">
        <f>'REVIEW - Complete Role Mapping'!$AK$368</f>
        <v/>
      </c>
      <c r="E56" s="986" t="inlineStr"/>
      <c r="F56" s="986" t="inlineStr"/>
      <c r="G56" s="982" t="n"/>
      <c r="H56" s="982" t="n"/>
      <c r="I56" s="982" t="n"/>
      <c r="J56" s="982" t="n"/>
      <c r="K56" s="982" t="n"/>
      <c r="L56" s="982" t="n"/>
      <c r="M56" s="982" t="n"/>
      <c r="N56" s="982" t="n"/>
      <c r="O56" s="982" t="n"/>
    </row>
    <row r="57">
      <c r="A57" s="982" t="n"/>
      <c r="B57" s="986">
        <f>'REVIEW - Complete Role Mapping'!$B$370</f>
        <v/>
      </c>
      <c r="C57" s="986">
        <f>'REVIEW - Complete Role Mapping'!$C$370</f>
        <v/>
      </c>
      <c r="D57" s="1005">
        <f>'REVIEW - Complete Role Mapping'!$AK$370</f>
        <v/>
      </c>
      <c r="E57" s="986" t="inlineStr"/>
      <c r="F57" s="986" t="inlineStr"/>
      <c r="G57" s="982" t="n"/>
      <c r="H57" s="982" t="n"/>
      <c r="I57" s="982" t="n"/>
      <c r="J57" s="982" t="n"/>
      <c r="K57" s="982" t="n"/>
      <c r="L57" s="982" t="n"/>
      <c r="M57" s="982" t="n"/>
      <c r="N57" s="982" t="n"/>
      <c r="O57" s="982" t="n"/>
    </row>
    <row r="58">
      <c r="A58" s="982" t="n"/>
      <c r="B58" s="986">
        <f>'REVIEW - Complete Role Mapping'!$B$373</f>
        <v/>
      </c>
      <c r="C58" s="986">
        <f>'REVIEW - Complete Role Mapping'!$C$373</f>
        <v/>
      </c>
      <c r="D58" s="1005">
        <f>'REVIEW - Complete Role Mapping'!$AK$373</f>
        <v/>
      </c>
      <c r="E58" s="986" t="inlineStr"/>
      <c r="F58" s="986" t="inlineStr"/>
      <c r="G58" s="982" t="n"/>
      <c r="H58" s="982" t="n"/>
      <c r="I58" s="982" t="n"/>
      <c r="J58" s="982" t="n"/>
      <c r="K58" s="982" t="n"/>
      <c r="L58" s="982" t="n"/>
      <c r="M58" s="982" t="n"/>
      <c r="N58" s="982" t="n"/>
      <c r="O58" s="982" t="n"/>
    </row>
    <row r="59">
      <c r="A59" s="982" t="n"/>
      <c r="B59" s="986">
        <f>'REVIEW - Complete Role Mapping'!$B$378</f>
        <v/>
      </c>
      <c r="C59" s="986">
        <f>'REVIEW - Complete Role Mapping'!$C$378</f>
        <v/>
      </c>
      <c r="D59" s="1005">
        <f>'REVIEW - Complete Role Mapping'!$AK$378</f>
        <v/>
      </c>
      <c r="E59" s="986" t="inlineStr"/>
      <c r="F59" s="986" t="inlineStr"/>
      <c r="G59" s="982" t="n"/>
      <c r="H59" s="982" t="n"/>
      <c r="I59" s="982" t="n"/>
      <c r="J59" s="982" t="n"/>
      <c r="K59" s="982" t="n"/>
      <c r="L59" s="982" t="n"/>
      <c r="M59" s="982" t="n"/>
      <c r="N59" s="982" t="n"/>
      <c r="O59" s="982" t="n"/>
    </row>
    <row r="60">
      <c r="A60" s="982" t="n"/>
      <c r="B60" s="986">
        <f>'REVIEW - Complete Role Mapping'!$B$379</f>
        <v/>
      </c>
      <c r="C60" s="986">
        <f>'REVIEW - Complete Role Mapping'!$C$379</f>
        <v/>
      </c>
      <c r="D60" s="1005">
        <f>'REVIEW - Complete Role Mapping'!$AK$379</f>
        <v/>
      </c>
      <c r="E60" s="986" t="inlineStr"/>
      <c r="F60" s="986" t="inlineStr"/>
      <c r="G60" s="982" t="n"/>
      <c r="H60" s="982" t="n"/>
      <c r="I60" s="982" t="n"/>
      <c r="J60" s="982" t="n"/>
      <c r="K60" s="982" t="n"/>
      <c r="L60" s="982" t="n"/>
      <c r="M60" s="982" t="n"/>
      <c r="N60" s="982" t="n"/>
      <c r="O60" s="982" t="n"/>
    </row>
    <row r="61">
      <c r="A61" s="982" t="n"/>
      <c r="B61" s="986">
        <f>'REVIEW - Complete Role Mapping'!$B$384</f>
        <v/>
      </c>
      <c r="C61" s="986">
        <f>'REVIEW - Complete Role Mapping'!$C$384</f>
        <v/>
      </c>
      <c r="D61" s="1005">
        <f>'REVIEW - Complete Role Mapping'!$AK$384</f>
        <v/>
      </c>
      <c r="E61" s="986" t="inlineStr"/>
      <c r="F61" s="986" t="inlineStr"/>
      <c r="G61" s="982" t="n"/>
      <c r="H61" s="982" t="n"/>
      <c r="I61" s="982" t="n"/>
      <c r="J61" s="982" t="n"/>
      <c r="K61" s="982" t="n"/>
      <c r="L61" s="982" t="n"/>
      <c r="M61" s="982" t="n"/>
      <c r="N61" s="982" t="n"/>
      <c r="O61" s="982" t="n"/>
    </row>
    <row r="62">
      <c r="B62" s="986">
        <f>'REVIEW - Complete Role Mapping'!$B$395</f>
        <v/>
      </c>
      <c r="C62" s="986">
        <f>'REVIEW - Complete Role Mapping'!$C$395</f>
        <v/>
      </c>
      <c r="D62" s="1005">
        <f>'REVIEW - Complete Role Mapping'!$AK$395</f>
        <v/>
      </c>
      <c r="E62" s="986" t="inlineStr"/>
      <c r="F62" s="986" t="inlineStr"/>
    </row>
    <row r="63">
      <c r="B63" s="986">
        <f>'REVIEW - Complete Role Mapping'!$B$408</f>
        <v/>
      </c>
      <c r="C63" s="986">
        <f>'REVIEW - Complete Role Mapping'!$C$408</f>
        <v/>
      </c>
      <c r="D63" s="1005">
        <f>'REVIEW - Complete Role Mapping'!$AK$408</f>
        <v/>
      </c>
      <c r="E63" s="986" t="inlineStr"/>
      <c r="F63" s="986" t="inlineStr"/>
    </row>
    <row r="64">
      <c r="B64" s="986">
        <f>'REVIEW - Complete Role Mapping'!$B$420</f>
        <v/>
      </c>
      <c r="C64" s="986">
        <f>'REVIEW - Complete Role Mapping'!$C$420</f>
        <v/>
      </c>
      <c r="D64" s="1005">
        <f>'REVIEW - Complete Role Mapping'!$AK$420</f>
        <v/>
      </c>
      <c r="E64" s="1006" t="inlineStr">
        <is>
          <t>Hold</t>
        </is>
      </c>
      <c r="F64" s="1007">
        <f>'REVIEW - Complete Role Mapping'!$AA$420</f>
        <v/>
      </c>
    </row>
    <row r="65">
      <c r="B65" s="986">
        <f>'REVIEW - Complete Role Mapping'!$B$424</f>
        <v/>
      </c>
      <c r="C65" s="986">
        <f>'REVIEW - Complete Role Mapping'!$C$424</f>
        <v/>
      </c>
      <c r="D65" s="1005">
        <f>'REVIEW - Complete Role Mapping'!$AK$424</f>
        <v/>
      </c>
      <c r="E65" s="1006" t="inlineStr">
        <is>
          <t>Hold</t>
        </is>
      </c>
      <c r="F65" s="1007">
        <f>'REVIEW - Complete Role Mapping'!$AA$424</f>
        <v/>
      </c>
    </row>
    <row r="66">
      <c r="B66" s="986">
        <f>'REVIEW - Complete Role Mapping'!$B$425</f>
        <v/>
      </c>
      <c r="C66" s="986">
        <f>'REVIEW - Complete Role Mapping'!$C$425</f>
        <v/>
      </c>
      <c r="D66" s="1005">
        <f>'REVIEW - Complete Role Mapping'!$AK$425</f>
        <v/>
      </c>
      <c r="E66" s="1006" t="inlineStr">
        <is>
          <t>Hold</t>
        </is>
      </c>
      <c r="F66" s="1007">
        <f>'REVIEW - Complete Role Mapping'!$AA$425</f>
        <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4 E42 E43 E44 E45 E64 E65 E66" showDropDown="0" showInputMessage="0" showErrorMessage="0" allowBlank="0"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3"/>
  <sheetViews>
    <sheetView showGridLines="0" topLeftCell="A7"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Z Retail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Z Retail Backend</t>
        </is>
      </c>
      <c r="C6" s="987">
        <f>IFERROR(INDEX('3.3 FTE View'!$E:$E,MATCH("Z Retail|Z Retail Backend",'3.3 FTE View'!$AD:$AD,0)),"-")</f>
        <v/>
      </c>
      <c r="D6" s="988">
        <f>IFERROR(INDEX('3.3 FTE View'!$G:$G,MATCH("Z Retail|Z Retail Backend",'3.3 FTE View'!$AD:$AD,0)),"-")</f>
        <v/>
      </c>
      <c r="E6" s="989">
        <f>COUNTIF($D$21:$D$29,"Filled")</f>
        <v/>
      </c>
      <c r="F6" s="989">
        <f>COUNTIF($D$21:$D$29,"Vacant")</f>
        <v/>
      </c>
      <c r="G6" s="989">
        <f>COUNTIF($E$21:$E$29,"Hire")</f>
        <v/>
      </c>
      <c r="H6" s="989">
        <f>F6-G6-COUNTIF($E$21:$E$29,"Offshore")</f>
        <v/>
      </c>
      <c r="I6" s="989">
        <f>IFERROR(E6+G6-D6,"-")</f>
        <v/>
      </c>
      <c r="J6" s="986">
        <f>IF(ISNUMBER(D6),IF(E6&gt;D6,"Filled already over archetype",IF(E6+G6&gt;D6,"Over archetype after hire","")),"Outside the archetype model - no target set")</f>
        <v/>
      </c>
      <c r="K6" s="990">
        <f>IFERROR(INDEX('3.3 FTE View'!$M:$M,MATCH("Z Retail|Z Retail Backend",'3.3 FTE View'!$AD:$AD,0)),"-")</f>
        <v/>
      </c>
      <c r="L6" s="991">
        <f>(SUMIFS('REVIEW - Complete Role Mapping'!$AA:$AA,'REVIEW - Complete Role Mapping'!$AJ:$AJ,"Z Retail",'REVIEW - Complete Role Mapping'!$AO:$AO,"Z Retail Backend",'REVIEW - Complete Role Mapping'!$AK:$AK,"Filled"))/1000000</f>
        <v/>
      </c>
      <c r="M6" s="991">
        <f>L6+(SUMIFS($F$21:$F$29,$E$21:$E$29,"Hire")+0.4*SUMIFS($F$21:$F$29,$E$21:$E$29,"Offshore"))/1000000</f>
        <v/>
      </c>
      <c r="N6" s="991">
        <f>IFERROR(M6-K6,"-")</f>
        <v/>
      </c>
      <c r="O6" s="987">
        <f>IFERROR(INDEX('3.3 FTE View'!$F:$F,MATCH("Z Retail|Z Retail Backend",'3.3 FTE View'!$AD:$AD,0)),"-")</f>
        <v/>
      </c>
    </row>
    <row r="7">
      <c r="A7" s="982" t="n"/>
      <c r="B7" s="992" t="inlineStr">
        <is>
          <t>Site Systems</t>
        </is>
      </c>
      <c r="C7" s="987">
        <f>IFERROR(INDEX('3.3 FTE View'!$E:$E,MATCH("Z Retail|Site Systems",'3.3 FTE View'!$AD:$AD,0)),"-")</f>
        <v/>
      </c>
      <c r="D7" s="988">
        <f>IFERROR(INDEX('3.3 FTE View'!$G:$G,MATCH("Z Retail|Site Systems",'3.3 FTE View'!$AD:$AD,0)),"-")</f>
        <v/>
      </c>
      <c r="E7" s="989">
        <f>COUNTIF($D$31:$D$39,"Filled")</f>
        <v/>
      </c>
      <c r="F7" s="989">
        <f>COUNTIF($D$31:$D$39,"Vacant")</f>
        <v/>
      </c>
      <c r="G7" s="989">
        <f>COUNTIF($E$31:$E$39,"Hire")</f>
        <v/>
      </c>
      <c r="H7" s="989">
        <f>F7-G7-COUNTIF($E$31:$E$39,"Offshore")</f>
        <v/>
      </c>
      <c r="I7" s="989">
        <f>IFERROR(E7+G7-D7,"-")</f>
        <v/>
      </c>
      <c r="J7" s="986">
        <f>IF(ISNUMBER(D7),IF(E7&gt;D7,"Filled already over archetype",IF(E7+G7&gt;D7,"Over archetype after hire","")),"Outside the archetype model - no target set")</f>
        <v/>
      </c>
      <c r="K7" s="990">
        <f>IFERROR(INDEX('3.3 FTE View'!$M:$M,MATCH("Z Retail|Site Systems",'3.3 FTE View'!$AD:$AD,0)),"-")</f>
        <v/>
      </c>
      <c r="L7" s="991">
        <f>(SUMIFS('REVIEW - Complete Role Mapping'!$AA:$AA,'REVIEW - Complete Role Mapping'!$AJ:$AJ,"Z Retail",'REVIEW - Complete Role Mapping'!$AO:$AO,"Site Systems",'REVIEW - Complete Role Mapping'!$AK:$AK,"Filled"))/1000000</f>
        <v/>
      </c>
      <c r="M7" s="991">
        <f>L7+(SUMIFS($F$31:$F$39,$E$31:$E$39,"Hire")+0.4*SUMIFS($F$31:$F$39,$E$31:$E$39,"Offshore"))/1000000</f>
        <v/>
      </c>
      <c r="N7" s="991">
        <f>IFERROR(M7-K7,"-")</f>
        <v/>
      </c>
      <c r="O7" s="987">
        <f>IFERROR(INDEX('3.3 FTE View'!$F:$F,MATCH("Z Retail|Site Systems",'3.3 FTE View'!$AD:$AD,0)),"-")</f>
        <v/>
      </c>
    </row>
    <row r="8">
      <c r="A8" s="982" t="n"/>
      <c r="B8" s="986" t="inlineStr">
        <is>
          <t>Z Supply</t>
        </is>
      </c>
      <c r="C8" s="987">
        <f>IFERROR(INDEX('3.3 FTE View'!$E:$E,MATCH("Z Retail|Z Supply",'3.3 FTE View'!$AD:$AD,0)),"-")</f>
        <v/>
      </c>
      <c r="D8" s="988">
        <f>IFERROR(INDEX('3.3 FTE View'!$G:$G,MATCH("Z Retail|Z Supply",'3.3 FTE View'!$AD:$AD,0)),"-")</f>
        <v/>
      </c>
      <c r="E8" s="989">
        <f>COUNTIF($D$41:$D$49,"Filled")</f>
        <v/>
      </c>
      <c r="F8" s="989">
        <f>COUNTIF($D$41:$D$49,"Vacant")</f>
        <v/>
      </c>
      <c r="G8" s="989">
        <f>COUNTIF($E$41:$E$49,"Hire")</f>
        <v/>
      </c>
      <c r="H8" s="989">
        <f>F8-G8-COUNTIF($E$41:$E$49,"Offshore")</f>
        <v/>
      </c>
      <c r="I8" s="989">
        <f>IFERROR(E8+G8-D8,"-")</f>
        <v/>
      </c>
      <c r="J8" s="986">
        <f>IF(ISNUMBER(D8),IF(E8&gt;D8,"Filled already over archetype",IF(E8+G8&gt;D8,"Over archetype after hire","")),"Outside the archetype model - no target set")</f>
        <v/>
      </c>
      <c r="K8" s="990">
        <f>IFERROR(INDEX('3.3 FTE View'!$M:$M,MATCH("Z Retail|Z Supply",'3.3 FTE View'!$AD:$AD,0)),"-")</f>
        <v/>
      </c>
      <c r="L8" s="991">
        <f>(SUMIFS('REVIEW - Complete Role Mapping'!$AA:$AA,'REVIEW - Complete Role Mapping'!$AJ:$AJ,"Z Retail",'REVIEW - Complete Role Mapping'!$AO:$AO,"Z Supply",'REVIEW - Complete Role Mapping'!$AK:$AK,"Filled"))/1000000</f>
        <v/>
      </c>
      <c r="M8" s="991">
        <f>L8+(SUMIFS($F$41:$F$49,$E$41:$E$49,"Hire")+0.4*SUMIFS($F$41:$F$49,$E$41:$E$49,"Offshore"))/1000000</f>
        <v/>
      </c>
      <c r="N8" s="991">
        <f>IFERROR(M8-K8,"-")</f>
        <v/>
      </c>
      <c r="O8" s="987">
        <f>IFERROR(INDEX('3.3 FTE View'!$F:$F,MATCH("Z Retail|Z Supply",'3.3 FTE View'!$AD:$AD,0)),"-")</f>
        <v/>
      </c>
    </row>
    <row r="9">
      <c r="A9" s="982" t="n"/>
      <c r="B9" s="992" t="inlineStr">
        <is>
          <t>Data NZ</t>
        </is>
      </c>
      <c r="C9" s="987">
        <f>IFERROR(INDEX('3.3 FTE View'!$E:$E,MATCH("Z Retail|Data NZ",'3.3 FTE View'!$AD:$AD,0)),"-")</f>
        <v/>
      </c>
      <c r="D9" s="988">
        <f>IFERROR(INDEX('3.3 FTE View'!$G:$G,MATCH("Z Retail|Data NZ",'3.3 FTE View'!$AD:$AD,0)),"-")</f>
        <v/>
      </c>
      <c r="E9" s="989">
        <f>COUNTIF($D$51:$D$57,"Filled")</f>
        <v/>
      </c>
      <c r="F9" s="989">
        <f>COUNTIF($D$51:$D$57,"Vacant")</f>
        <v/>
      </c>
      <c r="G9" s="989">
        <f>COUNTIF($E$51:$E$57,"Hire")</f>
        <v/>
      </c>
      <c r="H9" s="989">
        <f>F9-G9-COUNTIF($E$51:$E$57,"Offshore")</f>
        <v/>
      </c>
      <c r="I9" s="989">
        <f>IFERROR(E9+G9-D9,"-")</f>
        <v/>
      </c>
      <c r="J9" s="986">
        <f>IF(ISNUMBER(D9),IF(E9&gt;D9,"Filled already over archetype",IF(E9+G9&gt;D9,"Over archetype after hire","")),"Outside the archetype model - no target set")</f>
        <v/>
      </c>
      <c r="K9" s="990">
        <f>IFERROR(INDEX('3.3 FTE View'!$M:$M,MATCH("Z Retail|Data NZ",'3.3 FTE View'!$AD:$AD,0)),"-")</f>
        <v/>
      </c>
      <c r="L9" s="991">
        <f>(SUMIFS('REVIEW - Complete Role Mapping'!$AA:$AA,'REVIEW - Complete Role Mapping'!$AJ:$AJ,"Z Retail",'REVIEW - Complete Role Mapping'!$AO:$AO,"Data NZ",'REVIEW - Complete Role Mapping'!$AK:$AK,"Filled"))/1000000</f>
        <v/>
      </c>
      <c r="M9" s="991">
        <f>L9+(SUMIFS($F$51:$F$57,$E$51:$E$57,"Hire")+0.4*SUMIFS($F$51:$F$57,$E$51:$E$57,"Offshore"))/1000000</f>
        <v/>
      </c>
      <c r="N9" s="991">
        <f>IFERROR(M9-K9,"-")</f>
        <v/>
      </c>
      <c r="O9" s="987">
        <f>IFERROR(INDEX('3.3 FTE View'!$F:$F,MATCH("Z Retail|Data NZ",'3.3 FTE View'!$AD:$AD,0)),"-")</f>
        <v/>
      </c>
    </row>
    <row r="10">
      <c r="A10" s="982" t="n"/>
      <c r="B10" s="986" t="inlineStr">
        <is>
          <t>Leadership</t>
        </is>
      </c>
      <c r="C10" s="987">
        <f>IFERROR(INDEX('3.3 FTE View'!$E:$E,MATCH("Z Retail|Leadership",'3.3 FTE View'!$AD:$AD,0)),"-")</f>
        <v/>
      </c>
      <c r="D10" s="988">
        <f>IFERROR(INDEX('3.3 FTE View'!$G:$G,MATCH("Z Retail|Leadership",'3.3 FTE View'!$AD:$AD,0)),"-")</f>
        <v/>
      </c>
      <c r="E10" s="989">
        <f>COUNTIF($D$59:$D$63,"Filled")</f>
        <v/>
      </c>
      <c r="F10" s="989">
        <f>COUNTIF($D$59:$D$63,"Vacant")</f>
        <v/>
      </c>
      <c r="G10" s="989">
        <f>COUNTIF($E$59:$E$63,"Hire")</f>
        <v/>
      </c>
      <c r="H10" s="989">
        <f>F10-G10-COUNTIF($E$59:$E$63,"Offshore")</f>
        <v/>
      </c>
      <c r="I10" s="989">
        <f>IFERROR(E10+G10-D10,"-")</f>
        <v/>
      </c>
      <c r="J10" s="986">
        <f>IF(ISNUMBER(D10),IF(E10&gt;D10,"Filled already over archetype",IF(E10+G10&gt;D10,"Over archetype after hire","")),"Outside the archetype model - no target set")</f>
        <v/>
      </c>
      <c r="K10" s="990">
        <f>IFERROR(INDEX('3.3 FTE View'!$M:$M,MATCH("Z Retail|Leadership",'3.3 FTE View'!$AD:$AD,0)),"-")</f>
        <v/>
      </c>
      <c r="L10" s="991">
        <f>(SUMIFS('REVIEW - Complete Role Mapping'!$AA:$AA,'REVIEW - Complete Role Mapping'!$AJ:$AJ,"Z Retail",'REVIEW - Complete Role Mapping'!$AO:$AO,"Leadership",'REVIEW - Complete Role Mapping'!$AK:$AK,"Filled"))/1000000</f>
        <v/>
      </c>
      <c r="M10" s="991">
        <f>L10+(SUMIFS($F$59:$F$63,$E$59:$E$63,"Hire")+0.4*SUMIFS($F$59:$F$63,$E$59:$E$63,"Offshore"))/1000000</f>
        <v/>
      </c>
      <c r="N10" s="991">
        <f>IFERROR(M10-K10,"-")</f>
        <v/>
      </c>
      <c r="O10" s="987">
        <f>IFERROR(INDEX('3.3 FTE View'!$F:$F,MATCH("Z Retail|Leadership",'3.3 FTE View'!$AD:$AD,0)),"-")</f>
        <v/>
      </c>
    </row>
    <row r="11">
      <c r="A11" s="982" t="n"/>
      <c r="B11" s="993" t="inlineStr">
        <is>
          <t>Total</t>
        </is>
      </c>
      <c r="C11" s="993" t="inlineStr"/>
      <c r="D11" s="994">
        <f>SUM(D6:D10)</f>
        <v/>
      </c>
      <c r="E11" s="994">
        <f>SUM(E6:E10)</f>
        <v/>
      </c>
      <c r="F11" s="994">
        <f>SUM(F6:F10)</f>
        <v/>
      </c>
      <c r="G11" s="994">
        <f>SUM(G6:G10)</f>
        <v/>
      </c>
      <c r="H11" s="994">
        <f>SUM(H6:H10)</f>
        <v/>
      </c>
      <c r="I11" s="994">
        <f>SUM(I6:I10)</f>
        <v/>
      </c>
      <c r="J11" s="993" t="inlineStr"/>
      <c r="K11" s="995">
        <f>SUM(K6:K10)</f>
        <v/>
      </c>
      <c r="L11" s="995">
        <f>SUM(L6:L10)</f>
        <v/>
      </c>
      <c r="M11" s="995">
        <f>SUM(M6:M10)</f>
        <v/>
      </c>
      <c r="N11" s="995">
        <f>SUM(N6:N10)</f>
        <v/>
      </c>
      <c r="O11" s="993" t="inlineStr"/>
    </row>
    <row r="12">
      <c r="A12" s="982" t="n"/>
      <c r="B12" s="996" t="inlineStr">
        <is>
          <t>Cost to hire all vacancies ($m)</t>
        </is>
      </c>
      <c r="C12" s="982" t="n"/>
      <c r="D12" s="982" t="n"/>
      <c r="E12" s="997">
        <f>SUMIFS($F$20:$F$63,$D$20:$D$63,"Vacant")/1000000</f>
        <v/>
      </c>
      <c r="F12" s="982" t="n"/>
      <c r="G12" s="982" t="n"/>
      <c r="H12" s="982" t="n"/>
      <c r="I12" s="982" t="n"/>
      <c r="J12" s="982" t="n"/>
      <c r="K12" s="982" t="n"/>
      <c r="L12" s="982" t="n"/>
      <c r="M12" s="982" t="n"/>
      <c r="N12" s="982" t="n"/>
      <c r="O12" s="982" t="n"/>
    </row>
    <row r="13">
      <c r="A13" s="982" t="n"/>
      <c r="B13" s="996" t="inlineStr">
        <is>
          <t>Cost of roles marked Hire ($m)</t>
        </is>
      </c>
      <c r="C13" s="982" t="n"/>
      <c r="D13" s="982" t="n"/>
      <c r="E13" s="997">
        <f>SUMIF($E$20:$E$63,"Hire",$F$20:$F$63)/1000000</f>
        <v/>
      </c>
      <c r="F13" s="982" t="n"/>
      <c r="G13" s="982" t="n"/>
      <c r="H13" s="982" t="n"/>
      <c r="I13" s="982" t="n"/>
      <c r="J13" s="982" t="n"/>
      <c r="K13" s="982" t="n"/>
      <c r="L13" s="982" t="n"/>
      <c r="M13" s="982" t="n"/>
      <c r="N13" s="982" t="n"/>
      <c r="O13" s="982" t="n"/>
    </row>
    <row r="14">
      <c r="A14" s="982" t="n"/>
      <c r="B14" s="998"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8" t="inlineStr">
        <is>
          <t>"-" in the archetype columns means this real squad has no design archetype target; the comparison sits at portfolio level on 3.2.</t>
        </is>
      </c>
      <c r="C15" s="999" t="n"/>
      <c r="D15" s="999" t="n"/>
      <c r="E15" s="999" t="n"/>
      <c r="F15" s="999"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1" t="n"/>
      <c r="C17" s="1001" t="n"/>
      <c r="D17" s="1001" t="n"/>
      <c r="E17" s="1001" t="n"/>
      <c r="F17" s="982" t="n"/>
      <c r="G17" s="982" t="n"/>
      <c r="H17" s="982" t="n"/>
      <c r="I17" s="982" t="n"/>
      <c r="J17" s="982" t="n"/>
      <c r="K17" s="982" t="n"/>
      <c r="L17" s="982" t="n"/>
      <c r="M17" s="982" t="n"/>
      <c r="N17" s="982" t="n"/>
      <c r="O17" s="982" t="n"/>
    </row>
    <row r="18">
      <c r="A18" s="982" t="n"/>
      <c r="B18" s="1002" t="inlineStr">
        <is>
          <t>Z Retail FTE</t>
        </is>
      </c>
      <c r="C18" s="1003" t="n"/>
      <c r="D18" s="1003" t="n"/>
      <c r="E18" s="982"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4" t="inlineStr">
        <is>
          <t>Z Retail Backend</t>
        </is>
      </c>
      <c r="C20" s="1004" t="inlineStr"/>
      <c r="D20" s="1004" t="inlineStr"/>
      <c r="E20" s="1004" t="inlineStr"/>
      <c r="F20" s="1004" t="inlineStr"/>
      <c r="G20" s="982" t="n"/>
      <c r="H20" s="982" t="n"/>
      <c r="I20" s="982" t="n"/>
      <c r="J20" s="982" t="n"/>
      <c r="K20" s="982" t="n"/>
      <c r="L20" s="982" t="n"/>
      <c r="M20" s="982" t="n"/>
      <c r="N20" s="982" t="n"/>
      <c r="O20" s="982" t="n"/>
    </row>
    <row r="21">
      <c r="A21" s="982" t="n"/>
      <c r="B21" s="986">
        <f>'REVIEW - Complete Role Mapping'!$B$2</f>
        <v/>
      </c>
      <c r="C21" s="986">
        <f>'REVIEW - Complete Role Mapping'!$C$2</f>
        <v/>
      </c>
      <c r="D21" s="1005">
        <f>'REVIEW - Complete Role Mapping'!$AK$2</f>
        <v/>
      </c>
      <c r="E21" s="986" t="inlineStr"/>
      <c r="F21" s="986" t="inlineStr"/>
      <c r="G21" s="982" t="n"/>
      <c r="H21" s="982" t="n"/>
      <c r="I21" s="982" t="n"/>
      <c r="J21" s="982" t="n"/>
      <c r="K21" s="982" t="n"/>
      <c r="L21" s="982" t="n"/>
      <c r="M21" s="982" t="n"/>
      <c r="N21" s="982" t="n"/>
      <c r="O21" s="982" t="n"/>
    </row>
    <row r="22">
      <c r="A22" s="982" t="n"/>
      <c r="B22" s="986">
        <f>'REVIEW - Complete Role Mapping'!$B$6</f>
        <v/>
      </c>
      <c r="C22" s="986">
        <f>'REVIEW - Complete Role Mapping'!$C$6</f>
        <v/>
      </c>
      <c r="D22" s="1005">
        <f>'REVIEW - Complete Role Mapping'!$AK$6</f>
        <v/>
      </c>
      <c r="E22" s="986" t="inlineStr"/>
      <c r="F22" s="986" t="inlineStr"/>
      <c r="G22" s="982" t="n"/>
      <c r="H22" s="982" t="n"/>
      <c r="I22" s="982" t="n"/>
      <c r="J22" s="982" t="n"/>
      <c r="K22" s="982" t="n"/>
      <c r="L22" s="982" t="n"/>
      <c r="M22" s="982" t="n"/>
      <c r="N22" s="982" t="n"/>
      <c r="O22" s="982" t="n"/>
    </row>
    <row r="23">
      <c r="A23" s="982" t="n"/>
      <c r="B23" s="986">
        <f>'REVIEW - Complete Role Mapping'!$B$21</f>
        <v/>
      </c>
      <c r="C23" s="986">
        <f>'REVIEW - Complete Role Mapping'!$C$21</f>
        <v/>
      </c>
      <c r="D23" s="1005">
        <f>'REVIEW - Complete Role Mapping'!$AK$21</f>
        <v/>
      </c>
      <c r="E23" s="986" t="inlineStr"/>
      <c r="F23" s="986" t="inlineStr"/>
      <c r="G23" s="982" t="n"/>
      <c r="H23" s="982" t="n"/>
      <c r="I23" s="982" t="n"/>
      <c r="J23" s="982" t="n"/>
      <c r="K23" s="982" t="n"/>
      <c r="L23" s="982" t="n"/>
      <c r="M23" s="982" t="n"/>
      <c r="N23" s="982" t="n"/>
      <c r="O23" s="982" t="n"/>
    </row>
    <row r="24">
      <c r="A24" s="982" t="n"/>
      <c r="B24" s="986">
        <f>'REVIEW - Complete Role Mapping'!$B$41</f>
        <v/>
      </c>
      <c r="C24" s="986">
        <f>'REVIEW - Complete Role Mapping'!$C$41</f>
        <v/>
      </c>
      <c r="D24" s="1005">
        <f>'REVIEW - Complete Role Mapping'!$AK$41</f>
        <v/>
      </c>
      <c r="E24" s="986" t="inlineStr"/>
      <c r="F24" s="986" t="inlineStr"/>
      <c r="G24" s="982" t="n"/>
      <c r="H24" s="982" t="n"/>
      <c r="I24" s="982" t="n"/>
      <c r="J24" s="982" t="n"/>
      <c r="K24" s="982" t="n"/>
      <c r="L24" s="982" t="n"/>
      <c r="M24" s="982" t="n"/>
      <c r="N24" s="982" t="n"/>
      <c r="O24" s="982" t="n"/>
    </row>
    <row r="25">
      <c r="A25" s="982" t="n"/>
      <c r="B25" s="986">
        <f>'REVIEW - Complete Role Mapping'!$B$44</f>
        <v/>
      </c>
      <c r="C25" s="986">
        <f>'REVIEW - Complete Role Mapping'!$C$44</f>
        <v/>
      </c>
      <c r="D25" s="1005">
        <f>'REVIEW - Complete Role Mapping'!$AK$44</f>
        <v/>
      </c>
      <c r="E25" s="986" t="inlineStr"/>
      <c r="F25" s="986" t="inlineStr"/>
      <c r="G25" s="982" t="n"/>
      <c r="H25" s="982" t="n"/>
      <c r="I25" s="982" t="n"/>
      <c r="J25" s="982" t="n"/>
      <c r="K25" s="982" t="n"/>
      <c r="L25" s="982" t="n"/>
      <c r="M25" s="982" t="n"/>
      <c r="N25" s="982" t="n"/>
      <c r="O25" s="982" t="n"/>
    </row>
    <row r="26">
      <c r="A26" s="982" t="n"/>
      <c r="B26" s="986">
        <f>'REVIEW - Complete Role Mapping'!$B$46</f>
        <v/>
      </c>
      <c r="C26" s="986">
        <f>'REVIEW - Complete Role Mapping'!$C$46</f>
        <v/>
      </c>
      <c r="D26" s="1005">
        <f>'REVIEW - Complete Role Mapping'!$AK$46</f>
        <v/>
      </c>
      <c r="E26" s="986" t="inlineStr"/>
      <c r="F26" s="986" t="inlineStr"/>
      <c r="G26" s="982" t="n"/>
      <c r="H26" s="982" t="n"/>
      <c r="I26" s="982" t="n"/>
      <c r="J26" s="982" t="n"/>
      <c r="K26" s="982" t="n"/>
      <c r="L26" s="982" t="n"/>
      <c r="M26" s="982" t="n"/>
      <c r="N26" s="982" t="n"/>
      <c r="O26" s="982" t="n"/>
    </row>
    <row r="27">
      <c r="A27" s="982" t="n"/>
      <c r="B27" s="986">
        <f>'REVIEW - Complete Role Mapping'!$B$65</f>
        <v/>
      </c>
      <c r="C27" s="986">
        <f>'REVIEW - Complete Role Mapping'!$C$65</f>
        <v/>
      </c>
      <c r="D27" s="1005">
        <f>'REVIEW - Complete Role Mapping'!$AK$65</f>
        <v/>
      </c>
      <c r="E27" s="986" t="inlineStr"/>
      <c r="F27" s="986" t="inlineStr"/>
      <c r="G27" s="982" t="n"/>
      <c r="H27" s="982" t="n"/>
      <c r="I27" s="982" t="n"/>
      <c r="J27" s="982" t="n"/>
      <c r="K27" s="982" t="n"/>
      <c r="L27" s="982" t="n"/>
      <c r="M27" s="982" t="n"/>
      <c r="N27" s="982" t="n"/>
      <c r="O27" s="982" t="n"/>
    </row>
    <row r="28">
      <c r="A28" s="982" t="n"/>
      <c r="B28" s="986">
        <f>'REVIEW - Complete Role Mapping'!$B$80</f>
        <v/>
      </c>
      <c r="C28" s="986">
        <f>'REVIEW - Complete Role Mapping'!$C$80</f>
        <v/>
      </c>
      <c r="D28" s="1005">
        <f>'REVIEW - Complete Role Mapping'!$AK$80</f>
        <v/>
      </c>
      <c r="E28" s="1006" t="inlineStr">
        <is>
          <t>Hold</t>
        </is>
      </c>
      <c r="F28" s="1007">
        <f>'REVIEW - Complete Role Mapping'!$AA$80</f>
        <v/>
      </c>
      <c r="G28" s="982" t="n"/>
      <c r="H28" s="982" t="n"/>
      <c r="I28" s="982" t="n"/>
      <c r="J28" s="982" t="n"/>
      <c r="K28" s="982" t="n"/>
      <c r="L28" s="982" t="n"/>
      <c r="M28" s="982" t="n"/>
      <c r="N28" s="982" t="n"/>
      <c r="O28" s="982" t="n"/>
    </row>
    <row r="29">
      <c r="A29" s="982" t="n"/>
      <c r="B29" s="986">
        <f>'REVIEW - Complete Role Mapping'!$B$84</f>
        <v/>
      </c>
      <c r="C29" s="986">
        <f>'REVIEW - Complete Role Mapping'!$C$84</f>
        <v/>
      </c>
      <c r="D29" s="1005">
        <f>'REVIEW - Complete Role Mapping'!$AK$84</f>
        <v/>
      </c>
      <c r="E29" s="1006" t="inlineStr">
        <is>
          <t>Hold</t>
        </is>
      </c>
      <c r="F29" s="1007">
        <f>'REVIEW - Complete Role Mapping'!$AA$84</f>
        <v/>
      </c>
      <c r="G29" s="982" t="n"/>
      <c r="H29" s="982" t="n"/>
      <c r="I29" s="982" t="n"/>
      <c r="J29" s="982" t="n"/>
      <c r="K29" s="982" t="n"/>
      <c r="L29" s="982" t="n"/>
      <c r="M29" s="982" t="n"/>
      <c r="N29" s="982" t="n"/>
      <c r="O29" s="982" t="n"/>
    </row>
    <row r="30">
      <c r="A30" s="982" t="n"/>
      <c r="B30" s="1004" t="inlineStr">
        <is>
          <t>Site Systems</t>
        </is>
      </c>
      <c r="C30" s="1004" t="inlineStr"/>
      <c r="D30" s="1004" t="inlineStr"/>
      <c r="E30" s="1004" t="inlineStr"/>
      <c r="F30" s="1004" t="inlineStr"/>
      <c r="G30" s="982" t="n"/>
      <c r="H30" s="982" t="n"/>
      <c r="I30" s="982" t="n"/>
      <c r="J30" s="982" t="n"/>
      <c r="K30" s="982" t="n"/>
      <c r="L30" s="982" t="n"/>
      <c r="M30" s="982" t="n"/>
      <c r="N30" s="982" t="n"/>
      <c r="O30" s="982" t="n"/>
    </row>
    <row r="31">
      <c r="A31" s="982" t="n"/>
      <c r="B31" s="986">
        <f>'REVIEW - Complete Role Mapping'!$B$5</f>
        <v/>
      </c>
      <c r="C31" s="986">
        <f>'REVIEW - Complete Role Mapping'!$C$5</f>
        <v/>
      </c>
      <c r="D31" s="1005">
        <f>'REVIEW - Complete Role Mapping'!$AK$5</f>
        <v/>
      </c>
      <c r="E31" s="986" t="inlineStr"/>
      <c r="F31" s="986" t="inlineStr"/>
      <c r="G31" s="982" t="n"/>
      <c r="H31" s="982" t="n"/>
      <c r="I31" s="982" t="n"/>
      <c r="J31" s="982" t="n"/>
      <c r="K31" s="982" t="n"/>
      <c r="L31" s="982" t="n"/>
      <c r="M31" s="982" t="n"/>
      <c r="N31" s="982" t="n"/>
      <c r="O31" s="982" t="n"/>
    </row>
    <row r="32">
      <c r="A32" s="982" t="n"/>
      <c r="B32" s="986">
        <f>'REVIEW - Complete Role Mapping'!$B$16</f>
        <v/>
      </c>
      <c r="C32" s="986">
        <f>'REVIEW - Complete Role Mapping'!$C$16</f>
        <v/>
      </c>
      <c r="D32" s="1005">
        <f>'REVIEW - Complete Role Mapping'!$AK$16</f>
        <v/>
      </c>
      <c r="E32" s="986" t="inlineStr"/>
      <c r="F32" s="986" t="inlineStr"/>
      <c r="G32" s="982" t="n"/>
      <c r="H32" s="982" t="n"/>
      <c r="I32" s="982" t="n"/>
      <c r="J32" s="982" t="n"/>
      <c r="K32" s="982" t="n"/>
      <c r="L32" s="982" t="n"/>
      <c r="M32" s="982" t="n"/>
      <c r="N32" s="982" t="n"/>
      <c r="O32" s="982" t="n"/>
    </row>
    <row r="33">
      <c r="A33" s="982" t="n"/>
      <c r="B33" s="986">
        <f>'REVIEW - Complete Role Mapping'!$B$19</f>
        <v/>
      </c>
      <c r="C33" s="986">
        <f>'REVIEW - Complete Role Mapping'!$C$19</f>
        <v/>
      </c>
      <c r="D33" s="1005">
        <f>'REVIEW - Complete Role Mapping'!$AK$19</f>
        <v/>
      </c>
      <c r="E33" s="986" t="inlineStr"/>
      <c r="F33" s="986" t="inlineStr"/>
      <c r="G33" s="982" t="n"/>
      <c r="H33" s="982" t="n"/>
      <c r="I33" s="982" t="n"/>
      <c r="J33" s="982" t="n"/>
      <c r="K33" s="982" t="n"/>
      <c r="L33" s="982" t="n"/>
      <c r="M33" s="982" t="n"/>
      <c r="N33" s="982" t="n"/>
      <c r="O33" s="982" t="n"/>
    </row>
    <row r="34">
      <c r="A34" s="982" t="n"/>
      <c r="B34" s="986">
        <f>'REVIEW - Complete Role Mapping'!$B$20</f>
        <v/>
      </c>
      <c r="C34" s="986">
        <f>'REVIEW - Complete Role Mapping'!$C$20</f>
        <v/>
      </c>
      <c r="D34" s="1005">
        <f>'REVIEW - Complete Role Mapping'!$AK$20</f>
        <v/>
      </c>
      <c r="E34" s="986" t="inlineStr"/>
      <c r="F34" s="986" t="inlineStr"/>
      <c r="G34" s="982" t="n"/>
      <c r="H34" s="982" t="n"/>
      <c r="I34" s="982" t="n"/>
      <c r="J34" s="982" t="n"/>
      <c r="K34" s="982" t="n"/>
      <c r="L34" s="982" t="n"/>
      <c r="M34" s="982" t="n"/>
      <c r="N34" s="982" t="n"/>
      <c r="O34" s="982" t="n"/>
    </row>
    <row r="35">
      <c r="A35" s="982" t="n"/>
      <c r="B35" s="986">
        <f>'REVIEW - Complete Role Mapping'!$B$40</f>
        <v/>
      </c>
      <c r="C35" s="986">
        <f>'REVIEW - Complete Role Mapping'!$C$40</f>
        <v/>
      </c>
      <c r="D35" s="1005">
        <f>'REVIEW - Complete Role Mapping'!$AK$40</f>
        <v/>
      </c>
      <c r="E35" s="986" t="inlineStr"/>
      <c r="F35" s="986" t="inlineStr"/>
      <c r="G35" s="982" t="n"/>
      <c r="H35" s="982" t="n"/>
      <c r="I35" s="982" t="n"/>
      <c r="J35" s="982" t="n"/>
      <c r="K35" s="982" t="n"/>
      <c r="L35" s="982" t="n"/>
      <c r="M35" s="982" t="n"/>
      <c r="N35" s="982" t="n"/>
      <c r="O35" s="982" t="n"/>
    </row>
    <row r="36">
      <c r="A36" s="982" t="n"/>
      <c r="B36" s="986">
        <f>'REVIEW - Complete Role Mapping'!$B$56</f>
        <v/>
      </c>
      <c r="C36" s="986">
        <f>'REVIEW - Complete Role Mapping'!$C$56</f>
        <v/>
      </c>
      <c r="D36" s="1005">
        <f>'REVIEW - Complete Role Mapping'!$AK$56</f>
        <v/>
      </c>
      <c r="E36" s="986" t="inlineStr"/>
      <c r="F36" s="986" t="inlineStr"/>
      <c r="G36" s="982" t="n"/>
      <c r="H36" s="982" t="n"/>
      <c r="I36" s="982" t="n"/>
      <c r="J36" s="982" t="n"/>
      <c r="K36" s="982" t="n"/>
      <c r="L36" s="982" t="n"/>
      <c r="M36" s="982" t="n"/>
      <c r="N36" s="982" t="n"/>
      <c r="O36" s="982" t="n"/>
    </row>
    <row r="37">
      <c r="A37" s="982" t="n"/>
      <c r="B37" s="986">
        <f>'REVIEW - Complete Role Mapping'!$B$63</f>
        <v/>
      </c>
      <c r="C37" s="986">
        <f>'REVIEW - Complete Role Mapping'!$C$63</f>
        <v/>
      </c>
      <c r="D37" s="1005">
        <f>'REVIEW - Complete Role Mapping'!$AK$63</f>
        <v/>
      </c>
      <c r="E37" s="986" t="inlineStr"/>
      <c r="F37" s="986" t="inlineStr"/>
      <c r="G37" s="982" t="n"/>
      <c r="H37" s="982" t="n"/>
      <c r="I37" s="982" t="n"/>
      <c r="J37" s="982" t="n"/>
      <c r="K37" s="982" t="n"/>
      <c r="L37" s="982" t="n"/>
      <c r="M37" s="982" t="n"/>
      <c r="N37" s="982" t="n"/>
      <c r="O37" s="982" t="n"/>
    </row>
    <row r="38">
      <c r="A38" s="982" t="n"/>
      <c r="B38" s="986">
        <f>'REVIEW - Complete Role Mapping'!$B$98</f>
        <v/>
      </c>
      <c r="C38" s="986">
        <f>'REVIEW - Complete Role Mapping'!$C$98</f>
        <v/>
      </c>
      <c r="D38" s="1005">
        <f>'REVIEW - Complete Role Mapping'!$AK$98</f>
        <v/>
      </c>
      <c r="E38" s="986" t="inlineStr"/>
      <c r="F38" s="986" t="inlineStr"/>
      <c r="G38" s="982" t="n"/>
      <c r="H38" s="982" t="n"/>
      <c r="I38" s="982" t="n"/>
      <c r="J38" s="982" t="n"/>
      <c r="K38" s="982" t="n"/>
      <c r="L38" s="982" t="n"/>
      <c r="M38" s="982" t="n"/>
      <c r="N38" s="982" t="n"/>
      <c r="O38" s="982" t="n"/>
    </row>
    <row r="39">
      <c r="A39" s="982" t="n"/>
      <c r="B39" s="986">
        <f>'REVIEW - Complete Role Mapping'!$B$105</f>
        <v/>
      </c>
      <c r="C39" s="986">
        <f>'REVIEW - Complete Role Mapping'!$C$105</f>
        <v/>
      </c>
      <c r="D39" s="1005">
        <f>'REVIEW - Complete Role Mapping'!$AK$105</f>
        <v/>
      </c>
      <c r="E39" s="986" t="inlineStr"/>
      <c r="F39" s="986" t="inlineStr"/>
      <c r="G39" s="982" t="n"/>
      <c r="H39" s="982" t="n"/>
      <c r="I39" s="982" t="n"/>
      <c r="J39" s="982" t="n"/>
      <c r="K39" s="982" t="n"/>
      <c r="L39" s="982" t="n"/>
      <c r="M39" s="982" t="n"/>
      <c r="N39" s="982" t="n"/>
      <c r="O39" s="982" t="n"/>
    </row>
    <row r="40">
      <c r="A40" s="982" t="n"/>
      <c r="B40" s="1004" t="inlineStr">
        <is>
          <t>Z Supply</t>
        </is>
      </c>
      <c r="C40" s="1004" t="inlineStr"/>
      <c r="D40" s="1004" t="inlineStr"/>
      <c r="E40" s="1004" t="inlineStr"/>
      <c r="F40" s="1004" t="inlineStr"/>
      <c r="G40" s="982" t="n"/>
      <c r="H40" s="982" t="n"/>
      <c r="I40" s="982" t="n"/>
      <c r="J40" s="982" t="n"/>
      <c r="K40" s="982" t="n"/>
      <c r="L40" s="982" t="n"/>
      <c r="M40" s="982" t="n"/>
      <c r="N40" s="982" t="n"/>
      <c r="O40" s="982" t="n"/>
    </row>
    <row r="41">
      <c r="A41" s="982" t="n"/>
      <c r="B41" s="986">
        <f>'REVIEW - Complete Role Mapping'!$B$9</f>
        <v/>
      </c>
      <c r="C41" s="986">
        <f>'REVIEW - Complete Role Mapping'!$C$9</f>
        <v/>
      </c>
      <c r="D41" s="1005">
        <f>'REVIEW - Complete Role Mapping'!$AK$9</f>
        <v/>
      </c>
      <c r="E41" s="986" t="inlineStr"/>
      <c r="F41" s="986" t="inlineStr"/>
      <c r="G41" s="982" t="n"/>
      <c r="H41" s="982" t="n"/>
      <c r="I41" s="982" t="n"/>
      <c r="J41" s="982" t="n"/>
      <c r="K41" s="982" t="n"/>
      <c r="L41" s="982" t="n"/>
      <c r="M41" s="982" t="n"/>
      <c r="N41" s="982" t="n"/>
      <c r="O41" s="982" t="n"/>
    </row>
    <row r="42">
      <c r="A42" s="982" t="n"/>
      <c r="B42" s="986">
        <f>'REVIEW - Complete Role Mapping'!$B$15</f>
        <v/>
      </c>
      <c r="C42" s="986">
        <f>'REVIEW - Complete Role Mapping'!$C$15</f>
        <v/>
      </c>
      <c r="D42" s="1005">
        <f>'REVIEW - Complete Role Mapping'!$AK$15</f>
        <v/>
      </c>
      <c r="E42" s="986" t="inlineStr"/>
      <c r="F42" s="986" t="inlineStr"/>
      <c r="G42" s="982" t="n"/>
      <c r="H42" s="982" t="n"/>
      <c r="I42" s="982" t="n"/>
      <c r="J42" s="982" t="n"/>
      <c r="K42" s="982" t="n"/>
      <c r="L42" s="982" t="n"/>
      <c r="M42" s="982" t="n"/>
      <c r="N42" s="982" t="n"/>
      <c r="O42" s="982" t="n"/>
    </row>
    <row r="43">
      <c r="A43" s="982" t="n"/>
      <c r="B43" s="986">
        <f>'REVIEW - Complete Role Mapping'!$B$25</f>
        <v/>
      </c>
      <c r="C43" s="986">
        <f>'REVIEW - Complete Role Mapping'!$C$25</f>
        <v/>
      </c>
      <c r="D43" s="1005">
        <f>'REVIEW - Complete Role Mapping'!$AK$25</f>
        <v/>
      </c>
      <c r="E43" s="986" t="inlineStr"/>
      <c r="F43" s="986" t="inlineStr"/>
      <c r="G43" s="982" t="n"/>
      <c r="H43" s="982" t="n"/>
      <c r="I43" s="982" t="n"/>
      <c r="J43" s="982" t="n"/>
      <c r="K43" s="982" t="n"/>
      <c r="L43" s="982" t="n"/>
      <c r="M43" s="982" t="n"/>
      <c r="N43" s="982" t="n"/>
      <c r="O43" s="982" t="n"/>
    </row>
    <row r="44">
      <c r="B44" s="986">
        <f>'REVIEW - Complete Role Mapping'!$B$26</f>
        <v/>
      </c>
      <c r="C44" s="986">
        <f>'REVIEW - Complete Role Mapping'!$C$26</f>
        <v/>
      </c>
      <c r="D44" s="1005">
        <f>'REVIEW - Complete Role Mapping'!$AK$26</f>
        <v/>
      </c>
      <c r="E44" s="986" t="inlineStr"/>
      <c r="F44" s="986" t="inlineStr"/>
    </row>
    <row r="45">
      <c r="B45" s="986">
        <f>'REVIEW - Complete Role Mapping'!$B$29</f>
        <v/>
      </c>
      <c r="C45" s="986">
        <f>'REVIEW - Complete Role Mapping'!$C$29</f>
        <v/>
      </c>
      <c r="D45" s="1005">
        <f>'REVIEW - Complete Role Mapping'!$AK$29</f>
        <v/>
      </c>
      <c r="E45" s="986" t="inlineStr"/>
      <c r="F45" s="986" t="inlineStr"/>
    </row>
    <row r="46">
      <c r="B46" s="986">
        <f>'REVIEW - Complete Role Mapping'!$B$31</f>
        <v/>
      </c>
      <c r="C46" s="986">
        <f>'REVIEW - Complete Role Mapping'!$C$31</f>
        <v/>
      </c>
      <c r="D46" s="1005">
        <f>'REVIEW - Complete Role Mapping'!$AK$31</f>
        <v/>
      </c>
      <c r="E46" s="986" t="inlineStr"/>
      <c r="F46" s="986" t="inlineStr"/>
    </row>
    <row r="47">
      <c r="B47" s="986">
        <f>'REVIEW - Complete Role Mapping'!$B$34</f>
        <v/>
      </c>
      <c r="C47" s="986">
        <f>'REVIEW - Complete Role Mapping'!$C$34</f>
        <v/>
      </c>
      <c r="D47" s="1005">
        <f>'REVIEW - Complete Role Mapping'!$AK$34</f>
        <v/>
      </c>
      <c r="E47" s="986" t="inlineStr"/>
      <c r="F47" s="986" t="inlineStr"/>
    </row>
    <row r="48">
      <c r="B48" s="986">
        <f>'REVIEW - Complete Role Mapping'!$B$35</f>
        <v/>
      </c>
      <c r="C48" s="986">
        <f>'REVIEW - Complete Role Mapping'!$C$35</f>
        <v/>
      </c>
      <c r="D48" s="1005">
        <f>'REVIEW - Complete Role Mapping'!$AK$35</f>
        <v/>
      </c>
      <c r="E48" s="986" t="inlineStr"/>
      <c r="F48" s="986" t="inlineStr"/>
    </row>
    <row r="49">
      <c r="B49" s="986">
        <f>'REVIEW - Complete Role Mapping'!$B$89</f>
        <v/>
      </c>
      <c r="C49" s="986">
        <f>'REVIEW - Complete Role Mapping'!$C$89</f>
        <v/>
      </c>
      <c r="D49" s="1005">
        <f>'REVIEW - Complete Role Mapping'!$AK$89</f>
        <v/>
      </c>
      <c r="E49" s="1006" t="inlineStr">
        <is>
          <t>Hold</t>
        </is>
      </c>
      <c r="F49" s="1007">
        <f>'REVIEW - Complete Role Mapping'!$AA$89</f>
        <v/>
      </c>
    </row>
    <row r="50">
      <c r="B50" s="1004" t="inlineStr">
        <is>
          <t>Data NZ</t>
        </is>
      </c>
      <c r="C50" s="1004" t="inlineStr"/>
      <c r="D50" s="1004" t="inlineStr"/>
      <c r="E50" s="1004" t="inlineStr"/>
      <c r="F50" s="1004" t="inlineStr"/>
    </row>
    <row r="51">
      <c r="B51" s="986">
        <f>'REVIEW - Complete Role Mapping'!$B$12</f>
        <v/>
      </c>
      <c r="C51" s="986">
        <f>'REVIEW - Complete Role Mapping'!$C$12</f>
        <v/>
      </c>
      <c r="D51" s="1005">
        <f>'REVIEW - Complete Role Mapping'!$AK$12</f>
        <v/>
      </c>
      <c r="E51" s="986" t="inlineStr"/>
      <c r="F51" s="986" t="inlineStr"/>
    </row>
    <row r="52">
      <c r="B52" s="986">
        <f>'REVIEW - Complete Role Mapping'!$B$17</f>
        <v/>
      </c>
      <c r="C52" s="986">
        <f>'REVIEW - Complete Role Mapping'!$C$17</f>
        <v/>
      </c>
      <c r="D52" s="1005">
        <f>'REVIEW - Complete Role Mapping'!$AK$17</f>
        <v/>
      </c>
      <c r="E52" s="986" t="inlineStr"/>
      <c r="F52" s="986" t="inlineStr"/>
    </row>
    <row r="53">
      <c r="B53" s="986">
        <f>'REVIEW - Complete Role Mapping'!$B$33</f>
        <v/>
      </c>
      <c r="C53" s="986">
        <f>'REVIEW - Complete Role Mapping'!$C$33</f>
        <v/>
      </c>
      <c r="D53" s="1005">
        <f>'REVIEW - Complete Role Mapping'!$AK$33</f>
        <v/>
      </c>
      <c r="E53" s="986" t="inlineStr"/>
      <c r="F53" s="986" t="inlineStr"/>
    </row>
    <row r="54">
      <c r="B54" s="986">
        <f>'REVIEW - Complete Role Mapping'!$B$49</f>
        <v/>
      </c>
      <c r="C54" s="986">
        <f>'REVIEW - Complete Role Mapping'!$C$49</f>
        <v/>
      </c>
      <c r="D54" s="1005">
        <f>'REVIEW - Complete Role Mapping'!$AK$49</f>
        <v/>
      </c>
      <c r="E54" s="986" t="inlineStr"/>
      <c r="F54" s="986" t="inlineStr"/>
    </row>
    <row r="55">
      <c r="B55" s="986">
        <f>'REVIEW - Complete Role Mapping'!$B$50</f>
        <v/>
      </c>
      <c r="C55" s="986">
        <f>'REVIEW - Complete Role Mapping'!$C$50</f>
        <v/>
      </c>
      <c r="D55" s="1005">
        <f>'REVIEW - Complete Role Mapping'!$AK$50</f>
        <v/>
      </c>
      <c r="E55" s="986" t="inlineStr"/>
      <c r="F55" s="986" t="inlineStr"/>
    </row>
    <row r="56">
      <c r="B56" s="986">
        <f>'REVIEW - Complete Role Mapping'!$B$73</f>
        <v/>
      </c>
      <c r="C56" s="986">
        <f>'REVIEW - Complete Role Mapping'!$C$73</f>
        <v/>
      </c>
      <c r="D56" s="1005">
        <f>'REVIEW - Complete Role Mapping'!$AK$73</f>
        <v/>
      </c>
      <c r="E56" s="1006" t="inlineStr">
        <is>
          <t>Hold</t>
        </is>
      </c>
      <c r="F56" s="1007">
        <f>'REVIEW - Complete Role Mapping'!$AA$73</f>
        <v/>
      </c>
    </row>
    <row r="57">
      <c r="B57" s="986">
        <f>'REVIEW - Complete Role Mapping'!$B$78</f>
        <v/>
      </c>
      <c r="C57" s="986">
        <f>'REVIEW - Complete Role Mapping'!$C$78</f>
        <v/>
      </c>
      <c r="D57" s="1005">
        <f>'REVIEW - Complete Role Mapping'!$AK$78</f>
        <v/>
      </c>
      <c r="E57" s="1006" t="inlineStr">
        <is>
          <t>Hold</t>
        </is>
      </c>
      <c r="F57" s="1007">
        <f>'REVIEW - Complete Role Mapping'!$AA$78</f>
        <v/>
      </c>
    </row>
    <row r="58">
      <c r="B58" s="1004" t="inlineStr">
        <is>
          <t>Leadership</t>
        </is>
      </c>
      <c r="C58" s="1004" t="inlineStr"/>
      <c r="D58" s="1004" t="inlineStr"/>
      <c r="E58" s="1004" t="inlineStr"/>
      <c r="F58" s="1004" t="inlineStr"/>
    </row>
    <row r="59">
      <c r="B59" s="986">
        <f>'REVIEW - Complete Role Mapping'!$B$18</f>
        <v/>
      </c>
      <c r="C59" s="986">
        <f>'REVIEW - Complete Role Mapping'!$C$18</f>
        <v/>
      </c>
      <c r="D59" s="1005">
        <f>'REVIEW - Complete Role Mapping'!$AK$18</f>
        <v/>
      </c>
      <c r="E59" s="986" t="inlineStr"/>
      <c r="F59" s="986" t="inlineStr"/>
    </row>
    <row r="60">
      <c r="B60" s="986">
        <f>'REVIEW - Complete Role Mapping'!$B$23</f>
        <v/>
      </c>
      <c r="C60" s="986">
        <f>'REVIEW - Complete Role Mapping'!$C$23</f>
        <v/>
      </c>
      <c r="D60" s="1005">
        <f>'REVIEW - Complete Role Mapping'!$AK$23</f>
        <v/>
      </c>
      <c r="E60" s="986" t="inlineStr"/>
      <c r="F60" s="986" t="inlineStr"/>
    </row>
    <row r="61">
      <c r="B61" s="986">
        <f>'REVIEW - Complete Role Mapping'!$B$45</f>
        <v/>
      </c>
      <c r="C61" s="986">
        <f>'REVIEW - Complete Role Mapping'!$C$45</f>
        <v/>
      </c>
      <c r="D61" s="1005">
        <f>'REVIEW - Complete Role Mapping'!$AK$45</f>
        <v/>
      </c>
      <c r="E61" s="1006" t="inlineStr">
        <is>
          <t>Hold</t>
        </is>
      </c>
      <c r="F61" s="1007">
        <f>'REVIEW - Complete Role Mapping'!$AA$45</f>
        <v/>
      </c>
    </row>
    <row r="62">
      <c r="B62" s="986">
        <f>'REVIEW - Complete Role Mapping'!$B$74</f>
        <v/>
      </c>
      <c r="C62" s="986">
        <f>'REVIEW - Complete Role Mapping'!$C$74</f>
        <v/>
      </c>
      <c r="D62" s="1005">
        <f>'REVIEW - Complete Role Mapping'!$AK$74</f>
        <v/>
      </c>
      <c r="E62" s="1006" t="inlineStr">
        <is>
          <t>Hold</t>
        </is>
      </c>
      <c r="F62" s="1007">
        <f>'REVIEW - Complete Role Mapping'!$AA$74</f>
        <v/>
      </c>
    </row>
    <row r="63">
      <c r="B63" s="986">
        <f>'REVIEW - Complete Role Mapping'!$B$82</f>
        <v/>
      </c>
      <c r="C63" s="986">
        <f>'REVIEW - Complete Role Mapping'!$C$82</f>
        <v/>
      </c>
      <c r="D63" s="1005">
        <f>'REVIEW - Complete Role Mapping'!$AK$82</f>
        <v/>
      </c>
      <c r="E63" s="1006" t="inlineStr">
        <is>
          <t>Hold</t>
        </is>
      </c>
      <c r="F63" s="1007">
        <f>'REVIEW - Complete Role Mapping'!$AA$82</f>
        <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8 E29 E49 E56 E57 E61 E62 E63" showDropDown="0" showInputMessage="0" showErrorMessage="0" allowBlank="0"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64"/>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81" t="inlineStr">
        <is>
          <t>COE Cyber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 - archetype vs actual, with the vacancy lever</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(all roles)</t>
        </is>
      </c>
      <c r="C6" s="987">
        <f>IFERROR(INDEX('3.3 FTE View'!$E:$E,MATCH("COE Cyber|(all roles)",'3.3 FTE View'!$AD:$AD,0)),"-")</f>
        <v/>
      </c>
      <c r="D6" s="988">
        <f>IFERROR(INDEX('3.3 FTE View'!$G:$G,MATCH("COE Cyber|(all roles)",'3.3 FTE View'!$AD:$AD,0)),"-")</f>
        <v/>
      </c>
      <c r="E6" s="989">
        <f>COUNTIF($D$17:$D$62,"Filled")</f>
        <v/>
      </c>
      <c r="F6" s="989">
        <f>COUNTIF($D$17:$D$62,"Vacant")</f>
        <v/>
      </c>
      <c r="G6" s="989">
        <f>COUNTIF($E$17:$E$62,"Hire")</f>
        <v/>
      </c>
      <c r="H6" s="989">
        <f>F6-G6-COUNTIF($E$17:$E$62,"Offshore")</f>
        <v/>
      </c>
      <c r="I6" s="989">
        <f>IFERROR(E6+G6-D6,"-")</f>
        <v/>
      </c>
      <c r="J6" s="986">
        <f>IF(ISNUMBER(D6),IF(E6&gt;D6,"Filled already over archetype",IF(E6+G6&gt;D6,"Over archetype after hire","")),"Outside the archetype model - no target set")</f>
        <v/>
      </c>
      <c r="K6" s="990">
        <f>IFERROR(INDEX('3.3 FTE View'!$M:$M,MATCH("COE Cyber|(all roles)",'3.3 FTE View'!$AD:$AD,0)),"-")</f>
        <v/>
      </c>
      <c r="L6" s="991">
        <f>(SUMIFS('REVIEW - Complete Role Mapping'!$AA:$AA,'REVIEW - Complete Role Mapping'!$AJ:$AJ,"COE Cyber",'REVIEW - Complete Role Mapping'!$AO:$AO,"(all roles)",'REVIEW - Complete Role Mapping'!$AK:$AK,"Filled"))/1000000</f>
        <v/>
      </c>
      <c r="M6" s="991">
        <f>L6+(SUMIFS($F$17:$F$62,$E$17:$E$62,"Hire")+0.4*SUMIFS($F$17:$F$62,$E$17:$E$62,"Offshore"))/1000000</f>
        <v/>
      </c>
      <c r="N6" s="991">
        <f>IFERROR(M6-K6,"-")</f>
        <v/>
      </c>
      <c r="O6" s="987">
        <f>IFERROR(INDEX('3.3 FTE View'!$F:$F,MATCH("COE Cyber|(all roles)",'3.3 FTE View'!$AD:$AD,0)),"-")</f>
        <v/>
      </c>
    </row>
    <row r="7">
      <c r="A7" s="982" t="n"/>
      <c r="B7" s="993" t="inlineStr">
        <is>
          <t>Total</t>
        </is>
      </c>
      <c r="C7" s="993" t="inlineStr"/>
      <c r="D7" s="994">
        <f>SUM(D6:D6)</f>
        <v/>
      </c>
      <c r="E7" s="994">
        <f>SUM(E6:E6)</f>
        <v/>
      </c>
      <c r="F7" s="994">
        <f>SUM(F6:F6)</f>
        <v/>
      </c>
      <c r="G7" s="994">
        <f>SUM(G6:G6)</f>
        <v/>
      </c>
      <c r="H7" s="994">
        <f>SUM(H6:H6)</f>
        <v/>
      </c>
      <c r="I7" s="994">
        <f>SUM(I6:I6)</f>
        <v/>
      </c>
      <c r="J7" s="993" t="inlineStr"/>
      <c r="K7" s="995">
        <f>SUM(K6:K6)</f>
        <v/>
      </c>
      <c r="L7" s="995">
        <f>SUM(L6:L6)</f>
        <v/>
      </c>
      <c r="M7" s="995">
        <f>SUM(M6:M6)</f>
        <v/>
      </c>
      <c r="N7" s="995">
        <f>SUM(N6:N6)</f>
        <v/>
      </c>
      <c r="O7" s="993" t="inlineStr"/>
    </row>
    <row r="8">
      <c r="A8" s="982" t="n"/>
      <c r="B8" s="996" t="inlineStr">
        <is>
          <t>Cost to hire all vacancies ($m)</t>
        </is>
      </c>
      <c r="C8" s="1001" t="n"/>
      <c r="D8" s="982" t="n"/>
      <c r="E8" s="997">
        <f>SUMIFS($F$16:$F$62,$D$16:$D$62,"Vacant")/1000000</f>
        <v/>
      </c>
      <c r="F8" s="982" t="n"/>
      <c r="G8" s="982" t="n"/>
      <c r="H8" s="982" t="n"/>
      <c r="I8" s="982" t="n"/>
      <c r="J8" s="982" t="n"/>
      <c r="K8" s="982" t="n"/>
      <c r="L8" s="982" t="n"/>
      <c r="M8" s="982" t="n"/>
      <c r="N8" s="982" t="n"/>
      <c r="O8" s="982" t="n"/>
    </row>
    <row r="9">
      <c r="A9" s="982" t="n"/>
      <c r="B9" s="996" t="inlineStr">
        <is>
          <t>Cost of roles marked Hire ($m)</t>
        </is>
      </c>
      <c r="C9" s="1001" t="n"/>
      <c r="D9" s="982" t="n"/>
      <c r="E9" s="997">
        <f>SUMIF($E$16:$E$62,"Hire",$F$16:$F$62)/1000000</f>
        <v/>
      </c>
      <c r="F9" s="982" t="n"/>
      <c r="G9" s="982" t="n"/>
      <c r="H9" s="982" t="n"/>
      <c r="I9" s="982" t="n"/>
      <c r="J9" s="982" t="n"/>
      <c r="K9" s="982" t="n"/>
      <c r="L9" s="982" t="n"/>
      <c r="M9" s="982" t="n"/>
      <c r="N9" s="982" t="n"/>
      <c r="O9" s="982" t="n"/>
    </row>
    <row r="10">
      <c r="A10" s="982" t="n"/>
      <c r="B10" s="998" t="inlineStr">
        <is>
          <t>Vacant roles are priced at standard title rates - indicative until an offer is made.</t>
        </is>
      </c>
      <c r="C10" s="982" t="n"/>
      <c r="D10" s="982" t="n"/>
      <c r="E10" s="982" t="n"/>
      <c r="F10" s="982" t="n"/>
      <c r="G10" s="982" t="n"/>
      <c r="H10" s="982" t="n"/>
      <c r="I10" s="982" t="n"/>
      <c r="J10" s="982" t="n"/>
      <c r="K10" s="982" t="n"/>
      <c r="L10" s="982" t="n"/>
      <c r="M10" s="982" t="n"/>
      <c r="N10" s="982" t="n"/>
      <c r="O10" s="982" t="n"/>
    </row>
    <row r="11">
      <c r="A11" s="982" t="n"/>
      <c r="B11" s="998" t="inlineStr">
        <is>
          <t>"-" in the archetype columns means this real squad has no design archetype target; the comparison sits at portfolio level on 3.2.</t>
        </is>
      </c>
      <c r="C11" s="982" t="n"/>
      <c r="D11" s="982" t="n"/>
      <c r="E11" s="982" t="n"/>
      <c r="F11" s="982" t="n"/>
      <c r="G11" s="982" t="n"/>
      <c r="H11" s="982" t="n"/>
      <c r="I11" s="982" t="n"/>
      <c r="J11" s="982" t="n"/>
      <c r="K11" s="982" t="n"/>
      <c r="L11" s="982" t="n"/>
      <c r="M11" s="982" t="n"/>
      <c r="N11" s="982" t="n"/>
      <c r="O11" s="982" t="n"/>
    </row>
    <row r="12">
      <c r="A12" s="982" t="n"/>
      <c r="B12" s="1003" t="n"/>
      <c r="C12" s="982" t="n"/>
      <c r="D12" s="982" t="n"/>
      <c r="E12" s="982" t="n"/>
      <c r="F12" s="982" t="n"/>
      <c r="G12" s="982" t="n"/>
      <c r="H12" s="982" t="n"/>
      <c r="I12" s="982" t="n"/>
      <c r="J12" s="982" t="n"/>
      <c r="K12" s="982" t="n"/>
      <c r="L12" s="982" t="n"/>
      <c r="M12" s="982" t="n"/>
      <c r="N12" s="982" t="n"/>
      <c r="O12" s="982" t="n"/>
    </row>
    <row r="13">
      <c r="A13" s="982" t="n"/>
      <c r="B13" s="1008" t="n"/>
      <c r="C13" s="982" t="n"/>
      <c r="D13" s="982" t="n"/>
      <c r="E13" s="982" t="n"/>
      <c r="F13" s="982" t="n"/>
      <c r="G13" s="982" t="n"/>
      <c r="H13" s="982" t="n"/>
      <c r="I13" s="982" t="n"/>
      <c r="J13" s="982" t="n"/>
      <c r="K13" s="982" t="n"/>
      <c r="L13" s="982" t="n"/>
      <c r="M13" s="982" t="n"/>
      <c r="N13" s="982" t="n"/>
      <c r="O13" s="982" t="n"/>
    </row>
    <row r="14">
      <c r="A14" s="982" t="n"/>
      <c r="B14" s="1002" t="inlineStr">
        <is>
          <t>COE Cyber FTE</t>
        </is>
      </c>
      <c r="C14" s="999" t="n"/>
      <c r="D14" s="999" t="n"/>
      <c r="E14" s="999" t="n"/>
      <c r="F14" s="999" t="n"/>
      <c r="G14" s="984" t="n"/>
      <c r="H14" s="984" t="n"/>
      <c r="I14" s="984" t="n"/>
      <c r="J14" s="984" t="n"/>
      <c r="K14" s="982" t="n"/>
      <c r="L14" s="982" t="n"/>
      <c r="M14" s="982" t="n"/>
      <c r="N14" s="982" t="n"/>
      <c r="O14" s="982" t="n"/>
    </row>
    <row r="15">
      <c r="A15" s="982" t="n"/>
      <c r="B15" s="985" t="inlineStr">
        <is>
          <t>Name</t>
        </is>
      </c>
      <c r="C15" s="985" t="inlineStr">
        <is>
          <t>Role</t>
        </is>
      </c>
      <c r="D15" s="985" t="inlineStr">
        <is>
          <t>Status</t>
        </is>
      </c>
      <c r="E15" s="985" t="inlineStr">
        <is>
          <t>Vacancy lever</t>
        </is>
      </c>
      <c r="F15" s="985" t="inlineStr">
        <is>
          <t>Cost if hired ($)</t>
        </is>
      </c>
      <c r="G15" s="982" t="n"/>
      <c r="H15" s="982" t="n"/>
      <c r="I15" s="982" t="n"/>
      <c r="J15" s="982" t="n"/>
      <c r="K15" s="982" t="n"/>
      <c r="L15" s="982" t="n"/>
      <c r="M15" s="982" t="n"/>
      <c r="N15" s="982" t="n"/>
      <c r="O15" s="982" t="n"/>
    </row>
    <row r="16">
      <c r="A16" s="982" t="n"/>
      <c r="B16" s="1004" t="inlineStr">
        <is>
          <t>(all roles)</t>
        </is>
      </c>
      <c r="C16" s="1004" t="inlineStr"/>
      <c r="D16" s="1004" t="inlineStr"/>
      <c r="E16" s="1004" t="inlineStr"/>
      <c r="F16" s="1004" t="inlineStr"/>
      <c r="G16" s="982" t="n"/>
      <c r="H16" s="982" t="n"/>
      <c r="I16" s="982" t="n"/>
      <c r="J16" s="982" t="n"/>
      <c r="K16" s="982" t="n"/>
      <c r="L16" s="982" t="n"/>
      <c r="M16" s="982" t="n"/>
      <c r="N16" s="982" t="n"/>
      <c r="O16" s="982" t="n"/>
    </row>
    <row r="17">
      <c r="A17" s="982" t="n"/>
      <c r="B17" s="986">
        <f>'REVIEW - Complete Role Mapping'!$B$193</f>
        <v/>
      </c>
      <c r="C17" s="986">
        <f>'REVIEW - Complete Role Mapping'!$C$193</f>
        <v/>
      </c>
      <c r="D17" s="1005">
        <f>'REVIEW - Complete Role Mapping'!$AK$193</f>
        <v/>
      </c>
      <c r="E17" s="986" t="inlineStr"/>
      <c r="F17" s="986" t="inlineStr"/>
      <c r="G17" s="982" t="n"/>
      <c r="H17" s="982" t="n"/>
      <c r="I17" s="982" t="n"/>
      <c r="J17" s="982" t="n"/>
      <c r="K17" s="982" t="n"/>
      <c r="L17" s="982" t="n"/>
      <c r="M17" s="982" t="n"/>
      <c r="N17" s="982" t="n"/>
      <c r="O17" s="982" t="n"/>
    </row>
    <row r="18">
      <c r="A18" s="982" t="n"/>
      <c r="B18" s="986">
        <f>'REVIEW - Complete Role Mapping'!$B$194</f>
        <v/>
      </c>
      <c r="C18" s="986">
        <f>'REVIEW - Complete Role Mapping'!$C$194</f>
        <v/>
      </c>
      <c r="D18" s="1005">
        <f>'REVIEW - Complete Role Mapping'!$AK$194</f>
        <v/>
      </c>
      <c r="E18" s="986" t="inlineStr"/>
      <c r="F18" s="986" t="inlineStr"/>
      <c r="G18" s="982" t="n"/>
      <c r="H18" s="982" t="n"/>
      <c r="I18" s="982" t="n"/>
      <c r="J18" s="982" t="n"/>
      <c r="K18" s="982" t="n"/>
      <c r="L18" s="982" t="n"/>
      <c r="M18" s="982" t="n"/>
      <c r="N18" s="982" t="n"/>
      <c r="O18" s="982" t="n"/>
    </row>
    <row r="19">
      <c r="A19" s="982" t="n"/>
      <c r="B19" s="986">
        <f>'REVIEW - Complete Role Mapping'!$B$195</f>
        <v/>
      </c>
      <c r="C19" s="986">
        <f>'REVIEW - Complete Role Mapping'!$C$195</f>
        <v/>
      </c>
      <c r="D19" s="1005">
        <f>'REVIEW - Complete Role Mapping'!$AK$195</f>
        <v/>
      </c>
      <c r="E19" s="986" t="inlineStr"/>
      <c r="F19" s="986" t="inlineStr"/>
      <c r="G19" s="982" t="n"/>
      <c r="H19" s="982" t="n"/>
      <c r="I19" s="982" t="n"/>
      <c r="J19" s="982" t="n"/>
      <c r="K19" s="982" t="n"/>
      <c r="L19" s="982" t="n"/>
      <c r="M19" s="982" t="n"/>
      <c r="N19" s="982" t="n"/>
      <c r="O19" s="982" t="n"/>
    </row>
    <row r="20">
      <c r="A20" s="982" t="n"/>
      <c r="B20" s="986">
        <f>'REVIEW - Complete Role Mapping'!$B$196</f>
        <v/>
      </c>
      <c r="C20" s="986">
        <f>'REVIEW - Complete Role Mapping'!$C$196</f>
        <v/>
      </c>
      <c r="D20" s="1005">
        <f>'REVIEW - Complete Role Mapping'!$AK$196</f>
        <v/>
      </c>
      <c r="E20" s="986" t="inlineStr"/>
      <c r="F20" s="986" t="inlineStr"/>
      <c r="G20" s="982" t="n"/>
      <c r="H20" s="982" t="n"/>
      <c r="I20" s="982" t="n"/>
      <c r="J20" s="982" t="n"/>
      <c r="K20" s="982" t="n"/>
      <c r="L20" s="982" t="n"/>
      <c r="M20" s="982" t="n"/>
      <c r="N20" s="982" t="n"/>
      <c r="O20" s="982" t="n"/>
    </row>
    <row r="21">
      <c r="A21" s="982" t="n"/>
      <c r="B21" s="986">
        <f>'REVIEW - Complete Role Mapping'!$B$197</f>
        <v/>
      </c>
      <c r="C21" s="986">
        <f>'REVIEW - Complete Role Mapping'!$C$197</f>
        <v/>
      </c>
      <c r="D21" s="1005">
        <f>'REVIEW - Complete Role Mapping'!$AK$197</f>
        <v/>
      </c>
      <c r="E21" s="986" t="inlineStr"/>
      <c r="F21" s="986" t="inlineStr"/>
      <c r="G21" s="982" t="n"/>
      <c r="H21" s="982" t="n"/>
      <c r="I21" s="982" t="n"/>
      <c r="J21" s="982" t="n"/>
      <c r="K21" s="982" t="n"/>
      <c r="L21" s="982" t="n"/>
      <c r="M21" s="982" t="n"/>
      <c r="N21" s="982" t="n"/>
      <c r="O21" s="982" t="n"/>
    </row>
    <row r="22">
      <c r="A22" s="982" t="n"/>
      <c r="B22" s="986">
        <f>'REVIEW - Complete Role Mapping'!$B$198</f>
        <v/>
      </c>
      <c r="C22" s="986">
        <f>'REVIEW - Complete Role Mapping'!$C$198</f>
        <v/>
      </c>
      <c r="D22" s="1005">
        <f>'REVIEW - Complete Role Mapping'!$AK$198</f>
        <v/>
      </c>
      <c r="E22" s="986" t="inlineStr"/>
      <c r="F22" s="986" t="inlineStr"/>
      <c r="G22" s="982" t="n"/>
      <c r="H22" s="982" t="n"/>
      <c r="I22" s="982" t="n"/>
      <c r="J22" s="982" t="n"/>
      <c r="K22" s="982" t="n"/>
      <c r="L22" s="982" t="n"/>
      <c r="M22" s="982" t="n"/>
      <c r="N22" s="982" t="n"/>
      <c r="O22" s="982" t="n"/>
    </row>
    <row r="23">
      <c r="A23" s="982" t="n"/>
      <c r="B23" s="986">
        <f>'REVIEW - Complete Role Mapping'!$B$199</f>
        <v/>
      </c>
      <c r="C23" s="986">
        <f>'REVIEW - Complete Role Mapping'!$C$199</f>
        <v/>
      </c>
      <c r="D23" s="1005">
        <f>'REVIEW - Complete Role Mapping'!$AK$199</f>
        <v/>
      </c>
      <c r="E23" s="986" t="inlineStr"/>
      <c r="F23" s="986" t="inlineStr"/>
      <c r="G23" s="982" t="n"/>
      <c r="H23" s="982" t="n"/>
      <c r="I23" s="982" t="n"/>
      <c r="J23" s="982" t="n"/>
      <c r="K23" s="982" t="n"/>
      <c r="L23" s="982" t="n"/>
      <c r="M23" s="982" t="n"/>
      <c r="N23" s="982" t="n"/>
      <c r="O23" s="982" t="n"/>
    </row>
    <row r="24">
      <c r="A24" s="982" t="n"/>
      <c r="B24" s="986">
        <f>'REVIEW - Complete Role Mapping'!$B$200</f>
        <v/>
      </c>
      <c r="C24" s="986">
        <f>'REVIEW - Complete Role Mapping'!$C$200</f>
        <v/>
      </c>
      <c r="D24" s="1005">
        <f>'REVIEW - Complete Role Mapping'!$AK$200</f>
        <v/>
      </c>
      <c r="E24" s="986" t="inlineStr"/>
      <c r="F24" s="986" t="inlineStr"/>
      <c r="G24" s="982" t="n"/>
      <c r="H24" s="982" t="n"/>
      <c r="I24" s="982" t="n"/>
      <c r="J24" s="982" t="n"/>
      <c r="K24" s="982" t="n"/>
      <c r="L24" s="982" t="n"/>
      <c r="M24" s="982" t="n"/>
      <c r="N24" s="982" t="n"/>
      <c r="O24" s="982" t="n"/>
    </row>
    <row r="25">
      <c r="A25" s="982" t="n"/>
      <c r="B25" s="986">
        <f>'REVIEW - Complete Role Mapping'!$B$201</f>
        <v/>
      </c>
      <c r="C25" s="986">
        <f>'REVIEW - Complete Role Mapping'!$C$201</f>
        <v/>
      </c>
      <c r="D25" s="1005">
        <f>'REVIEW - Complete Role Mapping'!$AK$201</f>
        <v/>
      </c>
      <c r="E25" s="986" t="inlineStr"/>
      <c r="F25" s="986" t="inlineStr"/>
      <c r="G25" s="982" t="n"/>
      <c r="H25" s="982" t="n"/>
      <c r="I25" s="982" t="n"/>
      <c r="J25" s="982" t="n"/>
      <c r="K25" s="982" t="n"/>
      <c r="L25" s="982" t="n"/>
      <c r="M25" s="982" t="n"/>
      <c r="N25" s="982" t="n"/>
      <c r="O25" s="982" t="n"/>
    </row>
    <row r="26">
      <c r="A26" s="982" t="n"/>
      <c r="B26" s="986">
        <f>'REVIEW - Complete Role Mapping'!$B$202</f>
        <v/>
      </c>
      <c r="C26" s="986">
        <f>'REVIEW - Complete Role Mapping'!$C$202</f>
        <v/>
      </c>
      <c r="D26" s="1005">
        <f>'REVIEW - Complete Role Mapping'!$AK$202</f>
        <v/>
      </c>
      <c r="E26" s="986" t="inlineStr"/>
      <c r="F26" s="986" t="inlineStr"/>
      <c r="G26" s="982" t="n"/>
      <c r="H26" s="982" t="n"/>
      <c r="I26" s="982" t="n"/>
      <c r="J26" s="982" t="n"/>
      <c r="K26" s="982" t="n"/>
      <c r="L26" s="982" t="n"/>
      <c r="M26" s="982" t="n"/>
      <c r="N26" s="982" t="n"/>
      <c r="O26" s="982" t="n"/>
    </row>
    <row r="27">
      <c r="A27" s="982" t="n"/>
      <c r="B27" s="986">
        <f>'REVIEW - Complete Role Mapping'!$B$203</f>
        <v/>
      </c>
      <c r="C27" s="986">
        <f>'REVIEW - Complete Role Mapping'!$C$203</f>
        <v/>
      </c>
      <c r="D27" s="1005">
        <f>'REVIEW - Complete Role Mapping'!$AK$203</f>
        <v/>
      </c>
      <c r="E27" s="986" t="inlineStr"/>
      <c r="F27" s="986" t="inlineStr"/>
      <c r="G27" s="982" t="n"/>
      <c r="H27" s="982" t="n"/>
      <c r="I27" s="982" t="n"/>
      <c r="J27" s="982" t="n"/>
      <c r="K27" s="982" t="n"/>
      <c r="L27" s="982" t="n"/>
      <c r="M27" s="982" t="n"/>
      <c r="N27" s="982" t="n"/>
      <c r="O27" s="982" t="n"/>
    </row>
    <row r="28">
      <c r="A28" s="982" t="n"/>
      <c r="B28" s="986">
        <f>'REVIEW - Complete Role Mapping'!$B$204</f>
        <v/>
      </c>
      <c r="C28" s="986">
        <f>'REVIEW - Complete Role Mapping'!$C$204</f>
        <v/>
      </c>
      <c r="D28" s="1005">
        <f>'REVIEW - Complete Role Mapping'!$AK$204</f>
        <v/>
      </c>
      <c r="E28" s="986" t="inlineStr"/>
      <c r="F28" s="986" t="inlineStr"/>
      <c r="G28" s="982" t="n"/>
      <c r="H28" s="982" t="n"/>
      <c r="I28" s="982" t="n"/>
      <c r="J28" s="982" t="n"/>
      <c r="K28" s="982" t="n"/>
      <c r="L28" s="982" t="n"/>
      <c r="M28" s="982" t="n"/>
      <c r="N28" s="982" t="n"/>
      <c r="O28" s="982" t="n"/>
    </row>
    <row r="29">
      <c r="A29" s="982" t="n"/>
      <c r="B29" s="986">
        <f>'REVIEW - Complete Role Mapping'!$B$205</f>
        <v/>
      </c>
      <c r="C29" s="986">
        <f>'REVIEW - Complete Role Mapping'!$C$205</f>
        <v/>
      </c>
      <c r="D29" s="1005">
        <f>'REVIEW - Complete Role Mapping'!$AK$205</f>
        <v/>
      </c>
      <c r="E29" s="986" t="inlineStr"/>
      <c r="F29" s="986" t="inlineStr"/>
      <c r="G29" s="982" t="n"/>
      <c r="H29" s="982" t="n"/>
      <c r="I29" s="982" t="n"/>
      <c r="J29" s="982" t="n"/>
      <c r="K29" s="982" t="n"/>
      <c r="L29" s="982" t="n"/>
      <c r="M29" s="982" t="n"/>
      <c r="N29" s="982" t="n"/>
      <c r="O29" s="982" t="n"/>
    </row>
    <row r="30">
      <c r="A30" s="982" t="n"/>
      <c r="B30" s="986">
        <f>'REVIEW - Complete Role Mapping'!$B$206</f>
        <v/>
      </c>
      <c r="C30" s="986">
        <f>'REVIEW - Complete Role Mapping'!$C$206</f>
        <v/>
      </c>
      <c r="D30" s="1005">
        <f>'REVIEW - Complete Role Mapping'!$AK$206</f>
        <v/>
      </c>
      <c r="E30" s="986" t="inlineStr"/>
      <c r="F30" s="986" t="inlineStr"/>
      <c r="G30" s="982" t="n"/>
      <c r="H30" s="982" t="n"/>
      <c r="I30" s="982" t="n"/>
      <c r="J30" s="982" t="n"/>
      <c r="K30" s="982" t="n"/>
      <c r="L30" s="982" t="n"/>
      <c r="M30" s="982" t="n"/>
      <c r="N30" s="982" t="n"/>
      <c r="O30" s="982" t="n"/>
    </row>
    <row r="31">
      <c r="A31" s="982" t="n"/>
      <c r="B31" s="986">
        <f>'REVIEW - Complete Role Mapping'!$B$207</f>
        <v/>
      </c>
      <c r="C31" s="986">
        <f>'REVIEW - Complete Role Mapping'!$C$207</f>
        <v/>
      </c>
      <c r="D31" s="1005">
        <f>'REVIEW - Complete Role Mapping'!$AK$207</f>
        <v/>
      </c>
      <c r="E31" s="986" t="inlineStr"/>
      <c r="F31" s="986" t="inlineStr"/>
      <c r="G31" s="982" t="n"/>
      <c r="H31" s="982" t="n"/>
      <c r="I31" s="982" t="n"/>
      <c r="J31" s="982" t="n"/>
      <c r="K31" s="982" t="n"/>
      <c r="L31" s="982" t="n"/>
      <c r="M31" s="982" t="n"/>
      <c r="N31" s="982" t="n"/>
      <c r="O31" s="982" t="n"/>
    </row>
    <row r="32">
      <c r="A32" s="982" t="n"/>
      <c r="B32" s="986">
        <f>'REVIEW - Complete Role Mapping'!$B$208</f>
        <v/>
      </c>
      <c r="C32" s="986">
        <f>'REVIEW - Complete Role Mapping'!$C$208</f>
        <v/>
      </c>
      <c r="D32" s="1005">
        <f>'REVIEW - Complete Role Mapping'!$AK$208</f>
        <v/>
      </c>
      <c r="E32" s="986" t="inlineStr"/>
      <c r="F32" s="986" t="inlineStr"/>
      <c r="G32" s="982" t="n"/>
      <c r="H32" s="982" t="n"/>
      <c r="I32" s="982" t="n"/>
      <c r="J32" s="982" t="n"/>
      <c r="K32" s="982" t="n"/>
      <c r="L32" s="982" t="n"/>
      <c r="M32" s="982" t="n"/>
      <c r="N32" s="982" t="n"/>
      <c r="O32" s="982" t="n"/>
    </row>
    <row r="33">
      <c r="A33" s="982" t="n"/>
      <c r="B33" s="986">
        <f>'REVIEW - Complete Role Mapping'!$B$209</f>
        <v/>
      </c>
      <c r="C33" s="986">
        <f>'REVIEW - Complete Role Mapping'!$C$209</f>
        <v/>
      </c>
      <c r="D33" s="1005">
        <f>'REVIEW - Complete Role Mapping'!$AK$209</f>
        <v/>
      </c>
      <c r="E33" s="986" t="inlineStr"/>
      <c r="F33" s="986" t="inlineStr"/>
      <c r="G33" s="982" t="n"/>
      <c r="H33" s="982" t="n"/>
      <c r="I33" s="982" t="n"/>
      <c r="J33" s="982" t="n"/>
      <c r="K33" s="982" t="n"/>
      <c r="L33" s="982" t="n"/>
      <c r="M33" s="982" t="n"/>
      <c r="N33" s="982" t="n"/>
      <c r="O33" s="982" t="n"/>
    </row>
    <row r="34">
      <c r="A34" s="982" t="n"/>
      <c r="B34" s="986">
        <f>'REVIEW - Complete Role Mapping'!$B$210</f>
        <v/>
      </c>
      <c r="C34" s="986">
        <f>'REVIEW - Complete Role Mapping'!$C$210</f>
        <v/>
      </c>
      <c r="D34" s="1005">
        <f>'REVIEW - Complete Role Mapping'!$AK$210</f>
        <v/>
      </c>
      <c r="E34" s="986" t="inlineStr"/>
      <c r="F34" s="986" t="inlineStr"/>
      <c r="G34" s="982" t="n"/>
      <c r="H34" s="982" t="n"/>
      <c r="I34" s="982" t="n"/>
      <c r="J34" s="982" t="n"/>
      <c r="K34" s="982" t="n"/>
      <c r="L34" s="982" t="n"/>
      <c r="M34" s="982" t="n"/>
      <c r="N34" s="982" t="n"/>
      <c r="O34" s="982" t="n"/>
    </row>
    <row r="35">
      <c r="A35" s="982" t="n"/>
      <c r="B35" s="986">
        <f>'REVIEW - Complete Role Mapping'!$B$211</f>
        <v/>
      </c>
      <c r="C35" s="986">
        <f>'REVIEW - Complete Role Mapping'!$C$211</f>
        <v/>
      </c>
      <c r="D35" s="1005">
        <f>'REVIEW - Complete Role Mapping'!$AK$211</f>
        <v/>
      </c>
      <c r="E35" s="986" t="inlineStr"/>
      <c r="F35" s="986" t="inlineStr"/>
      <c r="G35" s="982" t="n"/>
      <c r="H35" s="982" t="n"/>
      <c r="I35" s="982" t="n"/>
      <c r="J35" s="982" t="n"/>
      <c r="K35" s="982" t="n"/>
      <c r="L35" s="982" t="n"/>
      <c r="M35" s="982" t="n"/>
      <c r="N35" s="982" t="n"/>
      <c r="O35" s="982" t="n"/>
    </row>
    <row r="36">
      <c r="A36" s="982" t="n"/>
      <c r="B36" s="986">
        <f>'REVIEW - Complete Role Mapping'!$B$212</f>
        <v/>
      </c>
      <c r="C36" s="986">
        <f>'REVIEW - Complete Role Mapping'!$C$212</f>
        <v/>
      </c>
      <c r="D36" s="1005">
        <f>'REVIEW - Complete Role Mapping'!$AK$212</f>
        <v/>
      </c>
      <c r="E36" s="986" t="inlineStr"/>
      <c r="F36" s="986" t="inlineStr"/>
      <c r="G36" s="982" t="n"/>
      <c r="H36" s="982" t="n"/>
      <c r="I36" s="982" t="n"/>
      <c r="J36" s="982" t="n"/>
      <c r="K36" s="982" t="n"/>
      <c r="L36" s="982" t="n"/>
      <c r="M36" s="982" t="n"/>
      <c r="N36" s="982" t="n"/>
      <c r="O36" s="982" t="n"/>
    </row>
    <row r="37">
      <c r="A37" s="982" t="n"/>
      <c r="B37" s="986">
        <f>'REVIEW - Complete Role Mapping'!$B$213</f>
        <v/>
      </c>
      <c r="C37" s="986">
        <f>'REVIEW - Complete Role Mapping'!$C$213</f>
        <v/>
      </c>
      <c r="D37" s="1005">
        <f>'REVIEW - Complete Role Mapping'!$AK$213</f>
        <v/>
      </c>
      <c r="E37" s="986" t="inlineStr"/>
      <c r="F37" s="986" t="inlineStr"/>
      <c r="G37" s="982" t="n"/>
      <c r="H37" s="982" t="n"/>
      <c r="I37" s="982" t="n"/>
      <c r="J37" s="982" t="n"/>
      <c r="K37" s="982" t="n"/>
      <c r="L37" s="982" t="n"/>
      <c r="M37" s="982" t="n"/>
      <c r="N37" s="982" t="n"/>
      <c r="O37" s="982" t="n"/>
    </row>
    <row r="38">
      <c r="A38" s="982" t="n"/>
      <c r="B38" s="986">
        <f>'REVIEW - Complete Role Mapping'!$B$214</f>
        <v/>
      </c>
      <c r="C38" s="986">
        <f>'REVIEW - Complete Role Mapping'!$C$214</f>
        <v/>
      </c>
      <c r="D38" s="1005">
        <f>'REVIEW - Complete Role Mapping'!$AK$214</f>
        <v/>
      </c>
      <c r="E38" s="986" t="inlineStr"/>
      <c r="F38" s="986" t="inlineStr"/>
      <c r="G38" s="982" t="n"/>
      <c r="H38" s="982" t="n"/>
      <c r="I38" s="982" t="n"/>
      <c r="J38" s="982" t="n"/>
      <c r="K38" s="982" t="n"/>
      <c r="L38" s="982" t="n"/>
      <c r="M38" s="982" t="n"/>
      <c r="N38" s="982" t="n"/>
      <c r="O38" s="982" t="n"/>
    </row>
    <row r="39">
      <c r="A39" s="982" t="n"/>
      <c r="B39" s="986">
        <f>'REVIEW - Complete Role Mapping'!$B$215</f>
        <v/>
      </c>
      <c r="C39" s="986">
        <f>'REVIEW - Complete Role Mapping'!$C$215</f>
        <v/>
      </c>
      <c r="D39" s="1005">
        <f>'REVIEW - Complete Role Mapping'!$AK$215</f>
        <v/>
      </c>
      <c r="E39" s="986" t="inlineStr"/>
      <c r="F39" s="986" t="inlineStr"/>
      <c r="G39" s="982" t="n"/>
      <c r="H39" s="982" t="n"/>
      <c r="I39" s="982" t="n"/>
      <c r="J39" s="982" t="n"/>
      <c r="K39" s="982" t="n"/>
      <c r="L39" s="982" t="n"/>
      <c r="M39" s="982" t="n"/>
      <c r="N39" s="982" t="n"/>
      <c r="O39" s="982" t="n"/>
    </row>
    <row r="40">
      <c r="A40" s="982" t="n"/>
      <c r="B40" s="986">
        <f>'REVIEW - Complete Role Mapping'!$B$216</f>
        <v/>
      </c>
      <c r="C40" s="986">
        <f>'REVIEW - Complete Role Mapping'!$C$216</f>
        <v/>
      </c>
      <c r="D40" s="1005">
        <f>'REVIEW - Complete Role Mapping'!$AK$216</f>
        <v/>
      </c>
      <c r="E40" s="986" t="inlineStr"/>
      <c r="F40" s="986" t="inlineStr"/>
      <c r="G40" s="982" t="n"/>
      <c r="H40" s="982" t="n"/>
      <c r="I40" s="982" t="n"/>
      <c r="J40" s="982" t="n"/>
      <c r="K40" s="982" t="n"/>
      <c r="L40" s="982" t="n"/>
      <c r="M40" s="982" t="n"/>
      <c r="N40" s="982" t="n"/>
      <c r="O40" s="982" t="n"/>
    </row>
    <row r="41">
      <c r="A41" s="982" t="n"/>
      <c r="B41" s="986">
        <f>'REVIEW - Complete Role Mapping'!$B$217</f>
        <v/>
      </c>
      <c r="C41" s="986">
        <f>'REVIEW - Complete Role Mapping'!$C$217</f>
        <v/>
      </c>
      <c r="D41" s="1005">
        <f>'REVIEW - Complete Role Mapping'!$AK$217</f>
        <v/>
      </c>
      <c r="E41" s="986" t="inlineStr"/>
      <c r="F41" s="986" t="inlineStr"/>
      <c r="G41" s="982" t="n"/>
      <c r="H41" s="982" t="n"/>
      <c r="I41" s="982" t="n"/>
      <c r="J41" s="982" t="n"/>
      <c r="K41" s="982" t="n"/>
      <c r="L41" s="982" t="n"/>
      <c r="M41" s="982" t="n"/>
      <c r="N41" s="982" t="n"/>
      <c r="O41" s="982" t="n"/>
    </row>
    <row r="42">
      <c r="A42" s="982" t="n"/>
      <c r="B42" s="986">
        <f>'REVIEW - Complete Role Mapping'!$B$218</f>
        <v/>
      </c>
      <c r="C42" s="986">
        <f>'REVIEW - Complete Role Mapping'!$C$218</f>
        <v/>
      </c>
      <c r="D42" s="1005">
        <f>'REVIEW - Complete Role Mapping'!$AK$218</f>
        <v/>
      </c>
      <c r="E42" s="986" t="inlineStr"/>
      <c r="F42" s="986" t="inlineStr"/>
      <c r="G42" s="982" t="n"/>
      <c r="H42" s="982" t="n"/>
      <c r="I42" s="982" t="n"/>
      <c r="J42" s="982" t="n"/>
      <c r="K42" s="982" t="n"/>
      <c r="L42" s="982" t="n"/>
      <c r="M42" s="982" t="n"/>
      <c r="N42" s="982" t="n"/>
      <c r="O42" s="982" t="n"/>
    </row>
    <row r="43">
      <c r="A43" s="982" t="n"/>
      <c r="B43" s="986">
        <f>'REVIEW - Complete Role Mapping'!$B$219</f>
        <v/>
      </c>
      <c r="C43" s="986">
        <f>'REVIEW - Complete Role Mapping'!$C$219</f>
        <v/>
      </c>
      <c r="D43" s="1005">
        <f>'REVIEW - Complete Role Mapping'!$AK$219</f>
        <v/>
      </c>
      <c r="E43" s="986" t="inlineStr"/>
      <c r="F43" s="986" t="inlineStr"/>
      <c r="G43" s="982" t="n"/>
      <c r="H43" s="982" t="n"/>
      <c r="I43" s="982" t="n"/>
      <c r="J43" s="982" t="n"/>
      <c r="K43" s="982" t="n"/>
      <c r="L43" s="982" t="n"/>
      <c r="M43" s="982" t="n"/>
      <c r="N43" s="982" t="n"/>
      <c r="O43" s="982" t="n"/>
    </row>
    <row r="44">
      <c r="A44" s="982" t="n"/>
      <c r="B44" s="986">
        <f>'REVIEW - Complete Role Mapping'!$B$220</f>
        <v/>
      </c>
      <c r="C44" s="986">
        <f>'REVIEW - Complete Role Mapping'!$C$220</f>
        <v/>
      </c>
      <c r="D44" s="1005">
        <f>'REVIEW - Complete Role Mapping'!$AK$220</f>
        <v/>
      </c>
      <c r="E44" s="986" t="inlineStr"/>
      <c r="F44" s="986" t="inlineStr"/>
      <c r="G44" s="982" t="n"/>
      <c r="H44" s="982" t="n"/>
      <c r="I44" s="982" t="n"/>
      <c r="J44" s="982" t="n"/>
      <c r="K44" s="982" t="n"/>
      <c r="L44" s="982" t="n"/>
      <c r="M44" s="982" t="n"/>
      <c r="N44" s="982" t="n"/>
      <c r="O44" s="982" t="n"/>
    </row>
    <row r="45">
      <c r="A45" s="982" t="n"/>
      <c r="B45" s="986">
        <f>'REVIEW - Complete Role Mapping'!$B$221</f>
        <v/>
      </c>
      <c r="C45" s="986">
        <f>'REVIEW - Complete Role Mapping'!$C$221</f>
        <v/>
      </c>
      <c r="D45" s="1005">
        <f>'REVIEW - Complete Role Mapping'!$AK$221</f>
        <v/>
      </c>
      <c r="E45" s="986" t="inlineStr"/>
      <c r="F45" s="986" t="inlineStr"/>
      <c r="G45" s="982" t="n"/>
      <c r="H45" s="982" t="n"/>
      <c r="I45" s="982" t="n"/>
      <c r="J45" s="982" t="n"/>
      <c r="K45" s="982" t="n"/>
      <c r="L45" s="982" t="n"/>
      <c r="M45" s="982" t="n"/>
      <c r="N45" s="982" t="n"/>
      <c r="O45" s="982" t="n"/>
    </row>
    <row r="46">
      <c r="A46" s="982" t="n"/>
      <c r="B46" s="986">
        <f>'REVIEW - Complete Role Mapping'!$B$222</f>
        <v/>
      </c>
      <c r="C46" s="986">
        <f>'REVIEW - Complete Role Mapping'!$C$222</f>
        <v/>
      </c>
      <c r="D46" s="1005">
        <f>'REVIEW - Complete Role Mapping'!$AK$222</f>
        <v/>
      </c>
      <c r="E46" s="986" t="inlineStr"/>
      <c r="F46" s="986" t="inlineStr"/>
      <c r="G46" s="982" t="n"/>
      <c r="H46" s="982" t="n"/>
      <c r="I46" s="982" t="n"/>
      <c r="J46" s="982" t="n"/>
      <c r="K46" s="982" t="n"/>
      <c r="L46" s="982" t="n"/>
      <c r="M46" s="982" t="n"/>
      <c r="N46" s="982" t="n"/>
      <c r="O46" s="982" t="n"/>
    </row>
    <row r="47">
      <c r="A47" s="982" t="n"/>
      <c r="B47" s="986">
        <f>'REVIEW - Complete Role Mapping'!$B$223</f>
        <v/>
      </c>
      <c r="C47" s="986">
        <f>'REVIEW - Complete Role Mapping'!$C$223</f>
        <v/>
      </c>
      <c r="D47" s="1005">
        <f>'REVIEW - Complete Role Mapping'!$AK$223</f>
        <v/>
      </c>
      <c r="E47" s="986" t="inlineStr"/>
      <c r="F47" s="986" t="inlineStr"/>
      <c r="G47" s="982" t="n"/>
      <c r="H47" s="982" t="n"/>
      <c r="I47" s="982" t="n"/>
      <c r="J47" s="982" t="n"/>
      <c r="K47" s="982" t="n"/>
      <c r="L47" s="982" t="n"/>
      <c r="M47" s="982" t="n"/>
      <c r="N47" s="982" t="n"/>
      <c r="O47" s="982" t="n"/>
    </row>
    <row r="48">
      <c r="A48" s="982" t="n"/>
      <c r="B48" s="986">
        <f>'REVIEW - Complete Role Mapping'!$B$224</f>
        <v/>
      </c>
      <c r="C48" s="986">
        <f>'REVIEW - Complete Role Mapping'!$C$224</f>
        <v/>
      </c>
      <c r="D48" s="1005">
        <f>'REVIEW - Complete Role Mapping'!$AK$224</f>
        <v/>
      </c>
      <c r="E48" s="986" t="inlineStr"/>
      <c r="F48" s="986" t="inlineStr"/>
      <c r="G48" s="982" t="n"/>
      <c r="H48" s="982" t="n"/>
      <c r="I48" s="982" t="n"/>
      <c r="J48" s="982" t="n"/>
      <c r="K48" s="982" t="n"/>
      <c r="L48" s="982" t="n"/>
      <c r="M48" s="982" t="n"/>
      <c r="N48" s="982" t="n"/>
      <c r="O48" s="982" t="n"/>
    </row>
    <row r="49">
      <c r="A49" s="982" t="n"/>
      <c r="B49" s="986">
        <f>'REVIEW - Complete Role Mapping'!$B$225</f>
        <v/>
      </c>
      <c r="C49" s="986">
        <f>'REVIEW - Complete Role Mapping'!$C$225</f>
        <v/>
      </c>
      <c r="D49" s="1005">
        <f>'REVIEW - Complete Role Mapping'!$AK$225</f>
        <v/>
      </c>
      <c r="E49" s="986" t="inlineStr"/>
      <c r="F49" s="986" t="inlineStr"/>
      <c r="G49" s="982" t="n"/>
      <c r="H49" s="982" t="n"/>
      <c r="I49" s="982" t="n"/>
      <c r="J49" s="982" t="n"/>
      <c r="K49" s="982" t="n"/>
      <c r="L49" s="982" t="n"/>
      <c r="M49" s="982" t="n"/>
      <c r="N49" s="982" t="n"/>
      <c r="O49" s="982" t="n"/>
    </row>
    <row r="50">
      <c r="A50" s="982" t="n"/>
      <c r="B50" s="986">
        <f>'REVIEW - Complete Role Mapping'!$B$226</f>
        <v/>
      </c>
      <c r="C50" s="986">
        <f>'REVIEW - Complete Role Mapping'!$C$226</f>
        <v/>
      </c>
      <c r="D50" s="1005">
        <f>'REVIEW - Complete Role Mapping'!$AK$226</f>
        <v/>
      </c>
      <c r="E50" s="986" t="inlineStr"/>
      <c r="F50" s="986" t="inlineStr"/>
      <c r="G50" s="982" t="n"/>
      <c r="H50" s="982" t="n"/>
      <c r="I50" s="982" t="n"/>
      <c r="J50" s="982" t="n"/>
      <c r="K50" s="982" t="n"/>
      <c r="L50" s="982" t="n"/>
      <c r="M50" s="982" t="n"/>
      <c r="N50" s="982" t="n"/>
      <c r="O50" s="982" t="n"/>
    </row>
    <row r="51">
      <c r="A51" s="982" t="n"/>
      <c r="B51" s="986">
        <f>'REVIEW - Complete Role Mapping'!$B$227</f>
        <v/>
      </c>
      <c r="C51" s="986">
        <f>'REVIEW - Complete Role Mapping'!$C$227</f>
        <v/>
      </c>
      <c r="D51" s="1005">
        <f>'REVIEW - Complete Role Mapping'!$AK$227</f>
        <v/>
      </c>
      <c r="E51" s="986" t="inlineStr"/>
      <c r="F51" s="986" t="inlineStr"/>
      <c r="G51" s="982" t="n"/>
      <c r="H51" s="982" t="n"/>
      <c r="I51" s="982" t="n"/>
      <c r="J51" s="982" t="n"/>
      <c r="K51" s="982" t="n"/>
      <c r="L51" s="982" t="n"/>
      <c r="M51" s="982" t="n"/>
      <c r="N51" s="982" t="n"/>
      <c r="O51" s="982" t="n"/>
    </row>
    <row r="52">
      <c r="A52" s="982" t="n"/>
      <c r="B52" s="986">
        <f>'REVIEW - Complete Role Mapping'!$B$228</f>
        <v/>
      </c>
      <c r="C52" s="986">
        <f>'REVIEW - Complete Role Mapping'!$C$228</f>
        <v/>
      </c>
      <c r="D52" s="1005">
        <f>'REVIEW - Complete Role Mapping'!$AK$228</f>
        <v/>
      </c>
      <c r="E52" s="986" t="inlineStr"/>
      <c r="F52" s="986" t="inlineStr"/>
      <c r="G52" s="982" t="n"/>
      <c r="H52" s="982" t="n"/>
      <c r="I52" s="982" t="n"/>
      <c r="J52" s="982" t="n"/>
      <c r="K52" s="982" t="n"/>
      <c r="L52" s="982" t="n"/>
      <c r="M52" s="982" t="n"/>
      <c r="N52" s="982" t="n"/>
      <c r="O52" s="982" t="n"/>
    </row>
    <row r="53">
      <c r="A53" s="982" t="n"/>
      <c r="B53" s="986">
        <f>'REVIEW - Complete Role Mapping'!$B$229</f>
        <v/>
      </c>
      <c r="C53" s="986">
        <f>'REVIEW - Complete Role Mapping'!$C$229</f>
        <v/>
      </c>
      <c r="D53" s="1005">
        <f>'REVIEW - Complete Role Mapping'!$AK$229</f>
        <v/>
      </c>
      <c r="E53" s="986" t="inlineStr"/>
      <c r="F53" s="986" t="inlineStr"/>
      <c r="G53" s="982" t="n"/>
      <c r="H53" s="982" t="n"/>
      <c r="I53" s="982" t="n"/>
      <c r="J53" s="982" t="n"/>
      <c r="K53" s="982" t="n"/>
      <c r="L53" s="982" t="n"/>
      <c r="M53" s="982" t="n"/>
      <c r="N53" s="982" t="n"/>
      <c r="O53" s="982" t="n"/>
    </row>
    <row r="54">
      <c r="A54" s="982" t="n"/>
      <c r="B54" s="986">
        <f>'REVIEW - Complete Role Mapping'!$B$230</f>
        <v/>
      </c>
      <c r="C54" s="986">
        <f>'REVIEW - Complete Role Mapping'!$C$230</f>
        <v/>
      </c>
      <c r="D54" s="1005">
        <f>'REVIEW - Complete Role Mapping'!$AK$230</f>
        <v/>
      </c>
      <c r="E54" s="986" t="inlineStr"/>
      <c r="F54" s="986" t="inlineStr"/>
      <c r="G54" s="982" t="n"/>
      <c r="H54" s="982" t="n"/>
      <c r="I54" s="982" t="n"/>
      <c r="J54" s="982" t="n"/>
      <c r="K54" s="982" t="n"/>
      <c r="L54" s="982" t="n"/>
      <c r="M54" s="982" t="n"/>
      <c r="N54" s="982" t="n"/>
      <c r="O54" s="982" t="n"/>
    </row>
    <row r="55">
      <c r="A55" s="982" t="n"/>
      <c r="B55" s="986">
        <f>'REVIEW - Complete Role Mapping'!$B$231</f>
        <v/>
      </c>
      <c r="C55" s="986">
        <f>'REVIEW - Complete Role Mapping'!$C$231</f>
        <v/>
      </c>
      <c r="D55" s="1005">
        <f>'REVIEW - Complete Role Mapping'!$AK$231</f>
        <v/>
      </c>
      <c r="E55" s="986" t="inlineStr"/>
      <c r="F55" s="986" t="inlineStr"/>
      <c r="G55" s="982" t="n"/>
      <c r="H55" s="982" t="n"/>
      <c r="I55" s="982" t="n"/>
      <c r="J55" s="982" t="n"/>
      <c r="K55" s="982" t="n"/>
      <c r="L55" s="982" t="n"/>
      <c r="M55" s="982" t="n"/>
      <c r="N55" s="982" t="n"/>
      <c r="O55" s="982" t="n"/>
    </row>
    <row r="56">
      <c r="A56" s="982" t="n"/>
      <c r="B56" s="986">
        <f>'REVIEW - Complete Role Mapping'!$B$232</f>
        <v/>
      </c>
      <c r="C56" s="986">
        <f>'REVIEW - Complete Role Mapping'!$C$232</f>
        <v/>
      </c>
      <c r="D56" s="1005">
        <f>'REVIEW - Complete Role Mapping'!$AK$232</f>
        <v/>
      </c>
      <c r="E56" s="986" t="inlineStr"/>
      <c r="F56" s="986" t="inlineStr"/>
      <c r="G56" s="982" t="n"/>
      <c r="H56" s="982" t="n"/>
      <c r="I56" s="982" t="n"/>
      <c r="J56" s="982" t="n"/>
      <c r="K56" s="982" t="n"/>
      <c r="L56" s="982" t="n"/>
      <c r="M56" s="982" t="n"/>
      <c r="N56" s="982" t="n"/>
      <c r="O56" s="982" t="n"/>
    </row>
    <row r="57">
      <c r="A57" s="982" t="n"/>
      <c r="B57" s="986">
        <f>'REVIEW - Complete Role Mapping'!$B$233</f>
        <v/>
      </c>
      <c r="C57" s="986">
        <f>'REVIEW - Complete Role Mapping'!$C$233</f>
        <v/>
      </c>
      <c r="D57" s="1005">
        <f>'REVIEW - Complete Role Mapping'!$AK$233</f>
        <v/>
      </c>
      <c r="E57" s="1006" t="inlineStr">
        <is>
          <t>Hold</t>
        </is>
      </c>
      <c r="F57" s="1007">
        <f>'REVIEW - Complete Role Mapping'!$AA$233</f>
        <v/>
      </c>
      <c r="G57" s="982" t="n"/>
      <c r="H57" s="982" t="n"/>
      <c r="I57" s="982" t="n"/>
      <c r="J57" s="982" t="n"/>
      <c r="K57" s="982" t="n"/>
      <c r="L57" s="982" t="n"/>
      <c r="M57" s="982" t="n"/>
      <c r="N57" s="982" t="n"/>
      <c r="O57" s="982" t="n"/>
    </row>
    <row r="58">
      <c r="A58" s="982" t="n"/>
      <c r="B58" s="986">
        <f>'REVIEW - Complete Role Mapping'!$B$234</f>
        <v/>
      </c>
      <c r="C58" s="986">
        <f>'REVIEW - Complete Role Mapping'!$C$234</f>
        <v/>
      </c>
      <c r="D58" s="1005">
        <f>'REVIEW - Complete Role Mapping'!$AK$234</f>
        <v/>
      </c>
      <c r="E58" s="1006" t="inlineStr">
        <is>
          <t>Hold</t>
        </is>
      </c>
      <c r="F58" s="1007">
        <f>'REVIEW - Complete Role Mapping'!$AA$234</f>
        <v/>
      </c>
      <c r="G58" s="982" t="n"/>
      <c r="H58" s="982" t="n"/>
      <c r="I58" s="982" t="n"/>
      <c r="J58" s="982" t="n"/>
      <c r="K58" s="982" t="n"/>
      <c r="L58" s="982" t="n"/>
      <c r="M58" s="982" t="n"/>
      <c r="N58" s="982" t="n"/>
      <c r="O58" s="982" t="n"/>
    </row>
    <row r="59">
      <c r="A59" s="982" t="n"/>
      <c r="B59" s="986">
        <f>'REVIEW - Complete Role Mapping'!$B$235</f>
        <v/>
      </c>
      <c r="C59" s="986">
        <f>'REVIEW - Complete Role Mapping'!$C$235</f>
        <v/>
      </c>
      <c r="D59" s="1005">
        <f>'REVIEW - Complete Role Mapping'!$AK$235</f>
        <v/>
      </c>
      <c r="E59" s="1006" t="inlineStr">
        <is>
          <t>Hold</t>
        </is>
      </c>
      <c r="F59" s="1007">
        <f>'REVIEW - Complete Role Mapping'!$AA$235</f>
        <v/>
      </c>
      <c r="G59" s="982" t="n"/>
      <c r="H59" s="982" t="n"/>
      <c r="I59" s="982" t="n"/>
      <c r="J59" s="982" t="n"/>
      <c r="K59" s="982" t="n"/>
      <c r="L59" s="982" t="n"/>
      <c r="M59" s="982" t="n"/>
      <c r="N59" s="982" t="n"/>
      <c r="O59" s="982" t="n"/>
    </row>
    <row r="60">
      <c r="A60" s="982" t="n"/>
      <c r="B60" s="986">
        <f>'REVIEW - Complete Role Mapping'!$B$236</f>
        <v/>
      </c>
      <c r="C60" s="986">
        <f>'REVIEW - Complete Role Mapping'!$C$236</f>
        <v/>
      </c>
      <c r="D60" s="1005">
        <f>'REVIEW - Complete Role Mapping'!$AK$236</f>
        <v/>
      </c>
      <c r="E60" s="1006" t="inlineStr">
        <is>
          <t>Hold</t>
        </is>
      </c>
      <c r="F60" s="1007">
        <f>'REVIEW - Complete Role Mapping'!$AA$236</f>
        <v/>
      </c>
      <c r="G60" s="982" t="n"/>
      <c r="H60" s="982" t="n"/>
      <c r="I60" s="982" t="n"/>
      <c r="J60" s="982" t="n"/>
      <c r="K60" s="982" t="n"/>
      <c r="L60" s="982" t="n"/>
      <c r="M60" s="982" t="n"/>
      <c r="N60" s="982" t="n"/>
      <c r="O60" s="982" t="n"/>
    </row>
    <row r="61">
      <c r="A61" s="982" t="n"/>
      <c r="B61" s="986">
        <f>'REVIEW - Complete Role Mapping'!$B$237</f>
        <v/>
      </c>
      <c r="C61" s="986">
        <f>'REVIEW - Complete Role Mapping'!$C$237</f>
        <v/>
      </c>
      <c r="D61" s="1005">
        <f>'REVIEW - Complete Role Mapping'!$AK$237</f>
        <v/>
      </c>
      <c r="E61" s="986" t="inlineStr"/>
      <c r="F61" s="986" t="inlineStr"/>
      <c r="G61" s="982" t="n"/>
      <c r="H61" s="982" t="n"/>
      <c r="I61" s="982" t="n"/>
      <c r="J61" s="982" t="n"/>
      <c r="K61" s="982" t="n"/>
      <c r="L61" s="982" t="n"/>
      <c r="M61" s="982" t="n"/>
      <c r="N61" s="982" t="n"/>
      <c r="O61" s="982" t="n"/>
    </row>
    <row r="62">
      <c r="A62" s="982" t="n"/>
      <c r="B62" s="986">
        <f>'REVIEW - Complete Role Mapping'!$B$238</f>
        <v/>
      </c>
      <c r="C62" s="986">
        <f>'REVIEW - Complete Role Mapping'!$C$238</f>
        <v/>
      </c>
      <c r="D62" s="1005">
        <f>'REVIEW - Complete Role Mapping'!$AK$238</f>
        <v/>
      </c>
      <c r="E62" s="986" t="inlineStr"/>
      <c r="F62" s="986" t="inlineStr"/>
      <c r="G62" s="982" t="n"/>
      <c r="H62" s="982" t="n"/>
      <c r="I62" s="982" t="n"/>
      <c r="J62" s="982" t="n"/>
      <c r="K62" s="982" t="n"/>
      <c r="L62" s="982" t="n"/>
      <c r="M62" s="982" t="n"/>
      <c r="N62" s="982" t="n"/>
      <c r="O62" s="982" t="n"/>
    </row>
    <row r="63">
      <c r="A63" s="982" t="n"/>
      <c r="B63" s="1003" t="n"/>
      <c r="C63" s="1003" t="n"/>
      <c r="D63" s="1003" t="n"/>
      <c r="E63" s="1001" t="n"/>
      <c r="F63" s="1003" t="n"/>
      <c r="G63" s="982" t="n"/>
      <c r="H63" s="982" t="n"/>
      <c r="I63" s="982" t="n"/>
      <c r="J63" s="982" t="n"/>
      <c r="K63" s="982" t="n"/>
      <c r="L63" s="982" t="n"/>
      <c r="M63" s="982" t="n"/>
      <c r="N63" s="982" t="n"/>
      <c r="O63" s="982" t="n"/>
    </row>
    <row r="64">
      <c r="A64" s="982" t="n"/>
      <c r="B64" s="1003" t="n"/>
      <c r="C64" s="1003" t="n"/>
      <c r="D64" s="1003" t="n"/>
      <c r="E64" s="982" t="n"/>
      <c r="F64" s="982" t="n"/>
      <c r="G64" s="982" t="n"/>
      <c r="H64" s="982" t="n"/>
      <c r="I64" s="982" t="n"/>
      <c r="J64" s="982" t="n"/>
      <c r="K64" s="982" t="n"/>
      <c r="L64" s="982" t="n"/>
      <c r="M64" s="982" t="n"/>
      <c r="N64" s="982" t="n"/>
      <c r="O64" s="982"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57 E58 E59 E60" showDropDown="0" showInputMessage="0" showErrorMessage="0" allowBlank="0"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O40"/>
  <sheetViews>
    <sheetView showGridLines="0" topLeftCell="A3"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bestFit="1"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1"/>
    <col width="16" customWidth="1" style="849" min="12" max="12"/>
    <col width="26" customWidth="1" style="849" min="13" max="13"/>
    <col width="16" customWidth="1" style="849" min="14" max="14"/>
    <col width="14" customWidth="1" style="849" min="15" max="15"/>
  </cols>
  <sheetData>
    <row r="2" ht="18.5" customHeight="1" s="849">
      <c r="B2" s="1009" t="inlineStr">
        <is>
          <t>COE BP&amp;T - working copy</t>
        </is>
      </c>
    </row>
    <row r="3">
      <c r="A3" s="982" t="n"/>
      <c r="B3" s="982" t="n"/>
      <c r="C3" s="982" t="n"/>
      <c r="D3" s="982" t="n"/>
      <c r="E3" s="982" t="n"/>
      <c r="F3" s="982" t="n"/>
      <c r="G3" s="982" t="n"/>
    </row>
    <row r="4">
      <c r="A4" s="982" t="n"/>
      <c r="B4" s="983" t="inlineStr">
        <is>
          <t>Position by squad - archetype vs actual, with the vacancy lever</t>
        </is>
      </c>
      <c r="C4" s="982" t="n"/>
      <c r="D4" s="982" t="n"/>
      <c r="E4" s="982" t="n"/>
      <c r="F4" s="982" t="n"/>
      <c r="G4" s="982" t="n"/>
    </row>
    <row r="5">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(all roles)</t>
        </is>
      </c>
      <c r="C6" s="987">
        <f>IFERROR(INDEX('3.3 FTE View'!$E:$E,MATCH("COE BP&amp;T|(all roles)",'3.3 FTE View'!$AD:$AD,0)),"-")</f>
        <v/>
      </c>
      <c r="D6" s="988">
        <f>IFERROR(INDEX('3.3 FTE View'!$G:$G,MATCH("COE BP&amp;T|(all roles)",'3.3 FTE View'!$AD:$AD,0)),"-")</f>
        <v/>
      </c>
      <c r="E6" s="989">
        <f>COUNTIF($D$17:$D$40,"Filled")</f>
        <v/>
      </c>
      <c r="F6" s="989">
        <f>COUNTIF($D$17:$D$40,"Vacant")</f>
        <v/>
      </c>
      <c r="G6" s="989">
        <f>COUNTIF($E$17:$E$40,"Hire")</f>
        <v/>
      </c>
      <c r="H6" s="989">
        <f>F6-G6-COUNTIF($E$17:$E$40,"Offshore")</f>
        <v/>
      </c>
      <c r="I6" s="989">
        <f>IFERROR(E6+G6-D6,"-")</f>
        <v/>
      </c>
      <c r="J6" s="986">
        <f>IF(ISNUMBER(D6),IF(E6&gt;D6,"Filled already over archetype",IF(E6+G6&gt;D6,"Over archetype after hire","")),"Outside the archetype model - no target set")</f>
        <v/>
      </c>
      <c r="K6" s="990">
        <f>IFERROR(INDEX('3.3 FTE View'!$M:$M,MATCH("COE BP&amp;T|(all roles)",'3.3 FTE View'!$AD:$AD,0)),"-")</f>
        <v/>
      </c>
      <c r="L6" s="991">
        <f>(SUMIFS('REVIEW - Complete Role Mapping'!$AA:$AA,'REVIEW - Complete Role Mapping'!$AJ:$AJ,"COE BP&amp;T",'REVIEW - Complete Role Mapping'!$AO:$AO,"(all roles)",'REVIEW - Complete Role Mapping'!$AK:$AK,"Filled"))/1000000</f>
        <v/>
      </c>
      <c r="M6" s="991">
        <f>L6+(SUMIFS($F$17:$F$40,$E$17:$E$40,"Hire")+0.4*SUMIFS($F$17:$F$40,$E$17:$E$40,"Offshore"))/1000000</f>
        <v/>
      </c>
      <c r="N6" s="991">
        <f>IFERROR(M6-K6,"-")</f>
        <v/>
      </c>
      <c r="O6" s="987">
        <f>IFERROR(INDEX('3.3 FTE View'!$F:$F,MATCH("COE BP&amp;T|(all roles)",'3.3 FTE View'!$AD:$AD,0)),"-")</f>
        <v/>
      </c>
    </row>
    <row r="7">
      <c r="A7" s="982" t="n"/>
      <c r="B7" s="993" t="inlineStr">
        <is>
          <t>Total</t>
        </is>
      </c>
      <c r="C7" s="993" t="inlineStr"/>
      <c r="D7" s="994">
        <f>SUM(D6:D6)</f>
        <v/>
      </c>
      <c r="E7" s="994">
        <f>SUM(E6:E6)</f>
        <v/>
      </c>
      <c r="F7" s="994">
        <f>SUM(F6:F6)</f>
        <v/>
      </c>
      <c r="G7" s="994">
        <f>SUM(G6:G6)</f>
        <v/>
      </c>
      <c r="H7" s="994">
        <f>SUM(H6:H6)</f>
        <v/>
      </c>
      <c r="I7" s="994">
        <f>SUM(I6:I6)</f>
        <v/>
      </c>
      <c r="J7" s="993" t="inlineStr"/>
      <c r="K7" s="995">
        <f>SUM(K6:K6)</f>
        <v/>
      </c>
      <c r="L7" s="995">
        <f>SUM(L6:L6)</f>
        <v/>
      </c>
      <c r="M7" s="995">
        <f>SUM(M6:M6)</f>
        <v/>
      </c>
      <c r="N7" s="995">
        <f>SUM(N6:N6)</f>
        <v/>
      </c>
      <c r="O7" s="993" t="inlineStr"/>
    </row>
    <row r="8">
      <c r="A8" s="982" t="n"/>
      <c r="B8" s="996" t="inlineStr">
        <is>
          <t>Cost to hire all vacancies ($m)</t>
        </is>
      </c>
      <c r="C8" s="1008" t="n"/>
      <c r="D8" s="982" t="n"/>
      <c r="E8" s="997">
        <f>SUMIFS($F$16:$F$40,$D$16:$D$40,"Vacant")/1000000</f>
        <v/>
      </c>
      <c r="F8" s="982" t="n"/>
      <c r="G8" s="982" t="n"/>
    </row>
    <row r="9">
      <c r="A9" s="982" t="n"/>
      <c r="B9" s="996" t="inlineStr">
        <is>
          <t>Cost of roles marked Hire ($m)</t>
        </is>
      </c>
      <c r="C9" s="1008" t="n"/>
      <c r="D9" s="982" t="n"/>
      <c r="E9" s="997">
        <f>SUMIF($E$16:$E$40,"Hire",$F$16:$F$40)/1000000</f>
        <v/>
      </c>
      <c r="F9" s="982" t="n"/>
      <c r="G9" s="982" t="n"/>
    </row>
    <row r="10">
      <c r="A10" s="982" t="n"/>
      <c r="B10" s="998" t="inlineStr">
        <is>
          <t>Vacant roles are priced at standard title rates - indicative until an offer is made.</t>
        </is>
      </c>
      <c r="C10" s="1008" t="n"/>
      <c r="D10" s="982" t="n"/>
      <c r="E10" s="982" t="n"/>
      <c r="F10" s="982" t="n"/>
      <c r="G10" s="982" t="n"/>
    </row>
    <row r="11">
      <c r="A11" s="982" t="n"/>
      <c r="B11" s="998" t="inlineStr">
        <is>
          <t>"-" in the archetype columns means this real squad has no design archetype target; the comparison sits at portfolio level on 3.2.</t>
        </is>
      </c>
      <c r="C11" s="1008" t="n"/>
      <c r="D11" s="982" t="n"/>
      <c r="E11" s="982" t="n"/>
      <c r="F11" s="982" t="n"/>
      <c r="G11" s="982" t="n"/>
    </row>
    <row r="12">
      <c r="A12" s="982" t="n"/>
      <c r="B12" s="982" t="n"/>
      <c r="C12" s="982" t="n"/>
      <c r="D12" s="982" t="n"/>
      <c r="E12" s="982" t="n"/>
      <c r="F12" s="982" t="n"/>
      <c r="G12" s="982" t="n"/>
    </row>
    <row r="13">
      <c r="A13" s="982" t="n"/>
      <c r="B13" s="999" t="n"/>
      <c r="C13" s="999" t="n"/>
      <c r="D13" s="999" t="n"/>
      <c r="E13" s="999" t="n"/>
      <c r="F13" s="999" t="n"/>
      <c r="G13" s="999" t="n"/>
    </row>
    <row r="14">
      <c r="A14" s="982" t="n"/>
      <c r="B14" s="1002" t="inlineStr">
        <is>
          <t>COE BP&amp;T FTE</t>
        </is>
      </c>
      <c r="C14" s="1008" t="n"/>
      <c r="D14" s="1008" t="n"/>
      <c r="E14" s="1008" t="n"/>
      <c r="F14" s="982" t="n"/>
      <c r="G14" s="982" t="n"/>
    </row>
    <row r="15">
      <c r="A15" s="982" t="n"/>
      <c r="B15" s="985" t="inlineStr">
        <is>
          <t>Name</t>
        </is>
      </c>
      <c r="C15" s="985" t="inlineStr">
        <is>
          <t>Role</t>
        </is>
      </c>
      <c r="D15" s="985" t="inlineStr">
        <is>
          <t>Status</t>
        </is>
      </c>
      <c r="E15" s="985" t="inlineStr">
        <is>
          <t>Vacancy lever</t>
        </is>
      </c>
      <c r="F15" s="985" t="inlineStr">
        <is>
          <t>Cost if hired ($)</t>
        </is>
      </c>
      <c r="G15" s="982" t="n"/>
    </row>
    <row r="16">
      <c r="A16" s="982" t="n"/>
      <c r="B16" s="1004" t="inlineStr">
        <is>
          <t>(all roles)</t>
        </is>
      </c>
      <c r="C16" s="1004" t="inlineStr"/>
      <c r="D16" s="1004" t="inlineStr"/>
      <c r="E16" s="1004" t="inlineStr"/>
      <c r="F16" s="1004" t="inlineStr"/>
      <c r="G16" s="982" t="n"/>
    </row>
    <row r="17">
      <c r="A17" s="982" t="n"/>
      <c r="B17" s="986">
        <f>'REVIEW - Complete Role Mapping'!$B$255</f>
        <v/>
      </c>
      <c r="C17" s="986">
        <f>'REVIEW - Complete Role Mapping'!$C$255</f>
        <v/>
      </c>
      <c r="D17" s="1005">
        <f>'REVIEW - Complete Role Mapping'!$AK$255</f>
        <v/>
      </c>
      <c r="E17" s="986" t="inlineStr"/>
      <c r="F17" s="986" t="inlineStr"/>
      <c r="G17" s="982" t="n"/>
    </row>
    <row r="18">
      <c r="A18" s="982" t="n"/>
      <c r="B18" s="986">
        <f>'REVIEW - Complete Role Mapping'!$B$256</f>
        <v/>
      </c>
      <c r="C18" s="986">
        <f>'REVIEW - Complete Role Mapping'!$C$256</f>
        <v/>
      </c>
      <c r="D18" s="1005">
        <f>'REVIEW - Complete Role Mapping'!$AK$256</f>
        <v/>
      </c>
      <c r="E18" s="986" t="inlineStr"/>
      <c r="F18" s="986" t="inlineStr"/>
      <c r="G18" s="982" t="n"/>
    </row>
    <row r="19">
      <c r="A19" s="982" t="n"/>
      <c r="B19" s="986">
        <f>'REVIEW - Complete Role Mapping'!$B$257</f>
        <v/>
      </c>
      <c r="C19" s="986">
        <f>'REVIEW - Complete Role Mapping'!$C$257</f>
        <v/>
      </c>
      <c r="D19" s="1005">
        <f>'REVIEW - Complete Role Mapping'!$AK$257</f>
        <v/>
      </c>
      <c r="E19" s="986" t="inlineStr"/>
      <c r="F19" s="986" t="inlineStr"/>
      <c r="G19" s="982" t="n"/>
    </row>
    <row r="20">
      <c r="A20" s="982" t="n"/>
      <c r="B20" s="986">
        <f>'REVIEW - Complete Role Mapping'!$B$258</f>
        <v/>
      </c>
      <c r="C20" s="986">
        <f>'REVIEW - Complete Role Mapping'!$C$258</f>
        <v/>
      </c>
      <c r="D20" s="1005">
        <f>'REVIEW - Complete Role Mapping'!$AK$258</f>
        <v/>
      </c>
      <c r="E20" s="986" t="inlineStr"/>
      <c r="F20" s="986" t="inlineStr"/>
      <c r="G20" s="982" t="n"/>
    </row>
    <row r="21">
      <c r="A21" s="982" t="n"/>
      <c r="B21" s="986">
        <f>'REVIEW - Complete Role Mapping'!$B$259</f>
        <v/>
      </c>
      <c r="C21" s="986">
        <f>'REVIEW - Complete Role Mapping'!$C$259</f>
        <v/>
      </c>
      <c r="D21" s="1005">
        <f>'REVIEW - Complete Role Mapping'!$AK$259</f>
        <v/>
      </c>
      <c r="E21" s="986" t="inlineStr"/>
      <c r="F21" s="986" t="inlineStr"/>
      <c r="G21" s="982" t="n"/>
    </row>
    <row r="22">
      <c r="A22" s="982" t="n"/>
      <c r="B22" s="986">
        <f>'REVIEW - Complete Role Mapping'!$B$260</f>
        <v/>
      </c>
      <c r="C22" s="986">
        <f>'REVIEW - Complete Role Mapping'!$C$260</f>
        <v/>
      </c>
      <c r="D22" s="1005">
        <f>'REVIEW - Complete Role Mapping'!$AK$260</f>
        <v/>
      </c>
      <c r="E22" s="986" t="inlineStr"/>
      <c r="F22" s="986" t="inlineStr"/>
      <c r="G22" s="982" t="n"/>
    </row>
    <row r="23">
      <c r="A23" s="982" t="n"/>
      <c r="B23" s="986">
        <f>'REVIEW - Complete Role Mapping'!$B$261</f>
        <v/>
      </c>
      <c r="C23" s="986">
        <f>'REVIEW - Complete Role Mapping'!$C$261</f>
        <v/>
      </c>
      <c r="D23" s="1005">
        <f>'REVIEW - Complete Role Mapping'!$AK$261</f>
        <v/>
      </c>
      <c r="E23" s="986" t="inlineStr"/>
      <c r="F23" s="986" t="inlineStr"/>
      <c r="G23" s="982" t="n"/>
    </row>
    <row r="24">
      <c r="A24" s="982" t="n"/>
      <c r="B24" s="986">
        <f>'REVIEW - Complete Role Mapping'!$B$262</f>
        <v/>
      </c>
      <c r="C24" s="986">
        <f>'REVIEW - Complete Role Mapping'!$C$262</f>
        <v/>
      </c>
      <c r="D24" s="1005">
        <f>'REVIEW - Complete Role Mapping'!$AK$262</f>
        <v/>
      </c>
      <c r="E24" s="986" t="inlineStr"/>
      <c r="F24" s="986" t="inlineStr"/>
      <c r="G24" s="982" t="n"/>
    </row>
    <row r="25">
      <c r="A25" s="982" t="n"/>
      <c r="B25" s="986">
        <f>'REVIEW - Complete Role Mapping'!$B$263</f>
        <v/>
      </c>
      <c r="C25" s="986">
        <f>'REVIEW - Complete Role Mapping'!$C$263</f>
        <v/>
      </c>
      <c r="D25" s="1005">
        <f>'REVIEW - Complete Role Mapping'!$AK$263</f>
        <v/>
      </c>
      <c r="E25" s="986" t="inlineStr"/>
      <c r="F25" s="986" t="inlineStr"/>
      <c r="G25" s="982" t="n"/>
    </row>
    <row r="26">
      <c r="A26" s="982" t="n"/>
      <c r="B26" s="986">
        <f>'REVIEW - Complete Role Mapping'!$B$264</f>
        <v/>
      </c>
      <c r="C26" s="986">
        <f>'REVIEW - Complete Role Mapping'!$C$264</f>
        <v/>
      </c>
      <c r="D26" s="1005">
        <f>'REVIEW - Complete Role Mapping'!$AK$264</f>
        <v/>
      </c>
      <c r="E26" s="986" t="inlineStr"/>
      <c r="F26" s="986" t="inlineStr"/>
      <c r="G26" s="982" t="n"/>
    </row>
    <row r="27">
      <c r="A27" s="982" t="n"/>
      <c r="B27" s="986">
        <f>'REVIEW - Complete Role Mapping'!$B$265</f>
        <v/>
      </c>
      <c r="C27" s="986">
        <f>'REVIEW - Complete Role Mapping'!$C$265</f>
        <v/>
      </c>
      <c r="D27" s="1005">
        <f>'REVIEW - Complete Role Mapping'!$AK$265</f>
        <v/>
      </c>
      <c r="E27" s="986" t="inlineStr"/>
      <c r="F27" s="986" t="inlineStr"/>
      <c r="G27" s="982" t="n"/>
    </row>
    <row r="28">
      <c r="A28" s="982" t="n"/>
      <c r="B28" s="986">
        <f>'REVIEW - Complete Role Mapping'!$B$266</f>
        <v/>
      </c>
      <c r="C28" s="986">
        <f>'REVIEW - Complete Role Mapping'!$C$266</f>
        <v/>
      </c>
      <c r="D28" s="1005">
        <f>'REVIEW - Complete Role Mapping'!$AK$266</f>
        <v/>
      </c>
      <c r="E28" s="986" t="inlineStr"/>
      <c r="F28" s="986" t="inlineStr"/>
      <c r="G28" s="1008" t="n"/>
    </row>
    <row r="29">
      <c r="A29" s="982" t="n"/>
      <c r="B29" s="986">
        <f>'REVIEW - Complete Role Mapping'!$B$267</f>
        <v/>
      </c>
      <c r="C29" s="986">
        <f>'REVIEW - Complete Role Mapping'!$C$267</f>
        <v/>
      </c>
      <c r="D29" s="1005">
        <f>'REVIEW - Complete Role Mapping'!$AK$267</f>
        <v/>
      </c>
      <c r="E29" s="986" t="inlineStr"/>
      <c r="F29" s="986" t="inlineStr"/>
      <c r="G29" s="1008" t="n"/>
    </row>
    <row r="30">
      <c r="A30" s="982" t="n"/>
      <c r="B30" s="986">
        <f>'REVIEW - Complete Role Mapping'!$B$268</f>
        <v/>
      </c>
      <c r="C30" s="986">
        <f>'REVIEW - Complete Role Mapping'!$C$268</f>
        <v/>
      </c>
      <c r="D30" s="1005">
        <f>'REVIEW - Complete Role Mapping'!$AK$268</f>
        <v/>
      </c>
      <c r="E30" s="986" t="inlineStr"/>
      <c r="F30" s="986" t="inlineStr"/>
      <c r="G30" s="1008" t="n"/>
    </row>
    <row r="31">
      <c r="A31" s="982" t="n"/>
      <c r="B31" s="986">
        <f>'REVIEW - Complete Role Mapping'!$B$269</f>
        <v/>
      </c>
      <c r="C31" s="986">
        <f>'REVIEW - Complete Role Mapping'!$C$269</f>
        <v/>
      </c>
      <c r="D31" s="1005">
        <f>'REVIEW - Complete Role Mapping'!$AK$269</f>
        <v/>
      </c>
      <c r="E31" s="1006" t="inlineStr">
        <is>
          <t>Hold</t>
        </is>
      </c>
      <c r="F31" s="1007">
        <f>'REVIEW - Complete Role Mapping'!$AA$269</f>
        <v/>
      </c>
      <c r="G31" s="1008" t="n"/>
    </row>
    <row r="32">
      <c r="A32" s="982" t="n"/>
      <c r="B32" s="986">
        <f>'REVIEW - Complete Role Mapping'!$B$270</f>
        <v/>
      </c>
      <c r="C32" s="986">
        <f>'REVIEW - Complete Role Mapping'!$C$270</f>
        <v/>
      </c>
      <c r="D32" s="1005">
        <f>'REVIEW - Complete Role Mapping'!$AK$270</f>
        <v/>
      </c>
      <c r="E32" s="1006" t="inlineStr">
        <is>
          <t>Hold</t>
        </is>
      </c>
      <c r="F32" s="1007">
        <f>'REVIEW - Complete Role Mapping'!$AA$270</f>
        <v/>
      </c>
      <c r="G32" s="1008" t="n"/>
    </row>
    <row r="33">
      <c r="A33" s="982" t="n"/>
      <c r="B33" s="986">
        <f>'REVIEW - Complete Role Mapping'!$B$271</f>
        <v/>
      </c>
      <c r="C33" s="986">
        <f>'REVIEW - Complete Role Mapping'!$C$271</f>
        <v/>
      </c>
      <c r="D33" s="1005">
        <f>'REVIEW - Complete Role Mapping'!$AK$271</f>
        <v/>
      </c>
      <c r="E33" s="1006" t="inlineStr">
        <is>
          <t>Hold</t>
        </is>
      </c>
      <c r="F33" s="1007">
        <f>'REVIEW - Complete Role Mapping'!$AA$271</f>
        <v/>
      </c>
      <c r="G33" s="1008" t="n"/>
    </row>
    <row r="34">
      <c r="A34" s="982" t="n"/>
      <c r="B34" s="986">
        <f>'REVIEW - Complete Role Mapping'!$B$272</f>
        <v/>
      </c>
      <c r="C34" s="986">
        <f>'REVIEW - Complete Role Mapping'!$C$272</f>
        <v/>
      </c>
      <c r="D34" s="1005">
        <f>'REVIEW - Complete Role Mapping'!$AK$272</f>
        <v/>
      </c>
      <c r="E34" s="1006" t="inlineStr">
        <is>
          <t>Hold</t>
        </is>
      </c>
      <c r="F34" s="1007">
        <f>'REVIEW - Complete Role Mapping'!$AA$272</f>
        <v/>
      </c>
      <c r="G34" s="1008" t="n"/>
    </row>
    <row r="35">
      <c r="A35" s="982" t="n"/>
      <c r="B35" s="986">
        <f>'REVIEW - Complete Role Mapping'!$B$273</f>
        <v/>
      </c>
      <c r="C35" s="986">
        <f>'REVIEW - Complete Role Mapping'!$C$273</f>
        <v/>
      </c>
      <c r="D35" s="1005">
        <f>'REVIEW - Complete Role Mapping'!$AK$273</f>
        <v/>
      </c>
      <c r="E35" s="1006" t="inlineStr">
        <is>
          <t>Hold</t>
        </is>
      </c>
      <c r="F35" s="1007">
        <f>'REVIEW - Complete Role Mapping'!$AA$273</f>
        <v/>
      </c>
      <c r="G35" s="1008" t="n"/>
    </row>
    <row r="36">
      <c r="A36" s="982" t="n"/>
      <c r="B36" s="986">
        <f>'REVIEW - Complete Role Mapping'!$B$274</f>
        <v/>
      </c>
      <c r="C36" s="986">
        <f>'REVIEW - Complete Role Mapping'!$C$274</f>
        <v/>
      </c>
      <c r="D36" s="1005">
        <f>'REVIEW - Complete Role Mapping'!$AK$274</f>
        <v/>
      </c>
      <c r="E36" s="1006" t="inlineStr">
        <is>
          <t>Hold</t>
        </is>
      </c>
      <c r="F36" s="1007">
        <f>'REVIEW - Complete Role Mapping'!$AA$274</f>
        <v/>
      </c>
      <c r="G36" s="1008" t="n"/>
    </row>
    <row r="37">
      <c r="A37" s="982" t="n"/>
      <c r="B37" s="986">
        <f>'REVIEW - Complete Role Mapping'!$B$275</f>
        <v/>
      </c>
      <c r="C37" s="986">
        <f>'REVIEW - Complete Role Mapping'!$C$275</f>
        <v/>
      </c>
      <c r="D37" s="1005">
        <f>'REVIEW - Complete Role Mapping'!$AK$275</f>
        <v/>
      </c>
      <c r="E37" s="1006" t="inlineStr">
        <is>
          <t>Hold</t>
        </is>
      </c>
      <c r="F37" s="1007">
        <f>'REVIEW - Complete Role Mapping'!$AA$275</f>
        <v/>
      </c>
      <c r="G37" s="982" t="n"/>
    </row>
    <row r="38">
      <c r="A38" s="982" t="n"/>
      <c r="B38" s="986">
        <f>'REVIEW - Complete Role Mapping'!$B$276</f>
        <v/>
      </c>
      <c r="C38" s="986">
        <f>'REVIEW - Complete Role Mapping'!$C$276</f>
        <v/>
      </c>
      <c r="D38" s="1005">
        <f>'REVIEW - Complete Role Mapping'!$AK$276</f>
        <v/>
      </c>
      <c r="E38" s="1006" t="inlineStr">
        <is>
          <t>Hold</t>
        </is>
      </c>
      <c r="F38" s="1007">
        <f>'REVIEW - Complete Role Mapping'!$AA$276</f>
        <v/>
      </c>
      <c r="G38" s="982" t="n"/>
    </row>
    <row r="39">
      <c r="A39" s="982" t="n"/>
      <c r="B39" s="986">
        <f>'REVIEW - Complete Role Mapping'!$B$277</f>
        <v/>
      </c>
      <c r="C39" s="986">
        <f>'REVIEW - Complete Role Mapping'!$C$277</f>
        <v/>
      </c>
      <c r="D39" s="1005">
        <f>'REVIEW - Complete Role Mapping'!$AK$277</f>
        <v/>
      </c>
      <c r="E39" s="1006" t="inlineStr">
        <is>
          <t>Hold</t>
        </is>
      </c>
      <c r="F39" s="1007">
        <f>'REVIEW - Complete Role Mapping'!$AA$277</f>
        <v/>
      </c>
      <c r="G39" s="982" t="n"/>
    </row>
    <row r="40">
      <c r="B40" s="986">
        <f>'REVIEW - Complete Role Mapping'!$B$278</f>
        <v/>
      </c>
      <c r="C40" s="986">
        <f>'REVIEW - Complete Role Mapping'!$C$278</f>
        <v/>
      </c>
      <c r="D40" s="1005">
        <f>'REVIEW - Complete Role Mapping'!$AK$278</f>
        <v/>
      </c>
      <c r="E40" s="986" t="inlineStr"/>
      <c r="F40" s="986" t="inlineStr"/>
    </row>
  </sheetData>
  <dataValidations count="1">
    <dataValidation sqref="E31 E32 E33 E34 E35 E36 E37 E38 E39" showDropDown="0" showInputMessage="0" showErrorMessage="0"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O44"/>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1"/>
    <col width="16" customWidth="1" style="849" min="12" max="12"/>
    <col width="26" customWidth="1" style="849" min="13" max="13"/>
    <col width="16" customWidth="1" style="849" min="14" max="14"/>
    <col width="14" customWidth="1" style="849" min="15" max="15"/>
  </cols>
  <sheetData>
    <row r="2" ht="18.5" customHeight="1" s="849">
      <c r="B2" s="1009" t="inlineStr">
        <is>
          <t>COE SA&amp;D - working copy</t>
        </is>
      </c>
    </row>
    <row r="3">
      <c r="A3" s="982" t="n"/>
      <c r="B3" s="982" t="n"/>
      <c r="C3" s="982" t="n"/>
      <c r="D3" s="982" t="n"/>
      <c r="E3" s="982" t="n"/>
      <c r="F3" s="982" t="n"/>
      <c r="G3" s="982" t="n"/>
    </row>
    <row r="4">
      <c r="A4" s="982" t="n"/>
      <c r="B4" s="983" t="inlineStr">
        <is>
          <t>Position by squad - archetype vs actual, with the vacancy lever</t>
        </is>
      </c>
      <c r="C4" s="982" t="n"/>
      <c r="D4" s="982" t="n"/>
      <c r="E4" s="982" t="n"/>
      <c r="F4" s="982" t="n"/>
      <c r="G4" s="982" t="n"/>
    </row>
    <row r="5">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(unassigned)</t>
        </is>
      </c>
      <c r="C6" s="987">
        <f>IFERROR(INDEX('3.3 FTE View'!$E:$E,MATCH("COE SA&amp;D|(unassigned)",'3.3 FTE View'!$AD:$AD,0)),"-")</f>
        <v/>
      </c>
      <c r="D6" s="988">
        <f>IFERROR(INDEX('3.3 FTE View'!$G:$G,MATCH("COE SA&amp;D|(unassigned)",'3.3 FTE View'!$AD:$AD,0)),"-")</f>
        <v/>
      </c>
      <c r="E6" s="989">
        <f>COUNTIF($D$18:$D$39,"Filled")</f>
        <v/>
      </c>
      <c r="F6" s="989">
        <f>COUNTIF($D$18:$D$39,"Vacant")</f>
        <v/>
      </c>
      <c r="G6" s="989">
        <f>COUNTIF($E$18:$E$39,"Hire")</f>
        <v/>
      </c>
      <c r="H6" s="989">
        <f>F6-G6-COUNTIF($E$18:$E$39,"Offshore")</f>
        <v/>
      </c>
      <c r="I6" s="989">
        <f>IFERROR(E6+G6-D6,"-")</f>
        <v/>
      </c>
      <c r="J6" s="986">
        <f>IF(ISNUMBER(D6),IF(E6&gt;D6,"Filled already over archetype",IF(E6+G6&gt;D6,"Over archetype after hire","")),"Outside the archetype model - no target set")</f>
        <v/>
      </c>
      <c r="K6" s="990">
        <f>IFERROR(INDEX('3.3 FTE View'!$M:$M,MATCH("COE SA&amp;D|(unassigned)",'3.3 FTE View'!$AD:$AD,0)),"-")</f>
        <v/>
      </c>
      <c r="L6" s="991">
        <f>(SUMIFS('REVIEW - Complete Role Mapping'!$AA:$AA,'REVIEW - Complete Role Mapping'!$AJ:$AJ,"COE SA&amp;D",'REVIEW - Complete Role Mapping'!$AO:$AO,"(unassigned)",'REVIEW - Complete Role Mapping'!$AK:$AK,"Filled"))/1000000</f>
        <v/>
      </c>
      <c r="M6" s="991">
        <f>L6+(SUMIFS($F$18:$F$39,$E$18:$E$39,"Hire")+0.4*SUMIFS($F$18:$F$39,$E$18:$E$39,"Offshore"))/1000000</f>
        <v/>
      </c>
      <c r="N6" s="991">
        <f>IFERROR(M6-K6,"-")</f>
        <v/>
      </c>
      <c r="O6" s="987">
        <f>IFERROR(INDEX('3.3 FTE View'!$F:$F,MATCH("COE SA&amp;D|(unassigned)",'3.3 FTE View'!$AD:$AD,0)),"-")</f>
        <v/>
      </c>
    </row>
    <row r="7">
      <c r="A7" s="982" t="n"/>
      <c r="B7" s="992" t="inlineStr">
        <is>
          <t>Data Platform</t>
        </is>
      </c>
      <c r="C7" s="987">
        <f>IFERROR(INDEX('3.3 FTE View'!$E:$E,MATCH("COE SA&amp;D|Data Platform",'3.3 FTE View'!$AD:$AD,0)),"-")</f>
        <v/>
      </c>
      <c r="D7" s="988">
        <f>IFERROR(INDEX('3.3 FTE View'!$G:$G,MATCH("COE SA&amp;D|Data Platform",'3.3 FTE View'!$AD:$AD,0)),"-")</f>
        <v/>
      </c>
      <c r="E7" s="989">
        <f>COUNTIF($D$41:$D$41,"Filled")</f>
        <v/>
      </c>
      <c r="F7" s="989">
        <f>COUNTIF($D$41:$D$41,"Vacant")</f>
        <v/>
      </c>
      <c r="G7" s="989">
        <f>COUNTIF($E$41:$E$41,"Hire")</f>
        <v/>
      </c>
      <c r="H7" s="989">
        <f>F7-G7-COUNTIF($E$41:$E$41,"Offshore")</f>
        <v/>
      </c>
      <c r="I7" s="989">
        <f>IFERROR(E7+G7-D7,"-")</f>
        <v/>
      </c>
      <c r="J7" s="986">
        <f>IF(ISNUMBER(D7),IF(E7&gt;D7,"Filled already over archetype",IF(E7+G7&gt;D7,"Over archetype after hire","")),"Outside the archetype model - no target set")</f>
        <v/>
      </c>
      <c r="K7" s="990">
        <f>IFERROR(INDEX('3.3 FTE View'!$M:$M,MATCH("COE SA&amp;D|Data Platform",'3.3 FTE View'!$AD:$AD,0)),"-")</f>
        <v/>
      </c>
      <c r="L7" s="991">
        <f>(SUMIFS('REVIEW - Complete Role Mapping'!$AA:$AA,'REVIEW - Complete Role Mapping'!$AJ:$AJ,"COE SA&amp;D",'REVIEW - Complete Role Mapping'!$AO:$AO,"Data Platform",'REVIEW - Complete Role Mapping'!$AK:$AK,"Filled"))/1000000</f>
        <v/>
      </c>
      <c r="M7" s="991">
        <f>L7+(SUMIFS($F$41:$F$41,$E$41:$E$41,"Hire")+0.4*SUMIFS($F$41:$F$41,$E$41:$E$41,"Offshore"))/1000000</f>
        <v/>
      </c>
      <c r="N7" s="991">
        <f>IFERROR(M7-K7,"-")</f>
        <v/>
      </c>
      <c r="O7" s="987">
        <f>IFERROR(INDEX('3.3 FTE View'!$F:$F,MATCH("COE SA&amp;D|Data Platform",'3.3 FTE View'!$AD:$AD,0)),"-")</f>
        <v/>
      </c>
    </row>
    <row r="8">
      <c r="A8" s="982" t="n"/>
      <c r="B8" s="993" t="inlineStr">
        <is>
          <t>Total</t>
        </is>
      </c>
      <c r="C8" s="993" t="inlineStr"/>
      <c r="D8" s="994">
        <f>SUM(D6:D7)</f>
        <v/>
      </c>
      <c r="E8" s="994">
        <f>SUM(E6:E7)</f>
        <v/>
      </c>
      <c r="F8" s="994">
        <f>SUM(F6:F7)</f>
        <v/>
      </c>
      <c r="G8" s="994">
        <f>SUM(G6:G7)</f>
        <v/>
      </c>
      <c r="H8" s="994">
        <f>SUM(H6:H7)</f>
        <v/>
      </c>
      <c r="I8" s="994">
        <f>SUM(I6:I7)</f>
        <v/>
      </c>
      <c r="J8" s="993" t="inlineStr"/>
      <c r="K8" s="995">
        <f>SUM(K6:K7)</f>
        <v/>
      </c>
      <c r="L8" s="995">
        <f>SUM(L6:L7)</f>
        <v/>
      </c>
      <c r="M8" s="995">
        <f>SUM(M6:M7)</f>
        <v/>
      </c>
      <c r="N8" s="995">
        <f>SUM(N6:N7)</f>
        <v/>
      </c>
      <c r="O8" s="993" t="inlineStr"/>
    </row>
    <row r="9">
      <c r="A9" s="982" t="n"/>
      <c r="B9" s="996" t="inlineStr">
        <is>
          <t>Cost to hire all vacancies ($m)</t>
        </is>
      </c>
      <c r="C9" s="1008" t="n"/>
      <c r="D9" s="982" t="n"/>
      <c r="E9" s="997">
        <f>SUMIFS($F$17:$F$41,$D$17:$D$41,"Vacant")/1000000</f>
        <v/>
      </c>
      <c r="F9" s="982" t="n"/>
      <c r="G9" s="982" t="n"/>
    </row>
    <row r="10">
      <c r="A10" s="982" t="n"/>
      <c r="B10" s="996" t="inlineStr">
        <is>
          <t>Cost of roles marked Hire ($m)</t>
        </is>
      </c>
      <c r="C10" s="1008" t="n"/>
      <c r="D10" s="982" t="n"/>
      <c r="E10" s="997">
        <f>SUMIF($E$17:$E$41,"Hire",$F$17:$F$41)/1000000</f>
        <v/>
      </c>
      <c r="F10" s="982" t="n"/>
      <c r="G10" s="982" t="n"/>
    </row>
    <row r="11">
      <c r="A11" s="982" t="n"/>
      <c r="B11" s="998" t="inlineStr">
        <is>
          <t>Vacant roles are priced at standard title rates - indicative until an offer is made.</t>
        </is>
      </c>
      <c r="C11" s="1008" t="n"/>
      <c r="D11" s="982" t="n"/>
      <c r="E11" s="982" t="n"/>
      <c r="F11" s="982" t="n"/>
      <c r="G11" s="982" t="n"/>
    </row>
    <row r="12">
      <c r="A12" s="982" t="n"/>
      <c r="B12" s="998" t="inlineStr">
        <is>
          <t>"-" in the archetype columns means this real squad has no design archetype target; the comparison sits at portfolio level on 3.2.</t>
        </is>
      </c>
      <c r="C12" s="982" t="n"/>
      <c r="D12" s="982" t="n"/>
      <c r="E12" s="982" t="n"/>
      <c r="F12" s="982" t="n"/>
      <c r="G12" s="982" t="n"/>
    </row>
    <row r="13">
      <c r="A13" s="982" t="n"/>
      <c r="B13" s="999" t="n"/>
      <c r="C13" s="999" t="n"/>
      <c r="D13" s="999" t="n"/>
      <c r="E13" s="999" t="n"/>
      <c r="F13" s="999" t="n"/>
      <c r="G13" s="999" t="n"/>
    </row>
    <row r="14">
      <c r="A14" s="982" t="n"/>
      <c r="B14" s="1008" t="n"/>
      <c r="C14" s="1008" t="n"/>
      <c r="D14" s="1008" t="n"/>
      <c r="E14" s="1008" t="n"/>
      <c r="F14" s="982" t="n"/>
      <c r="G14" s="982" t="n"/>
    </row>
    <row r="15">
      <c r="A15" s="982" t="n"/>
      <c r="B15" s="1002" t="inlineStr">
        <is>
          <t>COE SA&amp;D FTE</t>
        </is>
      </c>
      <c r="C15" s="1008" t="n"/>
      <c r="D15" s="1008" t="n"/>
      <c r="E15" s="1008" t="n"/>
      <c r="F15" s="982" t="n"/>
      <c r="G15" s="982" t="n"/>
    </row>
    <row r="16" ht="29" customHeight="1" s="849">
      <c r="A16" s="982" t="n"/>
      <c r="B16" s="985" t="inlineStr">
        <is>
          <t>Name</t>
        </is>
      </c>
      <c r="C16" s="985" t="inlineStr">
        <is>
          <t>Role</t>
        </is>
      </c>
      <c r="D16" s="985" t="inlineStr">
        <is>
          <t>Status</t>
        </is>
      </c>
      <c r="E16" s="985" t="inlineStr">
        <is>
          <t>Vacancy lever</t>
        </is>
      </c>
      <c r="F16" s="985" t="inlineStr">
        <is>
          <t>Cost if hired ($)</t>
        </is>
      </c>
      <c r="G16" s="982" t="n"/>
    </row>
    <row r="17">
      <c r="A17" s="982" t="n"/>
      <c r="B17" s="1004" t="inlineStr">
        <is>
          <t>(unassigned)</t>
        </is>
      </c>
      <c r="C17" s="1004" t="inlineStr"/>
      <c r="D17" s="1004" t="inlineStr"/>
      <c r="E17" s="1004" t="inlineStr"/>
      <c r="F17" s="1004" t="inlineStr"/>
      <c r="G17" s="982" t="n"/>
    </row>
    <row r="18">
      <c r="A18" s="982" t="n"/>
      <c r="B18" s="986">
        <f>'REVIEW - Complete Role Mapping'!$B$282</f>
        <v/>
      </c>
      <c r="C18" s="986">
        <f>'REVIEW - Complete Role Mapping'!$C$282</f>
        <v/>
      </c>
      <c r="D18" s="1005">
        <f>'REVIEW - Complete Role Mapping'!$AK$282</f>
        <v/>
      </c>
      <c r="E18" s="986" t="inlineStr"/>
      <c r="F18" s="986" t="inlineStr"/>
      <c r="G18" s="982" t="n"/>
    </row>
    <row r="19">
      <c r="A19" s="982" t="n"/>
      <c r="B19" s="986">
        <f>'REVIEW - Complete Role Mapping'!$B$287</f>
        <v/>
      </c>
      <c r="C19" s="986">
        <f>'REVIEW - Complete Role Mapping'!$C$287</f>
        <v/>
      </c>
      <c r="D19" s="1005">
        <f>'REVIEW - Complete Role Mapping'!$AK$287</f>
        <v/>
      </c>
      <c r="E19" s="986" t="inlineStr"/>
      <c r="F19" s="986" t="inlineStr"/>
      <c r="G19" s="982" t="n"/>
    </row>
    <row r="20">
      <c r="A20" s="982" t="n"/>
      <c r="B20" s="986">
        <f>'REVIEW - Complete Role Mapping'!$B$288</f>
        <v/>
      </c>
      <c r="C20" s="986">
        <f>'REVIEW - Complete Role Mapping'!$C$288</f>
        <v/>
      </c>
      <c r="D20" s="1005">
        <f>'REVIEW - Complete Role Mapping'!$AK$288</f>
        <v/>
      </c>
      <c r="E20" s="986" t="inlineStr"/>
      <c r="F20" s="986" t="inlineStr"/>
      <c r="G20" s="982" t="n"/>
    </row>
    <row r="21">
      <c r="A21" s="982" t="n"/>
      <c r="B21" s="986">
        <f>'REVIEW - Complete Role Mapping'!$B$291</f>
        <v/>
      </c>
      <c r="C21" s="986">
        <f>'REVIEW - Complete Role Mapping'!$C$291</f>
        <v/>
      </c>
      <c r="D21" s="1005">
        <f>'REVIEW - Complete Role Mapping'!$AK$291</f>
        <v/>
      </c>
      <c r="E21" s="986" t="inlineStr"/>
      <c r="F21" s="986" t="inlineStr"/>
      <c r="G21" s="982" t="n"/>
    </row>
    <row r="22">
      <c r="A22" s="982" t="n"/>
      <c r="B22" s="986">
        <f>'REVIEW - Complete Role Mapping'!$B$292</f>
        <v/>
      </c>
      <c r="C22" s="986">
        <f>'REVIEW - Complete Role Mapping'!$C$292</f>
        <v/>
      </c>
      <c r="D22" s="1005">
        <f>'REVIEW - Complete Role Mapping'!$AK$292</f>
        <v/>
      </c>
      <c r="E22" s="986" t="inlineStr"/>
      <c r="F22" s="986" t="inlineStr"/>
      <c r="G22" s="982" t="n"/>
    </row>
    <row r="23">
      <c r="A23" s="982" t="n"/>
      <c r="B23" s="986">
        <f>'REVIEW - Complete Role Mapping'!$B$294</f>
        <v/>
      </c>
      <c r="C23" s="986">
        <f>'REVIEW - Complete Role Mapping'!$C$294</f>
        <v/>
      </c>
      <c r="D23" s="1005">
        <f>'REVIEW - Complete Role Mapping'!$AK$294</f>
        <v/>
      </c>
      <c r="E23" s="986" t="inlineStr"/>
      <c r="F23" s="986" t="inlineStr"/>
      <c r="G23" s="982" t="n"/>
    </row>
    <row r="24">
      <c r="A24" s="982" t="n"/>
      <c r="B24" s="986">
        <f>'REVIEW - Complete Role Mapping'!$B$299</f>
        <v/>
      </c>
      <c r="C24" s="986">
        <f>'REVIEW - Complete Role Mapping'!$C$299</f>
        <v/>
      </c>
      <c r="D24" s="1005">
        <f>'REVIEW - Complete Role Mapping'!$AK$299</f>
        <v/>
      </c>
      <c r="E24" s="986" t="inlineStr"/>
      <c r="F24" s="986" t="inlineStr"/>
      <c r="G24" s="982" t="n"/>
    </row>
    <row r="25">
      <c r="A25" s="982" t="n"/>
      <c r="B25" s="986">
        <f>'REVIEW - Complete Role Mapping'!$B$300</f>
        <v/>
      </c>
      <c r="C25" s="986">
        <f>'REVIEW - Complete Role Mapping'!$C$300</f>
        <v/>
      </c>
      <c r="D25" s="1005">
        <f>'REVIEW - Complete Role Mapping'!$AK$300</f>
        <v/>
      </c>
      <c r="E25" s="986" t="inlineStr"/>
      <c r="F25" s="986" t="inlineStr"/>
      <c r="G25" s="1008" t="n"/>
    </row>
    <row r="26">
      <c r="A26" s="982" t="n"/>
      <c r="B26" s="986">
        <f>'REVIEW - Complete Role Mapping'!$B$302</f>
        <v/>
      </c>
      <c r="C26" s="986">
        <f>'REVIEW - Complete Role Mapping'!$C$302</f>
        <v/>
      </c>
      <c r="D26" s="1005">
        <f>'REVIEW - Complete Role Mapping'!$AK$302</f>
        <v/>
      </c>
      <c r="E26" s="986" t="inlineStr"/>
      <c r="F26" s="986" t="inlineStr"/>
      <c r="G26" s="1008" t="n"/>
    </row>
    <row r="27">
      <c r="A27" s="982" t="n"/>
      <c r="B27" s="986">
        <f>'REVIEW - Complete Role Mapping'!$B$303</f>
        <v/>
      </c>
      <c r="C27" s="986">
        <f>'REVIEW - Complete Role Mapping'!$C$303</f>
        <v/>
      </c>
      <c r="D27" s="1005">
        <f>'REVIEW - Complete Role Mapping'!$AK$303</f>
        <v/>
      </c>
      <c r="E27" s="1006" t="inlineStr">
        <is>
          <t>Hold</t>
        </is>
      </c>
      <c r="F27" s="1007">
        <f>'REVIEW - Complete Role Mapping'!$AA$303</f>
        <v/>
      </c>
      <c r="G27" s="1008" t="n"/>
    </row>
    <row r="28">
      <c r="A28" s="982" t="n"/>
      <c r="B28" s="986">
        <f>'REVIEW - Complete Role Mapping'!$B$304</f>
        <v/>
      </c>
      <c r="C28" s="986">
        <f>'REVIEW - Complete Role Mapping'!$C$304</f>
        <v/>
      </c>
      <c r="D28" s="1005">
        <f>'REVIEW - Complete Role Mapping'!$AK$304</f>
        <v/>
      </c>
      <c r="E28" s="1006" t="inlineStr">
        <is>
          <t>Hold</t>
        </is>
      </c>
      <c r="F28" s="1007">
        <f>'REVIEW - Complete Role Mapping'!$AA$304</f>
        <v/>
      </c>
      <c r="G28" s="1008" t="n"/>
    </row>
    <row r="29">
      <c r="A29" s="982" t="n"/>
      <c r="B29" s="986">
        <f>'REVIEW - Complete Role Mapping'!$B$305</f>
        <v/>
      </c>
      <c r="C29" s="986">
        <f>'REVIEW - Complete Role Mapping'!$C$305</f>
        <v/>
      </c>
      <c r="D29" s="1005">
        <f>'REVIEW - Complete Role Mapping'!$AK$305</f>
        <v/>
      </c>
      <c r="E29" s="1006" t="inlineStr">
        <is>
          <t>Hold</t>
        </is>
      </c>
      <c r="F29" s="1007">
        <f>'REVIEW - Complete Role Mapping'!$AA$305</f>
        <v/>
      </c>
      <c r="G29" s="982" t="n"/>
    </row>
    <row r="30">
      <c r="A30" s="982" t="n"/>
      <c r="B30" s="986">
        <f>'REVIEW - Complete Role Mapping'!$B$306</f>
        <v/>
      </c>
      <c r="C30" s="986">
        <f>'REVIEW - Complete Role Mapping'!$C$306</f>
        <v/>
      </c>
      <c r="D30" s="1005">
        <f>'REVIEW - Complete Role Mapping'!$AK$306</f>
        <v/>
      </c>
      <c r="E30" s="986" t="inlineStr"/>
      <c r="F30" s="986" t="inlineStr"/>
      <c r="G30" s="982" t="n"/>
    </row>
    <row r="31">
      <c r="A31" s="982" t="n"/>
      <c r="B31" s="986">
        <f>'REVIEW - Complete Role Mapping'!$B$309</f>
        <v/>
      </c>
      <c r="C31" s="986">
        <f>'REVIEW - Complete Role Mapping'!$C$309</f>
        <v/>
      </c>
      <c r="D31" s="1005">
        <f>'REVIEW - Complete Role Mapping'!$AK$309</f>
        <v/>
      </c>
      <c r="E31" s="986" t="inlineStr"/>
      <c r="F31" s="986" t="inlineStr"/>
      <c r="G31" s="982" t="n"/>
    </row>
    <row r="32">
      <c r="A32" s="982" t="n"/>
      <c r="B32" s="986">
        <f>'REVIEW - Complete Role Mapping'!$B$321</f>
        <v/>
      </c>
      <c r="C32" s="986">
        <f>'REVIEW - Complete Role Mapping'!$C$321</f>
        <v/>
      </c>
      <c r="D32" s="1005">
        <f>'REVIEW - Complete Role Mapping'!$AK$321</f>
        <v/>
      </c>
      <c r="E32" s="1006" t="inlineStr">
        <is>
          <t>Hold</t>
        </is>
      </c>
      <c r="F32" s="1007">
        <f>'REVIEW - Complete Role Mapping'!$AA$321</f>
        <v/>
      </c>
      <c r="G32" s="1008" t="n"/>
    </row>
    <row r="33">
      <c r="A33" s="982" t="n"/>
      <c r="B33" s="986">
        <f>'REVIEW - Complete Role Mapping'!$B$322</f>
        <v/>
      </c>
      <c r="C33" s="986">
        <f>'REVIEW - Complete Role Mapping'!$C$322</f>
        <v/>
      </c>
      <c r="D33" s="1005">
        <f>'REVIEW - Complete Role Mapping'!$AK$322</f>
        <v/>
      </c>
      <c r="E33" s="1006" t="inlineStr">
        <is>
          <t>Hold</t>
        </is>
      </c>
      <c r="F33" s="1007">
        <f>'REVIEW - Complete Role Mapping'!$AA$322</f>
        <v/>
      </c>
      <c r="G33" s="1008" t="n"/>
    </row>
    <row r="34">
      <c r="A34" s="982" t="n"/>
      <c r="B34" s="986">
        <f>'REVIEW - Complete Role Mapping'!$B$323</f>
        <v/>
      </c>
      <c r="C34" s="986">
        <f>'REVIEW - Complete Role Mapping'!$C$323</f>
        <v/>
      </c>
      <c r="D34" s="1005">
        <f>'REVIEW - Complete Role Mapping'!$AK$323</f>
        <v/>
      </c>
      <c r="E34" s="1006" t="inlineStr">
        <is>
          <t>Hold</t>
        </is>
      </c>
      <c r="F34" s="1007">
        <f>'REVIEW - Complete Role Mapping'!$AA$323</f>
        <v/>
      </c>
      <c r="G34" s="1008" t="n"/>
    </row>
    <row r="35">
      <c r="A35" s="982" t="n"/>
      <c r="B35" s="986">
        <f>'REVIEW - Complete Role Mapping'!$B$324</f>
        <v/>
      </c>
      <c r="C35" s="986">
        <f>'REVIEW - Complete Role Mapping'!$C$324</f>
        <v/>
      </c>
      <c r="D35" s="1005">
        <f>'REVIEW - Complete Role Mapping'!$AK$324</f>
        <v/>
      </c>
      <c r="E35" s="1006" t="inlineStr">
        <is>
          <t>Hold</t>
        </is>
      </c>
      <c r="F35" s="1007">
        <f>'REVIEW - Complete Role Mapping'!$AA$324</f>
        <v/>
      </c>
      <c r="G35" s="1008" t="n"/>
    </row>
    <row r="36">
      <c r="A36" s="982" t="n"/>
      <c r="B36" s="986">
        <f>'REVIEW - Complete Role Mapping'!$B$325</f>
        <v/>
      </c>
      <c r="C36" s="986">
        <f>'REVIEW - Complete Role Mapping'!$C$325</f>
        <v/>
      </c>
      <c r="D36" s="1005">
        <f>'REVIEW - Complete Role Mapping'!$AK$325</f>
        <v/>
      </c>
      <c r="E36" s="1006" t="inlineStr">
        <is>
          <t>Hold</t>
        </is>
      </c>
      <c r="F36" s="1007">
        <f>'REVIEW - Complete Role Mapping'!$AA$325</f>
        <v/>
      </c>
      <c r="G36" s="1008" t="n"/>
    </row>
    <row r="37">
      <c r="A37" s="982" t="n"/>
      <c r="B37" s="986">
        <f>'REVIEW - Complete Role Mapping'!$B$326</f>
        <v/>
      </c>
      <c r="C37" s="986">
        <f>'REVIEW - Complete Role Mapping'!$C$326</f>
        <v/>
      </c>
      <c r="D37" s="1005">
        <f>'REVIEW - Complete Role Mapping'!$AK$326</f>
        <v/>
      </c>
      <c r="E37" s="1006" t="inlineStr">
        <is>
          <t>Hold</t>
        </is>
      </c>
      <c r="F37" s="1007">
        <f>'REVIEW - Complete Role Mapping'!$AA$326</f>
        <v/>
      </c>
      <c r="G37" s="1008" t="n"/>
    </row>
    <row r="38">
      <c r="A38" s="982" t="n"/>
      <c r="B38" s="986">
        <f>'REVIEW - Complete Role Mapping'!$B$327</f>
        <v/>
      </c>
      <c r="C38" s="986">
        <f>'REVIEW - Complete Role Mapping'!$C$327</f>
        <v/>
      </c>
      <c r="D38" s="1005">
        <f>'REVIEW - Complete Role Mapping'!$AK$327</f>
        <v/>
      </c>
      <c r="E38" s="1006" t="inlineStr">
        <is>
          <t>Hold</t>
        </is>
      </c>
      <c r="F38" s="1007">
        <f>'REVIEW - Complete Role Mapping'!$AA$327</f>
        <v/>
      </c>
      <c r="G38" s="1008" t="n"/>
    </row>
    <row r="39">
      <c r="A39" s="982" t="n"/>
      <c r="B39" s="986">
        <f>'REVIEW - Complete Role Mapping'!$B$328</f>
        <v/>
      </c>
      <c r="C39" s="986">
        <f>'REVIEW - Complete Role Mapping'!$C$328</f>
        <v/>
      </c>
      <c r="D39" s="1005">
        <f>'REVIEW - Complete Role Mapping'!$AK$328</f>
        <v/>
      </c>
      <c r="E39" s="1006" t="inlineStr">
        <is>
          <t>Hold</t>
        </is>
      </c>
      <c r="F39" s="1007">
        <f>'REVIEW - Complete Role Mapping'!$AA$328</f>
        <v/>
      </c>
      <c r="G39" s="1008" t="n"/>
    </row>
    <row r="40">
      <c r="A40" s="982" t="n"/>
      <c r="B40" s="1004" t="inlineStr">
        <is>
          <t>Data Platform</t>
        </is>
      </c>
      <c r="C40" s="1004" t="inlineStr"/>
      <c r="D40" s="1004" t="inlineStr"/>
      <c r="E40" s="1004" t="inlineStr"/>
      <c r="F40" s="1004" t="inlineStr"/>
      <c r="G40" s="1008" t="n"/>
    </row>
    <row r="41">
      <c r="A41" s="982" t="n"/>
      <c r="B41" s="986">
        <f>'REVIEW - Complete Role Mapping'!$B$293</f>
        <v/>
      </c>
      <c r="C41" s="986">
        <f>'REVIEW - Complete Role Mapping'!$C$293</f>
        <v/>
      </c>
      <c r="D41" s="1005">
        <f>'REVIEW - Complete Role Mapping'!$AK$293</f>
        <v/>
      </c>
      <c r="E41" s="986" t="inlineStr"/>
      <c r="F41" s="986" t="inlineStr"/>
      <c r="G41" s="1008" t="n"/>
    </row>
    <row r="42">
      <c r="A42" s="982" t="n"/>
      <c r="B42" s="1008" t="n"/>
      <c r="C42" s="1008" t="n"/>
      <c r="D42" s="1008" t="n"/>
      <c r="E42" s="1008" t="n"/>
      <c r="F42" s="1008" t="n"/>
      <c r="G42" s="1008" t="n"/>
    </row>
    <row r="43">
      <c r="A43" s="982" t="n"/>
      <c r="B43" s="982" t="n"/>
      <c r="C43" s="982" t="n"/>
      <c r="D43" s="982" t="n"/>
      <c r="E43" s="982" t="n"/>
      <c r="F43" s="982" t="n"/>
      <c r="G43" s="982" t="n"/>
    </row>
    <row r="44">
      <c r="A44" s="982" t="n"/>
      <c r="B44" s="1008" t="n"/>
      <c r="C44" s="982" t="n"/>
      <c r="D44" s="982" t="n"/>
      <c r="E44" s="982" t="n"/>
      <c r="F44" s="982" t="n"/>
      <c r="G44" s="982" t="n"/>
    </row>
  </sheetData>
  <dataValidations count="1">
    <dataValidation sqref="E27 E28 E29 E32 E33 E34 E35 E36 E37 E38 E39" showDropDown="0" showInputMessage="0" showErrorMessage="0"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1"/>
    <col width="16" customWidth="1" style="849" min="12" max="12"/>
    <col width="26" customWidth="1" style="849" min="13" max="13"/>
    <col width="16" customWidth="1" style="849" min="14" max="14"/>
    <col width="14" customWidth="1" style="849" min="15" max="15"/>
  </cols>
  <sheetData>
    <row r="2" ht="18.5" customHeight="1" s="849">
      <c r="B2" s="1009" t="inlineStr">
        <is>
          <t>EGI &amp; Central - working copy</t>
        </is>
      </c>
    </row>
    <row r="3">
      <c r="A3" s="982" t="n"/>
      <c r="B3" s="982" t="n"/>
      <c r="C3" s="982" t="n"/>
      <c r="D3" s="982" t="n"/>
      <c r="E3" s="982" t="n"/>
      <c r="F3" s="982" t="n"/>
      <c r="G3" s="982" t="n"/>
    </row>
    <row r="4">
      <c r="A4" s="982" t="n"/>
      <c r="B4" s="983" t="inlineStr">
        <is>
          <t>Position by squad - archetype vs actual, with the vacancy lever</t>
        </is>
      </c>
      <c r="C4" s="982" t="n"/>
      <c r="D4" s="982" t="n"/>
      <c r="E4" s="982" t="n"/>
      <c r="F4" s="982" t="n"/>
      <c r="G4" s="982" t="n"/>
    </row>
    <row r="5">
      <c r="A5" s="982" t="n"/>
      <c r="B5" s="985" t="inlineStr">
        <is>
          <t>Squad</t>
        </is>
      </c>
      <c r="C5" s="985" t="inlineStr">
        <is>
          <t>Archetype type</t>
        </is>
      </c>
      <c r="D5" s="985" t="inlineStr">
        <is>
          <t>Archetype roles</t>
        </is>
      </c>
      <c r="E5" s="985" t="inlineStr">
        <is>
          <t>Filled</t>
        </is>
      </c>
      <c r="F5" s="985" t="inlineStr">
        <is>
          <t>Vacant</t>
        </is>
      </c>
      <c r="G5" s="985" t="inlineStr">
        <is>
          <t>Planning to hire</t>
        </is>
      </c>
      <c r="H5" s="985" t="inlineStr">
        <is>
          <t>Vacancies remaining</t>
        </is>
      </c>
      <c r="I5" s="985" t="inlineStr">
        <is>
          <t>vs archetype</t>
        </is>
      </c>
      <c r="J5" s="985" t="inlineStr">
        <is>
          <t>Flag</t>
        </is>
      </c>
      <c r="K5" s="985" t="inlineStr">
        <is>
          <t>Archetype cost ($m)</t>
        </is>
      </c>
      <c r="L5" s="985" t="inlineStr">
        <is>
          <t>Actual cost ($m)</t>
        </is>
      </c>
      <c r="M5" s="985" t="inlineStr">
        <is>
          <t>Cost after vacancy decisions ($m)</t>
        </is>
      </c>
      <c r="N5" s="985" t="inlineStr">
        <is>
          <t>New Variance ($m)</t>
        </is>
      </c>
      <c r="O5" s="985" t="inlineStr">
        <is>
          <t>Archetype size</t>
        </is>
      </c>
    </row>
    <row r="6">
      <c r="A6" s="982" t="n"/>
      <c r="B6" s="986" t="inlineStr">
        <is>
          <t>EGI</t>
        </is>
      </c>
      <c r="C6" s="987">
        <f>IFERROR(INDEX('3.3 FTE View'!$E:$E,MATCH("EGI &amp; Central|EGI",'3.3 FTE View'!$AD:$AD,0)),"-")</f>
        <v/>
      </c>
      <c r="D6" s="988">
        <f>IFERROR(INDEX('3.3 FTE View'!$G:$G,MATCH("EGI &amp; Central|EGI",'3.3 FTE View'!$AD:$AD,0)),"-")</f>
        <v/>
      </c>
      <c r="E6" s="989">
        <f>COUNTIF($D$17:$D$33,"Filled")</f>
        <v/>
      </c>
      <c r="F6" s="989">
        <f>COUNTIF($D$17:$D$33,"Vacant")</f>
        <v/>
      </c>
      <c r="G6" s="989">
        <f>COUNTIF($E$17:$E$33,"Hire")</f>
        <v/>
      </c>
      <c r="H6" s="989">
        <f>F6-G6-COUNTIF($E$17:$E$33,"Offshore")</f>
        <v/>
      </c>
      <c r="I6" s="989">
        <f>IFERROR(E6+G6-D6,"-")</f>
        <v/>
      </c>
      <c r="J6" s="986">
        <f>IF(ISNUMBER(D6),IF(E6&gt;D6,"Filled already over archetype",IF(E6+G6&gt;D6,"Over archetype after hire","")),"Outside the archetype model - no target set")</f>
        <v/>
      </c>
      <c r="K6" s="990">
        <f>IFERROR(INDEX('3.3 FTE View'!$M:$M,MATCH("EGI &amp; Central|EGI",'3.3 FTE View'!$AD:$AD,0)),"-")</f>
        <v/>
      </c>
      <c r="L6" s="991">
        <f>(SUMIFS('REVIEW - Complete Role Mapping'!$AA:$AA,'REVIEW - Complete Role Mapping'!$AJ:$AJ,"EGI &amp; Central",'REVIEW - Complete Role Mapping'!$AO:$AO,"EGI",'REVIEW - Complete Role Mapping'!$AK:$AK,"Filled"))/1000000</f>
        <v/>
      </c>
      <c r="M6" s="991">
        <f>L6+(SUMIFS($F$17:$F$33,$E$17:$E$33,"Hire")+0.4*SUMIFS($F$17:$F$33,$E$17:$E$33,"Offshore"))/1000000</f>
        <v/>
      </c>
      <c r="N6" s="991">
        <f>IFERROR(M6-K6,"-")</f>
        <v/>
      </c>
      <c r="O6" s="987">
        <f>IFERROR(INDEX('3.3 FTE View'!$F:$F,MATCH("EGI &amp; Central|EGI",'3.3 FTE View'!$AD:$AD,0)),"-")</f>
        <v/>
      </c>
    </row>
    <row r="7">
      <c r="A7" s="982" t="n"/>
      <c r="B7" s="993" t="inlineStr">
        <is>
          <t>Total</t>
        </is>
      </c>
      <c r="C7" s="993" t="inlineStr"/>
      <c r="D7" s="994">
        <f>SUM(D6:D6)</f>
        <v/>
      </c>
      <c r="E7" s="994">
        <f>SUM(E6:E6)</f>
        <v/>
      </c>
      <c r="F7" s="994">
        <f>SUM(F6:F6)</f>
        <v/>
      </c>
      <c r="G7" s="994">
        <f>SUM(G6:G6)</f>
        <v/>
      </c>
      <c r="H7" s="994">
        <f>SUM(H6:H6)</f>
        <v/>
      </c>
      <c r="I7" s="994">
        <f>SUM(I6:I6)</f>
        <v/>
      </c>
      <c r="J7" s="993" t="inlineStr"/>
      <c r="K7" s="995">
        <f>SUM(K6:K6)</f>
        <v/>
      </c>
      <c r="L7" s="995">
        <f>SUM(L6:L6)</f>
        <v/>
      </c>
      <c r="M7" s="995">
        <f>SUM(M6:M6)</f>
        <v/>
      </c>
      <c r="N7" s="995">
        <f>SUM(N6:N6)</f>
        <v/>
      </c>
      <c r="O7" s="993" t="inlineStr"/>
    </row>
    <row r="8">
      <c r="A8" s="982" t="n"/>
      <c r="B8" s="996" t="inlineStr">
        <is>
          <t>Cost to hire all vacancies ($m)</t>
        </is>
      </c>
      <c r="C8" s="1008" t="n"/>
      <c r="D8" s="982" t="n"/>
      <c r="E8" s="997">
        <f>SUMIFS($F$16:$F$33,$D$16:$D$33,"Vacant")/1000000</f>
        <v/>
      </c>
      <c r="F8" s="982" t="n"/>
      <c r="G8" s="982" t="n"/>
    </row>
    <row r="9">
      <c r="A9" s="982" t="n"/>
      <c r="B9" s="996" t="inlineStr">
        <is>
          <t>Cost of roles marked Hire ($m)</t>
        </is>
      </c>
      <c r="C9" s="1008" t="n"/>
      <c r="D9" s="982" t="n"/>
      <c r="E9" s="997">
        <f>SUMIF($E$16:$E$33,"Hire",$F$16:$F$33)/1000000</f>
        <v/>
      </c>
      <c r="F9" s="982" t="n"/>
      <c r="G9" s="982" t="n"/>
    </row>
    <row r="10">
      <c r="A10" s="982" t="n"/>
      <c r="B10" s="998" t="inlineStr">
        <is>
          <t>Vacant roles are priced at standard title rates - indicative until an offer is made.</t>
        </is>
      </c>
      <c r="C10" s="1008" t="n"/>
      <c r="D10" s="982" t="n"/>
      <c r="E10" s="982" t="n"/>
      <c r="F10" s="982" t="n"/>
      <c r="G10" s="982" t="n"/>
    </row>
    <row r="11">
      <c r="A11" s="982" t="n"/>
      <c r="B11" s="998" t="inlineStr">
        <is>
          <t>"-" in the archetype columns means this real squad has no design archetype target; the comparison sits at portfolio level on 3.2.</t>
        </is>
      </c>
      <c r="C11" s="1008" t="n"/>
      <c r="D11" s="982" t="n"/>
      <c r="E11" s="982" t="n"/>
      <c r="F11" s="982" t="n"/>
      <c r="G11" s="982" t="n"/>
    </row>
    <row r="12">
      <c r="A12" s="982" t="n"/>
      <c r="B12" s="999" t="n"/>
      <c r="C12" s="982" t="n"/>
      <c r="D12" s="982" t="n"/>
      <c r="E12" s="982" t="n"/>
      <c r="F12" s="982" t="n"/>
      <c r="G12" s="982" t="n"/>
    </row>
    <row r="13">
      <c r="A13" s="982" t="n"/>
      <c r="B13" s="999" t="n"/>
      <c r="C13" s="999" t="n"/>
      <c r="D13" s="999" t="n"/>
      <c r="E13" s="999" t="n"/>
      <c r="F13" s="999" t="n"/>
      <c r="G13" s="999" t="n"/>
    </row>
    <row r="14">
      <c r="A14" s="982" t="n"/>
      <c r="B14" s="1002" t="inlineStr">
        <is>
          <t>EGI &amp; Central FTE</t>
        </is>
      </c>
      <c r="C14" s="1008" t="n"/>
      <c r="D14" s="1008" t="n"/>
      <c r="E14" s="1008" t="n"/>
      <c r="F14" s="982" t="n"/>
      <c r="G14" s="982" t="n"/>
    </row>
    <row r="15">
      <c r="A15" s="982" t="n"/>
      <c r="B15" s="985" t="inlineStr">
        <is>
          <t>Name</t>
        </is>
      </c>
      <c r="C15" s="985" t="inlineStr">
        <is>
          <t>Role</t>
        </is>
      </c>
      <c r="D15" s="985" t="inlineStr">
        <is>
          <t>Status</t>
        </is>
      </c>
      <c r="E15" s="985" t="inlineStr">
        <is>
          <t>Vacancy lever</t>
        </is>
      </c>
      <c r="F15" s="985" t="inlineStr">
        <is>
          <t>Cost if hired ($)</t>
        </is>
      </c>
      <c r="G15" s="982" t="n"/>
    </row>
    <row r="16">
      <c r="A16" s="982" t="n"/>
      <c r="B16" s="1004" t="inlineStr">
        <is>
          <t>EGI</t>
        </is>
      </c>
      <c r="C16" s="1004" t="inlineStr"/>
      <c r="D16" s="1004" t="inlineStr"/>
      <c r="E16" s="1004" t="inlineStr"/>
      <c r="F16" s="1004" t="inlineStr"/>
      <c r="G16" s="982" t="n"/>
    </row>
    <row r="17">
      <c r="A17" s="982" t="n"/>
      <c r="B17" s="986">
        <f>'REVIEW - Complete Role Mapping'!$B$239</f>
        <v/>
      </c>
      <c r="C17" s="986">
        <f>'REVIEW - Complete Role Mapping'!$C$239</f>
        <v/>
      </c>
      <c r="D17" s="1005">
        <f>'REVIEW - Complete Role Mapping'!$AK$239</f>
        <v/>
      </c>
      <c r="E17" s="986" t="inlineStr"/>
      <c r="F17" s="986" t="inlineStr"/>
      <c r="G17" s="982" t="n"/>
    </row>
    <row r="18">
      <c r="A18" s="982" t="n"/>
      <c r="B18" s="986">
        <f>'REVIEW - Complete Role Mapping'!$B$240</f>
        <v/>
      </c>
      <c r="C18" s="986">
        <f>'REVIEW - Complete Role Mapping'!$C$240</f>
        <v/>
      </c>
      <c r="D18" s="1005">
        <f>'REVIEW - Complete Role Mapping'!$AK$240</f>
        <v/>
      </c>
      <c r="E18" s="986" t="inlineStr"/>
      <c r="F18" s="986" t="inlineStr"/>
      <c r="G18" s="982" t="n"/>
    </row>
    <row r="19">
      <c r="A19" s="982" t="n"/>
      <c r="B19" s="986">
        <f>'REVIEW - Complete Role Mapping'!$B$241</f>
        <v/>
      </c>
      <c r="C19" s="986">
        <f>'REVIEW - Complete Role Mapping'!$C$241</f>
        <v/>
      </c>
      <c r="D19" s="1005">
        <f>'REVIEW - Complete Role Mapping'!$AK$241</f>
        <v/>
      </c>
      <c r="E19" s="986" t="inlineStr"/>
      <c r="F19" s="986" t="inlineStr"/>
      <c r="G19" s="982" t="n"/>
    </row>
    <row r="20">
      <c r="A20" s="982" t="n"/>
      <c r="B20" s="986">
        <f>'REVIEW - Complete Role Mapping'!$B$242</f>
        <v/>
      </c>
      <c r="C20" s="986">
        <f>'REVIEW - Complete Role Mapping'!$C$242</f>
        <v/>
      </c>
      <c r="D20" s="1005">
        <f>'REVIEW - Complete Role Mapping'!$AK$242</f>
        <v/>
      </c>
      <c r="E20" s="986" t="inlineStr"/>
      <c r="F20" s="986" t="inlineStr"/>
      <c r="G20" s="982" t="n"/>
    </row>
    <row r="21">
      <c r="A21" s="982" t="n"/>
      <c r="B21" s="986">
        <f>'REVIEW - Complete Role Mapping'!$B$243</f>
        <v/>
      </c>
      <c r="C21" s="986">
        <f>'REVIEW - Complete Role Mapping'!$C$243</f>
        <v/>
      </c>
      <c r="D21" s="1005">
        <f>'REVIEW - Complete Role Mapping'!$AK$243</f>
        <v/>
      </c>
      <c r="E21" s="986" t="inlineStr"/>
      <c r="F21" s="986" t="inlineStr"/>
      <c r="G21" s="982" t="n"/>
    </row>
    <row r="22">
      <c r="A22" s="982" t="n"/>
      <c r="B22" s="986">
        <f>'REVIEW - Complete Role Mapping'!$B$244</f>
        <v/>
      </c>
      <c r="C22" s="986">
        <f>'REVIEW - Complete Role Mapping'!$C$244</f>
        <v/>
      </c>
      <c r="D22" s="1005">
        <f>'REVIEW - Complete Role Mapping'!$AK$244</f>
        <v/>
      </c>
      <c r="E22" s="986" t="inlineStr"/>
      <c r="F22" s="986" t="inlineStr"/>
      <c r="G22" s="982" t="n"/>
    </row>
    <row r="23">
      <c r="A23" s="982" t="n"/>
      <c r="B23" s="986">
        <f>'REVIEW - Complete Role Mapping'!$B$245</f>
        <v/>
      </c>
      <c r="C23" s="986">
        <f>'REVIEW - Complete Role Mapping'!$C$245</f>
        <v/>
      </c>
      <c r="D23" s="1005">
        <f>'REVIEW - Complete Role Mapping'!$AK$245</f>
        <v/>
      </c>
      <c r="E23" s="986" t="inlineStr"/>
      <c r="F23" s="986" t="inlineStr"/>
      <c r="G23" s="982" t="n"/>
    </row>
    <row r="24">
      <c r="A24" s="982" t="n"/>
      <c r="B24" s="986">
        <f>'REVIEW - Complete Role Mapping'!$B$246</f>
        <v/>
      </c>
      <c r="C24" s="986">
        <f>'REVIEW - Complete Role Mapping'!$C$246</f>
        <v/>
      </c>
      <c r="D24" s="1005">
        <f>'REVIEW - Complete Role Mapping'!$AK$246</f>
        <v/>
      </c>
      <c r="E24" s="986" t="inlineStr"/>
      <c r="F24" s="986" t="inlineStr"/>
      <c r="G24" s="982" t="n"/>
    </row>
    <row r="25">
      <c r="A25" s="982" t="n"/>
      <c r="B25" s="986">
        <f>'REVIEW - Complete Role Mapping'!$B$247</f>
        <v/>
      </c>
      <c r="C25" s="986">
        <f>'REVIEW - Complete Role Mapping'!$C$247</f>
        <v/>
      </c>
      <c r="D25" s="1005">
        <f>'REVIEW - Complete Role Mapping'!$AK$247</f>
        <v/>
      </c>
      <c r="E25" s="986" t="inlineStr"/>
      <c r="F25" s="986" t="inlineStr"/>
      <c r="G25" s="982" t="n"/>
    </row>
    <row r="26">
      <c r="A26" s="982" t="n"/>
      <c r="B26" s="986">
        <f>'REVIEW - Complete Role Mapping'!$B$248</f>
        <v/>
      </c>
      <c r="C26" s="986">
        <f>'REVIEW - Complete Role Mapping'!$C$248</f>
        <v/>
      </c>
      <c r="D26" s="1005">
        <f>'REVIEW - Complete Role Mapping'!$AK$248</f>
        <v/>
      </c>
      <c r="E26" s="986" t="inlineStr"/>
      <c r="F26" s="986" t="inlineStr"/>
      <c r="G26" s="982" t="n"/>
    </row>
    <row r="27">
      <c r="A27" s="982" t="n"/>
      <c r="B27" s="986">
        <f>'REVIEW - Complete Role Mapping'!$B$249</f>
        <v/>
      </c>
      <c r="C27" s="986">
        <f>'REVIEW - Complete Role Mapping'!$C$249</f>
        <v/>
      </c>
      <c r="D27" s="1005">
        <f>'REVIEW - Complete Role Mapping'!$AK$249</f>
        <v/>
      </c>
      <c r="E27" s="986" t="inlineStr"/>
      <c r="F27" s="986" t="inlineStr"/>
      <c r="G27" s="982" t="n"/>
    </row>
    <row r="28">
      <c r="A28" s="982" t="n"/>
      <c r="B28" s="986">
        <f>'REVIEW - Complete Role Mapping'!$B$250</f>
        <v/>
      </c>
      <c r="C28" s="986">
        <f>'REVIEW - Complete Role Mapping'!$C$250</f>
        <v/>
      </c>
      <c r="D28" s="1005">
        <f>'REVIEW - Complete Role Mapping'!$AK$250</f>
        <v/>
      </c>
      <c r="E28" s="986" t="inlineStr"/>
      <c r="F28" s="986" t="inlineStr"/>
      <c r="G28" s="982" t="n"/>
    </row>
    <row r="29">
      <c r="A29" s="982" t="n"/>
      <c r="B29" s="986">
        <f>'REVIEW - Complete Role Mapping'!$B$251</f>
        <v/>
      </c>
      <c r="C29" s="986">
        <f>'REVIEW - Complete Role Mapping'!$C$251</f>
        <v/>
      </c>
      <c r="D29" s="1005">
        <f>'REVIEW - Complete Role Mapping'!$AK$251</f>
        <v/>
      </c>
      <c r="E29" s="986" t="inlineStr"/>
      <c r="F29" s="986" t="inlineStr"/>
      <c r="G29" s="982" t="n"/>
    </row>
    <row r="30">
      <c r="A30" s="982" t="n"/>
      <c r="B30" s="986">
        <f>'REVIEW - Complete Role Mapping'!$B$252</f>
        <v/>
      </c>
      <c r="C30" s="986">
        <f>'REVIEW - Complete Role Mapping'!$C$252</f>
        <v/>
      </c>
      <c r="D30" s="1005">
        <f>'REVIEW - Complete Role Mapping'!$AK$252</f>
        <v/>
      </c>
      <c r="E30" s="986" t="inlineStr"/>
      <c r="F30" s="986" t="inlineStr"/>
      <c r="G30" s="982" t="n"/>
    </row>
    <row r="31">
      <c r="A31" s="982" t="n"/>
      <c r="B31" s="986">
        <f>'REVIEW - Complete Role Mapping'!$B$253</f>
        <v/>
      </c>
      <c r="C31" s="986">
        <f>'REVIEW - Complete Role Mapping'!$C$253</f>
        <v/>
      </c>
      <c r="D31" s="1005">
        <f>'REVIEW - Complete Role Mapping'!$AK$253</f>
        <v/>
      </c>
      <c r="E31" s="986" t="inlineStr"/>
      <c r="F31" s="986" t="inlineStr"/>
      <c r="G31" s="982" t="n"/>
    </row>
    <row r="32">
      <c r="A32" s="982" t="n"/>
      <c r="B32" s="986">
        <f>'REVIEW - Complete Role Mapping'!$B$254</f>
        <v/>
      </c>
      <c r="C32" s="986">
        <f>'REVIEW - Complete Role Mapping'!$C$254</f>
        <v/>
      </c>
      <c r="D32" s="1005">
        <f>'REVIEW - Complete Role Mapping'!$AK$254</f>
        <v/>
      </c>
      <c r="E32" s="986" t="inlineStr"/>
      <c r="F32" s="986" t="inlineStr"/>
      <c r="G32" s="999" t="n"/>
    </row>
    <row r="33">
      <c r="A33" s="982" t="n"/>
      <c r="B33" s="986">
        <f>'REVIEW - Complete Role Mapping'!$B$446</f>
        <v/>
      </c>
      <c r="C33" s="986">
        <f>'REVIEW - Complete Role Mapping'!$C$446</f>
        <v/>
      </c>
      <c r="D33" s="1005">
        <f>'REVIEW - Complete Role Mapping'!$AK$446</f>
        <v/>
      </c>
      <c r="E33" s="986" t="inlineStr"/>
      <c r="F33" s="986" t="inlineStr"/>
      <c r="G33" s="982" t="n"/>
    </row>
    <row r="34">
      <c r="A34" s="982" t="n"/>
      <c r="B34" s="1008" t="n"/>
      <c r="C34" s="1008" t="n"/>
      <c r="D34" s="1008" t="n"/>
      <c r="E34" s="1008" t="n"/>
      <c r="F34" s="982" t="n"/>
      <c r="G34" s="982" t="n"/>
    </row>
    <row r="35">
      <c r="A35" s="982" t="n"/>
      <c r="B35" s="1008" t="n"/>
      <c r="C35" s="1008" t="n"/>
      <c r="D35" s="1008" t="n"/>
      <c r="E35" s="1008" t="n"/>
      <c r="F35" s="982" t="n"/>
      <c r="G35" s="982" t="n"/>
    </row>
    <row r="36">
      <c r="A36" s="982" t="n"/>
      <c r="B36" s="1008" t="n"/>
      <c r="C36" s="1008" t="n"/>
      <c r="D36" s="1008" t="n"/>
      <c r="E36" s="1008" t="n"/>
      <c r="F36" s="1008" t="n"/>
      <c r="G36" s="1008" t="n"/>
    </row>
    <row r="37">
      <c r="A37" s="982" t="n"/>
      <c r="B37" s="1008" t="n"/>
      <c r="C37" s="1008" t="n"/>
      <c r="D37" s="1008" t="n"/>
      <c r="E37" s="1008" t="n"/>
      <c r="F37" s="982" t="n"/>
      <c r="G37" s="982" t="n"/>
    </row>
    <row r="38">
      <c r="A38" s="982" t="n"/>
      <c r="B38" s="1008" t="n"/>
      <c r="C38" s="1008" t="n"/>
      <c r="D38" s="1008" t="n"/>
      <c r="E38" s="1008" t="n"/>
      <c r="F38" s="982" t="n"/>
      <c r="G38" s="982" t="n"/>
    </row>
    <row r="39">
      <c r="A39" s="982" t="n"/>
      <c r="B39" s="1008" t="n"/>
      <c r="C39" s="1008" t="n"/>
      <c r="D39" s="1008" t="n"/>
      <c r="E39" s="1008" t="n"/>
      <c r="F39" s="982" t="n"/>
      <c r="G39" s="982" t="n"/>
    </row>
    <row r="40">
      <c r="A40" s="982" t="n"/>
      <c r="B40" s="1008" t="n"/>
      <c r="C40" s="1008" t="n"/>
      <c r="D40" s="1008" t="n"/>
      <c r="E40" s="1008" t="n"/>
      <c r="F40" s="982" t="n"/>
      <c r="G40" s="982" t="n"/>
    </row>
    <row r="41" ht="29" customHeight="1" s="849">
      <c r="A41" s="982" t="n"/>
      <c r="B41" s="1008" t="n"/>
      <c r="C41" s="1008" t="n"/>
      <c r="D41" s="1008" t="n"/>
      <c r="E41" s="1008" t="n"/>
      <c r="F41" s="1008" t="n"/>
      <c r="G41" s="1008" t="n"/>
    </row>
    <row r="42">
      <c r="A42" s="982" t="n"/>
      <c r="B42" s="1008" t="n"/>
      <c r="C42" s="1008" t="n"/>
      <c r="D42" s="1008" t="n"/>
      <c r="E42" s="1008" t="n"/>
      <c r="F42" s="982" t="n"/>
      <c r="G42" s="982" t="n"/>
    </row>
    <row r="43">
      <c r="A43" s="982" t="n"/>
      <c r="B43" s="1008" t="n"/>
      <c r="C43" s="1008" t="n"/>
      <c r="D43" s="1008" t="n"/>
      <c r="E43" s="1008" t="n"/>
      <c r="F43" s="1008" t="n"/>
      <c r="G43" s="1008" t="n"/>
    </row>
    <row r="44">
      <c r="A44" s="982" t="n"/>
      <c r="B44" s="1008" t="n"/>
      <c r="C44" s="1008" t="n"/>
      <c r="D44" s="1008" t="n"/>
      <c r="E44" s="1008" t="n"/>
      <c r="F44" s="982" t="n"/>
      <c r="G44" s="982" t="n"/>
    </row>
    <row r="45">
      <c r="A45" s="982" t="n"/>
      <c r="B45" s="1008" t="n"/>
      <c r="C45" s="1008" t="n"/>
      <c r="D45" s="1008" t="n"/>
      <c r="E45" s="1008" t="n"/>
      <c r="F45" s="982" t="n"/>
      <c r="G45" s="982" t="n"/>
    </row>
    <row r="46">
      <c r="A46" s="982" t="n"/>
      <c r="B46" s="1008" t="n"/>
      <c r="C46" s="1008" t="n"/>
      <c r="D46" s="1008" t="n"/>
      <c r="E46" s="1008" t="n"/>
      <c r="F46" s="982" t="n"/>
      <c r="G46" s="982" t="n"/>
    </row>
    <row r="47">
      <c r="A47" s="982" t="n"/>
      <c r="B47" s="1008" t="n"/>
      <c r="C47" s="1008" t="n"/>
      <c r="D47" s="1008" t="n"/>
      <c r="E47" s="1008" t="n"/>
      <c r="F47" s="982" t="n"/>
      <c r="G47" s="982" t="n"/>
    </row>
    <row r="48">
      <c r="A48" s="982" t="n"/>
      <c r="B48" s="1008" t="n"/>
      <c r="C48" s="1008" t="n"/>
      <c r="D48" s="1008" t="n"/>
      <c r="E48" s="1008" t="n"/>
      <c r="F48" s="982" t="n"/>
      <c r="G48" s="982" t="n"/>
    </row>
    <row r="49">
      <c r="A49" s="982" t="n"/>
      <c r="B49" s="1008" t="n"/>
      <c r="C49" s="1008" t="n"/>
      <c r="D49" s="1008" t="n"/>
      <c r="E49" s="1008" t="n"/>
      <c r="F49" s="982" t="n"/>
      <c r="G49" s="982" t="n"/>
    </row>
    <row r="50">
      <c r="A50" s="982" t="n"/>
      <c r="B50" s="1008" t="n"/>
      <c r="C50" s="1008" t="n"/>
      <c r="D50" s="1008" t="n"/>
      <c r="E50" s="1008" t="n"/>
      <c r="F50" s="1008" t="n"/>
      <c r="G50" s="1008" t="n"/>
    </row>
    <row r="51">
      <c r="A51" s="982" t="n"/>
      <c r="B51" s="1008" t="n"/>
      <c r="C51" s="1008" t="n"/>
      <c r="D51" s="1008" t="n"/>
      <c r="E51" s="1008" t="n"/>
      <c r="F51" s="982" t="n"/>
      <c r="G51" s="982" t="n"/>
    </row>
    <row r="52">
      <c r="A52" s="982" t="n"/>
      <c r="B52" s="1008" t="n"/>
      <c r="C52" s="1008" t="n"/>
      <c r="D52" s="1008" t="n"/>
      <c r="E52" s="1008" t="n"/>
      <c r="F52" s="982" t="n"/>
      <c r="G52" s="982" t="n"/>
    </row>
    <row r="53">
      <c r="A53" s="982" t="n"/>
      <c r="B53" s="1008" t="n"/>
      <c r="C53" s="1008" t="n"/>
      <c r="D53" s="1008" t="n"/>
      <c r="E53" s="1008" t="n"/>
      <c r="F53" s="1008" t="n"/>
      <c r="G53" s="1008" t="n"/>
    </row>
    <row r="54">
      <c r="A54" s="982" t="n"/>
      <c r="B54" s="1008" t="n"/>
      <c r="C54" s="1008" t="n"/>
      <c r="D54" s="1008" t="n"/>
      <c r="E54" s="1008" t="n"/>
      <c r="F54" s="982" t="n"/>
      <c r="G54" s="982" t="n"/>
    </row>
    <row r="55">
      <c r="A55" s="982" t="n"/>
      <c r="B55" s="1008" t="n"/>
      <c r="C55" s="1008" t="n"/>
      <c r="D55" s="1008" t="n"/>
      <c r="E55" s="1008" t="n"/>
      <c r="F55" s="1008" t="n"/>
      <c r="G55" s="1008" t="n"/>
    </row>
    <row r="56">
      <c r="A56" s="982" t="n"/>
      <c r="B56" s="1008" t="n"/>
      <c r="C56" s="1008" t="n"/>
      <c r="D56" s="1008" t="n"/>
      <c r="E56" s="1008" t="n"/>
      <c r="F56" s="982" t="n"/>
      <c r="G56" s="982" t="n"/>
    </row>
    <row r="57">
      <c r="A57" s="982" t="n"/>
      <c r="B57" s="1008" t="n"/>
      <c r="C57" s="1008" t="n"/>
      <c r="D57" s="1008" t="n"/>
      <c r="E57" s="1008" t="n"/>
      <c r="F57" s="982" t="n"/>
      <c r="G57" s="982" t="n"/>
    </row>
    <row r="58" ht="29" customHeight="1" s="849">
      <c r="A58" s="982" t="n"/>
      <c r="B58" s="1008" t="n"/>
      <c r="C58" s="1008" t="n"/>
      <c r="D58" s="1008" t="n"/>
      <c r="E58" s="1008" t="n"/>
      <c r="F58" s="1008" t="n"/>
      <c r="G58" s="1008" t="n"/>
    </row>
    <row r="59">
      <c r="A59" s="982" t="n"/>
      <c r="B59" s="1008" t="n"/>
      <c r="C59" s="1008" t="n"/>
      <c r="D59" s="1008" t="n"/>
      <c r="E59" s="1008" t="n"/>
      <c r="F59" s="1008" t="n"/>
      <c r="G59" s="1008" t="n"/>
    </row>
    <row r="60">
      <c r="A60" s="982" t="n"/>
      <c r="B60" s="1008" t="n"/>
      <c r="C60" s="1008" t="n"/>
      <c r="D60" s="1008" t="n"/>
      <c r="E60" s="1008" t="n"/>
      <c r="F60" s="982" t="n"/>
      <c r="G60" s="982" t="n"/>
    </row>
    <row r="61" ht="29" customHeight="1" s="849">
      <c r="A61" s="982" t="n"/>
      <c r="B61" s="1008" t="n"/>
      <c r="C61" s="1008" t="n"/>
      <c r="D61" s="1008" t="n"/>
      <c r="E61" s="1008" t="n"/>
      <c r="F61" s="982" t="n"/>
      <c r="G61" s="982" t="n"/>
    </row>
    <row r="62">
      <c r="A62" s="982" t="n"/>
      <c r="B62" s="1008" t="n"/>
      <c r="C62" s="1008" t="n"/>
      <c r="D62" s="1008" t="n"/>
      <c r="E62" s="1008" t="n"/>
      <c r="F62" s="1008" t="n"/>
      <c r="G62" s="1008" t="n"/>
    </row>
    <row r="63">
      <c r="A63" s="982" t="n"/>
      <c r="B63" s="1008" t="n"/>
      <c r="C63" s="1008" t="n"/>
      <c r="D63" s="1008" t="n"/>
      <c r="E63" s="1008" t="n"/>
      <c r="F63" s="982" t="n"/>
      <c r="G63" s="982" t="n"/>
    </row>
    <row r="64">
      <c r="A64" s="982" t="n"/>
      <c r="B64" s="1008" t="n"/>
      <c r="C64" s="1008" t="n"/>
      <c r="D64" s="1008" t="n"/>
      <c r="E64" s="1008" t="n"/>
      <c r="F64" s="982" t="n"/>
      <c r="G64" s="982" t="n"/>
    </row>
    <row r="65">
      <c r="A65" s="982" t="n"/>
      <c r="B65" s="1008" t="n"/>
      <c r="C65" s="1008" t="n"/>
      <c r="D65" s="1008" t="n"/>
      <c r="E65" s="1008" t="n"/>
      <c r="F65" s="982" t="n"/>
      <c r="G65" s="982" t="n"/>
    </row>
    <row r="66">
      <c r="A66" s="982" t="n"/>
      <c r="B66" s="1008" t="n"/>
      <c r="C66" s="1008" t="n"/>
      <c r="D66" s="1008" t="n"/>
      <c r="E66" s="1008" t="n"/>
      <c r="F66" s="1008" t="n"/>
      <c r="G66" s="1008" t="n"/>
    </row>
    <row r="67">
      <c r="A67" s="982" t="n"/>
      <c r="B67" s="1008" t="n"/>
      <c r="C67" s="1008" t="n"/>
      <c r="D67" s="1008" t="n"/>
      <c r="E67" s="1008" t="n"/>
      <c r="F67" s="982" t="n"/>
      <c r="G67" s="982" t="n"/>
    </row>
    <row r="68">
      <c r="A68" s="982" t="n"/>
      <c r="B68" s="1008" t="n"/>
      <c r="C68" s="1008" t="n"/>
      <c r="D68" s="1008" t="n"/>
      <c r="E68" s="1008" t="n"/>
      <c r="F68" s="982" t="n"/>
      <c r="G68" s="982" t="n"/>
    </row>
    <row r="69">
      <c r="A69" s="982" t="n"/>
      <c r="B69" s="1008" t="n"/>
      <c r="C69" s="1008" t="n"/>
      <c r="D69" s="1008" t="n"/>
      <c r="E69" s="1008" t="n"/>
      <c r="F69" s="982" t="n"/>
      <c r="G69" s="982" t="n"/>
    </row>
    <row r="70">
      <c r="A70" s="982" t="n"/>
      <c r="B70" s="1008" t="n"/>
      <c r="C70" s="1008" t="n"/>
      <c r="D70" s="1008" t="n"/>
      <c r="E70" s="1008" t="n"/>
      <c r="F70" s="1008" t="n"/>
      <c r="G70" s="1008" t="n"/>
    </row>
    <row r="71">
      <c r="A71" s="982" t="n"/>
      <c r="B71" s="1008" t="n"/>
      <c r="C71" s="1008" t="n"/>
      <c r="D71" s="1008" t="n"/>
      <c r="E71" s="1008" t="n"/>
      <c r="F71" s="982" t="n"/>
      <c r="G71" s="982" t="n"/>
    </row>
    <row r="72">
      <c r="A72" s="982" t="n"/>
      <c r="B72" s="1008" t="n"/>
      <c r="C72" s="1008" t="n"/>
      <c r="D72" s="1008" t="n"/>
      <c r="E72" s="1008" t="n"/>
      <c r="F72" s="982" t="n"/>
      <c r="G72" s="982" t="n"/>
    </row>
    <row r="73">
      <c r="A73" s="982" t="n"/>
      <c r="B73" s="1008" t="n"/>
      <c r="C73" s="1008" t="n"/>
      <c r="D73" s="1008" t="n"/>
      <c r="E73" s="1008" t="n"/>
      <c r="F73" s="982" t="n"/>
      <c r="G73" s="982" t="n"/>
    </row>
    <row r="74">
      <c r="A74" s="982" t="n"/>
      <c r="B74" s="1008" t="n"/>
      <c r="C74" s="1008" t="n"/>
      <c r="D74" s="1008" t="n"/>
      <c r="E74" s="1008" t="n"/>
      <c r="F74" s="1008" t="n"/>
      <c r="G74" s="1008" t="n"/>
    </row>
    <row r="75">
      <c r="A75" s="982" t="n"/>
      <c r="B75" s="1008" t="n"/>
      <c r="C75" s="1008" t="n"/>
      <c r="D75" s="1008" t="n"/>
      <c r="E75" s="1008" t="n"/>
      <c r="F75" s="982" t="n"/>
      <c r="G75" s="982" t="n"/>
    </row>
    <row r="76">
      <c r="A76" s="982" t="n"/>
      <c r="B76" s="1008" t="n"/>
      <c r="C76" s="1008" t="n"/>
      <c r="D76" s="1008" t="n"/>
      <c r="E76" s="1008" t="n"/>
      <c r="F76" s="982" t="n"/>
      <c r="G76" s="982" t="n"/>
    </row>
    <row r="77">
      <c r="A77" s="982" t="n"/>
      <c r="B77" s="1008" t="n"/>
      <c r="C77" s="1008" t="n"/>
      <c r="D77" s="1008" t="n"/>
      <c r="E77" s="1008" t="n"/>
      <c r="F77" s="982" t="n"/>
      <c r="G77" s="982" t="n"/>
    </row>
    <row r="78">
      <c r="A78" s="982" t="n"/>
      <c r="B78" s="1008" t="n"/>
      <c r="C78" s="1008" t="n"/>
      <c r="D78" s="1008" t="n"/>
      <c r="E78" s="1008" t="n"/>
      <c r="F78" s="1008" t="n"/>
      <c r="G78" s="1008" t="n"/>
    </row>
    <row r="79" ht="29" customHeight="1" s="849">
      <c r="A79" s="982" t="n"/>
      <c r="B79" s="1008" t="n"/>
      <c r="C79" s="1008" t="n"/>
      <c r="D79" s="1008" t="n"/>
      <c r="E79" s="1008" t="n"/>
      <c r="F79" s="1008" t="n"/>
      <c r="G79" s="1008" t="n"/>
    </row>
    <row r="80">
      <c r="A80" s="982" t="n"/>
      <c r="B80" s="1008" t="n"/>
      <c r="C80" s="1008" t="n"/>
      <c r="D80" s="1008" t="n"/>
      <c r="E80" s="1008" t="n"/>
      <c r="F80" s="982" t="n"/>
      <c r="G80" s="982" t="n"/>
    </row>
    <row r="81" ht="29" customHeight="1" s="849">
      <c r="A81" s="982" t="n"/>
      <c r="B81" s="1008" t="n"/>
      <c r="C81" s="1008" t="n"/>
      <c r="D81" s="1008" t="n"/>
      <c r="E81" s="1008" t="n"/>
      <c r="F81" s="982" t="n"/>
      <c r="G81" s="982" t="n"/>
    </row>
    <row r="82" ht="29" customHeight="1" s="849">
      <c r="A82" s="982" t="n"/>
      <c r="B82" s="1008" t="n"/>
      <c r="C82" s="1008" t="n"/>
      <c r="D82" s="1008" t="n"/>
      <c r="E82" s="1008" t="n"/>
      <c r="F82" s="1008" t="n"/>
      <c r="G82" s="1008" t="n"/>
    </row>
    <row r="83">
      <c r="A83" s="982" t="n"/>
      <c r="B83" s="1008" t="n"/>
      <c r="C83" s="1008" t="n"/>
      <c r="D83" s="1008" t="n"/>
      <c r="E83" s="1008" t="n"/>
      <c r="F83" s="1008" t="n"/>
      <c r="G83" s="1008" t="n"/>
    </row>
    <row r="84" ht="29" customHeight="1" s="849">
      <c r="A84" s="982" t="n"/>
      <c r="B84" s="1008" t="n"/>
      <c r="C84" s="1008" t="n"/>
      <c r="D84" s="1008" t="n"/>
      <c r="E84" s="1008" t="n"/>
      <c r="F84" s="1008" t="n"/>
      <c r="G84" s="1008" t="n"/>
    </row>
    <row r="85">
      <c r="A85" s="982" t="n"/>
      <c r="B85" s="1008" t="n"/>
      <c r="C85" s="1008" t="n"/>
      <c r="D85" s="1008" t="n"/>
      <c r="E85" s="1008" t="n"/>
      <c r="F85" s="1008" t="n"/>
      <c r="G85" s="1008" t="n"/>
    </row>
    <row r="86">
      <c r="A86" s="982" t="n"/>
      <c r="B86" s="982" t="n"/>
      <c r="C86" s="982" t="n"/>
      <c r="D86" s="982" t="n"/>
      <c r="E86" s="982" t="n"/>
      <c r="F86" s="982" t="n"/>
      <c r="G86" s="982" t="n"/>
    </row>
    <row r="87">
      <c r="A87" s="982" t="n"/>
      <c r="B87" s="999" t="n"/>
      <c r="C87" s="982" t="n"/>
      <c r="D87" s="982" t="n"/>
      <c r="E87" s="982" t="n"/>
      <c r="F87" s="982" t="n"/>
      <c r="G87" s="982" t="n"/>
    </row>
    <row r="88">
      <c r="A88" s="982" t="n"/>
      <c r="B88" s="999" t="n"/>
      <c r="C88" s="999" t="n"/>
      <c r="D88" s="999" t="n"/>
      <c r="E88" s="999" t="n"/>
      <c r="F88" s="999" t="n"/>
      <c r="G88" s="999" t="n"/>
    </row>
    <row r="89">
      <c r="A89" s="982" t="n"/>
      <c r="B89" s="1008" t="n"/>
      <c r="C89" s="1008" t="n"/>
      <c r="D89" s="1008" t="n"/>
      <c r="E89" s="1008" t="n"/>
      <c r="F89" s="1008" t="n"/>
      <c r="G89" s="1008" t="n"/>
    </row>
    <row r="90">
      <c r="A90" s="982" t="n"/>
      <c r="B90" s="1008" t="n"/>
      <c r="C90" s="1008" t="n"/>
      <c r="D90" s="1008" t="n"/>
      <c r="E90" s="1008" t="n"/>
      <c r="F90" s="982" t="n"/>
      <c r="G90" s="982" t="n"/>
    </row>
    <row r="91">
      <c r="A91" s="982" t="n"/>
      <c r="B91" s="1008" t="n"/>
      <c r="C91" s="1008" t="n"/>
      <c r="D91" s="1008" t="n"/>
      <c r="E91" s="1008" t="n"/>
      <c r="F91" s="982" t="n"/>
      <c r="G91" s="982" t="n"/>
    </row>
    <row r="92">
      <c r="A92" s="982" t="n"/>
      <c r="B92" s="1008" t="n"/>
      <c r="C92" s="1008" t="n"/>
      <c r="D92" s="1008" t="n"/>
      <c r="E92" s="1008" t="n"/>
      <c r="F92" s="982" t="n"/>
      <c r="G92" s="982" t="n"/>
    </row>
    <row r="93">
      <c r="A93" s="982" t="n"/>
      <c r="B93" s="1008" t="n"/>
      <c r="C93" s="1008" t="n"/>
      <c r="D93" s="1008" t="n"/>
      <c r="E93" s="1008" t="n"/>
      <c r="F93" s="982" t="n"/>
      <c r="G93" s="982" t="n"/>
    </row>
    <row r="94">
      <c r="A94" s="982" t="n"/>
      <c r="B94" s="1008" t="n"/>
      <c r="C94" s="1008" t="n"/>
      <c r="D94" s="1008" t="n"/>
      <c r="E94" s="1008" t="n"/>
      <c r="F94" s="982" t="n"/>
      <c r="G94" s="982" t="n"/>
    </row>
    <row r="95">
      <c r="A95" s="982" t="n"/>
      <c r="B95" s="1008" t="n"/>
      <c r="C95" s="1008" t="n"/>
      <c r="D95" s="1008" t="n"/>
      <c r="E95" s="1008" t="n"/>
      <c r="F95" s="982" t="n"/>
      <c r="G95" s="982" t="n"/>
    </row>
    <row r="96">
      <c r="A96" s="982" t="n"/>
      <c r="B96" s="1008" t="n"/>
      <c r="C96" s="1008" t="n"/>
      <c r="D96" s="1008" t="n"/>
      <c r="E96" s="1008" t="n"/>
      <c r="F96" s="982" t="n"/>
      <c r="G96" s="982" t="n"/>
    </row>
    <row r="97">
      <c r="A97" s="982" t="n"/>
      <c r="B97" s="1008" t="n"/>
      <c r="C97" s="1008" t="n"/>
      <c r="D97" s="1008" t="n"/>
      <c r="E97" s="1008" t="n"/>
      <c r="F97" s="1008" t="n"/>
      <c r="G97" s="1008" t="n"/>
    </row>
    <row r="98">
      <c r="A98" s="982" t="n"/>
      <c r="B98" s="1008" t="n"/>
      <c r="C98" s="1008" t="n"/>
      <c r="D98" s="1008" t="n"/>
      <c r="E98" s="1008" t="n"/>
      <c r="F98" s="1008" t="n"/>
      <c r="G98" s="1008" t="n"/>
    </row>
    <row r="99">
      <c r="A99" s="982" t="n"/>
      <c r="B99" s="1008" t="n"/>
      <c r="C99" s="1008" t="n"/>
      <c r="D99" s="1008" t="n"/>
      <c r="E99" s="1008" t="n"/>
      <c r="F99" s="982" t="n"/>
      <c r="G99" s="982" t="n"/>
    </row>
    <row r="100">
      <c r="A100" s="982" t="n"/>
      <c r="B100" s="1008" t="n"/>
      <c r="C100" s="1008" t="n"/>
      <c r="D100" s="1008" t="n"/>
      <c r="E100" s="1008" t="n"/>
      <c r="F100" s="982" t="n"/>
      <c r="G100" s="982" t="n"/>
    </row>
    <row r="101">
      <c r="A101" s="982" t="n"/>
      <c r="B101" s="1008" t="n"/>
      <c r="C101" s="1008" t="n"/>
      <c r="D101" s="1008" t="n"/>
      <c r="E101" s="1008" t="n"/>
      <c r="F101" s="982" t="n"/>
      <c r="G101" s="982" t="n"/>
    </row>
    <row r="102">
      <c r="A102" s="982" t="n"/>
      <c r="B102" s="1008" t="n"/>
      <c r="C102" s="1008" t="n"/>
      <c r="D102" s="1008" t="n"/>
      <c r="E102" s="1008" t="n"/>
      <c r="F102" s="1008" t="n"/>
      <c r="G102" s="1008" t="n"/>
    </row>
    <row r="103">
      <c r="A103" s="982" t="n"/>
      <c r="B103" s="1008" t="n"/>
      <c r="C103" s="1008" t="n"/>
      <c r="D103" s="1008" t="n"/>
      <c r="E103" s="1008" t="n"/>
      <c r="F103" s="1008" t="n"/>
      <c r="G103" s="1008" t="n"/>
    </row>
    <row r="104">
      <c r="A104" s="982" t="n"/>
      <c r="B104" s="1008" t="n"/>
      <c r="C104" s="1008" t="n"/>
      <c r="D104" s="1008" t="n"/>
      <c r="E104" s="1008" t="n"/>
      <c r="F104" s="1008" t="n"/>
      <c r="G104" s="1008" t="n"/>
    </row>
    <row r="105">
      <c r="A105" s="982" t="n"/>
      <c r="B105" s="1008" t="n"/>
      <c r="C105" s="1008" t="n"/>
      <c r="D105" s="1008" t="n"/>
      <c r="E105" s="1008" t="n"/>
      <c r="F105" s="1008" t="n"/>
      <c r="G105" s="1008" t="n"/>
    </row>
    <row r="106">
      <c r="A106" s="982" t="n"/>
      <c r="B106" s="1008" t="n"/>
      <c r="C106" s="1008" t="n"/>
      <c r="D106" s="1008" t="n"/>
      <c r="E106" s="1008" t="n"/>
      <c r="F106" s="1008" t="n"/>
      <c r="G106" s="1008" t="n"/>
    </row>
    <row r="107">
      <c r="A107" s="982" t="n"/>
      <c r="B107" s="1008" t="n"/>
      <c r="C107" s="1008" t="n"/>
      <c r="D107" s="1008" t="n"/>
      <c r="E107" s="1008" t="n"/>
      <c r="F107" s="982" t="n"/>
      <c r="G107" s="982" t="n"/>
    </row>
    <row r="108">
      <c r="A108" s="982" t="n"/>
      <c r="B108" s="1008" t="n"/>
      <c r="C108" s="1008" t="n"/>
      <c r="D108" s="1008" t="n"/>
      <c r="E108" s="1008" t="n"/>
      <c r="F108" s="1008" t="n"/>
      <c r="G108" s="1008" t="n"/>
    </row>
    <row r="109">
      <c r="A109" s="982" t="n"/>
      <c r="B109" s="982" t="n"/>
      <c r="C109" s="982" t="n"/>
      <c r="D109" s="982" t="n"/>
      <c r="E109" s="982" t="n"/>
      <c r="F109" s="982" t="n"/>
      <c r="G109" s="982" t="n"/>
    </row>
    <row r="110">
      <c r="A110" s="982" t="n"/>
      <c r="B110" s="999" t="n"/>
      <c r="C110" s="982" t="n"/>
      <c r="D110" s="982" t="n"/>
      <c r="E110" s="982" t="n"/>
      <c r="F110" s="982" t="n"/>
      <c r="G110" s="982" t="n"/>
    </row>
    <row r="111">
      <c r="A111" s="982" t="n"/>
      <c r="B111" s="999" t="n"/>
      <c r="C111" s="999" t="n"/>
      <c r="D111" s="999" t="n"/>
      <c r="E111" s="999" t="n"/>
      <c r="F111" s="999" t="n"/>
      <c r="G111" s="999" t="n"/>
    </row>
    <row r="112">
      <c r="A112" s="982" t="n"/>
      <c r="B112" s="1008" t="n"/>
      <c r="C112" s="1008" t="n"/>
      <c r="D112" s="1008" t="n"/>
      <c r="E112" s="1008" t="n"/>
      <c r="F112" s="982" t="n"/>
      <c r="G112" s="982" t="n"/>
    </row>
    <row r="113">
      <c r="A113" s="982" t="n"/>
      <c r="B113" s="1008" t="n"/>
      <c r="C113" s="1008" t="n"/>
      <c r="D113" s="1008" t="n"/>
      <c r="E113" s="1008" t="n"/>
      <c r="F113" s="982" t="n"/>
      <c r="G113" s="982" t="n"/>
    </row>
    <row r="114" ht="29" customHeight="1" s="849">
      <c r="A114" s="982" t="n"/>
      <c r="B114" s="1008" t="n"/>
      <c r="C114" s="1008" t="n"/>
      <c r="D114" s="1008" t="n"/>
      <c r="E114" s="1008" t="n"/>
      <c r="F114" s="982" t="n"/>
      <c r="G114" s="982" t="n"/>
    </row>
    <row r="115">
      <c r="A115" s="982" t="n"/>
      <c r="B115" s="1008" t="n"/>
      <c r="C115" s="1008" t="n"/>
      <c r="D115" s="1008" t="n"/>
      <c r="E115" s="1008" t="n"/>
      <c r="F115" s="982" t="n"/>
      <c r="G115" s="982" t="n"/>
    </row>
    <row r="116">
      <c r="A116" s="982" t="n"/>
      <c r="B116" s="982" t="n"/>
      <c r="C116" s="982" t="n"/>
      <c r="D116" s="982" t="n"/>
      <c r="E116" s="982" t="n"/>
      <c r="F116" s="982" t="n"/>
      <c r="G116" s="982" t="n"/>
    </row>
    <row r="117">
      <c r="A117" s="982" t="n"/>
      <c r="B117" s="1008" t="n"/>
      <c r="C117" s="982" t="n"/>
      <c r="D117" s="982" t="n"/>
      <c r="E117" s="982" t="n"/>
      <c r="F117" s="982" t="n"/>
      <c r="G117" s="982" t="n"/>
    </row>
    <row r="118">
      <c r="A118" s="982" t="n"/>
      <c r="B118" s="982" t="n"/>
      <c r="C118" s="982" t="n"/>
      <c r="D118" s="982" t="n"/>
      <c r="E118" s="982" t="n"/>
      <c r="F118" s="982" t="n"/>
      <c r="G118" s="982" t="n"/>
    </row>
    <row r="119">
      <c r="A119" s="982" t="n"/>
      <c r="B119" s="982" t="n"/>
      <c r="C119" s="982" t="n"/>
      <c r="D119" s="982" t="n"/>
      <c r="E119" s="982" t="n"/>
      <c r="F119" s="982" t="n"/>
      <c r="G119" s="982" t="n"/>
    </row>
    <row r="120">
      <c r="A120" s="982" t="n"/>
      <c r="B120" s="982" t="n"/>
      <c r="C120" s="982" t="n"/>
      <c r="D120" s="982" t="n"/>
      <c r="E120" s="982" t="n"/>
      <c r="F120" s="982" t="n"/>
      <c r="G120" s="982" t="n"/>
    </row>
    <row r="121">
      <c r="A121" s="982" t="n"/>
      <c r="B121" s="982" t="n"/>
      <c r="C121" s="982" t="n"/>
      <c r="D121" s="982" t="n"/>
      <c r="E121" s="982" t="n"/>
      <c r="F121" s="982" t="n"/>
      <c r="G121" s="982" t="n"/>
    </row>
    <row r="122">
      <c r="A122" s="982" t="n"/>
      <c r="B122" s="982" t="n"/>
      <c r="C122" s="982" t="n"/>
      <c r="D122" s="982" t="n"/>
      <c r="E122" s="982" t="n"/>
      <c r="F122" s="982" t="n"/>
      <c r="G122" s="982" t="n"/>
    </row>
    <row r="123">
      <c r="A123" s="982" t="n"/>
      <c r="B123" s="982" t="n"/>
      <c r="C123" s="982" t="n"/>
      <c r="D123" s="982" t="n"/>
      <c r="E123" s="982" t="n"/>
      <c r="F123" s="982" t="n"/>
      <c r="G123" s="982" t="n"/>
    </row>
    <row r="124">
      <c r="A124" s="982" t="n"/>
      <c r="B124" s="982" t="n"/>
      <c r="C124" s="982" t="n"/>
      <c r="D124" s="982" t="n"/>
      <c r="E124" s="982" t="n"/>
      <c r="F124" s="982" t="n"/>
      <c r="G124" s="982" t="n"/>
    </row>
    <row r="125">
      <c r="A125" s="982" t="n"/>
      <c r="B125" s="982" t="n"/>
      <c r="C125" s="982" t="n"/>
      <c r="D125" s="982" t="n"/>
      <c r="E125" s="982" t="n"/>
      <c r="F125" s="982" t="n"/>
      <c r="G125" s="982" t="n"/>
    </row>
    <row r="126">
      <c r="A126" s="982" t="n"/>
      <c r="B126" s="982" t="n"/>
      <c r="C126" s="982" t="n"/>
      <c r="D126" s="982" t="n"/>
      <c r="E126" s="982" t="n"/>
      <c r="F126" s="982" t="n"/>
      <c r="G126" s="982" t="n"/>
    </row>
    <row r="127">
      <c r="A127" s="982" t="n"/>
      <c r="B127" s="982" t="n"/>
      <c r="C127" s="982" t="n"/>
      <c r="D127" s="982" t="n"/>
      <c r="E127" s="982" t="n"/>
      <c r="F127" s="982" t="n"/>
      <c r="G127" s="982" t="n"/>
    </row>
    <row r="128">
      <c r="A128" s="982" t="n"/>
      <c r="B128" s="982" t="n"/>
      <c r="C128" s="982" t="n"/>
      <c r="D128" s="982" t="n"/>
      <c r="E128" s="982" t="n"/>
      <c r="F128" s="982" t="n"/>
      <c r="G128" s="982" t="n"/>
    </row>
    <row r="129">
      <c r="A129" s="982" t="n"/>
      <c r="B129" s="982" t="n"/>
      <c r="C129" s="982" t="n"/>
      <c r="D129" s="982" t="n"/>
      <c r="E129" s="982" t="n"/>
      <c r="F129" s="982" t="n"/>
      <c r="G129" s="982" t="n"/>
    </row>
    <row r="130">
      <c r="A130" s="982" t="n"/>
      <c r="B130" s="982" t="n"/>
      <c r="C130" s="982" t="n"/>
      <c r="D130" s="982" t="n"/>
      <c r="E130" s="982" t="n"/>
      <c r="F130" s="982" t="n"/>
      <c r="G130" s="982" t="n"/>
    </row>
    <row r="131">
      <c r="A131" s="982" t="n"/>
      <c r="B131" s="982" t="n"/>
      <c r="C131" s="982" t="n"/>
      <c r="D131" s="982" t="n"/>
      <c r="E131" s="982" t="n"/>
      <c r="F131" s="982" t="n"/>
      <c r="G131" s="982" t="n"/>
    </row>
    <row r="132">
      <c r="A132" s="982" t="n"/>
      <c r="B132" s="982" t="n"/>
      <c r="C132" s="982" t="n"/>
      <c r="D132" s="982" t="n"/>
      <c r="E132" s="982" t="n"/>
      <c r="F132" s="982" t="n"/>
      <c r="G132" s="982" t="n"/>
    </row>
    <row r="133">
      <c r="A133" s="982" t="n"/>
      <c r="B133" s="982" t="n"/>
      <c r="C133" s="982" t="n"/>
      <c r="D133" s="982" t="n"/>
      <c r="E133" s="982" t="n"/>
      <c r="F133" s="982" t="n"/>
      <c r="G133" s="982" t="n"/>
    </row>
    <row r="134">
      <c r="A134" s="982" t="n"/>
      <c r="B134" s="982" t="n"/>
      <c r="C134" s="982" t="n"/>
      <c r="D134" s="982" t="n"/>
      <c r="E134" s="982" t="n"/>
      <c r="F134" s="982" t="n"/>
      <c r="G134" s="982" t="n"/>
    </row>
    <row r="135">
      <c r="A135" s="982" t="n"/>
      <c r="B135" s="982" t="n"/>
      <c r="C135" s="982" t="n"/>
      <c r="D135" s="982" t="n"/>
      <c r="E135" s="982" t="n"/>
      <c r="F135" s="982" t="n"/>
      <c r="G135" s="982" t="n"/>
    </row>
    <row r="136">
      <c r="A136" s="982" t="n"/>
      <c r="B136" s="982" t="n"/>
      <c r="C136" s="982" t="n"/>
      <c r="D136" s="982" t="n"/>
      <c r="E136" s="982" t="n"/>
      <c r="F136" s="982" t="n"/>
      <c r="G136" s="982" t="n"/>
    </row>
    <row r="137">
      <c r="A137" s="982" t="n"/>
      <c r="B137" s="982" t="n"/>
      <c r="C137" s="982" t="n"/>
      <c r="D137" s="982" t="n"/>
      <c r="E137" s="982" t="n"/>
      <c r="F137" s="982" t="n"/>
      <c r="G137" s="982" t="n"/>
    </row>
    <row r="138">
      <c r="A138" s="982" t="n"/>
      <c r="B138" s="982" t="n"/>
      <c r="C138" s="982" t="n"/>
      <c r="D138" s="982" t="n"/>
      <c r="E138" s="982" t="n"/>
      <c r="F138" s="982" t="n"/>
      <c r="G138" s="982" t="n"/>
    </row>
    <row r="139">
      <c r="A139" s="982" t="n"/>
      <c r="B139" s="982" t="n"/>
      <c r="C139" s="982" t="n"/>
      <c r="D139" s="982" t="n"/>
      <c r="E139" s="982" t="n"/>
      <c r="F139" s="982" t="n"/>
      <c r="G139" s="982" t="n"/>
    </row>
    <row r="140">
      <c r="A140" s="982" t="n"/>
      <c r="B140" s="982" t="n"/>
      <c r="C140" s="982" t="n"/>
      <c r="D140" s="982" t="n"/>
      <c r="E140" s="982" t="n"/>
      <c r="F140" s="982" t="n"/>
      <c r="G140" s="982" t="n"/>
    </row>
    <row r="141">
      <c r="A141" s="982" t="n"/>
      <c r="B141" s="982" t="n"/>
      <c r="C141" s="982" t="n"/>
      <c r="D141" s="982" t="n"/>
      <c r="E141" s="982" t="n"/>
      <c r="F141" s="982" t="n"/>
      <c r="G141" s="982" t="n"/>
    </row>
    <row r="142">
      <c r="A142" s="982" t="n"/>
      <c r="B142" s="982" t="n"/>
      <c r="C142" s="982" t="n"/>
      <c r="D142" s="982" t="n"/>
      <c r="E142" s="982" t="n"/>
      <c r="F142" s="982" t="n"/>
      <c r="G142" s="982" t="n"/>
    </row>
    <row r="143">
      <c r="A143" s="982" t="n"/>
      <c r="B143" s="982" t="n"/>
      <c r="C143" s="982" t="n"/>
      <c r="D143" s="982" t="n"/>
      <c r="E143" s="982" t="n"/>
      <c r="F143" s="982" t="n"/>
      <c r="G143" s="982" t="n"/>
    </row>
    <row r="144">
      <c r="A144" s="982" t="n"/>
      <c r="B144" s="982" t="n"/>
      <c r="C144" s="982" t="n"/>
      <c r="D144" s="982" t="n"/>
      <c r="E144" s="982" t="n"/>
      <c r="F144" s="982" t="n"/>
      <c r="G144" s="982" t="n"/>
    </row>
    <row r="145">
      <c r="A145" s="982" t="n"/>
      <c r="B145" s="982" t="n"/>
      <c r="C145" s="982" t="n"/>
      <c r="D145" s="982" t="n"/>
      <c r="E145" s="982" t="n"/>
      <c r="F145" s="982" t="n"/>
      <c r="G145" s="982" t="n"/>
    </row>
    <row r="146">
      <c r="A146" s="982" t="n"/>
      <c r="B146" s="982" t="n"/>
      <c r="C146" s="982" t="n"/>
      <c r="D146" s="982" t="n"/>
      <c r="E146" s="982" t="n"/>
      <c r="F146" s="982" t="n"/>
      <c r="G146" s="982" t="n"/>
    </row>
    <row r="147">
      <c r="A147" s="982" t="n"/>
      <c r="B147" s="982" t="n"/>
      <c r="C147" s="982" t="n"/>
      <c r="D147" s="982" t="n"/>
      <c r="E147" s="982" t="n"/>
      <c r="F147" s="982" t="n"/>
      <c r="G147" s="982" t="n"/>
    </row>
    <row r="148">
      <c r="A148" s="982" t="n"/>
      <c r="B148" s="982" t="n"/>
      <c r="C148" s="982" t="n"/>
      <c r="D148" s="982" t="n"/>
      <c r="E148" s="982" t="n"/>
      <c r="F148" s="982" t="n"/>
      <c r="G148" s="982" t="n"/>
    </row>
    <row r="149">
      <c r="A149" s="982" t="n"/>
      <c r="B149" s="982" t="n"/>
      <c r="C149" s="982" t="n"/>
      <c r="D149" s="982" t="n"/>
      <c r="E149" s="982" t="n"/>
      <c r="F149" s="982" t="n"/>
      <c r="G149" s="982" t="n"/>
    </row>
    <row r="150">
      <c r="A150" s="982" t="n"/>
      <c r="B150" s="982" t="n"/>
      <c r="C150" s="982" t="n"/>
      <c r="D150" s="982" t="n"/>
      <c r="E150" s="982" t="n"/>
      <c r="F150" s="982" t="n"/>
      <c r="G150" s="982" t="n"/>
    </row>
    <row r="151">
      <c r="A151" s="982" t="n"/>
      <c r="B151" s="982" t="n"/>
      <c r="C151" s="982" t="n"/>
      <c r="D151" s="982" t="n"/>
      <c r="E151" s="982" t="n"/>
      <c r="F151" s="982" t="n"/>
      <c r="G151" s="982" t="n"/>
    </row>
    <row r="152">
      <c r="A152" s="982" t="n"/>
      <c r="B152" s="982" t="n"/>
      <c r="C152" s="982" t="n"/>
      <c r="D152" s="982" t="n"/>
      <c r="E152" s="982" t="n"/>
      <c r="F152" s="982" t="n"/>
      <c r="G152" s="982" t="n"/>
    </row>
    <row r="153">
      <c r="A153" s="982" t="n"/>
      <c r="B153" s="982" t="n"/>
      <c r="C153" s="982" t="n"/>
      <c r="D153" s="982" t="n"/>
      <c r="E153" s="982" t="n"/>
      <c r="F153" s="982" t="n"/>
      <c r="G153" s="982" t="n"/>
    </row>
    <row r="154">
      <c r="A154" s="982" t="n"/>
      <c r="B154" s="982" t="n"/>
      <c r="C154" s="982" t="n"/>
      <c r="D154" s="982" t="n"/>
      <c r="E154" s="982" t="n"/>
      <c r="F154" s="982" t="n"/>
      <c r="G154" s="982" t="n"/>
    </row>
    <row r="155">
      <c r="A155" s="982" t="n"/>
      <c r="B155" s="982" t="n"/>
      <c r="C155" s="982" t="n"/>
      <c r="D155" s="982" t="n"/>
      <c r="E155" s="982" t="n"/>
      <c r="F155" s="982" t="n"/>
      <c r="G155" s="982" t="n"/>
    </row>
    <row r="156">
      <c r="A156" s="982" t="n"/>
      <c r="B156" s="982" t="n"/>
      <c r="C156" s="982" t="n"/>
      <c r="D156" s="982" t="n"/>
      <c r="E156" s="982" t="n"/>
      <c r="F156" s="982" t="n"/>
      <c r="G156" s="982" t="n"/>
    </row>
    <row r="157">
      <c r="A157" s="982" t="n"/>
      <c r="B157" s="982" t="n"/>
      <c r="C157" s="982" t="n"/>
      <c r="D157" s="982" t="n"/>
      <c r="E157" s="982" t="n"/>
      <c r="F157" s="982" t="n"/>
      <c r="G157" s="982" t="n"/>
    </row>
    <row r="158">
      <c r="A158" s="982" t="n"/>
      <c r="B158" s="982" t="n"/>
      <c r="C158" s="982" t="n"/>
      <c r="D158" s="982" t="n"/>
      <c r="E158" s="982" t="n"/>
      <c r="F158" s="982" t="n"/>
      <c r="G158" s="982" t="n"/>
    </row>
    <row r="159">
      <c r="A159" s="982" t="n"/>
      <c r="B159" s="982" t="n"/>
      <c r="C159" s="982" t="n"/>
      <c r="D159" s="982" t="n"/>
      <c r="E159" s="982" t="n"/>
      <c r="F159" s="982" t="n"/>
      <c r="G159" s="982" t="n"/>
    </row>
    <row r="160">
      <c r="A160" s="982" t="n"/>
      <c r="B160" s="982" t="n"/>
      <c r="C160" s="982" t="n"/>
      <c r="D160" s="982" t="n"/>
      <c r="E160" s="982" t="n"/>
      <c r="F160" s="982" t="n"/>
      <c r="G160" s="982" t="n"/>
    </row>
    <row r="161">
      <c r="A161" s="982" t="n"/>
      <c r="B161" s="982" t="n"/>
      <c r="C161" s="982" t="n"/>
      <c r="D161" s="982" t="n"/>
      <c r="E161" s="982" t="n"/>
      <c r="F161" s="982" t="n"/>
      <c r="G161" s="982" t="n"/>
    </row>
    <row r="162">
      <c r="A162" s="982" t="n"/>
      <c r="B162" s="982" t="n"/>
      <c r="C162" s="982" t="n"/>
      <c r="D162" s="982" t="n"/>
      <c r="E162" s="982" t="n"/>
      <c r="F162" s="982" t="n"/>
      <c r="G162" s="982" t="n"/>
    </row>
    <row r="163">
      <c r="A163" s="982" t="n"/>
      <c r="B163" s="982" t="n"/>
      <c r="C163" s="982" t="n"/>
      <c r="D163" s="982" t="n"/>
      <c r="E163" s="982" t="n"/>
      <c r="F163" s="982" t="n"/>
      <c r="G163" s="982" t="n"/>
    </row>
    <row r="164">
      <c r="A164" s="982" t="n"/>
      <c r="B164" s="982" t="n"/>
      <c r="C164" s="982" t="n"/>
      <c r="D164" s="982" t="n"/>
      <c r="E164" s="982" t="n"/>
      <c r="F164" s="982" t="n"/>
      <c r="G164" s="982" t="n"/>
    </row>
    <row r="165">
      <c r="A165" s="982" t="n"/>
      <c r="B165" s="982" t="n"/>
      <c r="C165" s="982" t="n"/>
      <c r="D165" s="982" t="n"/>
      <c r="E165" s="982" t="n"/>
      <c r="F165" s="982" t="n"/>
      <c r="G165" s="982" t="n"/>
    </row>
    <row r="166">
      <c r="A166" s="982" t="n"/>
      <c r="B166" s="982" t="n"/>
      <c r="C166" s="982" t="n"/>
      <c r="D166" s="982" t="n"/>
      <c r="E166" s="982" t="n"/>
      <c r="F166" s="982" t="n"/>
      <c r="G166" s="982" t="n"/>
    </row>
    <row r="167">
      <c r="A167" s="982" t="n"/>
      <c r="B167" s="982" t="n"/>
      <c r="C167" s="982" t="n"/>
      <c r="D167" s="982" t="n"/>
      <c r="E167" s="982" t="n"/>
      <c r="F167" s="982" t="n"/>
      <c r="G167" s="982" t="n"/>
    </row>
    <row r="168">
      <c r="A168" s="982" t="n"/>
      <c r="B168" s="982" t="n"/>
      <c r="C168" s="982" t="n"/>
      <c r="D168" s="982" t="n"/>
      <c r="E168" s="982" t="n"/>
      <c r="F168" s="982" t="n"/>
      <c r="G168" s="982" t="n"/>
    </row>
    <row r="169">
      <c r="A169" s="982" t="n"/>
      <c r="B169" s="982" t="n"/>
      <c r="C169" s="982" t="n"/>
      <c r="D169" s="982" t="n"/>
      <c r="E169" s="982" t="n"/>
      <c r="F169" s="982" t="n"/>
      <c r="G169" s="982" t="n"/>
    </row>
    <row r="170">
      <c r="A170" s="982" t="n"/>
      <c r="B170" s="982" t="n"/>
      <c r="C170" s="982" t="n"/>
      <c r="D170" s="982" t="n"/>
      <c r="E170" s="982" t="n"/>
      <c r="F170" s="982" t="n"/>
      <c r="G170" s="982" t="n"/>
    </row>
    <row r="171">
      <c r="A171" s="982" t="n"/>
      <c r="B171" s="982" t="n"/>
      <c r="C171" s="982" t="n"/>
      <c r="D171" s="982" t="n"/>
      <c r="E171" s="982" t="n"/>
      <c r="F171" s="982" t="n"/>
      <c r="G171" s="982" t="n"/>
    </row>
    <row r="172">
      <c r="A172" s="982" t="n"/>
      <c r="B172" s="982" t="n"/>
      <c r="C172" s="982" t="n"/>
      <c r="D172" s="982" t="n"/>
      <c r="E172" s="982" t="n"/>
      <c r="F172" s="982" t="n"/>
      <c r="G172" s="982" t="n"/>
    </row>
    <row r="173">
      <c r="A173" s="982" t="n"/>
      <c r="B173" s="982" t="n"/>
      <c r="C173" s="982" t="n"/>
      <c r="D173" s="982" t="n"/>
      <c r="E173" s="982" t="n"/>
      <c r="F173" s="982" t="n"/>
      <c r="G173" s="982" t="n"/>
    </row>
    <row r="174">
      <c r="A174" s="982" t="n"/>
      <c r="B174" s="982" t="n"/>
      <c r="C174" s="982" t="n"/>
      <c r="D174" s="982" t="n"/>
      <c r="E174" s="982" t="n"/>
      <c r="F174" s="982" t="n"/>
      <c r="G174" s="982" t="n"/>
    </row>
    <row r="175">
      <c r="A175" s="982" t="n"/>
      <c r="B175" s="982" t="n"/>
      <c r="C175" s="982" t="n"/>
      <c r="D175" s="982" t="n"/>
      <c r="E175" s="982" t="n"/>
      <c r="F175" s="982" t="n"/>
      <c r="G175" s="982" t="n"/>
    </row>
    <row r="176">
      <c r="A176" s="982" t="n"/>
      <c r="B176" s="982" t="n"/>
      <c r="C176" s="982" t="n"/>
      <c r="D176" s="982" t="n"/>
      <c r="E176" s="982" t="n"/>
      <c r="F176" s="982" t="n"/>
      <c r="G176" s="982" t="n"/>
    </row>
    <row r="177">
      <c r="A177" s="982" t="n"/>
      <c r="B177" s="982" t="n"/>
      <c r="C177" s="982" t="n"/>
      <c r="D177" s="982" t="n"/>
      <c r="E177" s="982" t="n"/>
      <c r="F177" s="982" t="n"/>
      <c r="G177" s="982" t="n"/>
    </row>
    <row r="178">
      <c r="A178" s="982" t="n"/>
      <c r="B178" s="982" t="n"/>
      <c r="C178" s="982" t="n"/>
      <c r="D178" s="982" t="n"/>
      <c r="E178" s="982" t="n"/>
      <c r="F178" s="982" t="n"/>
      <c r="G178" s="982" t="n"/>
    </row>
    <row r="179">
      <c r="A179" s="982" t="n"/>
      <c r="B179" s="982" t="n"/>
      <c r="C179" s="982" t="n"/>
      <c r="D179" s="982" t="n"/>
      <c r="E179" s="982" t="n"/>
      <c r="F179" s="982" t="n"/>
      <c r="G179" s="982" t="n"/>
    </row>
    <row r="180">
      <c r="A180" s="982" t="n"/>
      <c r="B180" s="982" t="n"/>
      <c r="C180" s="982" t="n"/>
      <c r="D180" s="982" t="n"/>
      <c r="E180" s="982" t="n"/>
      <c r="F180" s="982" t="n"/>
      <c r="G180" s="982" t="n"/>
    </row>
    <row r="181">
      <c r="A181" s="982" t="n"/>
      <c r="B181" s="982" t="n"/>
      <c r="C181" s="982" t="n"/>
      <c r="D181" s="982" t="n"/>
      <c r="E181" s="982" t="n"/>
      <c r="F181" s="982" t="n"/>
      <c r="G181" s="982" t="n"/>
    </row>
    <row r="182">
      <c r="A182" s="982" t="n"/>
      <c r="B182" s="999" t="n"/>
      <c r="C182" s="982" t="n"/>
      <c r="D182" s="982" t="n"/>
      <c r="E182" s="982" t="n"/>
      <c r="F182" s="982" t="n"/>
      <c r="G182" s="982" t="n"/>
    </row>
    <row r="183">
      <c r="A183" s="982" t="n"/>
      <c r="B183" s="999" t="n"/>
      <c r="C183" s="999" t="n"/>
      <c r="D183" s="999" t="n"/>
      <c r="E183" s="999" t="n"/>
      <c r="F183" s="999" t="n"/>
      <c r="G183" s="982" t="n"/>
    </row>
    <row r="184">
      <c r="A184" s="982" t="n"/>
      <c r="B184" s="982" t="n"/>
      <c r="C184" s="982" t="n"/>
      <c r="D184" s="982" t="n"/>
      <c r="E184" s="982" t="n"/>
      <c r="F184" s="982" t="n"/>
      <c r="G184" s="982" t="n"/>
    </row>
    <row r="185">
      <c r="A185" s="982" t="n"/>
      <c r="B185" s="982" t="n"/>
      <c r="C185" s="982" t="n"/>
      <c r="D185" s="982" t="n"/>
      <c r="E185" s="982" t="n"/>
      <c r="F185" s="982" t="n"/>
      <c r="G185" s="982" t="n"/>
    </row>
    <row r="186">
      <c r="A186" s="982" t="n"/>
      <c r="B186" s="982" t="n"/>
      <c r="C186" s="982" t="n"/>
      <c r="D186" s="982" t="n"/>
      <c r="E186" s="982" t="n"/>
      <c r="F186" s="982" t="n"/>
      <c r="G186" s="982" t="n"/>
    </row>
    <row r="187">
      <c r="A187" s="982" t="n"/>
      <c r="B187" s="982" t="n"/>
      <c r="C187" s="982" t="n"/>
      <c r="D187" s="982" t="n"/>
      <c r="E187" s="982" t="n"/>
      <c r="F187" s="982" t="n"/>
      <c r="G187" s="982" t="n"/>
    </row>
    <row r="188">
      <c r="A188" s="982" t="n"/>
      <c r="B188" s="982" t="n"/>
      <c r="C188" s="982" t="n"/>
      <c r="D188" s="982" t="n"/>
      <c r="E188" s="982" t="n"/>
      <c r="F188" s="982" t="n"/>
      <c r="G188" s="982" t="n"/>
    </row>
    <row r="189">
      <c r="A189" s="982" t="n"/>
      <c r="B189" s="982" t="n"/>
      <c r="C189" s="982" t="n"/>
      <c r="D189" s="982" t="n"/>
      <c r="E189" s="982" t="n"/>
      <c r="F189" s="982" t="n"/>
      <c r="G189" s="982" t="n"/>
    </row>
    <row r="190">
      <c r="A190" s="982" t="n"/>
      <c r="B190" s="982" t="n"/>
      <c r="C190" s="982" t="n"/>
      <c r="D190" s="982" t="n"/>
      <c r="E190" s="982" t="n"/>
      <c r="F190" s="982" t="n"/>
      <c r="G190" s="982" t="n"/>
    </row>
    <row r="191">
      <c r="A191" s="982" t="n"/>
      <c r="B191" s="982" t="n"/>
      <c r="C191" s="982" t="n"/>
      <c r="D191" s="982" t="n"/>
      <c r="E191" s="982" t="n"/>
      <c r="F191" s="982" t="n"/>
      <c r="G191" s="982" t="n"/>
    </row>
    <row r="192">
      <c r="A192" s="982" t="n"/>
      <c r="B192" s="982" t="n"/>
      <c r="C192" s="982" t="n"/>
      <c r="D192" s="982" t="n"/>
      <c r="E192" s="982" t="n"/>
      <c r="F192" s="982" t="n"/>
      <c r="G192" s="982" t="n"/>
    </row>
    <row r="193">
      <c r="A193" s="982" t="n"/>
      <c r="B193" s="982" t="n"/>
      <c r="C193" s="982" t="n"/>
      <c r="D193" s="982" t="n"/>
      <c r="E193" s="982" t="n"/>
      <c r="F193" s="982" t="n"/>
      <c r="G193" s="982" t="n"/>
    </row>
    <row r="194">
      <c r="A194" s="982" t="n"/>
      <c r="B194" s="982" t="n"/>
      <c r="C194" s="982" t="n"/>
      <c r="D194" s="982" t="n"/>
      <c r="E194" s="982" t="n"/>
      <c r="F194" s="982" t="n"/>
      <c r="G194" s="982" t="n"/>
    </row>
    <row r="195">
      <c r="A195" s="982" t="n"/>
      <c r="B195" s="982" t="n"/>
      <c r="C195" s="982" t="n"/>
      <c r="D195" s="982" t="n"/>
      <c r="E195" s="982" t="n"/>
      <c r="F195" s="982" t="n"/>
      <c r="G195" s="982" t="n"/>
    </row>
    <row r="196">
      <c r="A196" s="982" t="n"/>
      <c r="B196" s="982" t="n"/>
      <c r="C196" s="982" t="n"/>
      <c r="D196" s="982" t="n"/>
      <c r="E196" s="982" t="n"/>
      <c r="F196" s="982" t="n"/>
      <c r="G196" s="982" t="n"/>
    </row>
    <row r="197">
      <c r="A197" s="982" t="n"/>
      <c r="B197" s="982" t="n"/>
      <c r="C197" s="982" t="n"/>
      <c r="D197" s="982" t="n"/>
      <c r="E197" s="982" t="n"/>
      <c r="F197" s="982" t="n"/>
      <c r="G197" s="982" t="n"/>
    </row>
    <row r="198">
      <c r="A198" s="982" t="n"/>
      <c r="B198" s="982" t="n"/>
      <c r="C198" s="982" t="n"/>
      <c r="D198" s="982" t="n"/>
      <c r="E198" s="982" t="n"/>
      <c r="F198" s="982" t="n"/>
      <c r="G198" s="982" t="n"/>
    </row>
    <row r="199">
      <c r="A199" s="982" t="n"/>
      <c r="B199" s="982" t="n"/>
      <c r="C199" s="982" t="n"/>
      <c r="D199" s="982" t="n"/>
      <c r="E199" s="982" t="n"/>
      <c r="F199" s="982" t="n"/>
      <c r="G199" s="982" t="n"/>
    </row>
    <row r="200">
      <c r="A200" s="982" t="n"/>
      <c r="B200" s="982" t="n"/>
      <c r="C200" s="982" t="n"/>
      <c r="D200" s="982" t="n"/>
      <c r="E200" s="982" t="n"/>
      <c r="F200" s="982" t="n"/>
      <c r="G200" s="982" t="n"/>
    </row>
    <row r="201">
      <c r="A201" s="982" t="n"/>
      <c r="B201" s="982" t="n"/>
      <c r="C201" s="982" t="n"/>
      <c r="D201" s="982" t="n"/>
      <c r="E201" s="982" t="n"/>
      <c r="F201" s="982" t="n"/>
      <c r="G201" s="982" t="n"/>
    </row>
    <row r="202">
      <c r="A202" s="982" t="n"/>
      <c r="B202" s="982" t="n"/>
      <c r="C202" s="982" t="n"/>
      <c r="D202" s="982" t="n"/>
      <c r="E202" s="982" t="n"/>
      <c r="F202" s="982" t="n"/>
      <c r="G202" s="982" t="n"/>
    </row>
    <row r="203">
      <c r="A203" s="982" t="n"/>
      <c r="B203" s="982" t="n"/>
      <c r="C203" s="982" t="n"/>
      <c r="D203" s="982" t="n"/>
      <c r="E203" s="982" t="n"/>
      <c r="F203" s="982" t="n"/>
      <c r="G203" s="982" t="n"/>
    </row>
    <row r="204">
      <c r="A204" s="982" t="n"/>
      <c r="B204" s="982" t="n"/>
      <c r="C204" s="982" t="n"/>
      <c r="D204" s="982" t="n"/>
      <c r="E204" s="982" t="n"/>
      <c r="F204" s="982" t="n"/>
      <c r="G204" s="982" t="n"/>
    </row>
    <row r="205">
      <c r="A205" s="982" t="n"/>
      <c r="B205" s="982" t="n"/>
      <c r="C205" s="982" t="n"/>
      <c r="D205" s="982" t="n"/>
      <c r="E205" s="982" t="n"/>
      <c r="F205" s="982" t="n"/>
      <c r="G205" s="982" t="n"/>
    </row>
    <row r="206">
      <c r="A206" s="982" t="n"/>
      <c r="B206" s="982" t="n"/>
      <c r="C206" s="982" t="n"/>
      <c r="D206" s="982" t="n"/>
      <c r="E206" s="982" t="n"/>
      <c r="F206" s="982" t="n"/>
      <c r="G206" s="982" t="n"/>
    </row>
    <row r="207">
      <c r="A207" s="982" t="n"/>
      <c r="B207" s="982" t="n"/>
      <c r="C207" s="982" t="n"/>
      <c r="D207" s="982" t="n"/>
      <c r="E207" s="982" t="n"/>
      <c r="F207" s="982" t="n"/>
      <c r="G207" s="982" t="n"/>
    </row>
    <row r="208">
      <c r="A208" s="982" t="n"/>
      <c r="B208" s="982" t="n"/>
      <c r="C208" s="982" t="n"/>
      <c r="D208" s="982" t="n"/>
      <c r="E208" s="982" t="n"/>
      <c r="F208" s="982" t="n"/>
      <c r="G208" s="982" t="n"/>
    </row>
    <row r="209">
      <c r="A209" s="982" t="n"/>
      <c r="B209" s="982" t="n"/>
      <c r="C209" s="982" t="n"/>
      <c r="D209" s="982" t="n"/>
      <c r="E209" s="982" t="n"/>
      <c r="F209" s="982" t="n"/>
      <c r="G209" s="982" t="n"/>
    </row>
    <row r="210">
      <c r="A210" s="982" t="n"/>
      <c r="B210" s="982" t="n"/>
      <c r="C210" s="982" t="n"/>
      <c r="D210" s="982" t="n"/>
      <c r="E210" s="982" t="n"/>
      <c r="F210" s="982" t="n"/>
      <c r="G210" s="982" t="n"/>
    </row>
    <row r="211">
      <c r="A211" s="982" t="n"/>
      <c r="B211" s="982" t="n"/>
      <c r="C211" s="982" t="n"/>
      <c r="D211" s="982" t="n"/>
      <c r="E211" s="982" t="n"/>
      <c r="F211" s="982" t="n"/>
      <c r="G211" s="982" t="n"/>
    </row>
    <row r="212">
      <c r="A212" s="982" t="n"/>
      <c r="B212" s="982" t="n"/>
      <c r="C212" s="982" t="n"/>
      <c r="D212" s="982" t="n"/>
      <c r="E212" s="982" t="n"/>
      <c r="F212" s="982" t="n"/>
      <c r="G212" s="982" t="n"/>
    </row>
    <row r="213">
      <c r="A213" s="982" t="n"/>
      <c r="B213" s="982" t="n"/>
      <c r="C213" s="982" t="n"/>
      <c r="D213" s="982" t="n"/>
      <c r="E213" s="982" t="n"/>
      <c r="F213" s="982" t="n"/>
      <c r="G213" s="982" t="n"/>
    </row>
    <row r="214">
      <c r="A214" s="982" t="n"/>
      <c r="B214" s="982" t="n"/>
      <c r="C214" s="982" t="n"/>
      <c r="D214" s="982" t="n"/>
      <c r="E214" s="982" t="n"/>
      <c r="F214" s="982" t="n"/>
      <c r="G214" s="982" t="n"/>
    </row>
    <row r="215">
      <c r="A215" s="982" t="n"/>
      <c r="B215" s="982" t="n"/>
      <c r="C215" s="982" t="n"/>
      <c r="D215" s="982" t="n"/>
      <c r="E215" s="982" t="n"/>
      <c r="F215" s="982" t="n"/>
      <c r="G215" s="982" t="n"/>
    </row>
    <row r="216">
      <c r="A216" s="982" t="n"/>
      <c r="B216" s="982" t="n"/>
      <c r="C216" s="982" t="n"/>
      <c r="D216" s="982" t="n"/>
      <c r="E216" s="982" t="n"/>
      <c r="F216" s="982" t="n"/>
      <c r="G216" s="982" t="n"/>
    </row>
    <row r="217">
      <c r="A217" s="982" t="n"/>
      <c r="B217" s="982" t="n"/>
      <c r="C217" s="982" t="n"/>
      <c r="D217" s="982" t="n"/>
      <c r="E217" s="982" t="n"/>
      <c r="F217" s="982" t="n"/>
      <c r="G217" s="982" t="n"/>
    </row>
    <row r="218">
      <c r="A218" s="982" t="n"/>
      <c r="B218" s="982" t="n"/>
      <c r="C218" s="982" t="n"/>
      <c r="D218" s="982" t="n"/>
      <c r="E218" s="982" t="n"/>
      <c r="F218" s="982" t="n"/>
      <c r="G218" s="982" t="n"/>
    </row>
    <row r="219">
      <c r="A219" s="982" t="n"/>
      <c r="B219" s="982" t="n"/>
      <c r="C219" s="982" t="n"/>
      <c r="D219" s="982" t="n"/>
      <c r="E219" s="982" t="n"/>
      <c r="F219" s="982" t="n"/>
      <c r="G219" s="982" t="n"/>
    </row>
    <row r="220">
      <c r="A220" s="982" t="n"/>
      <c r="B220" s="982" t="n"/>
      <c r="C220" s="982" t="n"/>
      <c r="D220" s="982" t="n"/>
      <c r="E220" s="982" t="n"/>
      <c r="F220" s="982" t="n"/>
      <c r="G220" s="982" t="n"/>
    </row>
    <row r="221">
      <c r="A221" s="982" t="n"/>
      <c r="B221" s="982" t="n"/>
      <c r="C221" s="982" t="n"/>
      <c r="D221" s="982" t="n"/>
      <c r="E221" s="982" t="n"/>
      <c r="F221" s="982" t="n"/>
      <c r="G221" s="982" t="n"/>
    </row>
    <row r="222">
      <c r="A222" s="982" t="n"/>
      <c r="B222" s="982" t="n"/>
      <c r="C222" s="982" t="n"/>
      <c r="D222" s="982" t="n"/>
      <c r="E222" s="982" t="n"/>
      <c r="F222" s="982" t="n"/>
      <c r="G222" s="982" t="n"/>
    </row>
    <row r="223">
      <c r="A223" s="982" t="n"/>
      <c r="B223" s="982" t="n"/>
      <c r="C223" s="982" t="n"/>
      <c r="D223" s="982" t="n"/>
      <c r="E223" s="982" t="n"/>
      <c r="F223" s="982" t="n"/>
      <c r="G223" s="982" t="n"/>
    </row>
    <row r="224">
      <c r="A224" s="982" t="n"/>
      <c r="B224" s="982" t="n"/>
      <c r="C224" s="982" t="n"/>
      <c r="D224" s="982" t="n"/>
      <c r="E224" s="982" t="n"/>
      <c r="F224" s="982" t="n"/>
      <c r="G224" s="982" t="n"/>
    </row>
    <row r="225">
      <c r="A225" s="982" t="n"/>
      <c r="B225" s="982" t="n"/>
      <c r="C225" s="982" t="n"/>
      <c r="D225" s="982" t="n"/>
      <c r="E225" s="982" t="n"/>
      <c r="F225" s="982" t="n"/>
      <c r="G225" s="982" t="n"/>
    </row>
    <row r="226">
      <c r="A226" s="982" t="n"/>
      <c r="B226" s="982" t="n"/>
      <c r="C226" s="982" t="n"/>
      <c r="D226" s="982" t="n"/>
      <c r="E226" s="982" t="n"/>
      <c r="F226" s="982" t="n"/>
      <c r="G226" s="982" t="n"/>
    </row>
    <row r="227">
      <c r="A227" s="982" t="n"/>
      <c r="B227" s="982" t="n"/>
      <c r="C227" s="982" t="n"/>
      <c r="D227" s="982" t="n"/>
      <c r="E227" s="982" t="n"/>
      <c r="F227" s="982" t="n"/>
      <c r="G227" s="982" t="n"/>
    </row>
    <row r="228">
      <c r="A228" s="982" t="n"/>
      <c r="B228" s="982" t="n"/>
      <c r="C228" s="982" t="n"/>
      <c r="D228" s="982" t="n"/>
      <c r="E228" s="982" t="n"/>
      <c r="F228" s="982" t="n"/>
      <c r="G228" s="982" t="n"/>
    </row>
    <row r="229">
      <c r="A229" s="982" t="n"/>
      <c r="B229" s="982" t="n"/>
      <c r="C229" s="982" t="n"/>
      <c r="D229" s="982" t="n"/>
      <c r="E229" s="982" t="n"/>
      <c r="F229" s="982" t="n"/>
      <c r="G229" s="982" t="n"/>
    </row>
    <row r="230">
      <c r="A230" s="982" t="n"/>
      <c r="B230" s="982" t="n"/>
      <c r="C230" s="982" t="n"/>
      <c r="D230" s="982" t="n"/>
      <c r="E230" s="982" t="n"/>
      <c r="F230" s="982" t="n"/>
      <c r="G230" s="982" t="n"/>
    </row>
    <row r="231">
      <c r="A231" s="982" t="n"/>
      <c r="B231" s="982" t="n"/>
      <c r="C231" s="982" t="n"/>
      <c r="D231" s="982" t="n"/>
      <c r="E231" s="982" t="n"/>
      <c r="F231" s="982" t="n"/>
      <c r="G231" s="982" t="n"/>
    </row>
    <row r="232">
      <c r="A232" s="982" t="n"/>
      <c r="B232" s="982" t="n"/>
      <c r="C232" s="982" t="n"/>
      <c r="D232" s="982" t="n"/>
      <c r="E232" s="982" t="n"/>
      <c r="F232" s="982" t="n"/>
      <c r="G232" s="982" t="n"/>
    </row>
    <row r="233">
      <c r="A233" s="982" t="n"/>
      <c r="B233" s="1008" t="n"/>
      <c r="C233" s="982" t="n"/>
      <c r="D233" s="982" t="n"/>
      <c r="E233" s="982" t="n"/>
      <c r="F233" s="982" t="n"/>
      <c r="G233" s="982" t="n"/>
    </row>
  </sheetData>
  <dataValidations count="0"/>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
      </c>
      <c r="D6" s="9">
        <f>('1.1 Ampol Retail'!$C$9+'1.1 Ampol Retail'!$D$9)</f>
        <v/>
      </c>
      <c r="E6" s="907">
        <f>C6-D6</f>
        <v/>
      </c>
      <c r="F6" s="203" t="n"/>
      <c r="G6" s="9">
        <f>'1.1 Ampol Retail'!$E$9</f>
        <v/>
      </c>
      <c r="H6" s="9">
        <f>'1.1 Ampol Retail'!$J$18</f>
        <v/>
      </c>
      <c r="I6" s="9">
        <f>'1.1 Ampol Retail'!$J$20</f>
        <v/>
      </c>
      <c r="J6" s="898">
        <f>-E6+I6</f>
        <v/>
      </c>
      <c r="K6" s="551">
        <f>'1.1 Ampol Retail'!$F$9</f>
        <v/>
      </c>
    </row>
    <row r="7">
      <c r="B7" s="8" t="inlineStr">
        <is>
          <t>Customer</t>
        </is>
      </c>
      <c r="C7" s="9">
        <f>'1.2 Customer'!$I$5</f>
        <v/>
      </c>
      <c r="D7" s="9">
        <f>('1.2 Customer'!$C$9+'1.2 Customer'!$D$9)</f>
        <v/>
      </c>
      <c r="E7" s="907">
        <f>C7-D7</f>
        <v/>
      </c>
      <c r="F7" s="203" t="n"/>
      <c r="G7" s="9">
        <f>'1.2 Customer'!$E$9</f>
        <v/>
      </c>
      <c r="H7" s="9">
        <f>'1.2 Customer'!$J$23</f>
        <v/>
      </c>
      <c r="I7" s="9">
        <f>'1.2 Customer'!$J$25</f>
        <v/>
      </c>
      <c r="J7" s="898">
        <f>-E7+I7</f>
        <v/>
      </c>
      <c r="K7" s="551">
        <f>'1.2 Customer'!$F$9</f>
        <v/>
      </c>
    </row>
    <row r="8">
      <c r="B8" s="8" t="inlineStr">
        <is>
          <t>Enterprise Data</t>
        </is>
      </c>
      <c r="C8" s="9">
        <f>'1.3 Enterprise Data'!$I$5</f>
        <v/>
      </c>
      <c r="D8" s="9">
        <f>('1.3 Enterprise Data'!$C$9+'1.3 Enterprise Data'!$D$9)</f>
        <v/>
      </c>
      <c r="E8" s="907">
        <f>C8-D8</f>
        <v/>
      </c>
      <c r="F8" s="203" t="n"/>
      <c r="G8" s="9">
        <f>'1.3 Enterprise Data'!$E$9</f>
        <v/>
      </c>
      <c r="H8" s="9">
        <f>'1.3 Enterprise Data'!$J$14</f>
        <v/>
      </c>
      <c r="I8" s="9">
        <f>'1.3 Enterprise Data'!$J$15</f>
        <v/>
      </c>
      <c r="J8" s="898">
        <f>-E8+I8</f>
        <v/>
      </c>
      <c r="K8" s="551">
        <f>'1.3 Enterprise Data'!$F$9</f>
        <v/>
      </c>
    </row>
    <row r="9">
      <c r="B9" s="8" t="inlineStr">
        <is>
          <t>TDD Group Functions</t>
        </is>
      </c>
      <c r="C9" s="9">
        <f>'1.4 TDD Group Functions'!$I$5</f>
        <v/>
      </c>
      <c r="D9" s="9">
        <f>('1.4 TDD Group Functions'!$C$9+'1.4 TDD Group Functions'!$D$9)</f>
        <v/>
      </c>
      <c r="E9" s="907">
        <f>C9-D9</f>
        <v/>
      </c>
      <c r="F9" s="203" t="n"/>
      <c r="G9" s="9">
        <f>'1.4 TDD Group Functions'!$E$9</f>
        <v/>
      </c>
      <c r="H9" s="9">
        <f>'1.4 TDD Group Functions'!$J$13</f>
        <v/>
      </c>
      <c r="I9" s="9">
        <f>'1.4 TDD Group Functions'!$J$14</f>
        <v/>
      </c>
      <c r="J9" s="898">
        <f>-E9+I9</f>
        <v/>
      </c>
      <c r="K9" s="551">
        <f>'1.4 TDD Group Functions'!$F$9</f>
        <v/>
      </c>
    </row>
    <row r="10">
      <c r="B10" s="8" t="inlineStr">
        <is>
          <t>P&amp;C</t>
        </is>
      </c>
      <c r="C10" s="9">
        <f>'1.5 P&amp;C'!$I$5</f>
        <v/>
      </c>
      <c r="D10" s="9">
        <f>('1.5 P&amp;C'!$C$9+'1.5 P&amp;C'!$D$9)</f>
        <v/>
      </c>
      <c r="E10" s="907">
        <f>C10-D10</f>
        <v/>
      </c>
      <c r="F10" s="203" t="n"/>
      <c r="G10" s="9">
        <f>'1.5 P&amp;C'!$E$9</f>
        <v/>
      </c>
      <c r="H10" s="9">
        <f>'1.5 P&amp;C'!$J$18</f>
        <v/>
      </c>
      <c r="I10" s="9">
        <f>'1.5 P&amp;C'!$J$20</f>
        <v/>
      </c>
      <c r="J10" s="898">
        <f>-E10+I10</f>
        <v/>
      </c>
      <c r="K10" s="551">
        <f>'1.5 P&amp;C'!$F$9</f>
        <v/>
      </c>
    </row>
    <row r="11">
      <c r="B11" s="8" t="inlineStr">
        <is>
          <t>Finance</t>
        </is>
      </c>
      <c r="C11" s="9">
        <f>'1.6 Finance'!$I$5</f>
        <v/>
      </c>
      <c r="D11" s="9">
        <f>('1.6 Finance'!$C$9+'1.6 Finance'!$D$9)</f>
        <v/>
      </c>
      <c r="E11" s="907">
        <f>C11-D11</f>
        <v/>
      </c>
      <c r="F11" s="203" t="n"/>
      <c r="G11" s="9">
        <f>'1.6 Finance'!$E$9</f>
        <v/>
      </c>
      <c r="H11" s="9">
        <f>'1.6 Finance'!$J$18</f>
        <v/>
      </c>
      <c r="I11" s="9">
        <f>'1.6 Finance'!$J$20</f>
        <v/>
      </c>
      <c r="J11" s="898">
        <f>-E11+I11</f>
        <v/>
      </c>
      <c r="K11" s="551">
        <f>'1.6 Finance'!$F$9</f>
        <v/>
      </c>
    </row>
    <row r="12">
      <c r="B12" s="8" t="inlineStr">
        <is>
          <t>Infrastructure</t>
        </is>
      </c>
      <c r="C12" s="9">
        <f>'1.7 Infrastructure'!$I$6</f>
        <v/>
      </c>
      <c r="D12" s="9">
        <f>('1.7 Infrastructure'!$C$10+'1.7 Infrastructure'!$D$10)</f>
        <v/>
      </c>
      <c r="E12" s="907">
        <f>C12-D12</f>
        <v/>
      </c>
      <c r="F12" s="203" t="n"/>
      <c r="G12" s="9">
        <f>'1.7 Infrastructure'!$E$10</f>
        <v/>
      </c>
      <c r="H12" s="9">
        <f>'1.7 Infrastructure'!$J$18</f>
        <v/>
      </c>
      <c r="I12" s="9">
        <f>'1.7 Infrastructure'!$J$20</f>
        <v/>
      </c>
      <c r="J12" s="898">
        <f>-E12+I12</f>
        <v/>
      </c>
      <c r="K12" s="551">
        <f>'1.7 Infrastructure'!$F$10</f>
        <v/>
      </c>
    </row>
    <row r="13">
      <c r="B13" s="8" t="inlineStr">
        <is>
          <t>Energy Solutions &amp; B2B</t>
        </is>
      </c>
      <c r="C13" s="9">
        <f>'1.8 Energy Solutions &amp; B2B'!$I$5</f>
        <v/>
      </c>
      <c r="D13" s="9">
        <f>('1.8 Energy Solutions &amp; B2B'!$C$9+'1.8 Energy Solutions &amp; B2B'!$D$9)</f>
        <v/>
      </c>
      <c r="E13" s="907">
        <f>C13-D13</f>
        <v/>
      </c>
      <c r="F13" s="203" t="n"/>
      <c r="G13" s="9">
        <f>'1.8 Energy Solutions &amp; B2B'!$E$9</f>
        <v/>
      </c>
      <c r="H13" s="9">
        <f>'1.8 Energy Solutions &amp; B2B'!$J$20</f>
        <v/>
      </c>
      <c r="I13" s="9">
        <f>'1.8 Energy Solutions &amp; B2B'!$J$22</f>
        <v/>
      </c>
      <c r="J13" s="898">
        <f>-E13+I13</f>
        <v/>
      </c>
      <c r="K13" s="551">
        <f>'1.8 Energy Solutions &amp; B2B'!$F$9</f>
        <v/>
      </c>
    </row>
    <row r="14">
      <c r="B14" s="8" t="inlineStr">
        <is>
          <t>Commercial Fuels</t>
        </is>
      </c>
      <c r="C14" s="9">
        <f>'1.9 Commercial Fuels'!$I$5</f>
        <v/>
      </c>
      <c r="D14" s="9">
        <f>('1.9 Commercial Fuels'!$C$9+'1.9 Commercial Fuels'!$D$9)</f>
        <v/>
      </c>
      <c r="E14" s="907">
        <f>C14-D14</f>
        <v/>
      </c>
      <c r="F14" s="203" t="n"/>
      <c r="G14" s="9">
        <f>'1.9 Commercial Fuels'!$E$9</f>
        <v/>
      </c>
      <c r="H14" s="9">
        <f>'1.9 Commercial Fuels'!$J$18</f>
        <v/>
      </c>
      <c r="I14" s="9">
        <f>'1.9 Commercial Fuels'!$J$20</f>
        <v/>
      </c>
      <c r="J14" s="898">
        <f>-E14+I14</f>
        <v/>
      </c>
      <c r="K14" s="551">
        <f>'1.9 Commercial Fuels'!$F$9</f>
        <v/>
      </c>
    </row>
    <row r="15">
      <c r="B15" s="8" t="inlineStr">
        <is>
          <t>Z Retail</t>
        </is>
      </c>
      <c r="C15" s="9">
        <f>'1.10 Z Retail'!$I$5</f>
        <v/>
      </c>
      <c r="D15" s="9">
        <f>('1.10 Z Retail'!$C$9+'1.10 Z Retail'!$D$9)</f>
        <v/>
      </c>
      <c r="E15" s="907">
        <f>C15-D15</f>
        <v/>
      </c>
      <c r="F15" s="203" t="n"/>
      <c r="G15" s="9">
        <f>'1.10 Z Retail'!$E$9</f>
        <v/>
      </c>
      <c r="H15" s="9">
        <f>'1.10 Z Retail'!$J$19</f>
        <v/>
      </c>
      <c r="I15" s="9">
        <f>'1.10 Z Retail'!$J$21</f>
        <v/>
      </c>
      <c r="J15" s="898">
        <f>-E15+I15</f>
        <v/>
      </c>
      <c r="K15" s="551">
        <f>'1.10 Z Retail'!$F$9</f>
        <v/>
      </c>
    </row>
    <row r="16">
      <c r="B16" s="547" t="n"/>
      <c r="C16" s="614" t="n"/>
      <c r="D16" s="614" t="n"/>
      <c r="E16" s="908" t="n"/>
      <c r="F16" s="614" t="n"/>
      <c r="G16" s="614" t="n"/>
      <c r="H16" s="614" t="n"/>
      <c r="I16" s="614" t="n"/>
      <c r="J16" s="909" t="n"/>
      <c r="K16" s="592" t="n"/>
      <c r="L16" s="547" t="n"/>
    </row>
    <row r="17">
      <c r="B17" s="202" t="inlineStr">
        <is>
          <t>Total - all portfolios</t>
        </is>
      </c>
      <c r="C17" s="203">
        <f>SUM(C6:C15)</f>
        <v/>
      </c>
      <c r="D17" s="203">
        <f>SUM(D6:D15)</f>
        <v/>
      </c>
      <c r="E17" s="910">
        <f>SUM(E6:E15)</f>
        <v/>
      </c>
      <c r="F17" s="203" t="n"/>
      <c r="G17" s="203">
        <f>SUM(G6:G15)</f>
        <v/>
      </c>
      <c r="H17" s="203">
        <f>SUM(H6:H15)</f>
        <v/>
      </c>
      <c r="I17" s="203">
        <f>SUM(I6:I15)</f>
        <v/>
      </c>
      <c r="J17" s="911">
        <f>SUM(J6:J15)</f>
        <v/>
      </c>
      <c r="K17" s="553">
        <f>SUM(K6:K15)</f>
        <v/>
      </c>
    </row>
    <row r="18">
      <c r="B18" s="8" t="inlineStr">
        <is>
          <t>COE - Strategy Architecture</t>
        </is>
      </c>
      <c r="C18" s="9">
        <f>'0.2 Data Config'!$E$6</f>
        <v/>
      </c>
      <c r="D18" s="9">
        <f>'3.4 COE Summary'!$F$8</f>
        <v/>
      </c>
      <c r="E18" s="907">
        <f>C18-D18</f>
        <v/>
      </c>
      <c r="F18" s="203" t="n"/>
      <c r="G18" s="9" t="n">
        <v>0</v>
      </c>
      <c r="H18" s="9">
        <f>'3.4 COE Summary'!$G$8</f>
        <v/>
      </c>
      <c r="I18" s="9">
        <f>'3.4 COE Summary'!$H$8</f>
        <v/>
      </c>
      <c r="J18" s="898">
        <f>-E18+I18</f>
        <v/>
      </c>
      <c r="K18" s="551">
        <f>D18</f>
        <v/>
      </c>
    </row>
    <row r="19">
      <c r="B19" s="8" t="inlineStr">
        <is>
          <t>COE - Cyber, Risk &amp; Service Operations</t>
        </is>
      </c>
      <c r="C19" s="9">
        <f>'0.2 Data Config'!$E$7+'0.2 Data Config'!$E$23</f>
        <v/>
      </c>
      <c r="D19" s="9">
        <f>'1.13 Cyber Roles'!$F$8</f>
        <v/>
      </c>
      <c r="E19" s="907">
        <f>C19-D19</f>
        <v/>
      </c>
      <c r="F19" s="203" t="n"/>
      <c r="G19" s="9">
        <f>0</f>
        <v/>
      </c>
      <c r="H19" s="9">
        <f>'1.13 Cyber Roles'!$G$8</f>
        <v/>
      </c>
      <c r="I19" s="9">
        <f>'1.13 Cyber Roles'!$H$8</f>
        <v/>
      </c>
      <c r="J19" s="898">
        <f>-E19+I19</f>
        <v/>
      </c>
      <c r="K19" s="551">
        <f>D19</f>
        <v/>
      </c>
    </row>
    <row r="20">
      <c r="B20" s="8" t="inlineStr">
        <is>
          <t>COE - Transformation</t>
        </is>
      </c>
      <c r="C20" s="9">
        <f>'0.2 Data Config'!$E$8</f>
        <v/>
      </c>
      <c r="D20" s="9">
        <f>'3.4 COE Summary'!$F$7</f>
        <v/>
      </c>
      <c r="E20" s="907">
        <f>C20-D20</f>
        <v/>
      </c>
      <c r="F20" s="203" t="n"/>
      <c r="G20" s="9" t="n">
        <v>0</v>
      </c>
      <c r="H20" s="9">
        <f>'3.4 COE Summary'!$G$7</f>
        <v/>
      </c>
      <c r="I20" s="9">
        <f>'3.4 COE Summary'!$H$7</f>
        <v/>
      </c>
      <c r="J20" s="898">
        <f>-E20+I20</f>
        <v/>
      </c>
      <c r="K20" s="551">
        <f>D20</f>
        <v/>
      </c>
    </row>
    <row r="21">
      <c r="B21" s="8" t="inlineStr">
        <is>
          <t>COE - Business Partnering</t>
        </is>
      </c>
      <c r="C21" s="9">
        <f>'0.2 Data Config'!$E$9</f>
        <v/>
      </c>
      <c r="D21" s="9">
        <f>'3.4 COE Summary'!$F$6</f>
        <v/>
      </c>
      <c r="E21" s="9">
        <f>C21-D21</f>
        <v/>
      </c>
      <c r="F21" s="203" t="n"/>
      <c r="G21" s="9" t="n">
        <v>0</v>
      </c>
      <c r="H21" s="9">
        <f>'3.4 COE Summary'!$G$6</f>
        <v/>
      </c>
      <c r="I21" s="9">
        <f>'3.4 COE Summary'!$H$6</f>
        <v/>
      </c>
      <c r="J21" s="898">
        <f>-E21+I21</f>
        <v/>
      </c>
      <c r="K21" s="551">
        <f>D21</f>
        <v/>
      </c>
    </row>
    <row r="22">
      <c r="B22" s="8" t="inlineStr">
        <is>
          <t>COE - Data</t>
        </is>
      </c>
      <c r="C22" s="9">
        <f>'0.2 Data Config'!$E$10</f>
        <v/>
      </c>
      <c r="D22" s="9">
        <f>'3.4 COE Summary'!$F$9</f>
        <v/>
      </c>
      <c r="E22" s="9">
        <f>C22-D22</f>
        <v/>
      </c>
      <c r="F22" s="203" t="n"/>
      <c r="G22" s="9" t="n">
        <v>0</v>
      </c>
      <c r="H22" s="9">
        <f>'3.4 COE Summary'!$G$9</f>
        <v/>
      </c>
      <c r="I22" s="9">
        <f>'3.4 COE Summary'!$H$9</f>
        <v/>
      </c>
      <c r="J22" s="898">
        <f>-E22+I22</f>
        <v/>
      </c>
      <c r="K22" s="551">
        <f>D22</f>
        <v/>
      </c>
    </row>
    <row r="23">
      <c r="B23" s="8" t="n"/>
      <c r="C23" s="9" t="n"/>
      <c r="D23" s="9" t="n"/>
      <c r="E23" s="9" t="n"/>
      <c r="F23" s="203" t="n"/>
      <c r="G23" s="9" t="n"/>
      <c r="H23" s="9" t="n"/>
      <c r="I23" s="9" t="n"/>
      <c r="J23" s="9" t="n"/>
    </row>
    <row r="24">
      <c r="B24" s="202" t="inlineStr">
        <is>
          <t>Total - portfolios + COEs</t>
        </is>
      </c>
      <c r="C24" s="203">
        <f>SUM(C17,C18,C19,C20,C21,C22)</f>
        <v/>
      </c>
      <c r="D24" s="203">
        <f>SUM(D17,D18,D19,D20,D21,D22)</f>
        <v/>
      </c>
      <c r="E24" s="203">
        <f>SUM(E17,E18,E19,E20,E21,E22)</f>
        <v/>
      </c>
      <c r="F24" s="203" t="n"/>
      <c r="G24" s="203">
        <f>SUM(G17,G18,G19,G20,G21,G22)</f>
        <v/>
      </c>
      <c r="H24" s="203">
        <f>SUM(H17,H18,H19,H20,H21,H22)</f>
        <v/>
      </c>
      <c r="I24" s="203">
        <f>SUM(I17,I18,I19,I20,I21,I22)</f>
        <v/>
      </c>
      <c r="J24" s="553">
        <f>SUM(J17,J18,J19,J20,J21,J22)</f>
        <v/>
      </c>
      <c r="K24" s="553">
        <f>SUM(K17,K18,K19,K20,K21,K22)</f>
        <v/>
      </c>
    </row>
    <row r="25">
      <c r="B25" s="471" t="inlineStr">
        <is>
          <t>Less: BP &amp; Domain Architect already funded in portfolio overheads (see 2.1)</t>
        </is>
      </c>
      <c r="J25" s="472" t="n"/>
      <c r="K25" s="566">
        <f>'3.2 Total Cost'!$C$23</f>
        <v/>
      </c>
    </row>
    <row r="26">
      <c r="B26" s="419" t="inlineStr">
        <is>
          <t>Net operating model cost - ties to 2.1 Total Cost ($m)</t>
        </is>
      </c>
      <c r="J26" s="420" t="n"/>
      <c r="K26" s="566">
        <f>K24+'3.2 Total Cost'!$C$23</f>
        <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
      </c>
    </row>
    <row r="29">
      <c r="B29" s="8" t="inlineStr">
        <is>
          <t>COE allocations (3.4 COE Summary)</t>
        </is>
      </c>
      <c r="C29" s="201">
        <f>SUM('0.2 Data Config'!$E$6:$E$10)+'0.2 Data Config'!$E$23</f>
        <v/>
      </c>
    </row>
    <row r="30">
      <c r="B30" s="202" t="inlineStr">
        <is>
          <t>Total allocation accounted for</t>
        </is>
      </c>
      <c r="C30" s="203">
        <f>C28+C29</f>
        <v/>
      </c>
    </row>
    <row r="31">
      <c r="B31" s="8" t="inlineStr">
        <is>
          <t>Data Config total allocation</t>
        </is>
      </c>
      <c r="C31" s="201">
        <f>'0.2 Data Config'!$E$26</f>
        <v/>
      </c>
    </row>
    <row r="32">
      <c r="B32" s="202" t="inlineStr">
        <is>
          <t>Check (should be 0)</t>
        </is>
      </c>
      <c r="C32" s="203">
        <f>C30-C31</f>
        <v/>
      </c>
    </row>
    <row r="33">
      <c r="B33" s="8" t="inlineStr">
        <is>
          <t>Unallocated TDD budget (headroom)</t>
        </is>
      </c>
      <c r="C33" s="201">
        <f>'0.2 Data Config'!$E$27-'0.2 Data Config'!$E$26</f>
        <v/>
      </c>
    </row>
    <row r="34">
      <c r="B34" s="230" t="inlineStr">
        <is>
          <t>Total TDD Lights On budget (Finance)</t>
        </is>
      </c>
      <c r="C34" s="231">
        <f>'0.2 Data Config'!$E$27</f>
        <v/>
      </c>
    </row>
    <row r="35">
      <c r="B35" s="8" t="inlineStr">
        <is>
          <t>% of TDD budget allocated</t>
        </is>
      </c>
      <c r="C35" s="473">
        <f>C30/C34</f>
        <v/>
      </c>
    </row>
    <row r="37">
      <c r="B37" s="548" t="inlineStr">
        <is>
          <t>AU / NZ funding split - from the squad Fund toggles on the 1.x tabs</t>
        </is>
      </c>
    </row>
    <row r="38">
      <c r="B38" s="563" t="inlineStr">
        <is>
          <t>AU budget - 0.2 Data Config ($m)</t>
        </is>
      </c>
      <c r="C38" s="551">
        <f>'0.2 Data Config'!$C$27</f>
        <v/>
      </c>
    </row>
    <row r="39">
      <c r="B39" s="563" t="inlineStr">
        <is>
          <t>AU allocated to COEs - 0.2 Data Config ($m)</t>
        </is>
      </c>
      <c r="C39" s="551">
        <f>SUM('0.2 Data Config'!$C$6:$C$10)</f>
        <v/>
      </c>
    </row>
    <row r="40">
      <c r="B40" s="563" t="inlineStr">
        <is>
          <t>TDD squad cost - AU funded ($m)</t>
        </is>
      </c>
      <c r="C40" s="551">
        <f>'1.1 Ampol Retail'!$C$8+'1.2 Customer'!$C$8+'1.3 Enterprise Data'!$C$8+'1.4 TDD Group Functions'!$C$8+'1.5 P&amp;C'!$C$8+'1.6 Finance'!$C$8+'1.7 Infrastructure'!$C$9+'1.8 Energy Solutions &amp; B2B'!$C$8+'1.9 Commercial Fuels'!$C$8+'1.10 Z Retail'!$C$8</f>
        <v/>
      </c>
    </row>
    <row r="41">
      <c r="B41" s="550" t="inlineStr">
        <is>
          <t>Variance vs AU budget ($m)</t>
        </is>
      </c>
      <c r="C41" s="566">
        <f>C38-C39-C40</f>
        <v/>
      </c>
    </row>
    <row r="42">
      <c r="B42" s="563" t="inlineStr">
        <is>
          <t>NZ budget - 0.2 Data Config ($m)</t>
        </is>
      </c>
      <c r="C42" s="551">
        <f>'0.2 Data Config'!$D$27</f>
        <v/>
      </c>
    </row>
    <row r="43">
      <c r="B43" s="563" t="inlineStr">
        <is>
          <t>NZ allocated to COEs - 0.2 Data Config ($m)</t>
        </is>
      </c>
      <c r="C43" s="551">
        <f>SUM('0.2 Data Config'!$D$6:$D$10)</f>
        <v/>
      </c>
    </row>
    <row r="44">
      <c r="B44" s="563" t="inlineStr">
        <is>
          <t>TDD squad cost - NZ funded ($m)</t>
        </is>
      </c>
      <c r="C44" s="551">
        <f>'1.1 Ampol Retail'!$D$8+'1.2 Customer'!$D$8+'1.3 Enterprise Data'!$D$8+'1.4 TDD Group Functions'!$D$8+'1.5 P&amp;C'!$D$8+'1.6 Finance'!$D$8+'1.7 Infrastructure'!$D$9+'1.8 Energy Solutions &amp; B2B'!$D$8+'1.9 Commercial Fuels'!$D$8+'1.10 Z Retail'!$D$8</f>
        <v/>
      </c>
    </row>
    <row r="45">
      <c r="B45" s="550" t="inlineStr">
        <is>
          <t>Variance vs NZ budget ($m)</t>
        </is>
      </c>
      <c r="C45" s="566">
        <f>C42-C43-C44</f>
        <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
      </c>
    </row>
    <row r="50">
      <c r="B50" s="563" t="inlineStr">
        <is>
          <t>Other Variance</t>
        </is>
      </c>
      <c r="C50" s="551">
        <f>I17</f>
        <v/>
      </c>
    </row>
    <row r="51">
      <c r="B51" s="561" t="inlineStr">
        <is>
          <t>Total</t>
        </is>
      </c>
      <c r="C51" s="553">
        <f>C49+C50</f>
        <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f>'1.1 Ampol Retail'!$B$2</f>
        <v/>
      </c>
      <c r="C6" s="912">
        <f>'1.1 Ampol Retail'!$F$9</f>
        <v/>
      </c>
      <c r="D6" s="912">
        <f>K6+L6</f>
        <v/>
      </c>
      <c r="E6" s="912">
        <f>ROUND(D6-C6,6)</f>
        <v/>
      </c>
      <c r="F6" s="912">
        <f>'2.1 Ampol Retail'!$M$17</f>
        <v/>
      </c>
      <c r="G6" s="912">
        <f>ROUND(F6-C6,6)</f>
        <v/>
      </c>
      <c r="H6" s="913">
        <f>'3.3 FTE View'!$G$22</f>
        <v/>
      </c>
      <c r="I6" s="913">
        <f>COUNTIFS('REVIEW - Complete Role Mapping'!$AJ:$AJ,$B6,'REVIEW - Complete Role Mapping'!$AK:$AK,"Filled")</f>
        <v/>
      </c>
      <c r="J6" s="913">
        <f>N6-H6</f>
        <v/>
      </c>
      <c r="K6" s="912">
        <f>SUMIFS('REVIEW - Complete Role Mapping'!$AA:$AA,'REVIEW - Complete Role Mapping'!$AJ:$AJ,$B6,'REVIEW - Complete Role Mapping'!$AK:$AK,"Filled")/1000000</f>
        <v/>
      </c>
      <c r="L6" s="912">
        <f>SUMIFS('REVIEW - Complete Role Mapping'!$AA:$AA,'REVIEW - Complete Role Mapping'!$AJ:$AJ,$B6,'REVIEW - Complete Role Mapping'!$AK:$AK,"Vacant")/1000000</f>
        <v/>
      </c>
      <c r="M6" s="914">
        <f>COUNTIFS('REVIEW - Complete Role Mapping'!$AJ:$AJ,$B6,'REVIEW - Complete Role Mapping'!$AK:$AK,"Vacant")</f>
        <v/>
      </c>
      <c r="N6" s="915">
        <f>I6+M6</f>
        <v/>
      </c>
    </row>
    <row r="7">
      <c r="B7" s="550">
        <f>'1.2 Customer'!$B$2</f>
        <v/>
      </c>
      <c r="C7" s="912">
        <f>'1.2 Customer'!$F$9</f>
        <v/>
      </c>
      <c r="D7" s="912">
        <f>K7+L7</f>
        <v/>
      </c>
      <c r="E7" s="912">
        <f>ROUND(D7-C7,6)</f>
        <v/>
      </c>
      <c r="F7" s="912">
        <f>'2.2 Customer'!$M$16</f>
        <v/>
      </c>
      <c r="G7" s="912">
        <f>ROUND(F7-C7,6)</f>
        <v/>
      </c>
      <c r="H7" s="913">
        <f>'3.3 FTE View'!$G$36</f>
        <v/>
      </c>
      <c r="I7" s="913">
        <f>COUNTIFS('REVIEW - Complete Role Mapping'!$AJ:$AJ,$B7,'REVIEW - Complete Role Mapping'!$AK:$AK,"Filled")</f>
        <v/>
      </c>
      <c r="J7" s="913">
        <f>N7-H7</f>
        <v/>
      </c>
      <c r="K7" s="912">
        <f>SUMIFS('REVIEW - Complete Role Mapping'!$AA:$AA,'REVIEW - Complete Role Mapping'!$AJ:$AJ,$B7,'REVIEW - Complete Role Mapping'!$AK:$AK,"Filled")/1000000</f>
        <v/>
      </c>
      <c r="L7" s="912">
        <f>SUMIFS('REVIEW - Complete Role Mapping'!$AA:$AA,'REVIEW - Complete Role Mapping'!$AJ:$AJ,$B7,'REVIEW - Complete Role Mapping'!$AK:$AK,"Vacant")/1000000</f>
        <v/>
      </c>
      <c r="M7" s="914">
        <f>COUNTIFS('REVIEW - Complete Role Mapping'!$AJ:$AJ,$B7,'REVIEW - Complete Role Mapping'!$AK:$AK,"Vacant")</f>
        <v/>
      </c>
      <c r="N7" s="915">
        <f>I7+M7</f>
        <v/>
      </c>
    </row>
    <row r="8">
      <c r="B8" s="550">
        <f>'1.3 Enterprise Data'!$B$2</f>
        <v/>
      </c>
      <c r="C8" s="912">
        <f>'1.3 Enterprise Data'!$F$9</f>
        <v/>
      </c>
      <c r="D8" s="912">
        <f>K8+L8</f>
        <v/>
      </c>
      <c r="E8" s="912">
        <f>ROUND(D8-C8,6)</f>
        <v/>
      </c>
      <c r="F8" s="912">
        <f>'2.3 Enterprise Data'!$M$10</f>
        <v/>
      </c>
      <c r="G8" s="912">
        <f>ROUND(F8-C8,6)</f>
        <v/>
      </c>
      <c r="H8" s="913">
        <f>'3.3 FTE View'!$G$43</f>
        <v/>
      </c>
      <c r="I8" s="913">
        <f>COUNTIFS('REVIEW - Complete Role Mapping'!$AJ:$AJ,$B8,'REVIEW - Complete Role Mapping'!$AK:$AK,"Filled")</f>
        <v/>
      </c>
      <c r="J8" s="913">
        <f>N8-H8</f>
        <v/>
      </c>
      <c r="K8" s="912">
        <f>SUMIFS('REVIEW - Complete Role Mapping'!$AA:$AA,'REVIEW - Complete Role Mapping'!$AJ:$AJ,$B8,'REVIEW - Complete Role Mapping'!$AK:$AK,"Filled")/1000000</f>
        <v/>
      </c>
      <c r="L8" s="912">
        <f>SUMIFS('REVIEW - Complete Role Mapping'!$AA:$AA,'REVIEW - Complete Role Mapping'!$AJ:$AJ,$B8,'REVIEW - Complete Role Mapping'!$AK:$AK,"Vacant")/1000000</f>
        <v/>
      </c>
      <c r="M8" s="914">
        <f>COUNTIFS('REVIEW - Complete Role Mapping'!$AJ:$AJ,$B8,'REVIEW - Complete Role Mapping'!$AK:$AK,"Vacant")</f>
        <v/>
      </c>
      <c r="N8" s="915">
        <f>I8+M8</f>
        <v/>
      </c>
    </row>
    <row r="9">
      <c r="B9" s="550">
        <f>'1.4 TDD Group Functions'!$B$2</f>
        <v/>
      </c>
      <c r="C9" s="912">
        <f>'1.4 TDD Group Functions'!$F$9</f>
        <v/>
      </c>
      <c r="D9" s="912">
        <f>K9+L9</f>
        <v/>
      </c>
      <c r="E9" s="912">
        <f>ROUND(D9-C9,6)</f>
        <v/>
      </c>
      <c r="F9" s="912">
        <f>'2.4 TDD Group Functions'!$M$13</f>
        <v/>
      </c>
      <c r="G9" s="912">
        <f>ROUND(F9-C9,6)</f>
        <v/>
      </c>
      <c r="H9" s="913">
        <f>'3.3 FTE View'!$G$51</f>
        <v/>
      </c>
      <c r="I9" s="913">
        <f>COUNTIFS('REVIEW - Complete Role Mapping'!$AJ:$AJ,$B9,'REVIEW - Complete Role Mapping'!$AK:$AK,"Filled")</f>
        <v/>
      </c>
      <c r="J9" s="913">
        <f>N9-H9</f>
        <v/>
      </c>
      <c r="K9" s="912">
        <f>SUMIFS('REVIEW - Complete Role Mapping'!$AA:$AA,'REVIEW - Complete Role Mapping'!$AJ:$AJ,$B9,'REVIEW - Complete Role Mapping'!$AK:$AK,"Filled")/1000000</f>
        <v/>
      </c>
      <c r="L9" s="912">
        <f>SUMIFS('REVIEW - Complete Role Mapping'!$AA:$AA,'REVIEW - Complete Role Mapping'!$AJ:$AJ,$B9,'REVIEW - Complete Role Mapping'!$AK:$AK,"Vacant")/1000000</f>
        <v/>
      </c>
      <c r="M9" s="914">
        <f>COUNTIFS('REVIEW - Complete Role Mapping'!$AJ:$AJ,$B9,'REVIEW - Complete Role Mapping'!$AK:$AK,"Vacant")</f>
        <v/>
      </c>
      <c r="N9" s="915">
        <f>I9+M9</f>
        <v/>
      </c>
    </row>
    <row r="10">
      <c r="B10" s="550">
        <f>'1.5 P&amp;C'!$B$2</f>
        <v/>
      </c>
      <c r="C10" s="912">
        <f>'1.5 P&amp;C'!$F$9</f>
        <v/>
      </c>
      <c r="D10" s="912">
        <f>K10+L10</f>
        <v/>
      </c>
      <c r="E10" s="912">
        <f>ROUND(D10-C10,6)</f>
        <v/>
      </c>
      <c r="F10" s="912">
        <f>'2.5 P&amp;C'!$M$10</f>
        <v/>
      </c>
      <c r="G10" s="912">
        <f>ROUND(F10-C10,6)</f>
        <v/>
      </c>
      <c r="H10" s="913">
        <f>'3.3 FTE View'!$G$57</f>
        <v/>
      </c>
      <c r="I10" s="913">
        <f>COUNTIFS('REVIEW - Complete Role Mapping'!$AJ:$AJ,$B10,'REVIEW - Complete Role Mapping'!$AK:$AK,"Filled")</f>
        <v/>
      </c>
      <c r="J10" s="913">
        <f>N10-H10</f>
        <v/>
      </c>
      <c r="K10" s="912">
        <f>SUMIFS('REVIEW - Complete Role Mapping'!$AA:$AA,'REVIEW - Complete Role Mapping'!$AJ:$AJ,$B10,'REVIEW - Complete Role Mapping'!$AK:$AK,"Filled")/1000000</f>
        <v/>
      </c>
      <c r="L10" s="912">
        <f>SUMIFS('REVIEW - Complete Role Mapping'!$AA:$AA,'REVIEW - Complete Role Mapping'!$AJ:$AJ,$B10,'REVIEW - Complete Role Mapping'!$AK:$AK,"Vacant")/1000000</f>
        <v/>
      </c>
      <c r="M10" s="914">
        <f>COUNTIFS('REVIEW - Complete Role Mapping'!$AJ:$AJ,$B10,'REVIEW - Complete Role Mapping'!$AK:$AK,"Vacant")</f>
        <v/>
      </c>
      <c r="N10" s="915">
        <f>I10+M10</f>
        <v/>
      </c>
    </row>
    <row r="11">
      <c r="B11" s="550">
        <f>'1.6 Finance'!$B$2</f>
        <v/>
      </c>
      <c r="C11" s="912">
        <f>'1.6 Finance'!$F$9</f>
        <v/>
      </c>
      <c r="D11" s="912">
        <f>K11+L11</f>
        <v/>
      </c>
      <c r="E11" s="912">
        <f>ROUND(D11-C11,6)</f>
        <v/>
      </c>
      <c r="F11" s="912">
        <f>'2.6 Finance'!$M$10</f>
        <v/>
      </c>
      <c r="G11" s="912">
        <f>ROUND(F11-C11,6)</f>
        <v/>
      </c>
      <c r="H11" s="913">
        <f>'3.3 FTE View'!$G$63</f>
        <v/>
      </c>
      <c r="I11" s="913">
        <f>COUNTIFS('REVIEW - Complete Role Mapping'!$AJ:$AJ,$B11,'REVIEW - Complete Role Mapping'!$AK:$AK,"Filled")</f>
        <v/>
      </c>
      <c r="J11" s="913">
        <f>N11-H11</f>
        <v/>
      </c>
      <c r="K11" s="912">
        <f>SUMIFS('REVIEW - Complete Role Mapping'!$AA:$AA,'REVIEW - Complete Role Mapping'!$AJ:$AJ,$B11,'REVIEW - Complete Role Mapping'!$AK:$AK,"Filled")/1000000</f>
        <v/>
      </c>
      <c r="L11" s="912">
        <f>SUMIFS('REVIEW - Complete Role Mapping'!$AA:$AA,'REVIEW - Complete Role Mapping'!$AJ:$AJ,$B11,'REVIEW - Complete Role Mapping'!$AK:$AK,"Vacant")/1000000</f>
        <v/>
      </c>
      <c r="M11" s="914">
        <f>COUNTIFS('REVIEW - Complete Role Mapping'!$AJ:$AJ,$B11,'REVIEW - Complete Role Mapping'!$AK:$AK,"Vacant")</f>
        <v/>
      </c>
      <c r="N11" s="915">
        <f>I11+M11</f>
        <v/>
      </c>
    </row>
    <row r="12">
      <c r="B12" s="550">
        <f>'1.7 Infrastructure'!$B$2</f>
        <v/>
      </c>
      <c r="C12" s="912">
        <f>'1.7 Infrastructure'!$F$10</f>
        <v/>
      </c>
      <c r="D12" s="912">
        <f>K12+L12</f>
        <v/>
      </c>
      <c r="E12" s="912">
        <f>ROUND(D12-C12,6)</f>
        <v/>
      </c>
      <c r="F12" s="912">
        <f>'2.7 Infrastructure'!$M$11</f>
        <v/>
      </c>
      <c r="G12" s="912">
        <f>ROUND(F12-C12,6)</f>
        <v/>
      </c>
      <c r="H12" s="913">
        <f>'3.3 FTE View'!$G$71</f>
        <v/>
      </c>
      <c r="I12" s="913">
        <f>COUNTIFS('REVIEW - Complete Role Mapping'!$AJ:$AJ,$B12,'REVIEW - Complete Role Mapping'!$AK:$AK,"Filled")</f>
        <v/>
      </c>
      <c r="J12" s="913">
        <f>N12-H12</f>
        <v/>
      </c>
      <c r="K12" s="912">
        <f>SUMIFS('REVIEW - Complete Role Mapping'!$AA:$AA,'REVIEW - Complete Role Mapping'!$AJ:$AJ,$B12,'REVIEW - Complete Role Mapping'!$AK:$AK,"Filled")/1000000</f>
        <v/>
      </c>
      <c r="L12" s="912">
        <f>SUMIFS('REVIEW - Complete Role Mapping'!$AA:$AA,'REVIEW - Complete Role Mapping'!$AJ:$AJ,$B12,'REVIEW - Complete Role Mapping'!$AK:$AK,"Vacant")/1000000</f>
        <v/>
      </c>
      <c r="M12" s="914">
        <f>COUNTIFS('REVIEW - Complete Role Mapping'!$AJ:$AJ,$B12,'REVIEW - Complete Role Mapping'!$AK:$AK,"Vacant")</f>
        <v/>
      </c>
      <c r="N12" s="915">
        <f>I12+M12</f>
        <v/>
      </c>
    </row>
    <row r="13">
      <c r="B13" s="550">
        <f>'1.8 Energy Solutions &amp; B2B'!$B$2</f>
        <v/>
      </c>
      <c r="C13" s="912">
        <f>'1.8 Energy Solutions &amp; B2B'!$F$9</f>
        <v/>
      </c>
      <c r="D13" s="912">
        <f>K13+L13</f>
        <v/>
      </c>
      <c r="E13" s="912">
        <f>ROUND(D13-C13,6)</f>
        <v/>
      </c>
      <c r="F13" s="912">
        <f>'2.8 Energy Solutions &amp; B2B'!$M$10</f>
        <v/>
      </c>
      <c r="G13" s="912">
        <f>ROUND(F13-C13,6)</f>
        <v/>
      </c>
      <c r="H13" s="913">
        <f>'3.3 FTE View'!$G$77</f>
        <v/>
      </c>
      <c r="I13" s="913">
        <f>COUNTIFS('REVIEW - Complete Role Mapping'!$AJ:$AJ,$B13,'REVIEW - Complete Role Mapping'!$AK:$AK,"Filled")</f>
        <v/>
      </c>
      <c r="J13" s="913">
        <f>N13-H13</f>
        <v/>
      </c>
      <c r="K13" s="912">
        <f>SUMIFS('REVIEW - Complete Role Mapping'!$AA:$AA,'REVIEW - Complete Role Mapping'!$AJ:$AJ,$B13,'REVIEW - Complete Role Mapping'!$AK:$AK,"Filled")/1000000</f>
        <v/>
      </c>
      <c r="L13" s="912">
        <f>SUMIFS('REVIEW - Complete Role Mapping'!$AA:$AA,'REVIEW - Complete Role Mapping'!$AJ:$AJ,$B13,'REVIEW - Complete Role Mapping'!$AK:$AK,"Vacant")/1000000</f>
        <v/>
      </c>
      <c r="M13" s="914">
        <f>COUNTIFS('REVIEW - Complete Role Mapping'!$AJ:$AJ,$B13,'REVIEW - Complete Role Mapping'!$AK:$AK,"Vacant")</f>
        <v/>
      </c>
      <c r="N13" s="915">
        <f>I13+M13</f>
        <v/>
      </c>
    </row>
    <row r="14">
      <c r="B14" s="550">
        <f>'1.9 Commercial Fuels'!$B$2</f>
        <v/>
      </c>
      <c r="C14" s="912">
        <f>'1.9 Commercial Fuels'!$F$9</f>
        <v/>
      </c>
      <c r="D14" s="912">
        <f>K14+L14</f>
        <v/>
      </c>
      <c r="E14" s="912">
        <f>ROUND(D14-C14,6)</f>
        <v/>
      </c>
      <c r="F14" s="912">
        <f>'2.9 Commercial Fuels'!$M$11</f>
        <v/>
      </c>
      <c r="G14" s="912">
        <f>ROUND(F14-C14,6)</f>
        <v/>
      </c>
      <c r="H14" s="913">
        <f>'3.3 FTE View'!$G$85</f>
        <v/>
      </c>
      <c r="I14" s="913">
        <f>COUNTIFS('REVIEW - Complete Role Mapping'!$AJ:$AJ,$B14,'REVIEW - Complete Role Mapping'!$AK:$AK,"Filled")</f>
        <v/>
      </c>
      <c r="J14" s="913">
        <f>N14-H14</f>
        <v/>
      </c>
      <c r="K14" s="912">
        <f>SUMIFS('REVIEW - Complete Role Mapping'!$AA:$AA,'REVIEW - Complete Role Mapping'!$AJ:$AJ,$B14,'REVIEW - Complete Role Mapping'!$AK:$AK,"Filled")/1000000</f>
        <v/>
      </c>
      <c r="L14" s="912">
        <f>SUMIFS('REVIEW - Complete Role Mapping'!$AA:$AA,'REVIEW - Complete Role Mapping'!$AJ:$AJ,$B14,'REVIEW - Complete Role Mapping'!$AK:$AK,"Vacant")/1000000</f>
        <v/>
      </c>
      <c r="M14" s="914">
        <f>COUNTIFS('REVIEW - Complete Role Mapping'!$AJ:$AJ,$B14,'REVIEW - Complete Role Mapping'!$AK:$AK,"Vacant")</f>
        <v/>
      </c>
      <c r="N14" s="915">
        <f>I14+M14</f>
        <v/>
      </c>
    </row>
    <row r="15">
      <c r="B15" s="550">
        <f>'1.10 Z Retail'!$B$2</f>
        <v/>
      </c>
      <c r="C15" s="912">
        <f>'1.10 Z Retail'!$F$9</f>
        <v/>
      </c>
      <c r="D15" s="912">
        <f>K15+L15</f>
        <v/>
      </c>
      <c r="E15" s="912">
        <f>ROUND(D15-C15,6)</f>
        <v/>
      </c>
      <c r="F15" s="912">
        <f>'2.10 Z Retail'!$M$11</f>
        <v/>
      </c>
      <c r="G15" s="912">
        <f>ROUND(F15-C15,6)</f>
        <v/>
      </c>
      <c r="H15" s="913">
        <f>'3.3 FTE View'!$G$91</f>
        <v/>
      </c>
      <c r="I15" s="913">
        <f>COUNTIFS('REVIEW - Complete Role Mapping'!$AJ:$AJ,$B15,'REVIEW - Complete Role Mapping'!$AK:$AK,"Filled")</f>
        <v/>
      </c>
      <c r="J15" s="913">
        <f>N15-H15</f>
        <v/>
      </c>
      <c r="K15" s="912">
        <f>SUMIFS('REVIEW - Complete Role Mapping'!$AA:$AA,'REVIEW - Complete Role Mapping'!$AJ:$AJ,$B15,'REVIEW - Complete Role Mapping'!$AK:$AK,"Filled")/1000000</f>
        <v/>
      </c>
      <c r="L15" s="912">
        <f>SUMIFS('REVIEW - Complete Role Mapping'!$AA:$AA,'REVIEW - Complete Role Mapping'!$AJ:$AJ,$B15,'REVIEW - Complete Role Mapping'!$AK:$AK,"Vacant")/1000000</f>
        <v/>
      </c>
      <c r="M15" s="914">
        <f>COUNTIFS('REVIEW - Complete Role Mapping'!$AJ:$AJ,$B15,'REVIEW - Complete Role Mapping'!$AK:$AK,"Vacant")</f>
        <v/>
      </c>
      <c r="N15" s="915">
        <f>I15+M15</f>
        <v/>
      </c>
    </row>
    <row r="16">
      <c r="B16" s="550">
        <f>'3.4 COE Summary'!$B$6</f>
        <v/>
      </c>
      <c r="C16" s="912">
        <f>'1.11 BP&amp;T'!$F$6</f>
        <v/>
      </c>
      <c r="D16" s="912">
        <f>K16+L16</f>
        <v/>
      </c>
      <c r="E16" s="912">
        <f>ROUND(D16-C16,6)</f>
        <v/>
      </c>
      <c r="F16" s="912">
        <f>K16</f>
        <v/>
      </c>
      <c r="G16" s="912">
        <f>ROUND(F16-C16,6)</f>
        <v/>
      </c>
      <c r="H16" s="913">
        <f>"-"</f>
        <v/>
      </c>
      <c r="I16" s="913">
        <f>'3.4 COE Summary'!$D$6</f>
        <v/>
      </c>
      <c r="J16" s="913">
        <f>"-"</f>
        <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
      </c>
      <c r="M16" s="914">
        <f>'3.4 COE Summary'!$E$6</f>
        <v/>
      </c>
      <c r="N16" s="915">
        <f>I16+M16</f>
        <v/>
      </c>
    </row>
    <row r="17">
      <c r="B17" s="550">
        <f>'3.4 COE Summary'!$B$7</f>
        <v/>
      </c>
      <c r="C17" s="912">
        <f>'1.11 BP&amp;T'!$F$7</f>
        <v/>
      </c>
      <c r="D17" s="912">
        <f>K17+L17</f>
        <v/>
      </c>
      <c r="E17" s="912">
        <f>ROUND(D17-C17,6)</f>
        <v/>
      </c>
      <c r="F17" s="912">
        <f>K17</f>
        <v/>
      </c>
      <c r="G17" s="912">
        <f>ROUND(F17-C17,6)</f>
        <v/>
      </c>
      <c r="H17" s="913">
        <f>"-"</f>
        <v/>
      </c>
      <c r="I17" s="913">
        <f>'3.4 COE Summary'!$D$7</f>
        <v/>
      </c>
      <c r="J17" s="913">
        <f>"-"</f>
        <v/>
      </c>
      <c r="K17" s="912">
        <f>SUMIFS('REVIEW - Complete Role Mapping'!$AA:$AA,'REVIEW - Complete Role Mapping'!$AJ:$AJ,"COE BP&amp;T",'REVIEW - Complete Role Mapping'!$AK:$AK,"Filled",'REVIEW - Complete Role Mapping'!$G:$G,"Transformation")/1000000</f>
        <v/>
      </c>
      <c r="L17" s="912">
        <f>SUMIFS('REVIEW - Complete Role Mapping'!$AA:$AA,'REVIEW - Complete Role Mapping'!$AJ:$AJ,"COE BP&amp;T",'REVIEW - Complete Role Mapping'!$AK:$AK,"Vacant",'REVIEW - Complete Role Mapping'!$G:$G,"Transformation")/1000000</f>
        <v/>
      </c>
      <c r="M17" s="914">
        <f>'3.4 COE Summary'!$E$7</f>
        <v/>
      </c>
      <c r="N17" s="915">
        <f>I17+M17</f>
        <v/>
      </c>
    </row>
    <row r="18">
      <c r="B18" s="550">
        <f>'3.4 COE Summary'!$B$8</f>
        <v/>
      </c>
      <c r="C18" s="912">
        <f>'1.12 SA&amp;D'!$G$6</f>
        <v/>
      </c>
      <c r="D18" s="912">
        <f>K18+L18</f>
        <v/>
      </c>
      <c r="E18" s="912">
        <f>ROUND(D18-C18,6)</f>
        <v/>
      </c>
      <c r="F18" s="912">
        <f>K18</f>
        <v/>
      </c>
      <c r="G18" s="912">
        <f>ROUND(F18-C18,6)</f>
        <v/>
      </c>
      <c r="H18" s="913">
        <f>"-"</f>
        <v/>
      </c>
      <c r="I18" s="913">
        <f>'3.4 COE Summary'!$D$8</f>
        <v/>
      </c>
      <c r="J18" s="913">
        <f>"-"</f>
        <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
      </c>
      <c r="M18" s="914">
        <f>'3.4 COE Summary'!$E$8</f>
        <v/>
      </c>
      <c r="N18" s="915">
        <f>I18+M18</f>
        <v/>
      </c>
    </row>
    <row r="19">
      <c r="B19" s="550">
        <f>'3.4 COE Summary'!$B$9</f>
        <v/>
      </c>
      <c r="C19" s="912">
        <f>'1.12 SA&amp;D'!$G$7</f>
        <v/>
      </c>
      <c r="D19" s="912">
        <f>K19+L19</f>
        <v/>
      </c>
      <c r="E19" s="912">
        <f>ROUND(D19-C19,6)</f>
        <v/>
      </c>
      <c r="F19" s="912">
        <f>K19</f>
        <v/>
      </c>
      <c r="G19" s="912">
        <f>ROUND(F19-C19,6)</f>
        <v/>
      </c>
      <c r="H19" s="913">
        <f>"-"</f>
        <v/>
      </c>
      <c r="I19" s="913">
        <f>'3.4 COE Summary'!$D$9</f>
        <v/>
      </c>
      <c r="J19" s="913">
        <f>"-"</f>
        <v/>
      </c>
      <c r="K19" s="912">
        <f>SUMIFS('REVIEW - Complete Role Mapping'!$AA:$AA,'REVIEW - Complete Role Mapping'!$AJ:$AJ,"COE SA&amp;D",'REVIEW - Complete Role Mapping'!$AK:$AK,"Filled",'REVIEW - Complete Role Mapping'!$G:$G,"Group Data")/1000000</f>
        <v/>
      </c>
      <c r="L19" s="912">
        <f>SUMIFS('REVIEW - Complete Role Mapping'!$AA:$AA,'REVIEW - Complete Role Mapping'!$AJ:$AJ,"COE SA&amp;D",'REVIEW - Complete Role Mapping'!$AK:$AK,"Vacant",'REVIEW - Complete Role Mapping'!$G:$G,"Group Data")/1000000</f>
        <v/>
      </c>
      <c r="M19" s="914">
        <f>'3.4 COE Summary'!$E$9</f>
        <v/>
      </c>
      <c r="N19" s="915">
        <f>I19+M19</f>
        <v/>
      </c>
    </row>
    <row r="20">
      <c r="B20" s="550" t="inlineStr">
        <is>
          <t>COE - Cyber, Risk &amp; Service Operations</t>
        </is>
      </c>
      <c r="C20" s="912">
        <f>'1.13 Cyber Roles'!$F$8</f>
        <v/>
      </c>
      <c r="D20" s="912">
        <f>K20+L20</f>
        <v/>
      </c>
      <c r="E20" s="912">
        <f>ROUND(D20-C20,6)</f>
        <v/>
      </c>
      <c r="F20" s="912">
        <f>'2.11 TDD Cyber'!$M$7</f>
        <v/>
      </c>
      <c r="G20" s="912">
        <f>ROUND(F20-C20,6)</f>
        <v/>
      </c>
      <c r="H20" s="913">
        <f>"-"</f>
        <v/>
      </c>
      <c r="I20" s="913">
        <f>'3.4 COE Summary'!$D$10</f>
        <v/>
      </c>
      <c r="J20" s="913">
        <f>"-"</f>
        <v/>
      </c>
      <c r="K20" s="912">
        <f>SUMIFS('REVIEW - Complete Role Mapping'!$AA:$AA,'REVIEW - Complete Role Mapping'!$AJ:$AJ,"COE Cyber",'REVIEW - Complete Role Mapping'!$AK:$AK,"Filled")/1000000</f>
        <v/>
      </c>
      <c r="L20" s="912">
        <f>SUMIFS('REVIEW - Complete Role Mapping'!$AA:$AA,'REVIEW - Complete Role Mapping'!$AJ:$AJ,"COE Cyber",'REVIEW - Complete Role Mapping'!$AK:$AK,"Vacant")/1000000</f>
        <v/>
      </c>
      <c r="M20" s="914">
        <f>'3.4 COE Summary'!$E$10</f>
        <v/>
      </c>
      <c r="N20" s="915">
        <f>I20+M20</f>
        <v/>
      </c>
    </row>
    <row r="21">
      <c r="B21" s="550" t="inlineStr">
        <is>
          <t>Central leadership (COE + unmapped) - funded by overheads</t>
        </is>
      </c>
      <c r="C21" s="912">
        <f>0</f>
        <v/>
      </c>
      <c r="D21" s="912">
        <f>K21+L21</f>
        <v/>
      </c>
      <c r="E21" s="912">
        <f>ROUND(D21-C21,6)</f>
        <v/>
      </c>
      <c r="F21" s="912">
        <f>K21</f>
        <v/>
      </c>
      <c r="G21" s="912">
        <f>ROUND(F21-C21,6)</f>
        <v/>
      </c>
      <c r="H21" s="913">
        <f>"-"</f>
        <v/>
      </c>
      <c r="I21" s="913">
        <f>COUNTIFS(Squads!$N:$N,"COE",Squads!$Q:$Q,"Leadership",Squads!$R:$R,"Filled")+COUNTIFS(Squads!$N:$N,"Unmapped",Squads!$Q:$Q,"Leadership",Squads!$R:$R,"Filled")</f>
        <v/>
      </c>
      <c r="J21" s="913">
        <f>"-"</f>
        <v/>
      </c>
      <c r="K21" s="912">
        <f>(SUMIFS('Added data'!$AA:$AA,'Added data'!$AC:$AC,"COE",'Added data'!$AF:$AF,"Leadership",'Added data'!$AG:$AG,"Filled")+SUMIFS('Added data'!$AA:$AA,'Added data'!$AC:$AC,"Unmapped",'Added data'!$AF:$AF,"Leadership",'Added data'!$AG:$AG,"Filled"))/1000000</f>
        <v/>
      </c>
      <c r="L21" s="912">
        <f>(SUMIFS('Added data'!$AA:$AA,'Added data'!$AC:$AC,"COE",'Added data'!$AF:$AF,"Leadership",'Added data'!$AG:$AG,"Vacant")+SUMIFS('Added data'!$AA:$AA,'Added data'!$AC:$AC,"Unmapped",'Added data'!$AF:$AF,"Leadership",'Added data'!$AG:$AG,"Vacant"))/1000000</f>
        <v/>
      </c>
      <c r="M21" s="914">
        <f>COUNTIFS(Squads!$N:$N,"COE",Squads!$Q:$Q,"Leadership",Squads!$R:$R,"Vacant")+COUNTIFS(Squads!$N:$N,"Unmapped",Squads!$Q:$Q,"Leadership",Squads!$R:$R,"Vacant")</f>
        <v/>
      </c>
      <c r="N21" s="915">
        <f>I21+M21</f>
        <v/>
      </c>
    </row>
    <row r="22">
      <c r="B22" s="550" t="inlineStr">
        <is>
          <t>Roles not mapped to any squad or COE</t>
        </is>
      </c>
      <c r="C22" s="912">
        <f>0</f>
        <v/>
      </c>
      <c r="D22" s="912">
        <f>K22+L22</f>
        <v/>
      </c>
      <c r="E22" s="912">
        <f>ROUND(D22-C22,6)</f>
        <v/>
      </c>
      <c r="F22" s="912">
        <f>K22</f>
        <v/>
      </c>
      <c r="G22" s="912">
        <f>ROUND(F22-C22,6)</f>
        <v/>
      </c>
      <c r="H22" s="913">
        <f>"-"</f>
        <v/>
      </c>
      <c r="I22" s="913">
        <f>COUNTIFS(Squads!$Q:$Q,"Unmapped",Squads!$R:$R,"Filled")</f>
        <v/>
      </c>
      <c r="J22" s="913">
        <f>"-"</f>
        <v/>
      </c>
      <c r="K22" s="912">
        <f>(SUMIFS('Added data'!$AA:$AA,'Added data'!$AF:$AF,"Unmapped",'Added data'!$AG:$AG,"Filled"))/1000000</f>
        <v/>
      </c>
      <c r="L22" s="912">
        <f>(SUMIFS('Added data'!$AA:$AA,'Added data'!$AF:$AF,"Unmapped",'Added data'!$AG:$AG,"Vacant"))/1000000</f>
        <v/>
      </c>
      <c r="M22" s="914">
        <f>COUNTIFS(Squads!$Q:$Q,"Unmapped",Squads!$R:$R,"Vacant")</f>
        <v/>
      </c>
      <c r="N22" s="915">
        <f>I22+M22</f>
        <v/>
      </c>
    </row>
    <row r="23">
      <c r="B23" s="550" t="inlineStr">
        <is>
          <t>Less: Business Partner &amp; Domain Architect funded inside portfolio overheads</t>
        </is>
      </c>
      <c r="C23" s="912">
        <f>-('1.11 BP&amp;T'!$C$13+'1.12 SA&amp;D'!$C$13)</f>
        <v/>
      </c>
      <c r="D23" s="912">
        <f>K23+L23</f>
        <v/>
      </c>
      <c r="E23" s="912">
        <f>ROUND(D23-C23,6)</f>
        <v/>
      </c>
      <c r="F23" s="912">
        <f>C23</f>
        <v/>
      </c>
      <c r="G23" s="912">
        <f>ROUND(F23-C23,6)</f>
        <v/>
      </c>
      <c r="H23" s="913">
        <f>"-"</f>
        <v/>
      </c>
      <c r="I23" s="913">
        <f>"-"</f>
        <v/>
      </c>
      <c r="J23" s="913">
        <f>"-"</f>
        <v/>
      </c>
      <c r="K23" s="912">
        <f>0</f>
        <v/>
      </c>
      <c r="L23" s="912">
        <f>0</f>
        <v/>
      </c>
      <c r="M23" s="914">
        <f>"-"</f>
        <v/>
      </c>
      <c r="N23" s="915">
        <f>"-"</f>
        <v/>
      </c>
    </row>
    <row r="24">
      <c r="B24" s="548" t="inlineStr">
        <is>
          <t>TOTAL OPERATING MODEL</t>
        </is>
      </c>
      <c r="C24" s="916">
        <f>SUM(C6:C23)</f>
        <v/>
      </c>
      <c r="D24" s="916">
        <f>SUM(D6:D23)</f>
        <v/>
      </c>
      <c r="E24" s="916">
        <f>SUM(E6:E23)</f>
        <v/>
      </c>
      <c r="F24" s="916">
        <f>SUM(F6:F23)</f>
        <v/>
      </c>
      <c r="G24" s="916">
        <f>SUM(G6:G23)</f>
        <v/>
      </c>
      <c r="H24" s="917">
        <f>SUM(H6:H23)</f>
        <v/>
      </c>
      <c r="I24" s="917">
        <f>SUM(I6:I23)</f>
        <v/>
      </c>
      <c r="J24" s="917">
        <f>SUM(J6:J23)</f>
        <v/>
      </c>
      <c r="K24" s="916">
        <f>SUM(K6:K23)</f>
        <v/>
      </c>
      <c r="L24" s="916">
        <f>SUM(L6:L23)</f>
        <v/>
      </c>
      <c r="M24" s="917">
        <f>SUM(M6:M23)</f>
        <v/>
      </c>
      <c r="N24" s="917">
        <f>SUM(N6:N23)</f>
        <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
      </c>
      <c r="J27" s="558">
        <f>'3.3 FTE View'!$C$185</f>
        <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AD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 hidden="1" width="13" customWidth="1" style="849" min="30" max="30"/>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
      </c>
      <c r="D4" s="431">
        <f>COUNTIF(Squads!$R$2:$R$1000,"Filled")</f>
        <v/>
      </c>
      <c r="E4" s="431">
        <f>COUNTIF(Squads!$R$2:$R$1000,"Vacant")</f>
        <v/>
      </c>
      <c r="F4" s="433">
        <f>E4/C4</f>
        <v/>
      </c>
      <c r="G4" s="431">
        <f>G95</f>
        <v/>
      </c>
      <c r="H4" s="431">
        <f>K95</f>
        <v/>
      </c>
      <c r="I4" s="476">
        <f>M95</f>
        <v/>
      </c>
      <c r="J4" s="476">
        <f>N95</f>
        <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c r="AD6" t="inlineStr">
        <is>
          <t>_key</t>
        </is>
      </c>
    </row>
    <row r="7">
      <c r="B7" s="417" t="inlineStr">
        <is>
          <t>Ampol Retail</t>
        </is>
      </c>
      <c r="C7" s="417" t="inlineStr">
        <is>
          <t>Store Operations</t>
        </is>
      </c>
      <c r="D7" s="417" t="inlineStr">
        <is>
          <t>POS</t>
        </is>
      </c>
      <c r="E7" s="417">
        <f>'1.1 Ampol Retail'!$C$24</f>
        <v/>
      </c>
      <c r="F7" s="425">
        <f>'1.1 Ampol Retail'!$D$24</f>
        <v/>
      </c>
      <c r="G7" s="425">
        <f>IFERROR(INDEX('0.3 Squad Archetypes'!$F$5:$F$23,MATCH('1.1 Ampol Retail'!$C$24&amp;"|"&amp;'1.1 Ampol Retail'!$D$24,'0.3 Squad Archetypes'!$A$5:$A$23,0)),"-")</f>
        <v/>
      </c>
      <c r="H7" s="425">
        <f>COUNTIFS(Squads!$N:$N,"Ampol Retail",Squads!$P:$P,"POS",Squads!$R:$R,"Filled")</f>
        <v/>
      </c>
      <c r="I7" s="425">
        <f>COUNTIFS(Squads!$N:$N,"Ampol Retail",Squads!$P:$P,"POS",Squads!$R:$R,"Vacant")</f>
        <v/>
      </c>
      <c r="J7" s="425">
        <f>H7+I7</f>
        <v/>
      </c>
      <c r="K7" s="425">
        <f>IFERROR(J7-G7,"-")</f>
        <v/>
      </c>
      <c r="L7" s="434">
        <f>IFERROR(I7/J7,"-")</f>
        <v/>
      </c>
      <c r="M7" s="418">
        <f>'1.1 Ampol Retail'!$H$24</f>
        <v/>
      </c>
      <c r="N7" s="418">
        <f>(SUMIFS('Added data'!$AA:$AA,'Added data'!$AC:$AC,"Ampol Retail",'Added data'!$AE:$AE,"POS"))/1000000</f>
        <v/>
      </c>
      <c r="O7" s="905">
        <f>I7</f>
        <v/>
      </c>
      <c r="P7" s="551">
        <f>N7</f>
        <v/>
      </c>
      <c r="T7" s="424" t="inlineStr">
        <is>
          <t>Portfolio</t>
        </is>
      </c>
      <c r="U7" s="424" t="inlineStr">
        <is>
          <t>Platform</t>
        </is>
      </c>
      <c r="V7" s="424" t="inlineStr">
        <is>
          <t>Squad</t>
        </is>
      </c>
      <c r="AD7">
        <f>$B7&amp;"|"&amp;$D7</f>
        <v/>
      </c>
    </row>
    <row r="8">
      <c r="B8" s="417" t="inlineStr">
        <is>
          <t>Ampol Retail</t>
        </is>
      </c>
      <c r="C8" s="417" t="inlineStr">
        <is>
          <t>Store Operations</t>
        </is>
      </c>
      <c r="D8" s="417" t="inlineStr">
        <is>
          <t>Payments</t>
        </is>
      </c>
      <c r="E8" s="417">
        <f>'1.1 Ampol Retail'!$C$25</f>
        <v/>
      </c>
      <c r="F8" s="425">
        <f>'1.1 Ampol Retail'!$D$25</f>
        <v/>
      </c>
      <c r="G8" s="425">
        <f>IFERROR(INDEX('0.3 Squad Archetypes'!$F$5:$F$23,MATCH('1.1 Ampol Retail'!$C$25&amp;"|"&amp;'1.1 Ampol Retail'!$D$25,'0.3 Squad Archetypes'!$A$5:$A$23,0)),"-")</f>
        <v/>
      </c>
      <c r="H8" s="425">
        <f>COUNTIFS(Squads!$N:$N,"Ampol Retail",Squads!$P:$P,"Payments",Squads!$R:$R,"Filled")</f>
        <v/>
      </c>
      <c r="I8" s="425">
        <f>COUNTIFS(Squads!$N:$N,"Ampol Retail",Squads!$P:$P,"Payments",Squads!$R:$R,"Vacant")</f>
        <v/>
      </c>
      <c r="J8" s="425">
        <f>H8+I8</f>
        <v/>
      </c>
      <c r="K8" s="425">
        <f>IFERROR(J8-G8,"-")</f>
        <v/>
      </c>
      <c r="L8" s="434">
        <f>IFERROR(I8/J8,"-")</f>
        <v/>
      </c>
      <c r="M8" s="418">
        <f>'1.1 Ampol Retail'!$H$25</f>
        <v/>
      </c>
      <c r="N8" s="418">
        <f>(SUMIFS('Added data'!$AA:$AA,'Added data'!$AC:$AC,"Ampol Retail",'Added data'!$AE:$AE,"Payments"))/1000000</f>
        <v/>
      </c>
      <c r="O8" s="905">
        <f>I8</f>
        <v/>
      </c>
      <c r="P8" s="551">
        <f>N8</f>
        <v/>
      </c>
      <c r="T8" s="417" t="inlineStr">
        <is>
          <t>Ampol Retail</t>
        </is>
      </c>
      <c r="U8" s="417" t="inlineStr">
        <is>
          <t>Store Operations</t>
        </is>
      </c>
      <c r="V8" s="417" t="inlineStr">
        <is>
          <t>POS</t>
        </is>
      </c>
      <c r="AD8">
        <f>$B8&amp;"|"&amp;$D8</f>
        <v/>
      </c>
    </row>
    <row r="9">
      <c r="B9" s="417" t="inlineStr">
        <is>
          <t>Ampol Retail</t>
        </is>
      </c>
      <c r="C9" s="417" t="inlineStr">
        <is>
          <t>Store Operations</t>
        </is>
      </c>
      <c r="D9" s="417" t="inlineStr">
        <is>
          <t>Store Operations</t>
        </is>
      </c>
      <c r="E9" s="417">
        <f>'1.1 Ampol Retail'!$C$26</f>
        <v/>
      </c>
      <c r="F9" s="425">
        <f>'1.1 Ampol Retail'!$D$26</f>
        <v/>
      </c>
      <c r="G9" s="425">
        <f>IFERROR(INDEX('0.3 Squad Archetypes'!$F$5:$F$23,MATCH('1.1 Ampol Retail'!$C$26&amp;"|"&amp;'1.1 Ampol Retail'!$D$26,'0.3 Squad Archetypes'!$A$5:$A$23,0)),"-")</f>
        <v/>
      </c>
      <c r="H9" s="425">
        <f>COUNTIFS(Squads!$N:$N,"Ampol Retail",Squads!$P:$P,"Store Operations",Squads!$R:$R,"Filled")</f>
        <v/>
      </c>
      <c r="I9" s="425">
        <f>COUNTIFS(Squads!$N:$N,"Ampol Retail",Squads!$P:$P,"Store Operations",Squads!$R:$R,"Vacant")</f>
        <v/>
      </c>
      <c r="J9" s="425">
        <f>H9+I9</f>
        <v/>
      </c>
      <c r="K9" s="425">
        <f>IFERROR(J9-G9,"-")</f>
        <v/>
      </c>
      <c r="L9" s="434">
        <f>IFERROR(I9/J9,"-")</f>
        <v/>
      </c>
      <c r="M9" s="418">
        <f>'1.1 Ampol Retail'!$H$26</f>
        <v/>
      </c>
      <c r="N9" s="418">
        <f>(SUMIFS('Added data'!$AA:$AA,'Added data'!$AC:$AC,"Ampol Retail",'Added data'!$AE:$AE,"Store Operations"))/1000000</f>
        <v/>
      </c>
      <c r="O9" s="905">
        <f>I9</f>
        <v/>
      </c>
      <c r="P9" s="551">
        <f>N9</f>
        <v/>
      </c>
      <c r="V9" s="417" t="inlineStr">
        <is>
          <t>Payments</t>
        </is>
      </c>
      <c r="AD9">
        <f>$B9&amp;"|"&amp;$D9</f>
        <v/>
      </c>
    </row>
    <row r="10">
      <c r="B10" s="417" t="inlineStr">
        <is>
          <t>Ampol Retail</t>
        </is>
      </c>
      <c r="C10" s="417" t="inlineStr">
        <is>
          <t>Store Operations</t>
        </is>
      </c>
      <c r="D10" s="417" t="inlineStr">
        <is>
          <t>Deployment</t>
        </is>
      </c>
      <c r="E10" s="417">
        <f>'1.1 Ampol Retail'!$C$27</f>
        <v/>
      </c>
      <c r="F10" s="425">
        <f>'1.1 Ampol Retail'!$D$27</f>
        <v/>
      </c>
      <c r="G10" s="425">
        <f>IFERROR(INDEX('0.3 Squad Archetypes'!$F$5:$F$23,MATCH('1.1 Ampol Retail'!$C$27&amp;"|"&amp;'1.1 Ampol Retail'!$D$27,'0.3 Squad Archetypes'!$A$5:$A$23,0)),"-")</f>
        <v/>
      </c>
      <c r="H10" s="425">
        <f>COUNTIFS(Squads!$N:$N,"Ampol Retail",Squads!$P:$P,"Deployment",Squads!$R:$R,"Filled")</f>
        <v/>
      </c>
      <c r="I10" s="425">
        <f>COUNTIFS(Squads!$N:$N,"Ampol Retail",Squads!$P:$P,"Deployment",Squads!$R:$R,"Vacant")</f>
        <v/>
      </c>
      <c r="J10" s="425">
        <f>H10+I10</f>
        <v/>
      </c>
      <c r="K10" s="425">
        <f>IFERROR(J10-G10,"-")</f>
        <v/>
      </c>
      <c r="L10" s="434">
        <f>IFERROR(I10/J10,"-")</f>
        <v/>
      </c>
      <c r="M10" s="418">
        <f>'1.1 Ampol Retail'!$H$27</f>
        <v/>
      </c>
      <c r="N10" s="418">
        <f>(SUMIFS('Added data'!$AA:$AA,'Added data'!$AC:$AC,"Ampol Retail",'Added data'!$AE:$AE,"Deployment"))/1000000</f>
        <v/>
      </c>
      <c r="O10" s="905">
        <f>I10</f>
        <v/>
      </c>
      <c r="P10" s="551">
        <f>N10</f>
        <v/>
      </c>
      <c r="V10" s="417" t="inlineStr">
        <is>
          <t>Store Operations</t>
        </is>
      </c>
      <c r="AD10">
        <f>$B10&amp;"|"&amp;$D10</f>
        <v/>
      </c>
    </row>
    <row r="11">
      <c r="B11" s="449" t="n"/>
      <c r="C11" s="448" t="inlineStr">
        <is>
          <t>Store Operations - platform total (incl overhead)</t>
        </is>
      </c>
      <c r="D11" s="449" t="n"/>
      <c r="E11" s="449" t="n"/>
      <c r="F11" s="449" t="n"/>
      <c r="G11" s="475">
        <f>SUM(G7:G10)</f>
        <v/>
      </c>
      <c r="H11" s="475">
        <f>SUM(H7:H10)</f>
        <v/>
      </c>
      <c r="I11" s="475">
        <f>SUM(I7:I10)</f>
        <v/>
      </c>
      <c r="J11" s="475">
        <f>SUM(J7:J10)</f>
        <v/>
      </c>
      <c r="K11" s="475">
        <f>SUM(K7:K10)</f>
        <v/>
      </c>
      <c r="L11" s="477">
        <f>IFERROR(I11/J11,"-")</f>
        <v/>
      </c>
      <c r="M11" s="474">
        <f>SUM(M7:M10)+'0.2 Data Config'!$L$16</f>
        <v/>
      </c>
      <c r="N11" s="474">
        <f>SUM(N7:N10)</f>
        <v/>
      </c>
      <c r="O11" s="474">
        <f>I11</f>
        <v/>
      </c>
      <c r="P11">
        <f>N11</f>
        <v/>
      </c>
      <c r="V11" s="417" t="inlineStr">
        <is>
          <t>Deployment</t>
        </is>
      </c>
    </row>
    <row r="12">
      <c r="B12" s="417" t="inlineStr">
        <is>
          <t>Ampol Retail</t>
        </is>
      </c>
      <c r="C12" s="417" t="inlineStr">
        <is>
          <t>Above Store</t>
        </is>
      </c>
      <c r="D12" s="417" t="inlineStr">
        <is>
          <t>Above Store</t>
        </is>
      </c>
      <c r="E12" s="417">
        <f>'1.1 Ampol Retail'!$C$33</f>
        <v/>
      </c>
      <c r="F12" s="425">
        <f>'1.1 Ampol Retail'!$D$33</f>
        <v/>
      </c>
      <c r="G12" s="425">
        <f>IFERROR(INDEX('0.3 Squad Archetypes'!$F$5:$F$23,MATCH('1.1 Ampol Retail'!$C$33&amp;"|"&amp;'1.1 Ampol Retail'!$D$33,'0.3 Squad Archetypes'!$A$5:$A$23,0)),"-")</f>
        <v/>
      </c>
      <c r="H12" s="425">
        <f>COUNTIFS(Squads!$N:$N,"Ampol Retail",Squads!$P:$P,"Above Store",Squads!$R:$R,"Filled")</f>
        <v/>
      </c>
      <c r="I12" s="425">
        <f>COUNTIFS(Squads!$N:$N,"Ampol Retail",Squads!$P:$P,"Above Store",Squads!$R:$R,"Vacant")</f>
        <v/>
      </c>
      <c r="J12" s="425">
        <f>H12+I12</f>
        <v/>
      </c>
      <c r="K12" s="425">
        <f>IFERROR(J12-G12,"-")</f>
        <v/>
      </c>
      <c r="L12" s="434">
        <f>IFERROR(I12/J12,"-")</f>
        <v/>
      </c>
      <c r="M12" s="418">
        <f>'1.1 Ampol Retail'!$H$33</f>
        <v/>
      </c>
      <c r="N12" s="418">
        <f>(SUMIFS('Added data'!$AA:$AA,'Added data'!$AC:$AC,"Ampol Retail",'Added data'!$AE:$AE,"Above Store"))/1000000</f>
        <v/>
      </c>
      <c r="O12" s="905">
        <f>I12</f>
        <v/>
      </c>
      <c r="P12" s="551">
        <f>N12</f>
        <v/>
      </c>
      <c r="U12" s="417" t="inlineStr">
        <is>
          <t>Above Store</t>
        </is>
      </c>
      <c r="V12" s="417" t="inlineStr">
        <is>
          <t>Above Store</t>
        </is>
      </c>
      <c r="AD12">
        <f>$B12&amp;"|"&amp;$D12</f>
        <v/>
      </c>
    </row>
    <row r="13">
      <c r="B13" s="449" t="n"/>
      <c r="C13" s="448" t="inlineStr">
        <is>
          <t>Above Store - platform total (incl overhead)</t>
        </is>
      </c>
      <c r="D13" s="449" t="n"/>
      <c r="E13" s="449" t="n"/>
      <c r="F13" s="449" t="n"/>
      <c r="G13" s="475">
        <f>SUM(G12:G12)</f>
        <v/>
      </c>
      <c r="H13" s="475">
        <f>SUM(H12:H12)</f>
        <v/>
      </c>
      <c r="I13" s="475">
        <f>SUM(I12:I12)</f>
        <v/>
      </c>
      <c r="J13" s="475">
        <f>SUM(J12:J12)</f>
        <v/>
      </c>
      <c r="K13" s="475">
        <f>SUM(K12:K12)</f>
        <v/>
      </c>
      <c r="L13" s="477">
        <f>IFERROR(I13/J13,"-")</f>
        <v/>
      </c>
      <c r="M13" s="474">
        <f>SUM(M12:M12)+'0.2 Data Config'!$L$16</f>
        <v/>
      </c>
      <c r="N13" s="474">
        <f>SUM(N12:N12)</f>
        <v/>
      </c>
      <c r="O13" s="474">
        <f>I13</f>
        <v/>
      </c>
      <c r="P13">
        <f>N13</f>
        <v/>
      </c>
      <c r="U13" s="417" t="inlineStr">
        <is>
          <t>AmPOS</t>
        </is>
      </c>
      <c r="V13" s="417" t="inlineStr">
        <is>
          <t>AmPOS</t>
        </is>
      </c>
    </row>
    <row r="14">
      <c r="B14" s="417" t="inlineStr">
        <is>
          <t>Ampol Retail</t>
        </is>
      </c>
      <c r="C14" s="417" t="inlineStr">
        <is>
          <t>AmPOS</t>
        </is>
      </c>
      <c r="D14" s="417" t="inlineStr">
        <is>
          <t>AmPOS</t>
        </is>
      </c>
      <c r="E14" s="417">
        <f>'1.1 Ampol Retail'!$C$47</f>
        <v/>
      </c>
      <c r="F14" s="425">
        <f>'1.1 Ampol Retail'!$D$47</f>
        <v/>
      </c>
      <c r="G14" s="425">
        <f>IFERROR(INDEX('0.3 Squad Archetypes'!$F$5:$F$23,MATCH('1.1 Ampol Retail'!$C$47&amp;"|"&amp;'1.1 Ampol Retail'!$D$47,'0.3 Squad Archetypes'!$A$5:$A$23,0)),"-")</f>
        <v/>
      </c>
      <c r="H14" s="425">
        <f>COUNTIFS(Squads!$N:$N,"Ampol Retail",Squads!$P:$P,"AmPOS",Squads!$R:$R,"Filled")</f>
        <v/>
      </c>
      <c r="I14" s="425">
        <f>COUNTIFS(Squads!$N:$N,"Ampol Retail",Squads!$P:$P,"AmPOS",Squads!$R:$R,"Vacant")</f>
        <v/>
      </c>
      <c r="J14" s="425">
        <f>H14+I14</f>
        <v/>
      </c>
      <c r="K14" s="425">
        <f>IFERROR(J14-G14,"-")</f>
        <v/>
      </c>
      <c r="L14" s="434">
        <f>IFERROR(I14/J14,"-")</f>
        <v/>
      </c>
      <c r="M14" s="418">
        <f>'1.1 Ampol Retail'!$H$47</f>
        <v/>
      </c>
      <c r="N14" s="418">
        <f>(SUMIFS('Added data'!$AA:$AA,'Added data'!$AC:$AC,"Ampol Retail",'Added data'!$AE:$AE,"AmPOS"))/1000000</f>
        <v/>
      </c>
      <c r="O14" s="905">
        <f>I14</f>
        <v/>
      </c>
      <c r="P14" s="551">
        <f>N14</f>
        <v/>
      </c>
      <c r="U14" s="417" t="inlineStr">
        <is>
          <t>Network / QSR</t>
        </is>
      </c>
      <c r="V14" s="417" t="inlineStr">
        <is>
          <t>Network / QSR</t>
        </is>
      </c>
      <c r="AD14">
        <f>$B14&amp;"|"&amp;$D14</f>
        <v/>
      </c>
    </row>
    <row r="15">
      <c r="B15" s="449" t="n"/>
      <c r="C15" s="448" t="inlineStr">
        <is>
          <t>AmPOS - platform total (incl overhead)</t>
        </is>
      </c>
      <c r="D15" s="449" t="n"/>
      <c r="E15" s="449" t="n"/>
      <c r="F15" s="449" t="n"/>
      <c r="G15" s="475">
        <f>SUM(G14:G14)</f>
        <v/>
      </c>
      <c r="H15" s="475">
        <f>SUM(H14:H14)</f>
        <v/>
      </c>
      <c r="I15" s="475">
        <f>SUM(I14:I14)</f>
        <v/>
      </c>
      <c r="J15" s="475">
        <f>SUM(J14:J14)</f>
        <v/>
      </c>
      <c r="K15" s="475">
        <f>SUM(K14:K14)</f>
        <v/>
      </c>
      <c r="L15" s="477">
        <f>IFERROR(I15/J15,"-")</f>
        <v/>
      </c>
      <c r="M15" s="474">
        <f>SUM(M14:M14)+'0.2 Data Config'!$L$16</f>
        <v/>
      </c>
      <c r="N15" s="474">
        <f>SUM(N14:N14)</f>
        <v/>
      </c>
      <c r="O15" s="474">
        <f>I15</f>
        <v/>
      </c>
      <c r="P15">
        <f>N15</f>
        <v/>
      </c>
      <c r="U15" s="417" t="inlineStr">
        <is>
          <t>Data AU</t>
        </is>
      </c>
      <c r="V15" s="417" t="inlineStr">
        <is>
          <t>Data AU</t>
        </is>
      </c>
    </row>
    <row r="16">
      <c r="B16" s="417" t="inlineStr">
        <is>
          <t>Ampol Retail</t>
        </is>
      </c>
      <c r="C16" s="417" t="inlineStr">
        <is>
          <t>Network / QSR</t>
        </is>
      </c>
      <c r="D16" s="417" t="inlineStr">
        <is>
          <t>Network / QSR</t>
        </is>
      </c>
      <c r="E16" s="417">
        <f>'1.1 Ampol Retail'!$C$53</f>
        <v/>
      </c>
      <c r="F16" s="425">
        <f>'1.1 Ampol Retail'!$D$53</f>
        <v/>
      </c>
      <c r="G16" s="425">
        <f>IFERROR(INDEX('0.3 Squad Archetypes'!$F$5:$F$23,MATCH('1.1 Ampol Retail'!$C$53&amp;"|"&amp;'1.1 Ampol Retail'!$D$53,'0.3 Squad Archetypes'!$A$5:$A$23,0)),"-")</f>
        <v/>
      </c>
      <c r="H16" s="425">
        <f>COUNTIFS(Squads!$N:$N,"Ampol Retail",Squads!$P:$P,"Network / QSR",Squads!$R:$R,"Filled")</f>
        <v/>
      </c>
      <c r="I16" s="425">
        <f>COUNTIFS(Squads!$N:$N,"Ampol Retail",Squads!$P:$P,"Network / QSR",Squads!$R:$R,"Vacant")</f>
        <v/>
      </c>
      <c r="J16" s="425">
        <f>H16+I16</f>
        <v/>
      </c>
      <c r="K16" s="425">
        <f>IFERROR(J16-G16,"-")</f>
        <v/>
      </c>
      <c r="L16" s="434">
        <f>IFERROR(I16/J16,"-")</f>
        <v/>
      </c>
      <c r="M16" s="418">
        <f>'1.1 Ampol Retail'!$H$53</f>
        <v/>
      </c>
      <c r="N16" s="418">
        <f>(SUMIFS('Added data'!$AA:$AA,'Added data'!$AC:$AC,"Ampol Retail",'Added data'!$AE:$AE,"Network / QSR"))/1000000</f>
        <v/>
      </c>
      <c r="O16" s="905">
        <f>I16</f>
        <v/>
      </c>
      <c r="P16" s="551">
        <f>N16</f>
        <v/>
      </c>
      <c r="U16" s="417" t="inlineStr">
        <is>
          <t>EGI Retail</t>
        </is>
      </c>
      <c r="V16" s="417" t="inlineStr">
        <is>
          <t>EGI Retail</t>
        </is>
      </c>
      <c r="AD16">
        <f>$B16&amp;"|"&amp;$D16</f>
        <v/>
      </c>
    </row>
    <row r="17">
      <c r="B17" s="449" t="n"/>
      <c r="C17" s="448" t="inlineStr">
        <is>
          <t>Network / QSR - platform total (incl overhead)</t>
        </is>
      </c>
      <c r="D17" s="449" t="n"/>
      <c r="E17" s="449" t="n"/>
      <c r="F17" s="449" t="n"/>
      <c r="G17" s="475">
        <f>SUM(G16:G16)</f>
        <v/>
      </c>
      <c r="H17" s="475">
        <f>SUM(H16:H16)</f>
        <v/>
      </c>
      <c r="I17" s="475">
        <f>SUM(I16:I16)</f>
        <v/>
      </c>
      <c r="J17" s="475">
        <f>SUM(J16:J16)</f>
        <v/>
      </c>
      <c r="K17" s="475">
        <f>SUM(K16:K16)</f>
        <v/>
      </c>
      <c r="L17" s="477">
        <f>IFERROR(I17/J17,"-")</f>
        <v/>
      </c>
      <c r="M17" s="474">
        <f>SUM(M16:M16)+'0.2 Data Config'!$L$16</f>
        <v/>
      </c>
      <c r="N17" s="474">
        <f>SUM(N16:N16)</f>
        <v/>
      </c>
      <c r="O17" s="474">
        <f>I17</f>
        <v/>
      </c>
      <c r="P17">
        <f>N17</f>
        <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f>'1.1 Ampol Retail'!$C$59</f>
        <v/>
      </c>
      <c r="F18" s="425">
        <f>'1.1 Ampol Retail'!$D$59</f>
        <v/>
      </c>
      <c r="G18" s="425">
        <f>IFERROR(INDEX('0.3 Squad Archetypes'!$F$5:$F$23,MATCH('1.1 Ampol Retail'!$C$59&amp;"|"&amp;'1.1 Ampol Retail'!$D$59,'0.3 Squad Archetypes'!$A$5:$A$23,0)),"-")</f>
        <v/>
      </c>
      <c r="H18" s="425">
        <f>COUNTIFS(Squads!$N:$N,"Ampol Retail",Squads!$P:$P,"Data AU",Squads!$R:$R,"Filled")</f>
        <v/>
      </c>
      <c r="I18" s="425">
        <f>COUNTIFS(Squads!$N:$N,"Ampol Retail",Squads!$P:$P,"Data AU",Squads!$R:$R,"Vacant")</f>
        <v/>
      </c>
      <c r="J18" s="425">
        <f>H18+I18</f>
        <v/>
      </c>
      <c r="K18" s="425">
        <f>IFERROR(J18-G18,"-")</f>
        <v/>
      </c>
      <c r="L18" s="434">
        <f>IFERROR(I18/J18,"-")</f>
        <v/>
      </c>
      <c r="M18" s="418">
        <f>'1.1 Ampol Retail'!$H$59</f>
        <v/>
      </c>
      <c r="N18" s="418">
        <f>(SUMIFS('Added data'!$AA:$AA,'Added data'!$AC:$AC,"Ampol Retail",'Added data'!$AE:$AE,"Data AU"))/1000000</f>
        <v/>
      </c>
      <c r="O18" s="905">
        <f>I18</f>
        <v/>
      </c>
      <c r="P18" s="551">
        <f>N18</f>
        <v/>
      </c>
      <c r="V18" s="417" t="inlineStr">
        <is>
          <t>Ampol Web</t>
        </is>
      </c>
      <c r="AD18">
        <f>$B18&amp;"|"&amp;$D18</f>
        <v/>
      </c>
    </row>
    <row r="19">
      <c r="B19" s="449" t="n"/>
      <c r="C19" s="448" t="inlineStr">
        <is>
          <t>Data AU - platform total (incl overhead)</t>
        </is>
      </c>
      <c r="D19" s="449" t="n"/>
      <c r="E19" s="449" t="n"/>
      <c r="F19" s="449" t="n"/>
      <c r="G19" s="475">
        <f>SUM(G18:G18)</f>
        <v/>
      </c>
      <c r="H19" s="475">
        <f>SUM(H18:H18)</f>
        <v/>
      </c>
      <c r="I19" s="475">
        <f>SUM(I18:I18)</f>
        <v/>
      </c>
      <c r="J19" s="475">
        <f>SUM(J18:J18)</f>
        <v/>
      </c>
      <c r="K19" s="475">
        <f>SUM(K18:K18)</f>
        <v/>
      </c>
      <c r="L19" s="477">
        <f>IFERROR(I19/J19,"-")</f>
        <v/>
      </c>
      <c r="M19" s="474">
        <f>SUM(M18:M18)+'0.2 Data Config'!$L$16</f>
        <v/>
      </c>
      <c r="N19" s="474">
        <f>SUM(N18:N18)</f>
        <v/>
      </c>
      <c r="O19" s="474">
        <f>I19</f>
        <v/>
      </c>
      <c r="P19">
        <f>N19</f>
        <v/>
      </c>
      <c r="V19" s="417" t="inlineStr">
        <is>
          <t>Digital Operations</t>
        </is>
      </c>
    </row>
    <row r="20">
      <c r="B20" s="417" t="inlineStr">
        <is>
          <t>Ampol Retail</t>
        </is>
      </c>
      <c r="C20" s="417" t="inlineStr">
        <is>
          <t>EGI Retail</t>
        </is>
      </c>
      <c r="D20" s="417" t="inlineStr">
        <is>
          <t>EGI Retail</t>
        </is>
      </c>
      <c r="E20" s="417">
        <f>'1.1 Ampol Retail'!$C$65</f>
        <v/>
      </c>
      <c r="F20" s="425">
        <f>'1.1 Ampol Retail'!$D$65</f>
        <v/>
      </c>
      <c r="G20" s="425">
        <f>IFERROR(INDEX('0.3 Squad Archetypes'!$F$5:$F$23,MATCH('1.1 Ampol Retail'!$C$65&amp;"|"&amp;'1.1 Ampol Retail'!$D$65,'0.3 Squad Archetypes'!$A$5:$A$23,0)),"-")</f>
        <v/>
      </c>
      <c r="H20" s="425">
        <f>COUNTIFS(Squads!$N:$N,"Ampol Retail",Squads!$P:$P,"EGI Retail",Squads!$R:$R,"Filled")</f>
        <v/>
      </c>
      <c r="I20" s="425">
        <f>COUNTIFS(Squads!$N:$N,"Ampol Retail",Squads!$P:$P,"EGI Retail",Squads!$R:$R,"Vacant")</f>
        <v/>
      </c>
      <c r="J20" s="425">
        <f>H20+I20</f>
        <v/>
      </c>
      <c r="K20" s="425">
        <f>IFERROR(J20-G20,"-")</f>
        <v/>
      </c>
      <c r="L20" s="434">
        <f>IFERROR(I20/J20,"-")</f>
        <v/>
      </c>
      <c r="M20" s="418">
        <f>'1.1 Ampol Retail'!$H$65</f>
        <v/>
      </c>
      <c r="N20" s="418">
        <f>(SUMIFS('Added data'!$AA:$AA,'Added data'!$AC:$AC,"Ampol Retail",'Added data'!$AE:$AE,"EGI Retail"))/1000000</f>
        <v/>
      </c>
      <c r="O20" s="905">
        <f>I20</f>
        <v/>
      </c>
      <c r="P20" s="551">
        <f>N20</f>
        <v/>
      </c>
      <c r="T20" s="417" t="inlineStr">
        <is>
          <t>Customer</t>
        </is>
      </c>
      <c r="U20" s="417" t="inlineStr">
        <is>
          <t>Customer Z</t>
        </is>
      </c>
      <c r="V20" s="417" t="inlineStr">
        <is>
          <t>Z Energy Apps</t>
        </is>
      </c>
      <c r="AD20">
        <f>$B20&amp;"|"&amp;$D20</f>
        <v/>
      </c>
    </row>
    <row r="21">
      <c r="B21" s="449" t="n"/>
      <c r="C21" s="448" t="inlineStr">
        <is>
          <t>EGI Retail - platform total (no overhead - funded via Significant Items)</t>
        </is>
      </c>
      <c r="D21" s="449" t="n"/>
      <c r="E21" s="449" t="n"/>
      <c r="F21" s="449" t="n"/>
      <c r="G21" s="475">
        <f>SUM(G20:G20)</f>
        <v/>
      </c>
      <c r="H21" s="475">
        <f>SUM(H20:H20)</f>
        <v/>
      </c>
      <c r="I21" s="475">
        <f>SUM(I20:I20)</f>
        <v/>
      </c>
      <c r="J21" s="475">
        <f>SUM(J20:J20)</f>
        <v/>
      </c>
      <c r="K21" s="475">
        <f>SUM(K20:K20)</f>
        <v/>
      </c>
      <c r="L21" s="477">
        <f>IFERROR(I21/J21,"-")</f>
        <v/>
      </c>
      <c r="M21" s="474">
        <f>SUM(M20:M20)</f>
        <v/>
      </c>
      <c r="N21" s="474">
        <f>SUM(N20:N20)</f>
        <v/>
      </c>
      <c r="O21" s="474">
        <f>I21</f>
        <v/>
      </c>
      <c r="P21">
        <f>N21</f>
        <v/>
      </c>
      <c r="V21" s="417" t="inlineStr">
        <is>
          <t>Z Energy Martech</t>
        </is>
      </c>
    </row>
    <row r="22">
      <c r="B22" s="419" t="inlineStr">
        <is>
          <t>Ampol Retail - portfolio total (incl OHs)</t>
        </is>
      </c>
      <c r="C22" s="435" t="n"/>
      <c r="D22" s="435" t="n"/>
      <c r="E22" s="435" t="n"/>
      <c r="F22" s="435" t="n"/>
      <c r="G22" s="431">
        <f>G11+G13+G15+G17+G19+G21</f>
        <v/>
      </c>
      <c r="H22" s="431">
        <f>H11+H13+H15+H17+H19+H21</f>
        <v/>
      </c>
      <c r="I22" s="431">
        <f>I11+I13+I15+I17+I19+I21</f>
        <v/>
      </c>
      <c r="J22" s="431">
        <f>J11+J13+J15+J17+J19+J21</f>
        <v/>
      </c>
      <c r="K22" s="431">
        <f>K11+K13+K15+K17+K19+K21</f>
        <v/>
      </c>
      <c r="L22" s="433">
        <f>IFERROR(I22/J22,"-")</f>
        <v/>
      </c>
      <c r="M22" s="420">
        <f>M11+M13+M15+M17+M19+M21+'0.2 Data Config'!$L$10</f>
        <v/>
      </c>
      <c r="N22" s="420">
        <f>N11+N13+N15+N17+N19+N21</f>
        <v/>
      </c>
      <c r="O22" s="420">
        <f>I22</f>
        <v/>
      </c>
      <c r="P22">
        <f>N22</f>
        <v/>
      </c>
      <c r="V22" s="417" t="inlineStr">
        <is>
          <t>Digital Support NZ</t>
        </is>
      </c>
    </row>
    <row r="23">
      <c r="B23" s="417" t="inlineStr">
        <is>
          <t>Customer</t>
        </is>
      </c>
      <c r="C23" s="417" t="inlineStr">
        <is>
          <t>Ampol Digital</t>
        </is>
      </c>
      <c r="D23" s="417" t="inlineStr">
        <is>
          <t>Ampol App</t>
        </is>
      </c>
      <c r="E23" s="417">
        <f>'1.2 Customer'!$C$30</f>
        <v/>
      </c>
      <c r="F23" s="425">
        <f>'1.2 Customer'!$D$30</f>
        <v/>
      </c>
      <c r="G23" s="425">
        <f>IFERROR(INDEX('0.3 Squad Archetypes'!$F$5:$F$23,MATCH('1.2 Customer'!$C$30&amp;"|"&amp;'1.2 Customer'!$D$30,'0.3 Squad Archetypes'!$A$5:$A$23,0)),"-")</f>
        <v/>
      </c>
      <c r="H23" s="425">
        <f>COUNTIFS(Squads!$N:$N,"Customer",Squads!$P:$P,"Ampol App",Squads!$R:$R,"Filled")</f>
        <v/>
      </c>
      <c r="I23" s="425">
        <f>COUNTIFS(Squads!$N:$N,"Customer",Squads!$P:$P,"Ampol App",Squads!$R:$R,"Vacant")</f>
        <v/>
      </c>
      <c r="J23" s="425">
        <f>H23+I23</f>
        <v/>
      </c>
      <c r="K23" s="425">
        <f>IFERROR(J23-G23,"-")</f>
        <v/>
      </c>
      <c r="L23" s="434">
        <f>IFERROR(I23/J23,"-")</f>
        <v/>
      </c>
      <c r="M23" s="418">
        <f>'1.2 Customer'!$H$30</f>
        <v/>
      </c>
      <c r="N23" s="418">
        <f>(SUMIFS('Added data'!$AA:$AA,'Added data'!$AC:$AC,"Customer",'Added data'!$AE:$AE,"Ampol App"))/1000000</f>
        <v/>
      </c>
      <c r="O23" s="905">
        <f>I23</f>
        <v/>
      </c>
      <c r="P23" s="551">
        <f>N23</f>
        <v/>
      </c>
      <c r="U23" s="417" t="inlineStr">
        <is>
          <t>Group Customer Platforms</t>
        </is>
      </c>
      <c r="V23" s="417" t="inlineStr">
        <is>
          <t>AU CRM &amp; Martech</t>
        </is>
      </c>
      <c r="AD23">
        <f>$B23&amp;"|"&amp;$D23</f>
        <v/>
      </c>
    </row>
    <row r="24">
      <c r="B24" s="417" t="inlineStr">
        <is>
          <t>Customer</t>
        </is>
      </c>
      <c r="C24" s="417" t="inlineStr">
        <is>
          <t>Ampol Digital</t>
        </is>
      </c>
      <c r="D24" s="417" t="inlineStr">
        <is>
          <t>Ampol Web</t>
        </is>
      </c>
      <c r="E24" s="417">
        <f>'1.2 Customer'!$C$31</f>
        <v/>
      </c>
      <c r="F24" s="425">
        <f>'1.2 Customer'!$D$31</f>
        <v/>
      </c>
      <c r="G24" s="425">
        <f>IFERROR(INDEX('0.3 Squad Archetypes'!$F$5:$F$23,MATCH('1.2 Customer'!$C$31&amp;"|"&amp;'1.2 Customer'!$D$31,'0.3 Squad Archetypes'!$A$5:$A$23,0)),"-")</f>
        <v/>
      </c>
      <c r="H24" s="425">
        <f>COUNTIFS(Squads!$N:$N,"Customer",Squads!$P:$P,"Ampol Web",Squads!$R:$R,"Filled")</f>
        <v/>
      </c>
      <c r="I24" s="425">
        <f>COUNTIFS(Squads!$N:$N,"Customer",Squads!$P:$P,"Ampol Web",Squads!$R:$R,"Vacant")</f>
        <v/>
      </c>
      <c r="J24" s="425">
        <f>H24+I24</f>
        <v/>
      </c>
      <c r="K24" s="425">
        <f>IFERROR(J24-G24,"-")</f>
        <v/>
      </c>
      <c r="L24" s="434">
        <f>IFERROR(I24/J24,"-")</f>
        <v/>
      </c>
      <c r="M24" s="418">
        <f>'1.2 Customer'!$H$31</f>
        <v/>
      </c>
      <c r="N24" s="418">
        <f>(SUMIFS('Added data'!$AA:$AA,'Added data'!$AC:$AC,"Customer",'Added data'!$AE:$AE,"Ampol Web"))/1000000</f>
        <v/>
      </c>
      <c r="O24" s="905">
        <f>I24</f>
        <v/>
      </c>
      <c r="P24" s="551">
        <f>N24</f>
        <v/>
      </c>
      <c r="V24" s="417" t="inlineStr">
        <is>
          <t>Customer AI</t>
        </is>
      </c>
      <c r="AD24">
        <f>$B24&amp;"|"&amp;$D24</f>
        <v/>
      </c>
    </row>
    <row r="25">
      <c r="B25" s="417" t="inlineStr">
        <is>
          <t>Customer</t>
        </is>
      </c>
      <c r="C25" s="417" t="inlineStr">
        <is>
          <t>Ampol Digital</t>
        </is>
      </c>
      <c r="D25" s="417" t="inlineStr">
        <is>
          <t>Digital Operations</t>
        </is>
      </c>
      <c r="E25" s="417">
        <f>'1.2 Customer'!$C$32</f>
        <v/>
      </c>
      <c r="F25" s="425">
        <f>'1.2 Customer'!$D$32</f>
        <v/>
      </c>
      <c r="G25" s="425">
        <f>IFERROR(INDEX('0.3 Squad Archetypes'!$F$5:$F$23,MATCH('1.2 Customer'!$C$32&amp;"|"&amp;'1.2 Customer'!$D$32,'0.3 Squad Archetypes'!$A$5:$A$23,0)),"-")</f>
        <v/>
      </c>
      <c r="H25" s="425">
        <f>COUNTIFS(Squads!$N:$N,"Customer",Squads!$P:$P,"Digital Operations",Squads!$R:$R,"Filled")</f>
        <v/>
      </c>
      <c r="I25" s="425">
        <f>COUNTIFS(Squads!$N:$N,"Customer",Squads!$P:$P,"Digital Operations",Squads!$R:$R,"Vacant")</f>
        <v/>
      </c>
      <c r="J25" s="425">
        <f>H25+I25</f>
        <v/>
      </c>
      <c r="K25" s="425">
        <f>IFERROR(J25-G25,"-")</f>
        <v/>
      </c>
      <c r="L25" s="434">
        <f>IFERROR(I25/J25,"-")</f>
        <v/>
      </c>
      <c r="M25" s="418">
        <f>'1.2 Customer'!$H$32</f>
        <v/>
      </c>
      <c r="N25" s="418">
        <f>(SUMIFS('Added data'!$AA:$AA,'Added data'!$AC:$AC,"Customer",'Added data'!$AE:$AE,"Digital Operations"))/1000000</f>
        <v/>
      </c>
      <c r="O25" s="905">
        <f>I25</f>
        <v/>
      </c>
      <c r="P25" s="551">
        <f>N25</f>
        <v/>
      </c>
      <c r="U25" s="417" t="inlineStr">
        <is>
          <t>EGI Customer</t>
        </is>
      </c>
      <c r="V25" s="417" t="inlineStr">
        <is>
          <t>EGI Customer</t>
        </is>
      </c>
      <c r="AD25">
        <f>$B25&amp;"|"&amp;$D25</f>
        <v/>
      </c>
    </row>
    <row r="26">
      <c r="B26" s="449" t="n"/>
      <c r="C26" s="448" t="inlineStr">
        <is>
          <t>Ampol Digital - platform total (incl overhead)</t>
        </is>
      </c>
      <c r="D26" s="449" t="n"/>
      <c r="E26" s="449" t="n"/>
      <c r="F26" s="449" t="n"/>
      <c r="G26" s="475">
        <f>SUM(G23:G25)</f>
        <v/>
      </c>
      <c r="H26" s="475">
        <f>SUM(H23:H25)</f>
        <v/>
      </c>
      <c r="I26" s="475">
        <f>SUM(I23:I25)</f>
        <v/>
      </c>
      <c r="J26" s="475">
        <f>SUM(J23:J25)</f>
        <v/>
      </c>
      <c r="K26" s="475">
        <f>SUM(K23:K25)</f>
        <v/>
      </c>
      <c r="L26" s="477">
        <f>IFERROR(I26/J26,"-")</f>
        <v/>
      </c>
      <c r="M26" s="474">
        <f>SUM(M23:M25)+'0.2 Data Config'!$L$16</f>
        <v/>
      </c>
      <c r="N26" s="474">
        <f>SUM(N23:N25)</f>
        <v/>
      </c>
      <c r="O26" s="474">
        <f>I26</f>
        <v/>
      </c>
      <c r="P26">
        <f>N26</f>
        <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f>'1.2 Customer'!$C$38</f>
        <v/>
      </c>
      <c r="F27" s="425">
        <f>'1.2 Customer'!$D$38</f>
        <v/>
      </c>
      <c r="G27" s="425">
        <f>IFERROR(INDEX('0.3 Squad Archetypes'!$F$5:$F$23,MATCH('1.2 Customer'!$C$38&amp;"|"&amp;'1.2 Customer'!$D$38,'0.3 Squad Archetypes'!$A$5:$A$23,0)),"-")</f>
        <v/>
      </c>
      <c r="H27" s="425">
        <f>COUNTIFS(Squads!$N:$N,"Customer",Squads!$P:$P,"Z Energy Apps",Squads!$R:$R,"Filled")</f>
        <v/>
      </c>
      <c r="I27" s="425">
        <f>COUNTIFS(Squads!$N:$N,"Customer",Squads!$P:$P,"Z Energy Apps",Squads!$R:$R,"Vacant")</f>
        <v/>
      </c>
      <c r="J27" s="425">
        <f>H27+I27</f>
        <v/>
      </c>
      <c r="K27" s="425">
        <f>IFERROR(J27-G27,"-")</f>
        <v/>
      </c>
      <c r="L27" s="434">
        <f>IFERROR(I27/J27,"-")</f>
        <v/>
      </c>
      <c r="M27" s="418">
        <f>'1.2 Customer'!$H$38</f>
        <v/>
      </c>
      <c r="N27" s="418">
        <f>(SUMIFS('Added data'!$AA:$AA,'Added data'!$AC:$AC,"Customer",'Added data'!$AE:$AE,"Z Energy Apps"))/1000000</f>
        <v/>
      </c>
      <c r="O27" s="905">
        <f>I27</f>
        <v/>
      </c>
      <c r="P27" s="551">
        <f>N27</f>
        <v/>
      </c>
      <c r="V27" s="417" t="inlineStr">
        <is>
          <t>Operations</t>
        </is>
      </c>
      <c r="AD27">
        <f>$B27&amp;"|"&amp;$D27</f>
        <v/>
      </c>
    </row>
    <row r="28">
      <c r="B28" s="417" t="inlineStr">
        <is>
          <t>Customer</t>
        </is>
      </c>
      <c r="C28" s="417" t="inlineStr">
        <is>
          <t>Customer Z</t>
        </is>
      </c>
      <c r="D28" s="417" t="inlineStr">
        <is>
          <t>Z Energy Martech</t>
        </is>
      </c>
      <c r="E28" s="417">
        <f>'1.2 Customer'!$C$39</f>
        <v/>
      </c>
      <c r="F28" s="425">
        <f>'1.2 Customer'!$D$39</f>
        <v/>
      </c>
      <c r="G28" s="425">
        <f>IFERROR(INDEX('0.3 Squad Archetypes'!$F$5:$F$23,MATCH('1.2 Customer'!$C$39&amp;"|"&amp;'1.2 Customer'!$D$39,'0.3 Squad Archetypes'!$A$5:$A$23,0)),"-")</f>
        <v/>
      </c>
      <c r="H28" s="425">
        <f>COUNTIFS(Squads!$N:$N,"Customer",Squads!$P:$P,"Z Energy Martech",Squads!$R:$R,"Filled")</f>
        <v/>
      </c>
      <c r="I28" s="425">
        <f>COUNTIFS(Squads!$N:$N,"Customer",Squads!$P:$P,"Z Energy Martech",Squads!$R:$R,"Vacant")</f>
        <v/>
      </c>
      <c r="J28" s="425">
        <f>H28+I28</f>
        <v/>
      </c>
      <c r="K28" s="425">
        <f>IFERROR(J28-G28,"-")</f>
        <v/>
      </c>
      <c r="L28" s="434">
        <f>IFERROR(I28/J28,"-")</f>
        <v/>
      </c>
      <c r="M28" s="418">
        <f>'1.2 Customer'!$H$39</f>
        <v/>
      </c>
      <c r="N28" s="418">
        <f>(SUMIFS('Added data'!$AA:$AA,'Added data'!$AC:$AC,"Customer",'Added data'!$AE:$AE,"Z Energy Martech"))/1000000</f>
        <v/>
      </c>
      <c r="O28" s="905">
        <f>I28</f>
        <v/>
      </c>
      <c r="P28" s="551">
        <f>N28</f>
        <v/>
      </c>
      <c r="V28" s="417" t="inlineStr">
        <is>
          <t>Reporting &amp; Analytics</t>
        </is>
      </c>
      <c r="AD28">
        <f>$B28&amp;"|"&amp;$D28</f>
        <v/>
      </c>
    </row>
    <row r="29">
      <c r="B29" s="417" t="inlineStr">
        <is>
          <t>Customer</t>
        </is>
      </c>
      <c r="C29" s="417" t="inlineStr">
        <is>
          <t>Customer Z</t>
        </is>
      </c>
      <c r="D29" s="417" t="inlineStr">
        <is>
          <t>Digital Support NZ</t>
        </is>
      </c>
      <c r="E29" s="417">
        <f>'1.2 Customer'!$C$40</f>
        <v/>
      </c>
      <c r="F29" s="425">
        <f>'1.2 Customer'!$D$40</f>
        <v/>
      </c>
      <c r="G29" s="425">
        <f>IFERROR(INDEX('0.3 Squad Archetypes'!$F$5:$F$23,MATCH('1.2 Customer'!$C$40&amp;"|"&amp;'1.2 Customer'!$D$40,'0.3 Squad Archetypes'!$A$5:$A$23,0)),"-")</f>
        <v/>
      </c>
      <c r="H29" s="425">
        <f>COUNTIFS(Squads!$N:$N,"Customer",Squads!$P:$P,"Digital Support NZ",Squads!$R:$R,"Filled")</f>
        <v/>
      </c>
      <c r="I29" s="425">
        <f>COUNTIFS(Squads!$N:$N,"Customer",Squads!$P:$P,"Digital Support NZ",Squads!$R:$R,"Vacant")</f>
        <v/>
      </c>
      <c r="J29" s="425">
        <f>H29+I29</f>
        <v/>
      </c>
      <c r="K29" s="425">
        <f>IFERROR(J29-G29,"-")</f>
        <v/>
      </c>
      <c r="L29" s="434">
        <f>IFERROR(I29/J29,"-")</f>
        <v/>
      </c>
      <c r="M29" s="418">
        <f>'1.2 Customer'!$H$40</f>
        <v/>
      </c>
      <c r="N29" s="418">
        <f>(SUMIFS('Added data'!$AA:$AA,'Added data'!$AC:$AC,"Customer",'Added data'!$AE:$AE,"Digital Support NZ"))/1000000</f>
        <v/>
      </c>
      <c r="O29" s="418">
        <f>I29</f>
        <v/>
      </c>
      <c r="P29">
        <f>N29</f>
        <v/>
      </c>
      <c r="V29" s="417" t="inlineStr">
        <is>
          <t>Data Platforms</t>
        </is>
      </c>
      <c r="AD29">
        <f>$B29&amp;"|"&amp;$D29</f>
        <v/>
      </c>
    </row>
    <row r="30">
      <c r="B30" s="449" t="n"/>
      <c r="C30" s="448" t="inlineStr">
        <is>
          <t>Customer Z - platform total (incl overhead)</t>
        </is>
      </c>
      <c r="D30" s="449" t="n"/>
      <c r="E30" s="449" t="n"/>
      <c r="F30" s="449" t="n"/>
      <c r="G30" s="475">
        <f>SUM(G27:G29)</f>
        <v/>
      </c>
      <c r="H30" s="475">
        <f>SUM(H27:H29)</f>
        <v/>
      </c>
      <c r="I30" s="475">
        <f>SUM(I27:I29)</f>
        <v/>
      </c>
      <c r="J30" s="475">
        <f>SUM(J27:J29)</f>
        <v/>
      </c>
      <c r="K30" s="475">
        <f>SUM(K27:K29)</f>
        <v/>
      </c>
      <c r="L30" s="477">
        <f>IFERROR(I30/J30,"-")</f>
        <v/>
      </c>
      <c r="M30" s="474">
        <f>SUM(M27:M29)+'0.2 Data Config'!$L$16</f>
        <v/>
      </c>
      <c r="N30" s="474">
        <f>SUM(N27:N29)</f>
        <v/>
      </c>
      <c r="O30" s="474">
        <f>I30</f>
        <v/>
      </c>
      <c r="P30">
        <f>N30</f>
        <v/>
      </c>
      <c r="V30" s="417" t="inlineStr">
        <is>
          <t>Enterprise Data Delivery</t>
        </is>
      </c>
    </row>
    <row r="31">
      <c r="B31" s="417" t="inlineStr">
        <is>
          <t>Customer</t>
        </is>
      </c>
      <c r="C31" s="417" t="inlineStr">
        <is>
          <t>Group Customer Platforms</t>
        </is>
      </c>
      <c r="D31" s="417" t="inlineStr">
        <is>
          <t>AU CRM &amp; Martech</t>
        </is>
      </c>
      <c r="E31" s="417">
        <f>'1.2 Customer'!$C$46</f>
        <v/>
      </c>
      <c r="F31" s="425">
        <f>'1.2 Customer'!$D$46</f>
        <v/>
      </c>
      <c r="G31" s="425">
        <f>IFERROR(INDEX('0.3 Squad Archetypes'!$F$5:$F$23,MATCH('1.2 Customer'!$C$46&amp;"|"&amp;'1.2 Customer'!$D$46,'0.3 Squad Archetypes'!$A$5:$A$23,0)),"-")</f>
        <v/>
      </c>
      <c r="H31" s="425">
        <f>COUNTIFS(Squads!$N:$N,"Customer",Squads!$P:$P,"AU CRM &amp; Martech",Squads!$R:$R,"Filled")</f>
        <v/>
      </c>
      <c r="I31" s="425">
        <f>COUNTIFS(Squads!$N:$N,"Customer",Squads!$P:$P,"AU CRM &amp; Martech",Squads!$R:$R,"Vacant")</f>
        <v/>
      </c>
      <c r="J31" s="425">
        <f>H31+I31</f>
        <v/>
      </c>
      <c r="K31" s="425">
        <f>IFERROR(J31-G31,"-")</f>
        <v/>
      </c>
      <c r="L31" s="434">
        <f>IFERROR(I31/J31,"-")</f>
        <v/>
      </c>
      <c r="M31" s="418">
        <f>'1.2 Customer'!$H$46</f>
        <v/>
      </c>
      <c r="N31" s="418">
        <f>(SUMIFS('Added data'!$AA:$AA,'Added data'!$AC:$AC,"Customer",'Added data'!$AE:$AE,"AU CRM &amp; Martech"))/1000000</f>
        <v/>
      </c>
      <c r="O31" s="905">
        <f>I31</f>
        <v/>
      </c>
      <c r="P31" s="551">
        <f>N31</f>
        <v/>
      </c>
      <c r="T31" s="417" t="inlineStr">
        <is>
          <t>TDD Group Functions</t>
        </is>
      </c>
      <c r="U31" s="417" t="inlineStr">
        <is>
          <t>TDD Group Functions</t>
        </is>
      </c>
      <c r="V31" s="417" t="inlineStr">
        <is>
          <t>Workplace &amp; Enterprise Tooling</t>
        </is>
      </c>
      <c r="AD31">
        <f>$B31&amp;"|"&amp;$D31</f>
        <v/>
      </c>
    </row>
    <row r="32">
      <c r="B32" s="417" t="inlineStr">
        <is>
          <t>Customer</t>
        </is>
      </c>
      <c r="C32" s="417" t="inlineStr">
        <is>
          <t>Group Customer Platforms</t>
        </is>
      </c>
      <c r="D32" s="417" t="inlineStr">
        <is>
          <t>Customer AI</t>
        </is>
      </c>
      <c r="E32" s="417">
        <f>'1.2 Customer'!$C$47</f>
        <v/>
      </c>
      <c r="F32" s="425">
        <f>'1.2 Customer'!$D$47</f>
        <v/>
      </c>
      <c r="G32" s="425">
        <f>IFERROR(INDEX('0.3 Squad Archetypes'!$F$5:$F$23,MATCH('1.2 Customer'!$C$47&amp;"|"&amp;'1.2 Customer'!$D$47,'0.3 Squad Archetypes'!$A$5:$A$23,0)),"-")</f>
        <v/>
      </c>
      <c r="H32" s="425">
        <f>COUNTIFS(Squads!$N:$N,"Customer",Squads!$P:$P,"Customer AI",Squads!$R:$R,"Filled")</f>
        <v/>
      </c>
      <c r="I32" s="425">
        <f>COUNTIFS(Squads!$N:$N,"Customer",Squads!$P:$P,"Customer AI",Squads!$R:$R,"Vacant")</f>
        <v/>
      </c>
      <c r="J32" s="425">
        <f>H32+I32</f>
        <v/>
      </c>
      <c r="K32" s="425">
        <f>IFERROR(J32-G32,"-")</f>
        <v/>
      </c>
      <c r="L32" s="434">
        <f>IFERROR(I32/J32,"-")</f>
        <v/>
      </c>
      <c r="M32" s="418">
        <f>'1.2 Customer'!$H$47</f>
        <v/>
      </c>
      <c r="N32" s="418">
        <f>(SUMIFS('Added data'!$AA:$AA,'Added data'!$AC:$AC,"Customer",'Added data'!$AE:$AE,"Customer AI"))/1000000</f>
        <v/>
      </c>
      <c r="O32" s="418">
        <f>I32</f>
        <v/>
      </c>
      <c r="P32">
        <f>N32</f>
        <v/>
      </c>
      <c r="V32" s="417" t="inlineStr">
        <is>
          <t>Network &amp; Infrastructure</t>
        </is>
      </c>
      <c r="AD32">
        <f>$B32&amp;"|"&amp;$D32</f>
        <v/>
      </c>
    </row>
    <row r="33">
      <c r="B33" s="449" t="n"/>
      <c r="C33" s="448" t="inlineStr">
        <is>
          <t>Group Customer Platforms - platform total (incl overhead)</t>
        </is>
      </c>
      <c r="D33" s="449" t="n"/>
      <c r="E33" s="449" t="n"/>
      <c r="F33" s="449" t="n"/>
      <c r="G33" s="475">
        <f>SUM(G31:G32)</f>
        <v/>
      </c>
      <c r="H33" s="475">
        <f>SUM(H31:H32)</f>
        <v/>
      </c>
      <c r="I33" s="475">
        <f>SUM(I31:I32)</f>
        <v/>
      </c>
      <c r="J33" s="475">
        <f>SUM(J31:J32)</f>
        <v/>
      </c>
      <c r="K33" s="475">
        <f>SUM(K31:K32)</f>
        <v/>
      </c>
      <c r="L33" s="477">
        <f>IFERROR(I33/J33,"-")</f>
        <v/>
      </c>
      <c r="M33" s="474">
        <f>SUM(M31:M32)+'0.2 Data Config'!$L$16</f>
        <v/>
      </c>
      <c r="N33" s="474">
        <f>SUM(N31:N32)</f>
        <v/>
      </c>
      <c r="O33" s="474">
        <f>I33</f>
        <v/>
      </c>
      <c r="P33">
        <f>N33</f>
        <v/>
      </c>
      <c r="V33" s="417" t="inlineStr">
        <is>
          <t>DevOps &amp; Engineering</t>
        </is>
      </c>
    </row>
    <row r="34">
      <c r="B34" s="417" t="inlineStr">
        <is>
          <t>Customer</t>
        </is>
      </c>
      <c r="C34" s="417" t="inlineStr">
        <is>
          <t>EGI Customer</t>
        </is>
      </c>
      <c r="D34" s="417" t="inlineStr">
        <is>
          <t>EGI Customer</t>
        </is>
      </c>
      <c r="E34" s="417">
        <f>'1.2 Customer'!$C$53</f>
        <v/>
      </c>
      <c r="F34" s="425">
        <f>'1.2 Customer'!$D$53</f>
        <v/>
      </c>
      <c r="G34" s="425">
        <f>IFERROR(INDEX('0.3 Squad Archetypes'!$F$5:$F$23,MATCH('1.2 Customer'!$C$53&amp;"|"&amp;'1.2 Customer'!$D$53,'0.3 Squad Archetypes'!$A$5:$A$23,0)),"-")</f>
        <v/>
      </c>
      <c r="H34" s="425">
        <f>COUNTIFS(Squads!$N:$N,"Customer",Squads!$P:$P,"EGI Customer",Squads!$R:$R,"Filled")</f>
        <v/>
      </c>
      <c r="I34" s="425">
        <f>COUNTIFS(Squads!$N:$N,"Customer",Squads!$P:$P,"EGI Customer",Squads!$R:$R,"Vacant")</f>
        <v/>
      </c>
      <c r="J34" s="425">
        <f>H34+I34</f>
        <v/>
      </c>
      <c r="K34" s="425">
        <f>IFERROR(J34-G34,"-")</f>
        <v/>
      </c>
      <c r="L34" s="434">
        <f>IFERROR(I34/J34,"-")</f>
        <v/>
      </c>
      <c r="M34" s="418">
        <f>'1.2 Customer'!$H$53</f>
        <v/>
      </c>
      <c r="N34" s="418">
        <f>(SUMIFS('Added data'!$AA:$AA,'Added data'!$AC:$AC,"Customer",'Added data'!$AE:$AE,"EGI Customer"))/1000000</f>
        <v/>
      </c>
      <c r="O34" s="905">
        <f>I34</f>
        <v/>
      </c>
      <c r="P34" s="551">
        <f>N34</f>
        <v/>
      </c>
      <c r="V34" s="417" t="inlineStr">
        <is>
          <t>Integration</t>
        </is>
      </c>
      <c r="AD34">
        <f>$B34&amp;"|"&amp;$D34</f>
        <v/>
      </c>
    </row>
    <row r="35">
      <c r="B35" s="449" t="n"/>
      <c r="C35" s="448" t="inlineStr">
        <is>
          <t>EGI Customer - platform total (no overhead - funded via Significant Items)</t>
        </is>
      </c>
      <c r="D35" s="449" t="n"/>
      <c r="E35" s="449" t="n"/>
      <c r="F35" s="449" t="n"/>
      <c r="G35" s="475">
        <f>SUM(G34:G34)</f>
        <v/>
      </c>
      <c r="H35" s="475">
        <f>SUM(H34:H34)</f>
        <v/>
      </c>
      <c r="I35" s="475">
        <f>SUM(I34:I34)</f>
        <v/>
      </c>
      <c r="J35" s="475">
        <f>SUM(J34:J34)</f>
        <v/>
      </c>
      <c r="K35" s="475">
        <f>SUM(K34:K34)</f>
        <v/>
      </c>
      <c r="L35" s="477">
        <f>IFERROR(I35/J35,"-")</f>
        <v/>
      </c>
      <c r="M35" s="474">
        <f>SUM(M34:M34)</f>
        <v/>
      </c>
      <c r="N35" s="474">
        <f>SUM(N34:N34)</f>
        <v/>
      </c>
      <c r="O35" s="474">
        <f>I35</f>
        <v/>
      </c>
      <c r="P35">
        <f>N35</f>
        <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
      </c>
      <c r="H36" s="431">
        <f>H26+H30+H33+H35</f>
        <v/>
      </c>
      <c r="I36" s="431">
        <f>I26+I30+I33+I35</f>
        <v/>
      </c>
      <c r="J36" s="431">
        <f>J26+J30+J33+J35</f>
        <v/>
      </c>
      <c r="K36" s="431">
        <f>K26+K30+K33+K35</f>
        <v/>
      </c>
      <c r="L36" s="433">
        <f>IFERROR(I36/J36,"-")</f>
        <v/>
      </c>
      <c r="M36" s="420">
        <f>M26+M30+M33+M35+'0.2 Data Config'!$L$10</f>
        <v/>
      </c>
      <c r="N36" s="420">
        <f>N26+N30+N33+N35</f>
        <v/>
      </c>
      <c r="O36" s="420">
        <f>I36</f>
        <v/>
      </c>
      <c r="P36">
        <f>N36</f>
        <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f>'1.3 Enterprise Data'!$C$25</f>
        <v/>
      </c>
      <c r="F37" s="425">
        <f>'1.3 Enterprise Data'!$D$25</f>
        <v/>
      </c>
      <c r="G37" s="425">
        <f>IFERROR(INDEX('0.3 Squad Archetypes'!$F$5:$F$23,MATCH('1.3 Enterprise Data'!$C$25&amp;"|"&amp;'1.3 Enterprise Data'!$D$25,'0.3 Squad Archetypes'!$A$5:$A$23,0)),"-")</f>
        <v/>
      </c>
      <c r="H37" s="425">
        <f>COUNTIFS(Squads!$N:$N,"Enterprise Data",Squads!$P:$P,"Data Science",Squads!$R:$R,"Filled")</f>
        <v/>
      </c>
      <c r="I37" s="425">
        <f>COUNTIFS(Squads!$N:$N,"Enterprise Data",Squads!$P:$P,"Data Science",Squads!$R:$R,"Vacant")</f>
        <v/>
      </c>
      <c r="J37" s="425">
        <f>H37+I37</f>
        <v/>
      </c>
      <c r="K37" s="425">
        <f>IFERROR(J37-G37,"-")</f>
        <v/>
      </c>
      <c r="L37" s="434">
        <f>IFERROR(I37/J37,"-")</f>
        <v/>
      </c>
      <c r="M37" s="418">
        <f>'1.3 Enterprise Data'!$H$25</f>
        <v/>
      </c>
      <c r="N37" s="418">
        <f>(SUMIFS('Added data'!$AA:$AA,'Added data'!$AC:$AC,"Enterprise Data",'Added data'!$AE:$AE,"Data Science"))/1000000</f>
        <v/>
      </c>
      <c r="O37" s="905">
        <f>I37</f>
        <v/>
      </c>
      <c r="P37" s="551">
        <f>N37</f>
        <v/>
      </c>
      <c r="V37" s="417" t="inlineStr">
        <is>
          <t>P&amp;C - RTA</t>
        </is>
      </c>
      <c r="AD37">
        <f>$B37&amp;"|"&amp;$D37</f>
        <v/>
      </c>
    </row>
    <row r="38">
      <c r="B38" s="417" t="inlineStr">
        <is>
          <t>Enterprise Data</t>
        </is>
      </c>
      <c r="C38" s="417" t="inlineStr">
        <is>
          <t>Group Data</t>
        </is>
      </c>
      <c r="D38" s="417" t="inlineStr">
        <is>
          <t>Operations</t>
        </is>
      </c>
      <c r="E38" s="417">
        <f>'1.3 Enterprise Data'!$C$26</f>
        <v/>
      </c>
      <c r="F38" s="425">
        <f>'1.3 Enterprise Data'!$D$26</f>
        <v/>
      </c>
      <c r="G38" s="425">
        <f>IFERROR(INDEX('0.3 Squad Archetypes'!$F$5:$F$23,MATCH('1.3 Enterprise Data'!$C$26&amp;"|"&amp;'1.3 Enterprise Data'!$D$26,'0.3 Squad Archetypes'!$A$5:$A$23,0)),"-")</f>
        <v/>
      </c>
      <c r="H38" s="425">
        <f>COUNTIFS(Squads!$N:$N,"Enterprise Data",Squads!$P:$P,"Operations",Squads!$R:$R,"Filled")</f>
        <v/>
      </c>
      <c r="I38" s="425">
        <f>COUNTIFS(Squads!$N:$N,"Enterprise Data",Squads!$P:$P,"Operations",Squads!$R:$R,"Vacant")</f>
        <v/>
      </c>
      <c r="J38" s="425">
        <f>H38+I38</f>
        <v/>
      </c>
      <c r="K38" s="425">
        <f>IFERROR(J38-G38,"-")</f>
        <v/>
      </c>
      <c r="L38" s="434">
        <f>IFERROR(I38/J38,"-")</f>
        <v/>
      </c>
      <c r="M38" s="418">
        <f>'1.3 Enterprise Data'!$H$26</f>
        <v/>
      </c>
      <c r="N38" s="418">
        <f>(SUMIFS('Added data'!$AA:$AA,'Added data'!$AC:$AC,"Enterprise Data",'Added data'!$AE:$AE,"Operations"))/1000000</f>
        <v/>
      </c>
      <c r="O38" s="905">
        <f>I38</f>
        <v/>
      </c>
      <c r="P38" s="551">
        <f>N38</f>
        <v/>
      </c>
      <c r="U38" s="417" t="inlineStr">
        <is>
          <t>EGI P&amp;C</t>
        </is>
      </c>
      <c r="V38" s="417" t="inlineStr">
        <is>
          <t>EGI P&amp;C</t>
        </is>
      </c>
      <c r="AD38">
        <f>$B38&amp;"|"&amp;$D38</f>
        <v/>
      </c>
    </row>
    <row r="39">
      <c r="B39" s="417" t="inlineStr">
        <is>
          <t>Enterprise Data</t>
        </is>
      </c>
      <c r="C39" s="417" t="inlineStr">
        <is>
          <t>Group Data</t>
        </is>
      </c>
      <c r="D39" s="417" t="inlineStr">
        <is>
          <t>Reporting &amp; Analytics</t>
        </is>
      </c>
      <c r="E39" s="417">
        <f>'1.3 Enterprise Data'!$C$27</f>
        <v/>
      </c>
      <c r="F39" s="425">
        <f>'1.3 Enterprise Data'!$D$27</f>
        <v/>
      </c>
      <c r="G39" s="425">
        <f>IFERROR(INDEX('0.3 Squad Archetypes'!$F$5:$F$23,MATCH('1.3 Enterprise Data'!$C$27&amp;"|"&amp;'1.3 Enterprise Data'!$D$27,'0.3 Squad Archetypes'!$A$5:$A$23,0)),"-")</f>
        <v/>
      </c>
      <c r="H39" s="425">
        <f>COUNTIFS(Squads!$N:$N,"Enterprise Data",Squads!$P:$P,"Reporting &amp; Analytics",Squads!$R:$R,"Filled")</f>
        <v/>
      </c>
      <c r="I39" s="425">
        <f>COUNTIFS(Squads!$N:$N,"Enterprise Data",Squads!$P:$P,"Reporting &amp; Analytics",Squads!$R:$R,"Vacant")</f>
        <v/>
      </c>
      <c r="J39" s="425">
        <f>H39+I39</f>
        <v/>
      </c>
      <c r="K39" s="425">
        <f>IFERROR(J39-G39,"-")</f>
        <v/>
      </c>
      <c r="L39" s="434">
        <f>IFERROR(I39/J39,"-")</f>
        <v/>
      </c>
      <c r="M39" s="418">
        <f>'1.3 Enterprise Data'!$H$27</f>
        <v/>
      </c>
      <c r="N39" s="418">
        <f>(SUMIFS('Added data'!$AA:$AA,'Added data'!$AC:$AC,"Enterprise Data",'Added data'!$AE:$AE,"Reporting &amp; Analytics"))/1000000</f>
        <v/>
      </c>
      <c r="O39" s="905">
        <f>I39</f>
        <v/>
      </c>
      <c r="P39" s="551">
        <f>N39</f>
        <v/>
      </c>
      <c r="T39" s="417" t="inlineStr">
        <is>
          <t>Finance</t>
        </is>
      </c>
      <c r="U39" s="417" t="inlineStr">
        <is>
          <t>Finance</t>
        </is>
      </c>
      <c r="V39" s="417" t="inlineStr">
        <is>
          <t>AU Finance</t>
        </is>
      </c>
      <c r="AD39">
        <f>$B39&amp;"|"&amp;$D39</f>
        <v/>
      </c>
    </row>
    <row r="40">
      <c r="B40" s="417" t="inlineStr">
        <is>
          <t>Enterprise Data</t>
        </is>
      </c>
      <c r="C40" s="417" t="inlineStr">
        <is>
          <t>Group Data</t>
        </is>
      </c>
      <c r="D40" s="417" t="inlineStr">
        <is>
          <t>Data Platforms</t>
        </is>
      </c>
      <c r="E40" s="417">
        <f>'1.3 Enterprise Data'!$C$28</f>
        <v/>
      </c>
      <c r="F40" s="425">
        <f>'1.3 Enterprise Data'!$D$28</f>
        <v/>
      </c>
      <c r="G40" s="425">
        <f>IFERROR(INDEX('0.3 Squad Archetypes'!$F$5:$F$23,MATCH('1.3 Enterprise Data'!$C$28&amp;"|"&amp;'1.3 Enterprise Data'!$D$28,'0.3 Squad Archetypes'!$A$5:$A$23,0)),"-")</f>
        <v/>
      </c>
      <c r="H40" s="425">
        <f>COUNTIFS(Squads!$N:$N,"Enterprise Data",Squads!$P:$P,"Data Platforms",Squads!$R:$R,"Filled")</f>
        <v/>
      </c>
      <c r="I40" s="425">
        <f>COUNTIFS(Squads!$N:$N,"Enterprise Data",Squads!$P:$P,"Data Platforms",Squads!$R:$R,"Vacant")</f>
        <v/>
      </c>
      <c r="J40" s="425">
        <f>H40+I40</f>
        <v/>
      </c>
      <c r="K40" s="425">
        <f>IFERROR(J40-G40,"-")</f>
        <v/>
      </c>
      <c r="L40" s="434">
        <f>IFERROR(I40/J40,"-")</f>
        <v/>
      </c>
      <c r="M40" s="418">
        <f>'1.3 Enterprise Data'!$H$28</f>
        <v/>
      </c>
      <c r="N40" s="418">
        <f>(SUMIFS('Added data'!$AA:$AA,'Added data'!$AC:$AC,"Enterprise Data",'Added data'!$AE:$AE,"Data Platforms"))/1000000</f>
        <v/>
      </c>
      <c r="O40" s="905">
        <f>I40</f>
        <v/>
      </c>
      <c r="P40" s="551">
        <f>N40</f>
        <v/>
      </c>
      <c r="V40" s="417" t="inlineStr">
        <is>
          <t>AU Finance</t>
        </is>
      </c>
      <c r="AD40">
        <f>$B40&amp;"|"&amp;$D40</f>
        <v/>
      </c>
    </row>
    <row r="41">
      <c r="B41" s="417" t="inlineStr">
        <is>
          <t>Enterprise Data</t>
        </is>
      </c>
      <c r="C41" s="417" t="inlineStr">
        <is>
          <t>Group Data</t>
        </is>
      </c>
      <c r="D41" s="417" t="inlineStr">
        <is>
          <t>Enterprise Data Delivery</t>
        </is>
      </c>
      <c r="E41" s="417">
        <f>'1.3 Enterprise Data'!$C$29</f>
        <v/>
      </c>
      <c r="F41" s="425">
        <f>'1.3 Enterprise Data'!$D$29</f>
        <v/>
      </c>
      <c r="G41" s="425">
        <f>IFERROR(INDEX('0.3 Squad Archetypes'!$F$5:$F$23,MATCH('1.3 Enterprise Data'!$C$29&amp;"|"&amp;'1.3 Enterprise Data'!$D$29,'0.3 Squad Archetypes'!$A$5:$A$23,0)),"-")</f>
        <v/>
      </c>
      <c r="H41" s="425">
        <f>COUNTIFS(Squads!$N:$N,"Enterprise Data",Squads!$P:$P,"Enterprise Data Delivery",Squads!$R:$R,"Filled")</f>
        <v/>
      </c>
      <c r="I41" s="425">
        <f>COUNTIFS(Squads!$N:$N,"Enterprise Data",Squads!$P:$P,"Enterprise Data Delivery",Squads!$R:$R,"Vacant")</f>
        <v/>
      </c>
      <c r="J41" s="425">
        <f>H41+I41</f>
        <v/>
      </c>
      <c r="K41" s="425">
        <f>IFERROR(J41-G41,"-")</f>
        <v/>
      </c>
      <c r="L41" s="434">
        <f>IFERROR(I41/J41,"-")</f>
        <v/>
      </c>
      <c r="M41" s="418">
        <f>'1.3 Enterprise Data'!$H$29</f>
        <v/>
      </c>
      <c r="N41" s="418">
        <f>(SUMIFS('Added data'!$AA:$AA,'Added data'!$AC:$AC,"Enterprise Data",'Added data'!$AE:$AE,"Enterprise Data Delivery"))/1000000</f>
        <v/>
      </c>
      <c r="O41" s="418">
        <f>I41</f>
        <v/>
      </c>
      <c r="P41">
        <f>N41</f>
        <v/>
      </c>
      <c r="T41" s="417" t="inlineStr">
        <is>
          <t>Infrastructure</t>
        </is>
      </c>
      <c r="U41" s="417" t="inlineStr">
        <is>
          <t>Distribution</t>
        </is>
      </c>
      <c r="V41" s="417" t="inlineStr">
        <is>
          <t>Distribution, Sales &amp; Services</t>
        </is>
      </c>
      <c r="AD41">
        <f>$B41&amp;"|"&amp;$D41</f>
        <v/>
      </c>
    </row>
    <row r="42">
      <c r="B42" s="449" t="n"/>
      <c r="C42" s="448" t="inlineStr">
        <is>
          <t>Group Data - platform total (incl overhead)</t>
        </is>
      </c>
      <c r="D42" s="449" t="n"/>
      <c r="E42" s="449" t="n"/>
      <c r="F42" s="449" t="n"/>
      <c r="G42" s="475">
        <f>SUM(G37:G41)</f>
        <v/>
      </c>
      <c r="H42" s="475">
        <f>SUM(H37:H41)</f>
        <v/>
      </c>
      <c r="I42" s="475">
        <f>SUM(I37:I41)</f>
        <v/>
      </c>
      <c r="J42" s="475">
        <f>SUM(J37:J41)</f>
        <v/>
      </c>
      <c r="K42" s="475">
        <f>SUM(K37:K41)</f>
        <v/>
      </c>
      <c r="L42" s="477">
        <f>IFERROR(I42/J42,"-")</f>
        <v/>
      </c>
      <c r="M42" s="474">
        <f>SUM(M37:M41)+'0.2 Data Config'!$L$16</f>
        <v/>
      </c>
      <c r="N42" s="474">
        <f>SUM(N37:N41)</f>
        <v/>
      </c>
      <c r="O42" s="474">
        <f>I42</f>
        <v/>
      </c>
      <c r="P42">
        <f>N42</f>
        <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
      </c>
      <c r="H43" s="431">
        <f>H42</f>
        <v/>
      </c>
      <c r="I43" s="431">
        <f>I42</f>
        <v/>
      </c>
      <c r="J43" s="431">
        <f>J42</f>
        <v/>
      </c>
      <c r="K43" s="431">
        <f>K42</f>
        <v/>
      </c>
      <c r="L43" s="433">
        <f>IFERROR(I43/J43,"-")</f>
        <v/>
      </c>
      <c r="M43" s="420">
        <f>M42+'0.2 Data Config'!$L$10</f>
        <v/>
      </c>
      <c r="N43" s="420">
        <f>N42</f>
        <v/>
      </c>
      <c r="O43" s="420">
        <f>I43</f>
        <v/>
      </c>
      <c r="P43">
        <f>N43</f>
        <v/>
      </c>
      <c r="V43" s="417" t="inlineStr">
        <is>
          <t>Technology Support</t>
        </is>
      </c>
    </row>
    <row r="44">
      <c r="B44" s="417" t="inlineStr">
        <is>
          <t>TDD Group Functions</t>
        </is>
      </c>
      <c r="C44" s="417" t="inlineStr">
        <is>
          <t>TDD Group Functions</t>
        </is>
      </c>
      <c r="D44" s="417" t="inlineStr">
        <is>
          <t>Workplace &amp; Enterprise Tooling</t>
        </is>
      </c>
      <c r="E44" s="417">
        <f>'1.4 TDD Group Functions'!$C$24</f>
        <v/>
      </c>
      <c r="F44" s="425">
        <f>'1.4 TDD Group Functions'!$D$24</f>
        <v/>
      </c>
      <c r="G44" s="425">
        <f>IFERROR(INDEX('0.3 Squad Archetypes'!$F$5:$F$23,MATCH('1.4 TDD Group Functions'!$C$24&amp;"|"&amp;'1.4 TDD Group Functions'!$D$24,'0.3 Squad Archetypes'!$A$5:$A$23,0)),"-")</f>
        <v/>
      </c>
      <c r="H44" s="425">
        <f>COUNTIFS(Squads!$N:$N,"TDD Group Functions",Squads!$P:$P,"Workplace &amp; Enterprise Tooling",Squads!$R:$R,"Filled")</f>
        <v/>
      </c>
      <c r="I44" s="425">
        <f>COUNTIFS(Squads!$N:$N,"TDD Group Functions",Squads!$P:$P,"Workplace &amp; Enterprise Tooling",Squads!$R:$R,"Vacant")</f>
        <v/>
      </c>
      <c r="J44" s="425">
        <f>H44+I44</f>
        <v/>
      </c>
      <c r="K44" s="425">
        <f>IFERROR(J44-G44,"-")</f>
        <v/>
      </c>
      <c r="L44" s="434">
        <f>IFERROR(I44/J44,"-")</f>
        <v/>
      </c>
      <c r="M44" s="418">
        <f>'1.4 TDD Group Functions'!$H$24</f>
        <v/>
      </c>
      <c r="N44" s="418">
        <f>(SUMIFS('Added data'!$AA:$AA,'Added data'!$AC:$AC,"TDD Group Functions",'Added data'!$AE:$AE,"Workplace &amp; Enterprise Tooling"))/1000000</f>
        <v/>
      </c>
      <c r="O44" s="905">
        <f>I44</f>
        <v/>
      </c>
      <c r="P44" s="551">
        <f>N44</f>
        <v/>
      </c>
      <c r="U44" s="417" t="inlineStr">
        <is>
          <t>Data &amp; Insights</t>
        </is>
      </c>
      <c r="V44" s="417" t="inlineStr">
        <is>
          <t>Data &amp; Insights</t>
        </is>
      </c>
      <c r="AD44">
        <f>$B44&amp;"|"&amp;$D44</f>
        <v/>
      </c>
    </row>
    <row r="45">
      <c r="B45" s="417" t="inlineStr">
        <is>
          <t>TDD Group Functions</t>
        </is>
      </c>
      <c r="C45" s="417" t="inlineStr">
        <is>
          <t>TDD Group Functions</t>
        </is>
      </c>
      <c r="D45" s="417" t="inlineStr">
        <is>
          <t>Network &amp; Infrastructure</t>
        </is>
      </c>
      <c r="E45" s="417">
        <f>'1.4 TDD Group Functions'!$C$25</f>
        <v/>
      </c>
      <c r="F45" s="425">
        <f>'1.4 TDD Group Functions'!$D$25</f>
        <v/>
      </c>
      <c r="G45" s="425">
        <f>IFERROR(INDEX('0.3 Squad Archetypes'!$F$5:$F$23,MATCH('1.4 TDD Group Functions'!$C$25&amp;"|"&amp;'1.4 TDD Group Functions'!$D$25,'0.3 Squad Archetypes'!$A$5:$A$23,0)),"-")</f>
        <v/>
      </c>
      <c r="H45" s="425">
        <f>COUNTIFS(Squads!$N:$N,"TDD Group Functions",Squads!$P:$P,"Network &amp; Infrastructure",Squads!$R:$R,"Filled")</f>
        <v/>
      </c>
      <c r="I45" s="425">
        <f>COUNTIFS(Squads!$N:$N,"TDD Group Functions",Squads!$P:$P,"Network &amp; Infrastructure",Squads!$R:$R,"Vacant")</f>
        <v/>
      </c>
      <c r="J45" s="425">
        <f>H45+I45</f>
        <v/>
      </c>
      <c r="K45" s="425">
        <f>IFERROR(J45-G45,"-")</f>
        <v/>
      </c>
      <c r="L45" s="434">
        <f>IFERROR(I45/J45,"-")</f>
        <v/>
      </c>
      <c r="M45" s="418">
        <f>'1.4 TDD Group Functions'!$H$25</f>
        <v/>
      </c>
      <c r="N45" s="418">
        <f>(SUMIFS('Added data'!$AA:$AA,'Added data'!$AC:$AC,"TDD Group Functions",'Added data'!$AE:$AE,"Network &amp; Infrastructure"))/1000000</f>
        <v/>
      </c>
      <c r="O45" s="905">
        <f>I45</f>
        <v/>
      </c>
      <c r="P45" s="551">
        <f>N45</f>
        <v/>
      </c>
      <c r="T45" s="417" t="inlineStr">
        <is>
          <t>Energy Solutions &amp; B2B</t>
        </is>
      </c>
      <c r="U45" s="417" t="inlineStr">
        <is>
          <t>Energy Solutions</t>
        </is>
      </c>
      <c r="V45" s="417" t="inlineStr">
        <is>
          <t>Energy</t>
        </is>
      </c>
      <c r="AD45">
        <f>$B45&amp;"|"&amp;$D45</f>
        <v/>
      </c>
    </row>
    <row r="46">
      <c r="B46" s="417" t="inlineStr">
        <is>
          <t>TDD Group Functions</t>
        </is>
      </c>
      <c r="C46" s="417" t="inlineStr">
        <is>
          <t>TDD Group Functions</t>
        </is>
      </c>
      <c r="D46" s="417" t="inlineStr">
        <is>
          <t>DevOps &amp; Engineering</t>
        </is>
      </c>
      <c r="E46" s="417">
        <f>'1.4 TDD Group Functions'!$C$26</f>
        <v/>
      </c>
      <c r="F46" s="425">
        <f>'1.4 TDD Group Functions'!$D$26</f>
        <v/>
      </c>
      <c r="G46" s="425">
        <f>IFERROR(INDEX('0.3 Squad Archetypes'!$F$5:$F$23,MATCH('1.4 TDD Group Functions'!$C$26&amp;"|"&amp;'1.4 TDD Group Functions'!$D$26,'0.3 Squad Archetypes'!$A$5:$A$23,0)),"-")</f>
        <v/>
      </c>
      <c r="H46" s="425">
        <f>COUNTIFS(Squads!$N:$N,"TDD Group Functions",Squads!$P:$P,"DevOps &amp; Engineering",Squads!$R:$R,"Filled")</f>
        <v/>
      </c>
      <c r="I46" s="425">
        <f>COUNTIFS(Squads!$N:$N,"TDD Group Functions",Squads!$P:$P,"DevOps &amp; Engineering",Squads!$R:$R,"Vacant")</f>
        <v/>
      </c>
      <c r="J46" s="425">
        <f>H46+I46</f>
        <v/>
      </c>
      <c r="K46" s="425">
        <f>IFERROR(J46-G46,"-")</f>
        <v/>
      </c>
      <c r="L46" s="434">
        <f>IFERROR(I46/J46,"-")</f>
        <v/>
      </c>
      <c r="M46" s="418">
        <f>'1.4 TDD Group Functions'!$H$26</f>
        <v/>
      </c>
      <c r="N46" s="418">
        <f>(SUMIFS('Added data'!$AA:$AA,'Added data'!$AC:$AC,"TDD Group Functions",'Added data'!$AE:$AE,"DevOps &amp; Engineering"))/1000000</f>
        <v/>
      </c>
      <c r="O46" s="905">
        <f>I46</f>
        <v/>
      </c>
      <c r="P46" s="551">
        <f>N46</f>
        <v/>
      </c>
      <c r="V46" s="417" t="inlineStr">
        <is>
          <t>EVCI</t>
        </is>
      </c>
      <c r="AD46">
        <f>$B46&amp;"|"&amp;$D46</f>
        <v/>
      </c>
    </row>
    <row r="47">
      <c r="B47" s="417" t="inlineStr">
        <is>
          <t>TDD Group Functions</t>
        </is>
      </c>
      <c r="C47" s="417" t="inlineStr">
        <is>
          <t>TDD Group Functions</t>
        </is>
      </c>
      <c r="D47" s="417" t="inlineStr">
        <is>
          <t>Integration</t>
        </is>
      </c>
      <c r="E47" s="417">
        <f>'1.4 TDD Group Functions'!$C$27</f>
        <v/>
      </c>
      <c r="F47" s="425">
        <f>'1.4 TDD Group Functions'!$D$27</f>
        <v/>
      </c>
      <c r="G47" s="425">
        <f>IFERROR(INDEX('0.3 Squad Archetypes'!$F$5:$F$23,MATCH('1.4 TDD Group Functions'!$C$27&amp;"|"&amp;'1.4 TDD Group Functions'!$D$27,'0.3 Squad Archetypes'!$A$5:$A$23,0)),"-")</f>
        <v/>
      </c>
      <c r="H47" s="425">
        <f>COUNTIFS(Squads!$N:$N,"TDD Group Functions",Squads!$P:$P,"Integration",Squads!$R:$R,"Filled")</f>
        <v/>
      </c>
      <c r="I47" s="425">
        <f>COUNTIFS(Squads!$N:$N,"TDD Group Functions",Squads!$P:$P,"Integration",Squads!$R:$R,"Vacant")</f>
        <v/>
      </c>
      <c r="J47" s="425">
        <f>H47+I47</f>
        <v/>
      </c>
      <c r="K47" s="425">
        <f>IFERROR(J47-G47,"-")</f>
        <v/>
      </c>
      <c r="L47" s="434">
        <f>IFERROR(I47/J47,"-")</f>
        <v/>
      </c>
      <c r="M47" s="418">
        <f>'1.4 TDD Group Functions'!$H$27</f>
        <v/>
      </c>
      <c r="N47" s="418">
        <f>(SUMIFS('Added data'!$AA:$AA,'Added data'!$AC:$AC,"TDD Group Functions",'Added data'!$AE:$AE,"Integration"))/1000000</f>
        <v/>
      </c>
      <c r="O47" s="905">
        <f>I47</f>
        <v/>
      </c>
      <c r="P47" s="551">
        <f>N47</f>
        <v/>
      </c>
      <c r="U47" s="417" t="inlineStr">
        <is>
          <t>B2B</t>
        </is>
      </c>
      <c r="V47" s="417" t="inlineStr">
        <is>
          <t>B2B</t>
        </is>
      </c>
      <c r="AD47">
        <f>$B47&amp;"|"&amp;$D47</f>
        <v/>
      </c>
    </row>
    <row r="48">
      <c r="B48" s="449" t="n"/>
      <c r="C48" s="448" t="inlineStr">
        <is>
          <t>TDD Group Functions - platform total (incl overhead)</t>
        </is>
      </c>
      <c r="D48" s="449" t="n"/>
      <c r="E48" s="449" t="n"/>
      <c r="F48" s="449" t="n"/>
      <c r="G48" s="475">
        <f>SUM(G44:G47)</f>
        <v/>
      </c>
      <c r="H48" s="475">
        <f>SUM(H44:H47)</f>
        <v/>
      </c>
      <c r="I48" s="475">
        <f>SUM(I44:I47)</f>
        <v/>
      </c>
      <c r="J48" s="475">
        <f>SUM(J44:J47)</f>
        <v/>
      </c>
      <c r="K48" s="475">
        <f>SUM(K44:K47)</f>
        <v/>
      </c>
      <c r="L48" s="477">
        <f>IFERROR(I48/J48,"-")</f>
        <v/>
      </c>
      <c r="M48" s="474">
        <f>SUM(M44:M47)+'0.2 Data Config'!$L$16</f>
        <v/>
      </c>
      <c r="N48" s="474">
        <f>SUM(N44:N47)</f>
        <v/>
      </c>
      <c r="O48" s="474">
        <f>I48</f>
        <v/>
      </c>
      <c r="P48">
        <f>N48</f>
        <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f>'1.4 TDD Group Functions'!$C$33</f>
        <v/>
      </c>
      <c r="F49" s="425">
        <f>'1.4 TDD Group Functions'!$D$33</f>
        <v/>
      </c>
      <c r="G49" s="425">
        <f>IFERROR(INDEX('0.3 Squad Archetypes'!$F$5:$F$23,MATCH('1.4 TDD Group Functions'!$C$33&amp;"|"&amp;'1.4 TDD Group Functions'!$D$33,'0.3 Squad Archetypes'!$A$5:$A$23,0)),"-")</f>
        <v/>
      </c>
      <c r="H49" s="425">
        <f>COUNTIFS(Squads!$N:$N,"TDD Group Functions",Squads!$P:$P,"EGI TDD",Squads!$R:$R,"Filled")</f>
        <v/>
      </c>
      <c r="I49" s="425">
        <f>COUNTIFS(Squads!$N:$N,"TDD Group Functions",Squads!$P:$P,"EGI TDD",Squads!$R:$R,"Vacant")</f>
        <v/>
      </c>
      <c r="J49" s="425">
        <f>H49+I49</f>
        <v/>
      </c>
      <c r="K49" s="425">
        <f>IFERROR(J49-G49,"-")</f>
        <v/>
      </c>
      <c r="L49" s="434">
        <f>IFERROR(I49/J49,"-")</f>
        <v/>
      </c>
      <c r="M49" s="418">
        <f>'1.4 TDD Group Functions'!$H$33</f>
        <v/>
      </c>
      <c r="N49" s="418">
        <f>(SUMIFS('Added data'!$AA:$AA,'Added data'!$AC:$AC,"TDD Group Functions",'Added data'!$AE:$AE,"EGI TDD"))/1000000</f>
        <v/>
      </c>
      <c r="O49" s="905">
        <f>I49</f>
        <v/>
      </c>
      <c r="P49" s="551">
        <f>N49</f>
        <v/>
      </c>
      <c r="V49" s="417" t="inlineStr">
        <is>
          <t>Trading &amp; Shipping Data</t>
        </is>
      </c>
      <c r="AD49">
        <f>$B49&amp;"|"&amp;$D49</f>
        <v/>
      </c>
    </row>
    <row r="50">
      <c r="B50" s="449" t="n"/>
      <c r="C50" s="448" t="inlineStr">
        <is>
          <t>EGI TDD - platform total (no overhead - funded via Significant Items)</t>
        </is>
      </c>
      <c r="D50" s="449" t="n"/>
      <c r="E50" s="449" t="n"/>
      <c r="F50" s="449" t="n"/>
      <c r="G50" s="475">
        <f>SUM(G49:G49)</f>
        <v/>
      </c>
      <c r="H50" s="475">
        <f>SUM(H49:H49)</f>
        <v/>
      </c>
      <c r="I50" s="475">
        <f>SUM(I49:I49)</f>
        <v/>
      </c>
      <c r="J50" s="475">
        <f>SUM(J49:J49)</f>
        <v/>
      </c>
      <c r="K50" s="475">
        <f>SUM(K49:K49)</f>
        <v/>
      </c>
      <c r="L50" s="477">
        <f>IFERROR(I50/J50,"-")</f>
        <v/>
      </c>
      <c r="M50" s="474">
        <f>SUM(M49:M49)</f>
        <v/>
      </c>
      <c r="N50" s="474">
        <f>SUM(N49:N49)</f>
        <v/>
      </c>
      <c r="O50" s="474">
        <f>I50</f>
        <v/>
      </c>
      <c r="P50">
        <f>N50</f>
        <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
      </c>
      <c r="H51" s="431">
        <f>H48+H50</f>
        <v/>
      </c>
      <c r="I51" s="431">
        <f>I48+I50</f>
        <v/>
      </c>
      <c r="J51" s="431">
        <f>J48+J50</f>
        <v/>
      </c>
      <c r="K51" s="431">
        <f>K48+K50</f>
        <v/>
      </c>
      <c r="L51" s="433">
        <f>IFERROR(I51/J51,"-")</f>
        <v/>
      </c>
      <c r="M51" s="420">
        <f>M48+M50+'0.2 Data Config'!$L$10</f>
        <v/>
      </c>
      <c r="N51" s="420">
        <f>N48+N50</f>
        <v/>
      </c>
      <c r="O51" s="420">
        <f>I51</f>
        <v/>
      </c>
      <c r="P51">
        <f>N51</f>
        <v/>
      </c>
      <c r="U51" s="417" t="inlineStr">
        <is>
          <t>CTRM</t>
        </is>
      </c>
      <c r="V51" s="417" t="inlineStr">
        <is>
          <t>CTRM</t>
        </is>
      </c>
    </row>
    <row r="52">
      <c r="B52" s="417" t="inlineStr">
        <is>
          <t>P&amp;C</t>
        </is>
      </c>
      <c r="C52" s="417" t="inlineStr">
        <is>
          <t>P&amp;C</t>
        </is>
      </c>
      <c r="D52" s="417" t="inlineStr">
        <is>
          <t>P&amp;C</t>
        </is>
      </c>
      <c r="E52" s="417">
        <f>'1.5 P&amp;C'!$C$24</f>
        <v/>
      </c>
      <c r="F52" s="425">
        <f>'1.5 P&amp;C'!$D$24</f>
        <v/>
      </c>
      <c r="G52" s="425">
        <f>IFERROR(INDEX('0.3 Squad Archetypes'!$F$5:$F$23,MATCH('1.5 P&amp;C'!$C$24&amp;"|"&amp;'1.5 P&amp;C'!$D$24,'0.3 Squad Archetypes'!$A$5:$A$23,0)),"-")</f>
        <v/>
      </c>
      <c r="H52" s="425">
        <f>COUNTIFS(Squads!$N:$N,"P&amp;C",Squads!$P:$P,"P&amp;C",Squads!$R:$R,"Filled")</f>
        <v/>
      </c>
      <c r="I52" s="425">
        <f>COUNTIFS(Squads!$N:$N,"P&amp;C",Squads!$P:$P,"P&amp;C",Squads!$R:$R,"Vacant")</f>
        <v/>
      </c>
      <c r="J52" s="425">
        <f>H52+I52</f>
        <v/>
      </c>
      <c r="K52" s="425">
        <f>IFERROR(J52-G52,"-")</f>
        <v/>
      </c>
      <c r="L52" s="434">
        <f>IFERROR(I52/J52,"-")</f>
        <v/>
      </c>
      <c r="M52" s="418">
        <f>'1.5 P&amp;C'!$H$24</f>
        <v/>
      </c>
      <c r="N52" s="418">
        <f>(SUMIFS('Added data'!$AA:$AA,'Added data'!$AC:$AC,"P&amp;C",'Added data'!$AE:$AE,"P&amp;C"))/1000000</f>
        <v/>
      </c>
      <c r="O52" s="905">
        <f>I52</f>
        <v/>
      </c>
      <c r="P52" s="551">
        <f>N52</f>
        <v/>
      </c>
      <c r="T52" s="417" t="inlineStr">
        <is>
          <t>Z Retail</t>
        </is>
      </c>
      <c r="U52" s="417" t="inlineStr">
        <is>
          <t>Z Supply</t>
        </is>
      </c>
      <c r="V52" s="417" t="inlineStr">
        <is>
          <t>Z Supply</t>
        </is>
      </c>
      <c r="AD52">
        <f>$B52&amp;"|"&amp;$D52</f>
        <v/>
      </c>
    </row>
    <row r="53">
      <c r="B53" s="417" t="inlineStr">
        <is>
          <t>P&amp;C</t>
        </is>
      </c>
      <c r="C53" s="417" t="inlineStr">
        <is>
          <t>P&amp;C</t>
        </is>
      </c>
      <c r="D53" s="417" t="inlineStr">
        <is>
          <t>P&amp;C - RTA</t>
        </is>
      </c>
      <c r="E53" s="417">
        <f>'1.5 P&amp;C'!$C$25</f>
        <v/>
      </c>
      <c r="F53" s="425">
        <f>'1.5 P&amp;C'!$D$25</f>
        <v/>
      </c>
      <c r="G53" s="425">
        <f>IFERROR(INDEX('0.3 Squad Archetypes'!$F$5:$F$23,MATCH('1.5 P&amp;C'!$C$25&amp;"|"&amp;'1.5 P&amp;C'!$D$25,'0.3 Squad Archetypes'!$A$5:$A$23,0)),"-")</f>
        <v/>
      </c>
      <c r="H53" s="425">
        <f>COUNTIFS(Squads!$N:$N,"P&amp;C",Squads!$P:$P,"P&amp;C - RTA",Squads!$R:$R,"Filled")</f>
        <v/>
      </c>
      <c r="I53" s="425">
        <f>COUNTIFS(Squads!$N:$N,"P&amp;C",Squads!$P:$P,"P&amp;C - RTA",Squads!$R:$R,"Vacant")</f>
        <v/>
      </c>
      <c r="J53" s="425">
        <f>H53+I53</f>
        <v/>
      </c>
      <c r="K53" s="425">
        <f>IFERROR(J53-G53,"-")</f>
        <v/>
      </c>
      <c r="L53" s="434">
        <f>IFERROR(I53/J53,"-")</f>
        <v/>
      </c>
      <c r="M53" s="418">
        <f>'1.5 P&amp;C'!$H$25</f>
        <v/>
      </c>
      <c r="N53" s="418">
        <f>(SUMIFS('Added data'!$AA:$AA,'Added data'!$AC:$AC,"P&amp;C",'Added data'!$AE:$AE,"P&amp;C - RTA"))/1000000</f>
        <v/>
      </c>
      <c r="O53" s="905">
        <f>I53</f>
        <v/>
      </c>
      <c r="P53" s="551">
        <f>N53</f>
        <v/>
      </c>
      <c r="T53" s="417" t="inlineStr">
        <is>
          <t>Z Retail</t>
        </is>
      </c>
      <c r="U53" s="417" t="inlineStr">
        <is>
          <t>Z Customer</t>
        </is>
      </c>
      <c r="V53" s="417" t="inlineStr">
        <is>
          <t>Site Systems</t>
        </is>
      </c>
      <c r="AD53">
        <f>$B53&amp;"|"&amp;$D53</f>
        <v/>
      </c>
    </row>
    <row r="54">
      <c r="B54" s="449" t="n"/>
      <c r="C54" s="448" t="inlineStr">
        <is>
          <t>P&amp;C - platform total (incl overhead)</t>
        </is>
      </c>
      <c r="D54" s="449" t="n"/>
      <c r="E54" s="449" t="n"/>
      <c r="F54" s="449" t="n"/>
      <c r="G54" s="475">
        <f>SUM(G52:G53)</f>
        <v/>
      </c>
      <c r="H54" s="475">
        <f>SUM(H52:H53)</f>
        <v/>
      </c>
      <c r="I54" s="475">
        <f>SUM(I52:I53)</f>
        <v/>
      </c>
      <c r="J54" s="475">
        <f>SUM(J52:J53)</f>
        <v/>
      </c>
      <c r="K54" s="475">
        <f>SUM(K52:K53)</f>
        <v/>
      </c>
      <c r="L54" s="477">
        <f>IFERROR(I54/J54,"-")</f>
        <v/>
      </c>
      <c r="M54" s="474">
        <f>SUM(M52:M53)+'0.2 Data Config'!$L$16</f>
        <v/>
      </c>
      <c r="N54" s="474">
        <f>SUM(N52:N53)</f>
        <v/>
      </c>
      <c r="O54" s="474">
        <f>I54</f>
        <v/>
      </c>
      <c r="P54">
        <f>N54</f>
        <v/>
      </c>
      <c r="V54" s="417" t="inlineStr">
        <is>
          <t>Z Retail Backend</t>
        </is>
      </c>
    </row>
    <row r="55">
      <c r="B55" s="417" t="inlineStr">
        <is>
          <t>P&amp;C</t>
        </is>
      </c>
      <c r="C55" s="417" t="inlineStr">
        <is>
          <t>EGI P&amp;C</t>
        </is>
      </c>
      <c r="D55" s="417" t="inlineStr">
        <is>
          <t>EGI P&amp;C</t>
        </is>
      </c>
      <c r="E55" s="417">
        <f>'1.5 P&amp;C'!$C$31</f>
        <v/>
      </c>
      <c r="F55" s="425">
        <f>'1.5 P&amp;C'!$D$31</f>
        <v/>
      </c>
      <c r="G55" s="425">
        <f>IFERROR(INDEX('0.3 Squad Archetypes'!$F$5:$F$23,MATCH('1.5 P&amp;C'!$C$31&amp;"|"&amp;'1.5 P&amp;C'!$D$31,'0.3 Squad Archetypes'!$A$5:$A$23,0)),"-")</f>
        <v/>
      </c>
      <c r="H55" s="425">
        <f>COUNTIFS(Squads!$N:$N,"P&amp;C",Squads!$P:$P,"EGI P&amp;C",Squads!$R:$R,"Filled")</f>
        <v/>
      </c>
      <c r="I55" s="425">
        <f>COUNTIFS(Squads!$N:$N,"P&amp;C",Squads!$P:$P,"EGI P&amp;C",Squads!$R:$R,"Vacant")</f>
        <v/>
      </c>
      <c r="J55" s="425">
        <f>H55+I55</f>
        <v/>
      </c>
      <c r="K55" s="425">
        <f>IFERROR(J55-G55,"-")</f>
        <v/>
      </c>
      <c r="L55" s="434">
        <f>IFERROR(I55/J55,"-")</f>
        <v/>
      </c>
      <c r="M55" s="418">
        <f>'1.5 P&amp;C'!$H$31</f>
        <v/>
      </c>
      <c r="N55" s="418">
        <f>(SUMIFS('Added data'!$AA:$AA,'Added data'!$AC:$AC,"P&amp;C",'Added data'!$AE:$AE,"EGI P&amp;C"))/1000000</f>
        <v/>
      </c>
      <c r="O55" s="905">
        <f>I55</f>
        <v/>
      </c>
      <c r="P55" s="551">
        <f>N55</f>
        <v/>
      </c>
      <c r="AD55">
        <f>$B55&amp;"|"&amp;$D55</f>
        <v/>
      </c>
    </row>
    <row r="56">
      <c r="B56" s="449" t="n"/>
      <c r="C56" s="448" t="inlineStr">
        <is>
          <t>EGI P&amp;C - platform total (no overhead - funded via Significant Items)</t>
        </is>
      </c>
      <c r="D56" s="449" t="n"/>
      <c r="E56" s="449" t="n"/>
      <c r="F56" s="449" t="n"/>
      <c r="G56" s="475">
        <f>SUM(G55:G55)</f>
        <v/>
      </c>
      <c r="H56" s="475">
        <f>SUM(H55:H55)</f>
        <v/>
      </c>
      <c r="I56" s="475">
        <f>SUM(I55:I55)</f>
        <v/>
      </c>
      <c r="J56" s="475">
        <f>SUM(J55:J55)</f>
        <v/>
      </c>
      <c r="K56" s="475">
        <f>SUM(K55:K55)</f>
        <v/>
      </c>
      <c r="L56" s="477">
        <f>IFERROR(I56/J56,"-")</f>
        <v/>
      </c>
      <c r="M56" s="474">
        <f>SUM(M55:M55)</f>
        <v/>
      </c>
      <c r="N56" s="474">
        <f>SUM(N55:N55)</f>
        <v/>
      </c>
      <c r="O56" s="474">
        <f>I56</f>
        <v/>
      </c>
      <c r="P56">
        <f>N56</f>
        <v/>
      </c>
    </row>
    <row r="57">
      <c r="B57" s="419" t="inlineStr">
        <is>
          <t>P&amp;C - portfolio total (incl OHs)</t>
        </is>
      </c>
      <c r="C57" s="435" t="n"/>
      <c r="D57" s="435" t="n"/>
      <c r="E57" s="435" t="n"/>
      <c r="F57" s="435" t="n"/>
      <c r="G57" s="431">
        <f>G54+G56</f>
        <v/>
      </c>
      <c r="H57" s="431">
        <f>H54+H56</f>
        <v/>
      </c>
      <c r="I57" s="431">
        <f>I54+I56</f>
        <v/>
      </c>
      <c r="J57" s="431">
        <f>J54+J56</f>
        <v/>
      </c>
      <c r="K57" s="431">
        <f>K54+K56</f>
        <v/>
      </c>
      <c r="L57" s="433">
        <f>IFERROR(I57/J57,"-")</f>
        <v/>
      </c>
      <c r="M57" s="420">
        <f>M54+M56+'0.2 Data Config'!$L$10</f>
        <v/>
      </c>
      <c r="N57" s="420">
        <f>N54+N56</f>
        <v/>
      </c>
      <c r="O57" s="420">
        <f>I57</f>
        <v/>
      </c>
      <c r="P57">
        <f>N57</f>
        <v/>
      </c>
    </row>
    <row r="58">
      <c r="B58" s="417" t="inlineStr">
        <is>
          <t>Finance</t>
        </is>
      </c>
      <c r="C58" s="417" t="inlineStr">
        <is>
          <t>Finance</t>
        </is>
      </c>
      <c r="D58" s="417" t="inlineStr">
        <is>
          <t>AU Finance</t>
        </is>
      </c>
      <c r="E58" s="417">
        <f>'1.6 Finance'!$C$24</f>
        <v/>
      </c>
      <c r="F58" s="425">
        <f>'1.6 Finance'!$D$24</f>
        <v/>
      </c>
      <c r="G58" s="425">
        <f>IFERROR(INDEX('0.3 Squad Archetypes'!$F$5:$F$23,MATCH('1.6 Finance'!$C$24&amp;"|"&amp;'1.6 Finance'!$D$24,'0.3 Squad Archetypes'!$A$5:$A$23,0)),"-")</f>
        <v/>
      </c>
      <c r="H58" s="425">
        <f>COUNTIFS(Squads!$N:$N,"Finance",Squads!$P:$P,"AU Finance",Squads!$R:$R,"Filled")</f>
        <v/>
      </c>
      <c r="I58" s="425">
        <f>COUNTIFS(Squads!$N:$N,"Finance",Squads!$P:$P,"AU Finance",Squads!$R:$R,"Vacant")</f>
        <v/>
      </c>
      <c r="J58" s="425">
        <f>H58+I58</f>
        <v/>
      </c>
      <c r="K58" s="425">
        <f>IFERROR(J58-G58,"-")</f>
        <v/>
      </c>
      <c r="L58" s="434">
        <f>IFERROR(I58/J58,"-")</f>
        <v/>
      </c>
      <c r="M58" s="418">
        <f>'1.6 Finance'!$H$24</f>
        <v/>
      </c>
      <c r="N58" s="418">
        <f>(SUMIFS('Added data'!$AA:$AA,'Added data'!$AC:$AC,"Finance",'Added data'!$AE:$AE,"AU Finance"))/1000000</f>
        <v/>
      </c>
      <c r="O58" s="905">
        <f>I58</f>
        <v/>
      </c>
      <c r="P58" s="551">
        <f>N58</f>
        <v/>
      </c>
      <c r="AD58">
        <f>$B58&amp;"|"&amp;$D58</f>
        <v/>
      </c>
    </row>
    <row r="59">
      <c r="B59" s="417" t="inlineStr">
        <is>
          <t>Finance</t>
        </is>
      </c>
      <c r="C59" s="417" t="inlineStr">
        <is>
          <t>Finance</t>
        </is>
      </c>
      <c r="D59" s="417" t="inlineStr">
        <is>
          <t>NZ Finance</t>
        </is>
      </c>
      <c r="E59" s="417">
        <f>'1.6 Finance'!$C$25</f>
        <v/>
      </c>
      <c r="F59" s="425">
        <f>'1.6 Finance'!$D$25</f>
        <v/>
      </c>
      <c r="G59" s="425">
        <f>IFERROR(INDEX('0.3 Squad Archetypes'!$F$5:$F$23,MATCH('1.6 Finance'!$C$25&amp;"|"&amp;'1.6 Finance'!$D$25,'0.3 Squad Archetypes'!$A$5:$A$23,0)),"-")</f>
        <v/>
      </c>
      <c r="H59" s="425">
        <f>COUNTIFS(Squads!$N:$N,"Finance",Squads!$P:$P,"NZ Finance",Squads!$R:$R,"Filled")</f>
        <v/>
      </c>
      <c r="I59" s="425">
        <f>COUNTIFS(Squads!$N:$N,"Finance",Squads!$P:$P,"NZ Finance",Squads!$R:$R,"Vacant")</f>
        <v/>
      </c>
      <c r="J59" s="425">
        <f>H59+I59</f>
        <v/>
      </c>
      <c r="K59" s="425">
        <f>IFERROR(J59-G59,"-")</f>
        <v/>
      </c>
      <c r="L59" s="434">
        <f>IFERROR(I59/J59,"-")</f>
        <v/>
      </c>
      <c r="M59" s="418">
        <f>'1.6 Finance'!$H$25</f>
        <v/>
      </c>
      <c r="N59" s="418">
        <f>(SUMIFS('Added data'!$AA:$AA,'Added data'!$AC:$AC,"Finance",'Added data'!$AE:$AE,"NZ Finance"))/1000000</f>
        <v/>
      </c>
      <c r="O59" s="905">
        <f>I59</f>
        <v/>
      </c>
      <c r="P59" s="551">
        <f>N59</f>
        <v/>
      </c>
      <c r="AD59">
        <f>$B59&amp;"|"&amp;$D59</f>
        <v/>
      </c>
    </row>
    <row r="60">
      <c r="B60" s="449" t="n"/>
      <c r="C60" s="448" t="inlineStr">
        <is>
          <t>Finance - platform total (incl overhead)</t>
        </is>
      </c>
      <c r="D60" s="449" t="n"/>
      <c r="E60" s="449" t="n"/>
      <c r="F60" s="449" t="n"/>
      <c r="G60" s="475">
        <f>SUM(G58:G59)</f>
        <v/>
      </c>
      <c r="H60" s="475">
        <f>SUM(H58:H59)</f>
        <v/>
      </c>
      <c r="I60" s="475">
        <f>SUM(I58:I59)</f>
        <v/>
      </c>
      <c r="J60" s="475">
        <f>SUM(J58:J59)</f>
        <v/>
      </c>
      <c r="K60" s="475">
        <f>SUM(K58:K59)</f>
        <v/>
      </c>
      <c r="L60" s="477">
        <f>IFERROR(I60/J60,"-")</f>
        <v/>
      </c>
      <c r="M60" s="474">
        <f>SUM(M58:M59)+'0.2 Data Config'!$L$16</f>
        <v/>
      </c>
      <c r="N60" s="474">
        <f>SUM(N58:N59)</f>
        <v/>
      </c>
      <c r="O60" s="474">
        <f>I60</f>
        <v/>
      </c>
      <c r="P60">
        <f>N60</f>
        <v/>
      </c>
    </row>
    <row r="61">
      <c r="B61" s="417" t="inlineStr">
        <is>
          <t>Finance</t>
        </is>
      </c>
      <c r="C61" s="417" t="inlineStr">
        <is>
          <t>EGI Finance</t>
        </is>
      </c>
      <c r="D61" s="417" t="inlineStr">
        <is>
          <t>EGI Finance</t>
        </is>
      </c>
      <c r="E61" s="417">
        <f>'1.6 Finance'!$C$31</f>
        <v/>
      </c>
      <c r="F61" s="425">
        <f>'1.6 Finance'!$D$31</f>
        <v/>
      </c>
      <c r="G61" s="425">
        <f>IFERROR(INDEX('0.3 Squad Archetypes'!$F$5:$F$23,MATCH('1.6 Finance'!$C$31&amp;"|"&amp;'1.6 Finance'!$D$31,'0.3 Squad Archetypes'!$A$5:$A$23,0)),"-")</f>
        <v/>
      </c>
      <c r="H61" s="425">
        <f>COUNTIFS(Squads!$N:$N,"Finance",Squads!$P:$P,"EGI Finance",Squads!$R:$R,"Filled")</f>
        <v/>
      </c>
      <c r="I61" s="425">
        <f>COUNTIFS(Squads!$N:$N,"Finance",Squads!$P:$P,"EGI Finance",Squads!$R:$R,"Vacant")</f>
        <v/>
      </c>
      <c r="J61" s="425">
        <f>H61+I61</f>
        <v/>
      </c>
      <c r="K61" s="425">
        <f>IFERROR(J61-G61,"-")</f>
        <v/>
      </c>
      <c r="L61" s="434">
        <f>IFERROR(I61/J61,"-")</f>
        <v/>
      </c>
      <c r="M61" s="418">
        <f>'1.6 Finance'!$H$31</f>
        <v/>
      </c>
      <c r="N61" s="418">
        <f>(SUMIFS('Added data'!$AA:$AA,'Added data'!$AC:$AC,"Finance",'Added data'!$AE:$AE,"EGI Finance"))/1000000</f>
        <v/>
      </c>
      <c r="O61" s="905">
        <f>I61</f>
        <v/>
      </c>
      <c r="P61" s="551">
        <f>N61</f>
        <v/>
      </c>
      <c r="AD61">
        <f>$B61&amp;"|"&amp;$D61</f>
        <v/>
      </c>
    </row>
    <row r="62">
      <c r="B62" s="449" t="n"/>
      <c r="C62" s="448" t="inlineStr">
        <is>
          <t>EGI Finance - platform total (no overhead - funded via Significant Items)</t>
        </is>
      </c>
      <c r="D62" s="449" t="n"/>
      <c r="E62" s="449" t="n"/>
      <c r="F62" s="449" t="n"/>
      <c r="G62" s="475">
        <f>SUM(G61:G61)</f>
        <v/>
      </c>
      <c r="H62" s="475">
        <f>SUM(H61:H61)</f>
        <v/>
      </c>
      <c r="I62" s="475">
        <f>SUM(I61:I61)</f>
        <v/>
      </c>
      <c r="J62" s="475">
        <f>SUM(J61:J61)</f>
        <v/>
      </c>
      <c r="K62" s="475">
        <f>SUM(K61:K61)</f>
        <v/>
      </c>
      <c r="L62" s="477">
        <f>IFERROR(I62/J62,"-")</f>
        <v/>
      </c>
      <c r="M62" s="474">
        <f>SUM(M61:M61)</f>
        <v/>
      </c>
      <c r="N62" s="474">
        <f>SUM(N61:N61)</f>
        <v/>
      </c>
      <c r="O62" s="474">
        <f>I62</f>
        <v/>
      </c>
      <c r="P62">
        <f>N62</f>
        <v/>
      </c>
    </row>
    <row r="63">
      <c r="B63" s="419" t="inlineStr">
        <is>
          <t>Finance - portfolio total (incl OHs)</t>
        </is>
      </c>
      <c r="C63" s="435" t="n"/>
      <c r="D63" s="435" t="n"/>
      <c r="E63" s="435" t="n"/>
      <c r="F63" s="435" t="n"/>
      <c r="G63" s="431">
        <f>G60+G62</f>
        <v/>
      </c>
      <c r="H63" s="431">
        <f>H60+H62</f>
        <v/>
      </c>
      <c r="I63" s="431">
        <f>I60+I62</f>
        <v/>
      </c>
      <c r="J63" s="431">
        <f>J60+J62</f>
        <v/>
      </c>
      <c r="K63" s="431">
        <f>K60+K62</f>
        <v/>
      </c>
      <c r="L63" s="433">
        <f>IFERROR(I63/J63,"-")</f>
        <v/>
      </c>
      <c r="M63" s="420">
        <f>M60+M62+'0.2 Data Config'!$L$10</f>
        <v/>
      </c>
      <c r="N63" s="420">
        <f>N60+N62</f>
        <v/>
      </c>
      <c r="O63" s="420">
        <f>I63</f>
        <v/>
      </c>
      <c r="P63">
        <f>N63</f>
        <v/>
      </c>
    </row>
    <row r="64">
      <c r="B64" s="417" t="inlineStr">
        <is>
          <t>Infrastructure</t>
        </is>
      </c>
      <c r="C64" s="417" t="inlineStr">
        <is>
          <t>Distribution</t>
        </is>
      </c>
      <c r="D64" s="417" t="inlineStr">
        <is>
          <t>Distribution, Sales &amp; Services</t>
        </is>
      </c>
      <c r="E64" s="417">
        <f>'1.7 Infrastructure'!$C$25</f>
        <v/>
      </c>
      <c r="F64" s="425">
        <f>'1.7 Infrastructure'!$D$25</f>
        <v/>
      </c>
      <c r="G64" s="425">
        <f>IFERROR(INDEX('0.3 Squad Archetypes'!$F$5:$F$23,MATCH('1.7 Infrastructure'!$C$25&amp;"|"&amp;'1.7 Infrastructure'!$D$25,'0.3 Squad Archetypes'!$A$5:$A$23,0)),"-")</f>
        <v/>
      </c>
      <c r="H64" s="425">
        <f>COUNTIFS(Squads!$N:$N,"Infrastructure",Squads!$P:$P,"Distribution, Sales &amp; Services",Squads!$R:$R,"Filled")</f>
        <v/>
      </c>
      <c r="I64" s="425">
        <f>COUNTIFS(Squads!$N:$N,"Infrastructure",Squads!$P:$P,"Distribution, Sales &amp; Services",Squads!$R:$R,"Vacant")</f>
        <v/>
      </c>
      <c r="J64" s="425">
        <f>H64+I64</f>
        <v/>
      </c>
      <c r="K64" s="425">
        <f>IFERROR(J64-G64,"-")</f>
        <v/>
      </c>
      <c r="L64" s="434">
        <f>IFERROR(I64/J64,"-")</f>
        <v/>
      </c>
      <c r="M64" s="418">
        <f>'1.7 Infrastructure'!$H$25</f>
        <v/>
      </c>
      <c r="N64" s="418">
        <f>(SUMIFS('Added data'!$AA:$AA,'Added data'!$AC:$AC,"Infrastructure",'Added data'!$AE:$AE,"Distribution, Sales &amp; Services"))/1000000</f>
        <v/>
      </c>
      <c r="O64" s="905">
        <f>I64</f>
        <v/>
      </c>
      <c r="P64" s="551">
        <f>N64</f>
        <v/>
      </c>
      <c r="AD64">
        <f>$B64&amp;"|"&amp;$D64</f>
        <v/>
      </c>
    </row>
    <row r="65">
      <c r="B65" s="449" t="n"/>
      <c r="C65" s="448" t="inlineStr">
        <is>
          <t>Distribution - platform total (incl overhead)</t>
        </is>
      </c>
      <c r="D65" s="449" t="n"/>
      <c r="E65" s="449" t="n"/>
      <c r="F65" s="449" t="n"/>
      <c r="G65" s="475">
        <f>SUM(G64:G64)</f>
        <v/>
      </c>
      <c r="H65" s="475">
        <f>SUM(H64:H64)</f>
        <v/>
      </c>
      <c r="I65" s="475">
        <f>SUM(I64:I64)</f>
        <v/>
      </c>
      <c r="J65" s="475">
        <f>SUM(J64:J64)</f>
        <v/>
      </c>
      <c r="K65" s="475">
        <f>SUM(K64:K64)</f>
        <v/>
      </c>
      <c r="L65" s="477">
        <f>IFERROR(I65/J65,"-")</f>
        <v/>
      </c>
      <c r="M65" s="474">
        <f>SUM(M64:M64)+'0.2 Data Config'!$L$16</f>
        <v/>
      </c>
      <c r="N65" s="474">
        <f>SUM(N64:N64)</f>
        <v/>
      </c>
      <c r="O65" s="474">
        <f>I65</f>
        <v/>
      </c>
      <c r="P65">
        <f>N65</f>
        <v/>
      </c>
    </row>
    <row r="66">
      <c r="B66" s="417" t="inlineStr">
        <is>
          <t>Infrastructure</t>
        </is>
      </c>
      <c r="C66" s="417" t="inlineStr">
        <is>
          <t>Manufacturing</t>
        </is>
      </c>
      <c r="D66" s="417" t="inlineStr">
        <is>
          <t>Manufacturing &amp; Group Projects</t>
        </is>
      </c>
      <c r="E66" s="417">
        <f>'1.7 Infrastructure'!$C$31</f>
        <v/>
      </c>
      <c r="F66" s="425">
        <f>'1.7 Infrastructure'!$D$31</f>
        <v/>
      </c>
      <c r="G66" s="425">
        <f>IFERROR(INDEX('0.3 Squad Archetypes'!$F$5:$F$23,MATCH('1.7 Infrastructure'!$C$31&amp;"|"&amp;'1.7 Infrastructure'!$D$31,'0.3 Squad Archetypes'!$A$5:$A$23,0)),"-")</f>
        <v/>
      </c>
      <c r="H66" s="425">
        <f>COUNTIFS(Squads!$N:$N,"Infrastructure",Squads!$P:$P,"Manufacturing &amp; Group Projects",Squads!$R:$R,"Filled")</f>
        <v/>
      </c>
      <c r="I66" s="425">
        <f>COUNTIFS(Squads!$N:$N,"Infrastructure",Squads!$P:$P,"Manufacturing &amp; Group Projects",Squads!$R:$R,"Vacant")</f>
        <v/>
      </c>
      <c r="J66" s="425">
        <f>H66+I66</f>
        <v/>
      </c>
      <c r="K66" s="425">
        <f>IFERROR(J66-G66,"-")</f>
        <v/>
      </c>
      <c r="L66" s="434">
        <f>IFERROR(I66/J66,"-")</f>
        <v/>
      </c>
      <c r="M66" s="418">
        <f>'1.7 Infrastructure'!$H$31</f>
        <v/>
      </c>
      <c r="N66" s="418">
        <f>(SUMIFS('Added data'!$AA:$AA,'Added data'!$AC:$AC,"Infrastructure",'Added data'!$AE:$AE,"Manufacturing &amp; Group Projects"))/1000000</f>
        <v/>
      </c>
      <c r="O66" s="905">
        <f>I66</f>
        <v/>
      </c>
      <c r="P66" s="551">
        <f>N66</f>
        <v/>
      </c>
      <c r="AD66">
        <f>$B66&amp;"|"&amp;$D66</f>
        <v/>
      </c>
    </row>
    <row r="67">
      <c r="B67" s="417" t="inlineStr">
        <is>
          <t>Infrastructure</t>
        </is>
      </c>
      <c r="C67" s="417" t="inlineStr">
        <is>
          <t>Manufacturing</t>
        </is>
      </c>
      <c r="D67" s="417" t="inlineStr">
        <is>
          <t>Technology Support</t>
        </is>
      </c>
      <c r="E67" s="417">
        <f>'1.7 Infrastructure'!$C$32</f>
        <v/>
      </c>
      <c r="F67" s="425">
        <f>'1.7 Infrastructure'!$D$32</f>
        <v/>
      </c>
      <c r="G67" s="425">
        <f>IFERROR(INDEX('0.3 Squad Archetypes'!$F$5:$F$23,MATCH('1.7 Infrastructure'!$C$32&amp;"|"&amp;'1.7 Infrastructure'!$D$32,'0.3 Squad Archetypes'!$A$5:$A$23,0)),"-")</f>
        <v/>
      </c>
      <c r="H67" s="425">
        <f>COUNTIFS(Squads!$N:$N,"Infrastructure",Squads!$P:$P,"Technology Support",Squads!$R:$R,"Filled")</f>
        <v/>
      </c>
      <c r="I67" s="425">
        <f>COUNTIFS(Squads!$N:$N,"Infrastructure",Squads!$P:$P,"Technology Support",Squads!$R:$R,"Vacant")</f>
        <v/>
      </c>
      <c r="J67" s="425">
        <f>H67+I67</f>
        <v/>
      </c>
      <c r="K67" s="425">
        <f>IFERROR(J67-G67,"-")</f>
        <v/>
      </c>
      <c r="L67" s="434">
        <f>IFERROR(I67/J67,"-")</f>
        <v/>
      </c>
      <c r="M67" s="418">
        <f>'1.7 Infrastructure'!$H$32</f>
        <v/>
      </c>
      <c r="N67" s="418">
        <f>(SUMIFS('Added data'!$AA:$AA,'Added data'!$AC:$AC,"Infrastructure",'Added data'!$AE:$AE,"Technology Support"))/1000000</f>
        <v/>
      </c>
      <c r="O67" s="905">
        <f>I67</f>
        <v/>
      </c>
      <c r="P67" s="551">
        <f>N67</f>
        <v/>
      </c>
      <c r="AD67">
        <f>$B67&amp;"|"&amp;$D67</f>
        <v/>
      </c>
    </row>
    <row r="68">
      <c r="B68" s="449" t="n"/>
      <c r="C68" s="448" t="inlineStr">
        <is>
          <t>Manufacturing - platform total (incl overhead)</t>
        </is>
      </c>
      <c r="D68" s="449" t="n"/>
      <c r="E68" s="449" t="n"/>
      <c r="F68" s="449" t="n"/>
      <c r="G68" s="475">
        <f>SUM(G66:G67)</f>
        <v/>
      </c>
      <c r="H68" s="475">
        <f>SUM(H66:H67)</f>
        <v/>
      </c>
      <c r="I68" s="475">
        <f>SUM(I66:I67)</f>
        <v/>
      </c>
      <c r="J68" s="475">
        <f>SUM(J66:J67)</f>
        <v/>
      </c>
      <c r="K68" s="475">
        <f>SUM(K66:K67)</f>
        <v/>
      </c>
      <c r="L68" s="477">
        <f>IFERROR(I68/J68,"-")</f>
        <v/>
      </c>
      <c r="M68" s="474">
        <f>SUM(M66:M67)+'0.2 Data Config'!$L$16</f>
        <v/>
      </c>
      <c r="N68" s="474">
        <f>SUM(N66:N67)</f>
        <v/>
      </c>
      <c r="O68" s="474">
        <f>I68</f>
        <v/>
      </c>
      <c r="P68">
        <f>N68</f>
        <v/>
      </c>
    </row>
    <row r="69">
      <c r="B69" s="417" t="inlineStr">
        <is>
          <t>Infrastructure</t>
        </is>
      </c>
      <c r="C69" s="417" t="inlineStr">
        <is>
          <t>Data &amp; Insights</t>
        </is>
      </c>
      <c r="D69" s="417" t="inlineStr">
        <is>
          <t>Data &amp; Insights</t>
        </is>
      </c>
      <c r="E69" s="417">
        <f>'1.7 Infrastructure'!$C$38</f>
        <v/>
      </c>
      <c r="F69" s="425">
        <f>'1.7 Infrastructure'!$D$38</f>
        <v/>
      </c>
      <c r="G69" s="425">
        <f>IFERROR(INDEX('0.3 Squad Archetypes'!$F$5:$F$23,MATCH('1.7 Infrastructure'!$C$38&amp;"|"&amp;'1.7 Infrastructure'!$D$38,'0.3 Squad Archetypes'!$A$5:$A$23,0)),"-")</f>
        <v/>
      </c>
      <c r="H69" s="425">
        <f>COUNTIFS(Squads!$N:$N,"Infrastructure",Squads!$P:$P,"Data &amp; Insights",Squads!$R:$R,"Filled")</f>
        <v/>
      </c>
      <c r="I69" s="425">
        <f>COUNTIFS(Squads!$N:$N,"Infrastructure",Squads!$P:$P,"Data &amp; Insights",Squads!$R:$R,"Vacant")</f>
        <v/>
      </c>
      <c r="J69" s="425">
        <f>H69+I69</f>
        <v/>
      </c>
      <c r="K69" s="425">
        <f>IFERROR(J69-G69,"-")</f>
        <v/>
      </c>
      <c r="L69" s="434">
        <f>IFERROR(I69/J69,"-")</f>
        <v/>
      </c>
      <c r="M69" s="418">
        <f>'1.7 Infrastructure'!$H$38</f>
        <v/>
      </c>
      <c r="N69" s="418">
        <f>(SUMIFS('Added data'!$AA:$AA,'Added data'!$AC:$AC,"Infrastructure",'Added data'!$AE:$AE,"Data &amp; Insights"))/1000000</f>
        <v/>
      </c>
      <c r="O69" s="905">
        <f>I69</f>
        <v/>
      </c>
      <c r="P69" s="551">
        <f>N69</f>
        <v/>
      </c>
      <c r="AD69">
        <f>$B69&amp;"|"&amp;$D69</f>
        <v/>
      </c>
    </row>
    <row r="70">
      <c r="B70" s="449" t="n"/>
      <c r="C70" s="448" t="inlineStr">
        <is>
          <t>Data &amp; Insights - platform total (incl overhead)</t>
        </is>
      </c>
      <c r="D70" s="449" t="n"/>
      <c r="E70" s="449" t="n"/>
      <c r="F70" s="449" t="n"/>
      <c r="G70" s="475">
        <f>SUM(G69:G69)</f>
        <v/>
      </c>
      <c r="H70" s="475">
        <f>SUM(H69:H69)</f>
        <v/>
      </c>
      <c r="I70" s="475">
        <f>SUM(I69:I69)</f>
        <v/>
      </c>
      <c r="J70" s="475">
        <f>SUM(J69:J69)</f>
        <v/>
      </c>
      <c r="K70" s="475">
        <f>SUM(K69:K69)</f>
        <v/>
      </c>
      <c r="L70" s="477">
        <f>IFERROR(I70/J70,"-")</f>
        <v/>
      </c>
      <c r="M70" s="474">
        <f>SUM(M69:M69)+'0.2 Data Config'!$L$16</f>
        <v/>
      </c>
      <c r="N70" s="474">
        <f>SUM(N69:N69)</f>
        <v/>
      </c>
      <c r="O70" s="474">
        <f>I70</f>
        <v/>
      </c>
      <c r="P70">
        <f>N70</f>
        <v/>
      </c>
    </row>
    <row r="71">
      <c r="B71" s="419" t="inlineStr">
        <is>
          <t>Infrastructure - portfolio total (incl OHs)</t>
        </is>
      </c>
      <c r="C71" s="435" t="n"/>
      <c r="D71" s="435" t="n"/>
      <c r="E71" s="435" t="n"/>
      <c r="F71" s="435" t="n"/>
      <c r="G71" s="431">
        <f>G65+G68+G70</f>
        <v/>
      </c>
      <c r="H71" s="431">
        <f>H65+H68+H70</f>
        <v/>
      </c>
      <c r="I71" s="431">
        <f>I65+I68+I70</f>
        <v/>
      </c>
      <c r="J71" s="431">
        <f>J65+J68+J70</f>
        <v/>
      </c>
      <c r="K71" s="431">
        <f>K65+K68+K70</f>
        <v/>
      </c>
      <c r="L71" s="433">
        <f>IFERROR(I71/J71,"-")</f>
        <v/>
      </c>
      <c r="M71" s="420">
        <f>M65+M68+M70+'0.2 Data Config'!$L$10</f>
        <v/>
      </c>
      <c r="N71" s="420">
        <f>N65+N68+N70</f>
        <v/>
      </c>
      <c r="O71" s="420">
        <f>I71</f>
        <v/>
      </c>
      <c r="P71">
        <f>N71</f>
        <v/>
      </c>
    </row>
    <row r="72">
      <c r="B72" s="417" t="inlineStr">
        <is>
          <t>Energy Solutions &amp; B2B</t>
        </is>
      </c>
      <c r="C72" s="417" t="inlineStr">
        <is>
          <t>Energy Solutions</t>
        </is>
      </c>
      <c r="D72" s="417" t="inlineStr">
        <is>
          <t>Energy</t>
        </is>
      </c>
      <c r="E72" s="417">
        <f>'1.8 Energy Solutions &amp; B2B'!$C$27</f>
        <v/>
      </c>
      <c r="F72" s="425">
        <f>'1.8 Energy Solutions &amp; B2B'!$D$27</f>
        <v/>
      </c>
      <c r="G72" s="425">
        <f>IFERROR(INDEX('0.3 Squad Archetypes'!$F$5:$F$23,MATCH('1.8 Energy Solutions &amp; B2B'!$C$27&amp;"|"&amp;'1.8 Energy Solutions &amp; B2B'!$D$27,'0.3 Squad Archetypes'!$A$5:$A$23,0)),"-")</f>
        <v/>
      </c>
      <c r="H72" s="425">
        <f>COUNTIFS(Squads!$N:$N,"Energy Solutions &amp; B2B",Squads!$P:$P,"Energy",Squads!$R:$R,"Filled")</f>
        <v/>
      </c>
      <c r="I72" s="425">
        <f>COUNTIFS(Squads!$N:$N,"Energy Solutions &amp; B2B",Squads!$P:$P,"Energy",Squads!$R:$R,"Vacant")</f>
        <v/>
      </c>
      <c r="J72" s="425">
        <f>H72+I72</f>
        <v/>
      </c>
      <c r="K72" s="425">
        <f>IFERROR(J72-G72,"-")</f>
        <v/>
      </c>
      <c r="L72" s="434">
        <f>IFERROR(I72/J72,"-")</f>
        <v/>
      </c>
      <c r="M72" s="418">
        <f>'1.8 Energy Solutions &amp; B2B'!$H$27</f>
        <v/>
      </c>
      <c r="N72" s="418">
        <f>(SUMIFS('Added data'!$AA:$AA,'Added data'!$AC:$AC,"Energy Solutions &amp; B2B",'Added data'!$AE:$AE,"Energy"))/1000000</f>
        <v/>
      </c>
      <c r="O72" s="905">
        <f>I72</f>
        <v/>
      </c>
      <c r="P72" s="551">
        <f>N72</f>
        <v/>
      </c>
      <c r="AD72">
        <f>$B72&amp;"|"&amp;$D72</f>
        <v/>
      </c>
    </row>
    <row r="73">
      <c r="B73" s="417" t="inlineStr">
        <is>
          <t>Energy Solutions &amp; B2B</t>
        </is>
      </c>
      <c r="C73" s="417" t="inlineStr">
        <is>
          <t>Energy Solutions</t>
        </is>
      </c>
      <c r="D73" s="417" t="inlineStr">
        <is>
          <t>EVCI</t>
        </is>
      </c>
      <c r="E73" s="417">
        <f>'1.8 Energy Solutions &amp; B2B'!$C$28</f>
        <v/>
      </c>
      <c r="F73" s="425">
        <f>'1.8 Energy Solutions &amp; B2B'!$D$28</f>
        <v/>
      </c>
      <c r="G73" s="425">
        <f>IFERROR(INDEX('0.3 Squad Archetypes'!$F$5:$F$23,MATCH('1.8 Energy Solutions &amp; B2B'!$C$28&amp;"|"&amp;'1.8 Energy Solutions &amp; B2B'!$D$28,'0.3 Squad Archetypes'!$A$5:$A$23,0)),"-")</f>
        <v/>
      </c>
      <c r="H73" s="425">
        <f>COUNTIFS(Squads!$N:$N,"Energy Solutions &amp; B2B",Squads!$P:$P,"EVCI",Squads!$R:$R,"Filled")</f>
        <v/>
      </c>
      <c r="I73" s="425">
        <f>COUNTIFS(Squads!$N:$N,"Energy Solutions &amp; B2B",Squads!$P:$P,"EVCI",Squads!$R:$R,"Vacant")</f>
        <v/>
      </c>
      <c r="J73" s="425">
        <f>H73+I73</f>
        <v/>
      </c>
      <c r="K73" s="425">
        <f>IFERROR(J73-G73,"-")</f>
        <v/>
      </c>
      <c r="L73" s="434">
        <f>IFERROR(I73/J73,"-")</f>
        <v/>
      </c>
      <c r="M73" s="418">
        <f>'1.8 Energy Solutions &amp; B2B'!$H$28</f>
        <v/>
      </c>
      <c r="N73" s="418">
        <f>(SUMIFS('Added data'!$AA:$AA,'Added data'!$AC:$AC,"Energy Solutions &amp; B2B",'Added data'!$AE:$AE,"EVCI"))/1000000</f>
        <v/>
      </c>
      <c r="O73" s="905">
        <f>I73</f>
        <v/>
      </c>
      <c r="P73" s="551">
        <f>N73</f>
        <v/>
      </c>
      <c r="AD73">
        <f>$B73&amp;"|"&amp;$D73</f>
        <v/>
      </c>
    </row>
    <row r="74">
      <c r="B74" s="449" t="n"/>
      <c r="C74" s="448" t="inlineStr">
        <is>
          <t>Energy Solutions - platform total (incl overhead)</t>
        </is>
      </c>
      <c r="D74" s="449" t="n"/>
      <c r="E74" s="449" t="n"/>
      <c r="F74" s="449" t="n"/>
      <c r="G74" s="475">
        <f>SUM(G72:G73)</f>
        <v/>
      </c>
      <c r="H74" s="475">
        <f>SUM(H72:H73)</f>
        <v/>
      </c>
      <c r="I74" s="475">
        <f>SUM(I72:I73)</f>
        <v/>
      </c>
      <c r="J74" s="475">
        <f>SUM(J72:J73)</f>
        <v/>
      </c>
      <c r="K74" s="475">
        <f>SUM(K72:K73)</f>
        <v/>
      </c>
      <c r="L74" s="477">
        <f>IFERROR(I74/J74,"-")</f>
        <v/>
      </c>
      <c r="M74" s="474">
        <f>SUM(M72:M73)+'0.2 Data Config'!$L$16</f>
        <v/>
      </c>
      <c r="N74" s="474">
        <f>SUM(N72:N73)</f>
        <v/>
      </c>
      <c r="O74" s="474">
        <f>I74</f>
        <v/>
      </c>
      <c r="P74">
        <f>N74</f>
        <v/>
      </c>
    </row>
    <row r="75">
      <c r="B75" s="417" t="inlineStr">
        <is>
          <t>Energy Solutions &amp; B2B</t>
        </is>
      </c>
      <c r="C75" s="417" t="inlineStr">
        <is>
          <t>B2B</t>
        </is>
      </c>
      <c r="D75" s="417" t="inlineStr">
        <is>
          <t>B2B</t>
        </is>
      </c>
      <c r="E75" s="417">
        <f>'1.8 Energy Solutions &amp; B2B'!$C$34</f>
        <v/>
      </c>
      <c r="F75" s="425">
        <f>'1.8 Energy Solutions &amp; B2B'!$D$34</f>
        <v/>
      </c>
      <c r="G75" s="425">
        <f>IFERROR(INDEX('0.3 Squad Archetypes'!$F$5:$F$23,MATCH('1.8 Energy Solutions &amp; B2B'!$C$34&amp;"|"&amp;'1.8 Energy Solutions &amp; B2B'!$D$34,'0.3 Squad Archetypes'!$A$5:$A$23,0)),"-")</f>
        <v/>
      </c>
      <c r="H75" s="425">
        <f>COUNTIFS(Squads!$N:$N,"Energy Solutions &amp; B2B",Squads!$P:$P,"B2B",Squads!$R:$R,"Filled")</f>
        <v/>
      </c>
      <c r="I75" s="425">
        <f>COUNTIFS(Squads!$N:$N,"Energy Solutions &amp; B2B",Squads!$P:$P,"B2B",Squads!$R:$R,"Vacant")</f>
        <v/>
      </c>
      <c r="J75" s="425">
        <f>H75+I75</f>
        <v/>
      </c>
      <c r="K75" s="425">
        <f>IFERROR(J75-G75,"-")</f>
        <v/>
      </c>
      <c r="L75" s="434">
        <f>IFERROR(I75/J75,"-")</f>
        <v/>
      </c>
      <c r="M75" s="418">
        <f>'1.8 Energy Solutions &amp; B2B'!$H$34</f>
        <v/>
      </c>
      <c r="N75" s="418">
        <f>(SUMIFS('Added data'!$AA:$AA,'Added data'!$AC:$AC,"Energy Solutions &amp; B2B",'Added data'!$AE:$AE,"B2B"))/1000000</f>
        <v/>
      </c>
      <c r="O75" s="905">
        <f>I75</f>
        <v/>
      </c>
      <c r="P75" s="551">
        <f>N75</f>
        <v/>
      </c>
      <c r="AD75">
        <f>$B75&amp;"|"&amp;$D75</f>
        <v/>
      </c>
    </row>
    <row r="76">
      <c r="B76" s="449" t="n"/>
      <c r="C76" s="448" t="inlineStr">
        <is>
          <t>B2B - platform total (incl overhead)</t>
        </is>
      </c>
      <c r="D76" s="449" t="n"/>
      <c r="E76" s="449" t="n"/>
      <c r="F76" s="449" t="n"/>
      <c r="G76" s="475">
        <f>SUM(G75:G75)</f>
        <v/>
      </c>
      <c r="H76" s="475">
        <f>SUM(H75:H75)</f>
        <v/>
      </c>
      <c r="I76" s="475">
        <f>SUM(I75:I75)</f>
        <v/>
      </c>
      <c r="J76" s="475">
        <f>SUM(J75:J75)</f>
        <v/>
      </c>
      <c r="K76" s="475">
        <f>SUM(K75:K75)</f>
        <v/>
      </c>
      <c r="L76" s="477">
        <f>IFERROR(I76/J76,"-")</f>
        <v/>
      </c>
      <c r="M76" s="474">
        <f>SUM(M75:M75)+'0.2 Data Config'!$L$16</f>
        <v/>
      </c>
      <c r="N76" s="474">
        <f>SUM(N75:N75)</f>
        <v/>
      </c>
      <c r="O76" s="474">
        <f>I76</f>
        <v/>
      </c>
      <c r="P76">
        <f>N76</f>
        <v/>
      </c>
    </row>
    <row r="77">
      <c r="B77" s="419" t="inlineStr">
        <is>
          <t>Energy Solutions &amp; B2B - portfolio total (incl OHs)</t>
        </is>
      </c>
      <c r="C77" s="435" t="n"/>
      <c r="D77" s="435" t="n"/>
      <c r="E77" s="435" t="n"/>
      <c r="F77" s="435" t="n"/>
      <c r="G77" s="431">
        <f>G74+G76</f>
        <v/>
      </c>
      <c r="H77" s="431">
        <f>H74+H76</f>
        <v/>
      </c>
      <c r="I77" s="431">
        <f>I74+I76</f>
        <v/>
      </c>
      <c r="J77" s="431">
        <f>J74+J76</f>
        <v/>
      </c>
      <c r="K77" s="431">
        <f>K74+K76</f>
        <v/>
      </c>
      <c r="L77" s="433">
        <f>IFERROR(I77/J77,"-")</f>
        <v/>
      </c>
      <c r="M77" s="420">
        <f>M74+M76+'0.2 Data Config'!$L$10</f>
        <v/>
      </c>
      <c r="N77" s="420">
        <f>N74+N76</f>
        <v/>
      </c>
      <c r="O77" s="420">
        <f>I77</f>
        <v/>
      </c>
      <c r="P77">
        <f>N77</f>
        <v/>
      </c>
    </row>
    <row r="78">
      <c r="B78" s="417" t="inlineStr">
        <is>
          <t>Commercial Fuels</t>
        </is>
      </c>
      <c r="C78" s="417" t="inlineStr">
        <is>
          <t>Trading &amp; Shipping</t>
        </is>
      </c>
      <c r="D78" s="417" t="inlineStr">
        <is>
          <t>Trading &amp; Shipping</t>
        </is>
      </c>
      <c r="E78" s="417">
        <f>'1.9 Commercial Fuels'!$C$25</f>
        <v/>
      </c>
      <c r="F78" s="425">
        <f>'1.9 Commercial Fuels'!$D$25</f>
        <v/>
      </c>
      <c r="G78" s="425">
        <f>IFERROR(INDEX('0.3 Squad Archetypes'!$F$5:$F$23,MATCH('1.9 Commercial Fuels'!$C$25&amp;"|"&amp;'1.9 Commercial Fuels'!$D$25,'0.3 Squad Archetypes'!$A$5:$A$23,0)),"-")</f>
        <v/>
      </c>
      <c r="H78" s="425">
        <f>COUNTIFS(Squads!$N:$N,"Commercial Fuels",Squads!$P:$P,"Trading &amp; Shipping",Squads!$R:$R,"Filled")</f>
        <v/>
      </c>
      <c r="I78" s="425">
        <f>COUNTIFS(Squads!$N:$N,"Commercial Fuels",Squads!$P:$P,"Trading &amp; Shipping",Squads!$R:$R,"Vacant")</f>
        <v/>
      </c>
      <c r="J78" s="425">
        <f>H78+I78</f>
        <v/>
      </c>
      <c r="K78" s="425">
        <f>IFERROR(J78-G78,"-")</f>
        <v/>
      </c>
      <c r="L78" s="434">
        <f>IFERROR(I78/J78,"-")</f>
        <v/>
      </c>
      <c r="M78" s="418">
        <f>'1.9 Commercial Fuels'!$H$25</f>
        <v/>
      </c>
      <c r="N78" s="418">
        <f>(SUMIFS('Added data'!$AA:$AA,'Added data'!$AC:$AC,"Commercial Fuels",'Added data'!$AE:$AE,"Trading &amp; Shipping"))/1000000</f>
        <v/>
      </c>
      <c r="O78" s="905">
        <f>I78</f>
        <v/>
      </c>
      <c r="P78" s="551">
        <f>N78</f>
        <v/>
      </c>
      <c r="AD78">
        <f>$B78&amp;"|"&amp;$D78</f>
        <v/>
      </c>
    </row>
    <row r="79">
      <c r="B79" s="417" t="inlineStr">
        <is>
          <t>Commercial Fuels</t>
        </is>
      </c>
      <c r="C79" s="417" t="inlineStr">
        <is>
          <t>Trading &amp; Shipping</t>
        </is>
      </c>
      <c r="D79" s="417" t="inlineStr">
        <is>
          <t>Trading &amp; Shipping Data</t>
        </is>
      </c>
      <c r="E79" s="417">
        <f>'1.9 Commercial Fuels'!$C$26</f>
        <v/>
      </c>
      <c r="F79" s="425">
        <f>'1.9 Commercial Fuels'!$D$26</f>
        <v/>
      </c>
      <c r="G79" s="425">
        <f>IFERROR(INDEX('0.3 Squad Archetypes'!$F$5:$F$23,MATCH('1.9 Commercial Fuels'!$C$26&amp;"|"&amp;'1.9 Commercial Fuels'!$D$26,'0.3 Squad Archetypes'!$A$5:$A$23,0)),"-")</f>
        <v/>
      </c>
      <c r="H79" s="425">
        <f>COUNTIFS(Squads!$N:$N,"Commercial Fuels",Squads!$P:$P,"Trading &amp; Shipping Data",Squads!$R:$R,"Filled")</f>
        <v/>
      </c>
      <c r="I79" s="425">
        <f>COUNTIFS(Squads!$N:$N,"Commercial Fuels",Squads!$P:$P,"Trading &amp; Shipping Data",Squads!$R:$R,"Vacant")</f>
        <v/>
      </c>
      <c r="J79" s="425">
        <f>H79+I79</f>
        <v/>
      </c>
      <c r="K79" s="425">
        <f>IFERROR(J79-G79,"-")</f>
        <v/>
      </c>
      <c r="L79" s="434">
        <f>IFERROR(I79/J79,"-")</f>
        <v/>
      </c>
      <c r="M79" s="418">
        <f>'1.9 Commercial Fuels'!$H$26</f>
        <v/>
      </c>
      <c r="N79" s="418">
        <f>(SUMIFS('Added data'!$AA:$AA,'Added data'!$AC:$AC,"Commercial Fuels",'Added data'!$AE:$AE,"Trading &amp; Shipping Data"))/1000000</f>
        <v/>
      </c>
      <c r="O79" s="905">
        <f>I79</f>
        <v/>
      </c>
      <c r="P79" s="551">
        <f>N79</f>
        <v/>
      </c>
      <c r="AD79">
        <f>$B79&amp;"|"&amp;$D79</f>
        <v/>
      </c>
    </row>
    <row r="80">
      <c r="B80" s="449" t="n"/>
      <c r="C80" s="448" t="inlineStr">
        <is>
          <t>Trading &amp; Shipping - platform total (incl overhead)</t>
        </is>
      </c>
      <c r="D80" s="449" t="n"/>
      <c r="E80" s="449" t="n"/>
      <c r="F80" s="449" t="n"/>
      <c r="G80" s="475">
        <f>SUM(G78:G79)</f>
        <v/>
      </c>
      <c r="H80" s="475">
        <f>SUM(H78:H79)</f>
        <v/>
      </c>
      <c r="I80" s="475">
        <f>SUM(I78:I79)</f>
        <v/>
      </c>
      <c r="J80" s="475">
        <f>SUM(J78:J79)</f>
        <v/>
      </c>
      <c r="K80" s="475">
        <f>SUM(K78:K79)</f>
        <v/>
      </c>
      <c r="L80" s="477">
        <f>IFERROR(I80/J80,"-")</f>
        <v/>
      </c>
      <c r="M80" s="474">
        <f>SUM(M78:M79)+'0.2 Data Config'!$L$16</f>
        <v/>
      </c>
      <c r="N80" s="474">
        <f>SUM(N78:N79)</f>
        <v/>
      </c>
      <c r="O80" s="474">
        <f>I80</f>
        <v/>
      </c>
      <c r="P80">
        <f>N80</f>
        <v/>
      </c>
    </row>
    <row r="81">
      <c r="B81" s="417" t="inlineStr">
        <is>
          <t>Commercial Fuels</t>
        </is>
      </c>
      <c r="C81" s="417" t="inlineStr">
        <is>
          <t>Supply</t>
        </is>
      </c>
      <c r="D81" s="417" t="inlineStr">
        <is>
          <t>Supply</t>
        </is>
      </c>
      <c r="E81" s="417">
        <f>'1.9 Commercial Fuels'!$C$32</f>
        <v/>
      </c>
      <c r="F81" s="425">
        <f>'1.9 Commercial Fuels'!$D$32</f>
        <v/>
      </c>
      <c r="G81" s="425">
        <f>IFERROR(INDEX('0.3 Squad Archetypes'!$F$5:$F$23,MATCH('1.9 Commercial Fuels'!$C$32&amp;"|"&amp;'1.9 Commercial Fuels'!$D$32,'0.3 Squad Archetypes'!$A$5:$A$23,0)),"-")</f>
        <v/>
      </c>
      <c r="H81" s="425">
        <f>COUNTIFS(Squads!$N:$N,"Commercial Fuels",Squads!$P:$P,"Supply",Squads!$R:$R,"Filled")</f>
        <v/>
      </c>
      <c r="I81" s="425">
        <f>COUNTIFS(Squads!$N:$N,"Commercial Fuels",Squads!$P:$P,"Supply",Squads!$R:$R,"Vacant")</f>
        <v/>
      </c>
      <c r="J81" s="425">
        <f>H81+I81</f>
        <v/>
      </c>
      <c r="K81" s="425">
        <f>IFERROR(J81-G81,"-")</f>
        <v/>
      </c>
      <c r="L81" s="434">
        <f>IFERROR(I81/J81,"-")</f>
        <v/>
      </c>
      <c r="M81" s="418">
        <f>'1.9 Commercial Fuels'!$H$32</f>
        <v/>
      </c>
      <c r="N81" s="418">
        <f>(SUMIFS('Added data'!$AA:$AA,'Added data'!$AC:$AC,"Commercial Fuels",'Added data'!$AE:$AE,"Supply"))/1000000</f>
        <v/>
      </c>
      <c r="O81" s="905">
        <f>I81</f>
        <v/>
      </c>
      <c r="P81" s="551">
        <f>N81</f>
        <v/>
      </c>
      <c r="AD81">
        <f>$B81&amp;"|"&amp;$D81</f>
        <v/>
      </c>
    </row>
    <row r="82">
      <c r="B82" s="449" t="n"/>
      <c r="C82" s="448" t="inlineStr">
        <is>
          <t>Supply - platform total (incl overhead)</t>
        </is>
      </c>
      <c r="D82" s="449" t="n"/>
      <c r="E82" s="449" t="n"/>
      <c r="F82" s="449" t="n"/>
      <c r="G82" s="475">
        <f>SUM(G81:G81)</f>
        <v/>
      </c>
      <c r="H82" s="475">
        <f>SUM(H81:H81)</f>
        <v/>
      </c>
      <c r="I82" s="475">
        <f>SUM(I81:I81)</f>
        <v/>
      </c>
      <c r="J82" s="475">
        <f>SUM(J81:J81)</f>
        <v/>
      </c>
      <c r="K82" s="475">
        <f>SUM(K81:K81)</f>
        <v/>
      </c>
      <c r="L82" s="477">
        <f>IFERROR(I82/J82,"-")</f>
        <v/>
      </c>
      <c r="M82" s="474">
        <f>SUM(M81:M81)+'0.2 Data Config'!$L$16</f>
        <v/>
      </c>
      <c r="N82" s="474">
        <f>SUM(N81:N81)</f>
        <v/>
      </c>
      <c r="O82" s="474">
        <f>I82</f>
        <v/>
      </c>
      <c r="P82">
        <f>N82</f>
        <v/>
      </c>
    </row>
    <row r="83">
      <c r="B83" s="417" t="inlineStr">
        <is>
          <t>Commercial Fuels</t>
        </is>
      </c>
      <c r="C83" s="417" t="inlineStr">
        <is>
          <t>CTRM</t>
        </is>
      </c>
      <c r="D83" s="417" t="inlineStr">
        <is>
          <t>CTRM</t>
        </is>
      </c>
      <c r="E83" s="417">
        <f>'1.9 Commercial Fuels'!$C$38</f>
        <v/>
      </c>
      <c r="F83" s="425">
        <f>'1.9 Commercial Fuels'!$D$38</f>
        <v/>
      </c>
      <c r="G83" s="425">
        <f>IFERROR(INDEX('0.3 Squad Archetypes'!$F$5:$F$23,MATCH('1.9 Commercial Fuels'!$C$38&amp;"|"&amp;'1.9 Commercial Fuels'!$D$38,'0.3 Squad Archetypes'!$A$5:$A$23,0)),"-")</f>
        <v/>
      </c>
      <c r="H83" s="425">
        <f>COUNTIFS(Squads!$N:$N,"Commercial Fuels",Squads!$P:$P,"CTRM",Squads!$R:$R,"Filled")</f>
        <v/>
      </c>
      <c r="I83" s="425">
        <f>COUNTIFS(Squads!$N:$N,"Commercial Fuels",Squads!$P:$P,"CTRM",Squads!$R:$R,"Vacant")</f>
        <v/>
      </c>
      <c r="J83" s="425">
        <f>H83+I83</f>
        <v/>
      </c>
      <c r="K83" s="425">
        <f>IFERROR(J83-G83,"-")</f>
        <v/>
      </c>
      <c r="L83" s="434">
        <f>IFERROR(I83/J83,"-")</f>
        <v/>
      </c>
      <c r="M83" s="418">
        <f>'1.9 Commercial Fuels'!$H$38</f>
        <v/>
      </c>
      <c r="N83" s="418">
        <f>(SUMIFS('Added data'!$AA:$AA,'Added data'!$AC:$AC,"Commercial Fuels",'Added data'!$AE:$AE,"CTRM"))/1000000</f>
        <v/>
      </c>
      <c r="O83" s="905">
        <f>I83</f>
        <v/>
      </c>
      <c r="P83" s="551">
        <f>N83</f>
        <v/>
      </c>
      <c r="AD83">
        <f>$B83&amp;"|"&amp;$D83</f>
        <v/>
      </c>
    </row>
    <row r="84">
      <c r="B84" s="449" t="n"/>
      <c r="C84" s="448" t="inlineStr">
        <is>
          <t>CTRM - platform total (incl overhead)</t>
        </is>
      </c>
      <c r="D84" s="449" t="n"/>
      <c r="E84" s="449" t="n"/>
      <c r="F84" s="449" t="n"/>
      <c r="G84" s="475">
        <f>SUM(G83:G83)</f>
        <v/>
      </c>
      <c r="H84" s="475">
        <f>SUM(H83:H83)</f>
        <v/>
      </c>
      <c r="I84" s="475">
        <f>SUM(I83:I83)</f>
        <v/>
      </c>
      <c r="J84" s="475">
        <f>SUM(J83:J83)</f>
        <v/>
      </c>
      <c r="K84" s="475">
        <f>SUM(K83:K83)</f>
        <v/>
      </c>
      <c r="L84" s="477">
        <f>IFERROR(I84/J84,"-")</f>
        <v/>
      </c>
      <c r="M84" s="474">
        <f>SUM(M83:M83)+'0.2 Data Config'!$L$16</f>
        <v/>
      </c>
      <c r="N84" s="474">
        <f>SUM(N83:N83)</f>
        <v/>
      </c>
      <c r="O84" s="474">
        <f>I84</f>
        <v/>
      </c>
      <c r="P84">
        <f>N84</f>
        <v/>
      </c>
    </row>
    <row r="85">
      <c r="B85" s="419" t="inlineStr">
        <is>
          <t>Commercial Fuels - portfolio total (incl OHs)</t>
        </is>
      </c>
      <c r="C85" s="435" t="n"/>
      <c r="D85" s="435" t="n"/>
      <c r="E85" s="435" t="n"/>
      <c r="F85" s="435" t="n"/>
      <c r="G85" s="431">
        <f>G80+G82+G84</f>
        <v/>
      </c>
      <c r="H85" s="431">
        <f>H80+H82+H84</f>
        <v/>
      </c>
      <c r="I85" s="431">
        <f>I80+I82+I84</f>
        <v/>
      </c>
      <c r="J85" s="431">
        <f>J80+J82+J84</f>
        <v/>
      </c>
      <c r="K85" s="431">
        <f>K80+K82+K84</f>
        <v/>
      </c>
      <c r="L85" s="433">
        <f>IFERROR(I85/J85,"-")</f>
        <v/>
      </c>
      <c r="M85" s="420">
        <f>M80+M82+M84+'0.2 Data Config'!$L$10</f>
        <v/>
      </c>
      <c r="N85" s="420">
        <f>N80+N82+N84</f>
        <v/>
      </c>
      <c r="O85" s="420">
        <f>I85</f>
        <v/>
      </c>
      <c r="P85">
        <f>N85</f>
        <v/>
      </c>
    </row>
    <row r="86">
      <c r="B86" s="417" t="inlineStr">
        <is>
          <t>Z Retail</t>
        </is>
      </c>
      <c r="C86" s="417" t="inlineStr">
        <is>
          <t>Z Supply</t>
        </is>
      </c>
      <c r="D86" s="417" t="inlineStr">
        <is>
          <t>Z Supply</t>
        </is>
      </c>
      <c r="E86" s="417">
        <f>'1.10 Z Retail'!$C$26</f>
        <v/>
      </c>
      <c r="F86" s="425">
        <f>'1.10 Z Retail'!$D$26</f>
        <v/>
      </c>
      <c r="G86" s="425">
        <f>IFERROR(INDEX('0.3 Squad Archetypes'!$F$5:$F$23,MATCH('1.10 Z Retail'!$C$26&amp;"|"&amp;'1.10 Z Retail'!$D$26,'0.3 Squad Archetypes'!$A$5:$A$23,0)),"-")</f>
        <v/>
      </c>
      <c r="H86" s="425">
        <f>COUNTIFS(Squads!$N:$N,"Z Retail",Squads!$P:$P,"Z Supply",Squads!$R:$R,"Filled")</f>
        <v/>
      </c>
      <c r="I86" s="425">
        <f>COUNTIFS(Squads!$N:$N,"Z Retail",Squads!$P:$P,"Z Supply",Squads!$R:$R,"Vacant")</f>
        <v/>
      </c>
      <c r="J86" s="425">
        <f>H86+I86</f>
        <v/>
      </c>
      <c r="K86" s="425">
        <f>IFERROR(J86-G86,"-")</f>
        <v/>
      </c>
      <c r="L86" s="434">
        <f>IFERROR(I86/J86,"-")</f>
        <v/>
      </c>
      <c r="M86" s="418">
        <f>'1.10 Z Retail'!$H$26</f>
        <v/>
      </c>
      <c r="N86" s="418">
        <f>(SUMIFS('Added data'!$AA:$AA,'Added data'!$AC:$AC,"Z Retail",'Added data'!$AE:$AE,"Z Supply"))/1000000</f>
        <v/>
      </c>
      <c r="O86" s="905">
        <f>I86</f>
        <v/>
      </c>
      <c r="P86" s="551">
        <f>N86</f>
        <v/>
      </c>
      <c r="AD86">
        <f>$B86&amp;"|"&amp;$D86</f>
        <v/>
      </c>
    </row>
    <row r="87">
      <c r="B87" s="449" t="n"/>
      <c r="C87" s="448" t="inlineStr">
        <is>
          <t>Z Supply - platform total (incl overhead)</t>
        </is>
      </c>
      <c r="D87" s="449" t="n"/>
      <c r="E87" s="449" t="n"/>
      <c r="F87" s="449" t="n"/>
      <c r="G87" s="475">
        <f>SUM(G86:G86)</f>
        <v/>
      </c>
      <c r="H87" s="475">
        <f>SUM(H86:H86)</f>
        <v/>
      </c>
      <c r="I87" s="475">
        <f>SUM(I86:I86)</f>
        <v/>
      </c>
      <c r="J87" s="475">
        <f>SUM(J86:J86)</f>
        <v/>
      </c>
      <c r="K87" s="475">
        <f>SUM(K86:K86)</f>
        <v/>
      </c>
      <c r="L87" s="477">
        <f>IFERROR(I87/J87,"-")</f>
        <v/>
      </c>
      <c r="M87" s="474">
        <f>SUM(M86:M86)+'0.2 Data Config'!$L$16</f>
        <v/>
      </c>
      <c r="N87" s="474">
        <f>SUM(N86:N86)</f>
        <v/>
      </c>
      <c r="O87" s="474">
        <f>I87</f>
        <v/>
      </c>
      <c r="P87">
        <f>N87</f>
        <v/>
      </c>
    </row>
    <row r="88">
      <c r="B88" s="417" t="inlineStr">
        <is>
          <t>Z Retail</t>
        </is>
      </c>
      <c r="C88" s="417" t="inlineStr">
        <is>
          <t>Z Customer</t>
        </is>
      </c>
      <c r="D88" s="417" t="inlineStr">
        <is>
          <t>Site Systems</t>
        </is>
      </c>
      <c r="E88" s="417">
        <f>'1.10 Z Retail'!$C$32</f>
        <v/>
      </c>
      <c r="F88" s="425">
        <f>'1.10 Z Retail'!$D$32</f>
        <v/>
      </c>
      <c r="G88" s="425">
        <f>IFERROR(INDEX('0.3 Squad Archetypes'!$F$5:$F$23,MATCH('1.10 Z Retail'!$C$32&amp;"|"&amp;'1.10 Z Retail'!$D$32,'0.3 Squad Archetypes'!$A$5:$A$23,0)),"-")</f>
        <v/>
      </c>
      <c r="H88" s="425">
        <f>COUNTIFS(Squads!$N:$N,"Z Retail",Squads!$P:$P,"Site Systems",Squads!$R:$R,"Filled")</f>
        <v/>
      </c>
      <c r="I88" s="425">
        <f>COUNTIFS(Squads!$N:$N,"Z Retail",Squads!$P:$P,"Site Systems",Squads!$R:$R,"Vacant")</f>
        <v/>
      </c>
      <c r="J88" s="425">
        <f>H88+I88</f>
        <v/>
      </c>
      <c r="K88" s="425">
        <f>IFERROR(J88-G88,"-")</f>
        <v/>
      </c>
      <c r="L88" s="434">
        <f>IFERROR(I88/J88,"-")</f>
        <v/>
      </c>
      <c r="M88" s="418">
        <f>'1.10 Z Retail'!$H$32</f>
        <v/>
      </c>
      <c r="N88" s="418">
        <f>(SUMIFS('Added data'!$AA:$AA,'Added data'!$AC:$AC,"Z Retail",'Added data'!$AE:$AE,"Site Systems"))/1000000</f>
        <v/>
      </c>
      <c r="O88" s="905">
        <f>I88</f>
        <v/>
      </c>
      <c r="P88" s="551">
        <f>N88</f>
        <v/>
      </c>
      <c r="AD88">
        <f>$B88&amp;"|"&amp;$D88</f>
        <v/>
      </c>
    </row>
    <row r="89">
      <c r="B89" s="417" t="inlineStr">
        <is>
          <t>Z Retail</t>
        </is>
      </c>
      <c r="C89" s="417" t="inlineStr">
        <is>
          <t>Z Customer</t>
        </is>
      </c>
      <c r="D89" s="417" t="inlineStr">
        <is>
          <t>Z Retail Backend</t>
        </is>
      </c>
      <c r="E89" s="417">
        <f>'1.10 Z Retail'!$C$33</f>
        <v/>
      </c>
      <c r="F89" s="425">
        <f>'1.10 Z Retail'!$D$33</f>
        <v/>
      </c>
      <c r="G89" s="425">
        <f>IFERROR(INDEX('0.3 Squad Archetypes'!$F$5:$F$23,MATCH('1.10 Z Retail'!$C$33&amp;"|"&amp;'1.10 Z Retail'!$D$33,'0.3 Squad Archetypes'!$A$5:$A$23,0)),"-")</f>
        <v/>
      </c>
      <c r="H89" s="425">
        <f>COUNTIFS(Squads!$N:$N,"Z Retail",Squads!$P:$P,"Z Retail Backend",Squads!$R:$R,"Filled")</f>
        <v/>
      </c>
      <c r="I89" s="425">
        <f>COUNTIFS(Squads!$N:$N,"Z Retail",Squads!$P:$P,"Z Retail Backend",Squads!$R:$R,"Vacant")</f>
        <v/>
      </c>
      <c r="J89" s="425">
        <f>H89+I89</f>
        <v/>
      </c>
      <c r="K89" s="425">
        <f>IFERROR(J89-G89,"-")</f>
        <v/>
      </c>
      <c r="L89" s="434">
        <f>IFERROR(I89/J89,"-")</f>
        <v/>
      </c>
      <c r="M89" s="418">
        <f>'1.10 Z Retail'!$H$33</f>
        <v/>
      </c>
      <c r="N89" s="418">
        <f>(SUMIFS('Added data'!$AA:$AA,'Added data'!$AC:$AC,"Z Retail",'Added data'!$AE:$AE,"Z Retail Backend"))/1000000</f>
        <v/>
      </c>
      <c r="O89" s="905">
        <f>I89</f>
        <v/>
      </c>
      <c r="P89" s="551">
        <f>N89</f>
        <v/>
      </c>
      <c r="AD89">
        <f>$B89&amp;"|"&amp;$D89</f>
        <v/>
      </c>
    </row>
    <row r="90">
      <c r="B90" s="449" t="n"/>
      <c r="C90" s="448" t="inlineStr">
        <is>
          <t>Z Customer - platform total (incl overhead)</t>
        </is>
      </c>
      <c r="D90" s="449" t="n"/>
      <c r="E90" s="449" t="n"/>
      <c r="F90" s="449" t="n"/>
      <c r="G90" s="475">
        <f>SUM(G88:G89)</f>
        <v/>
      </c>
      <c r="H90" s="475">
        <f>SUM(H88:H89)</f>
        <v/>
      </c>
      <c r="I90" s="475">
        <f>SUM(I88:I89)</f>
        <v/>
      </c>
      <c r="J90" s="475">
        <f>SUM(J88:J89)</f>
        <v/>
      </c>
      <c r="K90" s="475">
        <f>SUM(K88:K89)</f>
        <v/>
      </c>
      <c r="L90" s="477">
        <f>IFERROR(I90/J90,"-")</f>
        <v/>
      </c>
      <c r="M90" s="474">
        <f>SUM(M88:M89)+'0.2 Data Config'!$L$16</f>
        <v/>
      </c>
      <c r="N90" s="474">
        <f>SUM(N88:N89)</f>
        <v/>
      </c>
      <c r="O90" s="474">
        <f>I90</f>
        <v/>
      </c>
      <c r="P90">
        <f>N90</f>
        <v/>
      </c>
    </row>
    <row r="91">
      <c r="B91" s="419" t="inlineStr">
        <is>
          <t>Z Retail - portfolio total (incl OHs)</t>
        </is>
      </c>
      <c r="C91" s="435" t="n"/>
      <c r="D91" s="435" t="n"/>
      <c r="E91" s="435" t="n"/>
      <c r="F91" s="435" t="n"/>
      <c r="G91" s="431">
        <f>G87+G90</f>
        <v/>
      </c>
      <c r="H91" s="431">
        <f>H87+H90</f>
        <v/>
      </c>
      <c r="I91" s="431">
        <f>I87+I90</f>
        <v/>
      </c>
      <c r="J91" s="431">
        <f>J87+J90</f>
        <v/>
      </c>
      <c r="K91" s="431">
        <f>K87+K90</f>
        <v/>
      </c>
      <c r="L91" s="433">
        <f>IFERROR(I91/J91,"-")</f>
        <v/>
      </c>
      <c r="M91" s="420">
        <f>M87+M90+'0.2 Data Config'!$L$10</f>
        <v/>
      </c>
      <c r="N91" s="420">
        <f>N87+N90</f>
        <v/>
      </c>
      <c r="O91" s="420">
        <f>I91</f>
        <v/>
      </c>
      <c r="P91">
        <f>N91</f>
        <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
      </c>
      <c r="I92" s="425">
        <f>COUNTIFS(Squads!$N:$N,"TDD Cyber",Squads!$Q:$Q,"Squad",Squads!$R:$R,"Vacant")+COUNTIFS(Squads!$N:$N,"TDD Cyber",Squads!$Q:$Q,"Strategic Program",Squads!$R:$R,"Vacant")</f>
        <v/>
      </c>
      <c r="J92" s="425">
        <f>H92+I92</f>
        <v/>
      </c>
      <c r="K92" s="425" t="inlineStr">
        <is>
          <t>-</t>
        </is>
      </c>
      <c r="L92" s="434">
        <f>IFERROR(I92/J92,"-")</f>
        <v/>
      </c>
      <c r="M92" s="418">
        <f>'1.13 Cyber Roles'!$F$8</f>
        <v/>
      </c>
      <c r="N92" s="418">
        <f>'1.13 Cyber Roles'!$F$8</f>
        <v/>
      </c>
      <c r="O92" s="418">
        <f>I92</f>
        <v/>
      </c>
      <c r="P92">
        <f>N92</f>
        <v/>
      </c>
      <c r="AD92">
        <f>$B92&amp;"|"&amp;$D92</f>
        <v/>
      </c>
    </row>
    <row r="93">
      <c r="B93" s="449" t="n"/>
      <c r="C93" s="448" t="inlineStr">
        <is>
          <t>TDD Cyber, Risk &amp; Service Ops  - platform total (incl overhead)</t>
        </is>
      </c>
      <c r="D93" s="449" t="n"/>
      <c r="E93" s="449" t="n"/>
      <c r="F93" s="449" t="n"/>
      <c r="G93" s="475">
        <f>SUM(G92:G92)</f>
        <v/>
      </c>
      <c r="H93" s="475">
        <f>SUM(H92:H92)</f>
        <v/>
      </c>
      <c r="I93" s="475">
        <f>SUM(I92:I92)</f>
        <v/>
      </c>
      <c r="J93" s="475">
        <f>SUM(J92:J92)</f>
        <v/>
      </c>
      <c r="K93" s="475">
        <f>SUM(K92:K92)</f>
        <v/>
      </c>
      <c r="L93" s="477">
        <f>IFERROR(I93/J93,"-")</f>
        <v/>
      </c>
      <c r="M93" s="474">
        <f>SUM(M92:M92)+'0.2 Data Config'!$L$16</f>
        <v/>
      </c>
      <c r="N93" s="474">
        <f>SUM(N92:N92)</f>
        <v/>
      </c>
      <c r="O93" s="474">
        <f>I93</f>
        <v/>
      </c>
      <c r="P93">
        <f>N93</f>
        <v/>
      </c>
    </row>
    <row r="94">
      <c r="B94" s="419" t="inlineStr">
        <is>
          <t>TDD Cyber - portfolio total (incl OHs)</t>
        </is>
      </c>
      <c r="C94" s="435" t="n"/>
      <c r="D94" s="435" t="n"/>
      <c r="E94" s="435" t="n"/>
      <c r="F94" s="435" t="n"/>
      <c r="G94" s="431">
        <f>G93</f>
        <v/>
      </c>
      <c r="H94" s="431">
        <f>H93</f>
        <v/>
      </c>
      <c r="I94" s="431">
        <f>I93</f>
        <v/>
      </c>
      <c r="J94" s="431">
        <f>J93</f>
        <v/>
      </c>
      <c r="K94" s="431">
        <f>K93</f>
        <v/>
      </c>
      <c r="L94" s="433">
        <f>IFERROR(I94/J94,"-")</f>
        <v/>
      </c>
      <c r="M94" s="420">
        <f>M93+'0.2 Data Config'!$L$10</f>
        <v/>
      </c>
      <c r="N94" s="420">
        <f>N93</f>
        <v/>
      </c>
      <c r="O94" s="420">
        <f>I94</f>
        <v/>
      </c>
      <c r="P94">
        <f>N94</f>
        <v/>
      </c>
    </row>
    <row r="95">
      <c r="B95" s="427" t="inlineStr">
        <is>
          <t>TOTAL - delivery organisation (archetype cost incl overheads; actual = squad roles only)</t>
        </is>
      </c>
      <c r="C95" s="428" t="n"/>
      <c r="D95" s="428" t="n"/>
      <c r="E95" s="428" t="n"/>
      <c r="F95" s="428" t="n"/>
      <c r="G95" s="436">
        <f>G22+G36+G43+G51+G57+G63+G71+G77+G85+G91+G94</f>
        <v/>
      </c>
      <c r="H95" s="436">
        <f>H22+H36+H43+H51+H57+H63+H71+H77+H85+H91+H94</f>
        <v/>
      </c>
      <c r="I95" s="436">
        <f>I22+I36+I43+I51+I57+I63+I71+I77+I85+I91+I94</f>
        <v/>
      </c>
      <c r="J95" s="436">
        <f>J22+J36+J43+J51+J57+J63+J71+J77+J85+J91+J94</f>
        <v/>
      </c>
      <c r="K95" s="436">
        <f>J95-G95</f>
        <v/>
      </c>
      <c r="L95" s="437">
        <f>I95/J95</f>
        <v/>
      </c>
      <c r="M95" s="438">
        <f>M22+M36+M43+M51+M57+M63+M71+M77+M85+M91+M94</f>
        <v/>
      </c>
      <c r="N95" s="438">
        <f>N22+N36+N43+N51+N57+N63+N71+N77+N85+N91+N94</f>
        <v/>
      </c>
      <c r="O95" s="906">
        <f>SUM(O7:O94)</f>
        <v/>
      </c>
      <c r="P95" s="553">
        <f>SUM(P7:P94)</f>
        <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f>IF(Squads!$R$97="Vacant","Vacant",Squads!$B$97)</f>
        <v/>
      </c>
      <c r="D99" s="417">
        <f>SUBSTITUTE(SUBSTITUTE(Squads!$C$97,"–","-"),"—","-")</f>
        <v/>
      </c>
      <c r="E99" s="417" t="inlineStr">
        <is>
          <t>(All Retail)</t>
        </is>
      </c>
    </row>
    <row r="100">
      <c r="B100" s="417" t="inlineStr">
        <is>
          <t>Ampol Retail</t>
        </is>
      </c>
      <c r="C100" s="417">
        <f>IF(Squads!$R$17="Vacant","Vacant",Squads!$B$17)</f>
        <v/>
      </c>
      <c r="D100" s="417">
        <f>SUBSTITUTE(SUBSTITUTE(Squads!$C$17,"–","-"),"—","-")</f>
        <v/>
      </c>
      <c r="E100" s="417" t="inlineStr">
        <is>
          <t>Merch / Supply Chain</t>
        </is>
      </c>
    </row>
    <row r="101">
      <c r="B101" s="417" t="inlineStr">
        <is>
          <t>Ampol Retail</t>
        </is>
      </c>
      <c r="C101" s="417">
        <f>IF(Squads!$R$16="Vacant","Vacant",Squads!$B$16)</f>
        <v/>
      </c>
      <c r="D101" s="417">
        <f>SUBSTITUTE(SUBSTITUTE(Squads!$C$16,"–","-"),"—","-")</f>
        <v/>
      </c>
      <c r="E101" s="417" t="inlineStr">
        <is>
          <t>Store Operations, Payments, POS</t>
        </is>
      </c>
    </row>
    <row r="102">
      <c r="B102" s="417" t="inlineStr">
        <is>
          <t>Ampol Retail</t>
        </is>
      </c>
      <c r="C102" s="417">
        <f>IF(Squads!$R$15="Vacant","Vacant",Squads!$B$15)</f>
        <v/>
      </c>
      <c r="D102" s="417">
        <f>SUBSTITUTE(SUBSTITUTE(Squads!$C$15,"–","-"),"—","-")</f>
        <v/>
      </c>
      <c r="E102" s="417" t="inlineStr">
        <is>
          <t>(All Retail)</t>
        </is>
      </c>
    </row>
    <row r="103">
      <c r="B103" s="417" t="inlineStr">
        <is>
          <t>Ampol Retail</t>
        </is>
      </c>
      <c r="C103" s="417">
        <f>IF(Squads!$R$71="Vacant","Vacant",Squads!$B$71)</f>
        <v/>
      </c>
      <c r="D103" s="417">
        <f>SUBSTITUTE(SUBSTITUTE(Squads!$C$71,"–","-"),"—","-")</f>
        <v/>
      </c>
      <c r="E103" s="417" t="inlineStr">
        <is>
          <t>Store Operations, Network &amp; QSR, Deployment</t>
        </is>
      </c>
    </row>
    <row r="104">
      <c r="B104" s="417" t="inlineStr">
        <is>
          <t>COE</t>
        </is>
      </c>
      <c r="C104" s="417">
        <f>IF(Squads!$R$323="Vacant","Vacant",Squads!$B$323)</f>
        <v/>
      </c>
      <c r="D104" s="417">
        <f>SUBSTITUTE(SUBSTITUTE(Squads!$C$323,"–","-"),"—","-")</f>
        <v/>
      </c>
      <c r="E104" s="417" t="inlineStr">
        <is>
          <t>Group Data</t>
        </is>
      </c>
    </row>
    <row r="105">
      <c r="B105" s="417" t="inlineStr">
        <is>
          <t>COE</t>
        </is>
      </c>
      <c r="C105" s="417">
        <f>IF(Squads!$R$290="Vacant","Vacant",Squads!$B$290)</f>
        <v/>
      </c>
      <c r="D105" s="417">
        <f>SUBSTITUTE(SUBSTITUTE(Squads!$C$290,"–","-"),"—","-")</f>
        <v/>
      </c>
      <c r="E105" s="417" t="n"/>
    </row>
    <row r="106">
      <c r="B106" s="417" t="inlineStr">
        <is>
          <t>COE</t>
        </is>
      </c>
      <c r="C106" s="439">
        <f>IF(Squads!$R$291="Vacant","Vacant",Squads!$B$291)</f>
        <v/>
      </c>
      <c r="D106" s="417">
        <f>SUBSTITUTE(SUBSTITUTE(Squads!$C$291,"–","-"),"—","-")</f>
        <v/>
      </c>
      <c r="E106" s="417" t="inlineStr">
        <is>
          <t>Group Data</t>
        </is>
      </c>
    </row>
    <row r="107">
      <c r="B107" s="417" t="inlineStr">
        <is>
          <t>Customer</t>
        </is>
      </c>
      <c r="C107" s="417">
        <f>IF(Squads!$R$176="Vacant","Vacant",Squads!$B$176)</f>
        <v/>
      </c>
      <c r="D107" s="417">
        <f>SUBSTITUTE(SUBSTITUTE(Squads!$C$176,"–","-"),"—","-")</f>
        <v/>
      </c>
      <c r="E107" s="417" t="inlineStr">
        <is>
          <t>Ampol Digital</t>
        </is>
      </c>
    </row>
    <row r="108">
      <c r="B108" s="417" t="inlineStr">
        <is>
          <t>Customer</t>
        </is>
      </c>
      <c r="C108" s="417">
        <f>IF(Squads!$R$143="Vacant","Vacant",Squads!$B$143)</f>
        <v/>
      </c>
      <c r="D108" s="417">
        <f>SUBSTITUTE(SUBSTITUTE(Squads!$C$143,"–","-"),"—","-")</f>
        <v/>
      </c>
      <c r="E108" s="417" t="inlineStr">
        <is>
          <t>Ampol Digital</t>
        </is>
      </c>
    </row>
    <row r="109">
      <c r="B109" s="417" t="inlineStr">
        <is>
          <t>Customer</t>
        </is>
      </c>
      <c r="C109" s="417">
        <f>IF(Squads!$R$190="Vacant","Vacant",Squads!$B$190)</f>
        <v/>
      </c>
      <c r="D109" s="417">
        <f>SUBSTITUTE(SUBSTITUTE(Squads!$C$190,"–","-"),"—","-")</f>
        <v/>
      </c>
      <c r="E109" s="417" t="inlineStr">
        <is>
          <t>Customer Z, Group Customer Platforms</t>
        </is>
      </c>
    </row>
    <row r="110">
      <c r="B110" s="417" t="inlineStr">
        <is>
          <t>Customer</t>
        </is>
      </c>
      <c r="C110" s="417">
        <f>IF(Squads!$R$142="Vacant","Vacant",Squads!$B$142)</f>
        <v/>
      </c>
      <c r="D110" s="417">
        <f>SUBSTITUTE(SUBSTITUTE(Squads!$C$142,"–","-"),"—","-")</f>
        <v/>
      </c>
      <c r="E110" s="417" t="inlineStr">
        <is>
          <t>Customer Z, Ampol Digital</t>
        </is>
      </c>
    </row>
    <row r="111">
      <c r="B111" s="417" t="inlineStr">
        <is>
          <t>Customer</t>
        </is>
      </c>
      <c r="C111" s="417">
        <f>IF(Squads!$R$175="Vacant","Vacant",Squads!$B$175)</f>
        <v/>
      </c>
      <c r="D111" s="417">
        <f>SUBSTITUTE(SUBSTITUTE(Squads!$C$175,"–","-"),"—","-")</f>
        <v/>
      </c>
      <c r="E111" s="417" t="inlineStr">
        <is>
          <t>(All Customer)</t>
        </is>
      </c>
    </row>
    <row r="112">
      <c r="B112" s="417" t="inlineStr">
        <is>
          <t>Customer</t>
        </is>
      </c>
      <c r="C112" s="417">
        <f>IF(Squads!$R$115="Vacant","Vacant",Squads!$B$115)</f>
        <v/>
      </c>
      <c r="D112" s="417">
        <f>SUBSTITUTE(SUBSTITUTE(Squads!$C$115,"–","-"),"—","-")</f>
        <v/>
      </c>
      <c r="E112" s="417" t="inlineStr">
        <is>
          <t>Customer Z, Group Customer Platforms</t>
        </is>
      </c>
    </row>
    <row r="113">
      <c r="B113" s="417" t="inlineStr">
        <is>
          <t>Customer</t>
        </is>
      </c>
      <c r="C113" s="417">
        <f>IF(Squads!$R$155="Vacant","Vacant",Squads!$B$155)</f>
        <v/>
      </c>
      <c r="D113" s="417">
        <f>SUBSTITUTE(SUBSTITUTE(Squads!$C$155,"–","-"),"—","-")</f>
        <v/>
      </c>
      <c r="E113" s="417" t="inlineStr">
        <is>
          <t>Customer Z, Group Customer Platforms</t>
        </is>
      </c>
    </row>
    <row r="114">
      <c r="B114" s="417" t="inlineStr">
        <is>
          <t>Customer</t>
        </is>
      </c>
      <c r="C114" s="417">
        <f>IF(Squads!$R$154="Vacant","Vacant",Squads!$B$154)</f>
        <v/>
      </c>
      <c r="D114" s="417">
        <f>SUBSTITUTE(SUBSTITUTE(Squads!$C$154,"–","-"),"—","-")</f>
        <v/>
      </c>
      <c r="E114" s="417" t="inlineStr">
        <is>
          <t>Ampol Digital</t>
        </is>
      </c>
    </row>
    <row r="115">
      <c r="B115" s="417" t="inlineStr">
        <is>
          <t>Customer</t>
        </is>
      </c>
      <c r="C115" s="417">
        <f>IF(Squads!$R$124="Vacant","Vacant",Squads!$B$124)</f>
        <v/>
      </c>
      <c r="D115" s="417">
        <f>SUBSTITUTE(SUBSTITUTE(Squads!$C$124,"–","-"),"—","-")</f>
        <v/>
      </c>
      <c r="E115" s="417" t="inlineStr">
        <is>
          <t>(All Customer)</t>
        </is>
      </c>
    </row>
    <row r="116">
      <c r="B116" s="417" t="inlineStr">
        <is>
          <t>Customer</t>
        </is>
      </c>
      <c r="C116" s="439">
        <f>IF(Squads!$R$160="Vacant","Vacant",Squads!$B$160)</f>
        <v/>
      </c>
      <c r="D116" s="417">
        <f>SUBSTITUTE(SUBSTITUTE(Squads!$C$160,"–","-"),"—","-")</f>
        <v/>
      </c>
      <c r="E116" s="417" t="inlineStr">
        <is>
          <t>(All Customer)</t>
        </is>
      </c>
    </row>
    <row r="117">
      <c r="B117" s="417" t="inlineStr">
        <is>
          <t>Customer</t>
        </is>
      </c>
      <c r="C117" s="439">
        <f>IF(Squads!$R$123="Vacant","Vacant",Squads!$B$123)</f>
        <v/>
      </c>
      <c r="D117" s="417">
        <f>SUBSTITUTE(SUBSTITUTE(Squads!$C$123,"–","-"),"—","-")</f>
        <v/>
      </c>
      <c r="E117" s="417" t="inlineStr">
        <is>
          <t>Ampol Digital, Group Customer Platforms</t>
        </is>
      </c>
    </row>
    <row r="118">
      <c r="B118" s="417" t="inlineStr">
        <is>
          <t>Customer</t>
        </is>
      </c>
      <c r="C118" s="439">
        <f>IF(Squads!$R$201="Vacant","Vacant",Squads!$B$201)</f>
        <v/>
      </c>
      <c r="D118" s="417">
        <f>SUBSTITUTE(SUBSTITUTE(Squads!$C$201,"–","-"),"—","-")</f>
        <v/>
      </c>
      <c r="E118" s="417" t="inlineStr">
        <is>
          <t>Leadership</t>
        </is>
      </c>
    </row>
    <row r="119">
      <c r="B119" s="417" t="inlineStr">
        <is>
          <t>Customer</t>
        </is>
      </c>
      <c r="C119" s="439">
        <f>IF(Squads!$R$188="Vacant","Vacant",Squads!$B$188)</f>
        <v/>
      </c>
      <c r="D119" s="417">
        <f>SUBSTITUTE(SUBSTITUTE(Squads!$C$188,"–","-"),"—","-")</f>
        <v/>
      </c>
      <c r="E119" s="417" t="inlineStr">
        <is>
          <t>Ampol Digital</t>
        </is>
      </c>
    </row>
    <row r="120">
      <c r="B120" s="417" t="inlineStr">
        <is>
          <t>Customer</t>
        </is>
      </c>
      <c r="C120" s="417">
        <f>IF(Squads!$R$152="Vacant","Vacant",Squads!$B$152)</f>
        <v/>
      </c>
      <c r="D120" s="417">
        <f>SUBSTITUTE(SUBSTITUTE(Squads!$C$152,"–","-"),"—","-")</f>
        <v/>
      </c>
      <c r="E120" s="417" t="inlineStr">
        <is>
          <t>Customer Z, Group Customer Platforms</t>
        </is>
      </c>
    </row>
    <row r="121">
      <c r="B121" s="417" t="inlineStr">
        <is>
          <t>Energy Solutions &amp; B2B</t>
        </is>
      </c>
      <c r="C121" s="417">
        <f>IF(Squads!$R$373="Vacant","Vacant",Squads!$B$373)</f>
        <v/>
      </c>
      <c r="D121" s="417">
        <f>SUBSTITUTE(SUBSTITUTE(Squads!$C$373,"–","-"),"—","-")</f>
        <v/>
      </c>
      <c r="E121" s="417" t="inlineStr">
        <is>
          <t>Leadership</t>
        </is>
      </c>
    </row>
    <row r="122">
      <c r="B122" s="417" t="inlineStr">
        <is>
          <t>Energy Solutions &amp; B2B</t>
        </is>
      </c>
      <c r="C122" s="417">
        <f>IF(Squads!$R$381="Vacant","Vacant",Squads!$B$381)</f>
        <v/>
      </c>
      <c r="D122" s="417">
        <f>SUBSTITUTE(SUBSTITUTE(Squads!$C$381,"–","-"),"—","-")</f>
        <v/>
      </c>
      <c r="E122" s="417" t="inlineStr">
        <is>
          <t>Leadership</t>
        </is>
      </c>
    </row>
    <row r="123">
      <c r="B123" s="417" t="inlineStr">
        <is>
          <t>Energy Solutions &amp; B2B</t>
        </is>
      </c>
      <c r="C123" s="439">
        <f>IF(Squads!$R$375="Vacant","Vacant",Squads!$B$375)</f>
        <v/>
      </c>
      <c r="D123" s="417">
        <f>SUBSTITUTE(SUBSTITUTE(Squads!$C$375,"–","-"),"—","-")</f>
        <v/>
      </c>
      <c r="E123" s="417" t="inlineStr">
        <is>
          <t>Leadership</t>
        </is>
      </c>
    </row>
    <row r="124">
      <c r="B124" s="417" t="inlineStr">
        <is>
          <t>Energy Solutions &amp; B2B</t>
        </is>
      </c>
      <c r="C124" s="439">
        <f>IF(Squads!$R$492="Vacant","Vacant",Squads!$B$492)</f>
        <v/>
      </c>
      <c r="D124" s="417">
        <f>SUBSTITUTE(SUBSTITUTE(Squads!$C$492,"–","-"),"—","-")</f>
        <v/>
      </c>
      <c r="E124" s="417" t="inlineStr">
        <is>
          <t>Leadership</t>
        </is>
      </c>
    </row>
    <row r="125">
      <c r="B125" s="417" t="inlineStr">
        <is>
          <t>Enterprise Data</t>
        </is>
      </c>
      <c r="C125" s="417">
        <f>IF(Squads!$R$317="Vacant","Vacant",Squads!$B$317)</f>
        <v/>
      </c>
      <c r="D125" s="417">
        <f>SUBSTITUTE(SUBSTITUTE(Squads!$C$317,"–","-"),"—","-")</f>
        <v/>
      </c>
      <c r="E125" s="417" t="inlineStr">
        <is>
          <t>Leadership</t>
        </is>
      </c>
    </row>
    <row r="126">
      <c r="B126" s="417" t="inlineStr">
        <is>
          <t>Finance</t>
        </is>
      </c>
      <c r="C126" s="417">
        <f>IF(Squads!$R$493="Vacant","Vacant",Squads!$B$493)</f>
        <v/>
      </c>
      <c r="D126" s="417">
        <f>SUBSTITUTE(SUBSTITUTE(Squads!$C$493,"–","-"),"—","-")</f>
        <v/>
      </c>
      <c r="E126" s="417" t="inlineStr">
        <is>
          <t>Finance</t>
        </is>
      </c>
    </row>
    <row r="127">
      <c r="B127" s="417" t="inlineStr">
        <is>
          <t>Infrastructure</t>
        </is>
      </c>
      <c r="C127" s="417">
        <f>IF(Squads!$R$380="Vacant","Vacant",Squads!$B$380)</f>
        <v/>
      </c>
      <c r="D127" s="417">
        <f>SUBSTITUTE(SUBSTITUTE(Squads!$C$380,"–","-"),"—","-")</f>
        <v/>
      </c>
      <c r="E127" s="417" t="inlineStr">
        <is>
          <t xml:space="preserve">Leadership </t>
        </is>
      </c>
    </row>
    <row r="128">
      <c r="B128" s="417" t="inlineStr">
        <is>
          <t>Infrastructure</t>
        </is>
      </c>
      <c r="C128" s="417">
        <f>IF(Squads!$R$354="Vacant","Vacant",Squads!$B$354)</f>
        <v/>
      </c>
      <c r="D128" s="417">
        <f>SUBSTITUTE(SUBSTITUTE(Squads!$C$354,"–","-"),"—","-")</f>
        <v/>
      </c>
      <c r="E128" s="417" t="inlineStr">
        <is>
          <t xml:space="preserve">Leadership </t>
        </is>
      </c>
    </row>
    <row r="129">
      <c r="B129" s="417" t="inlineStr">
        <is>
          <t>Infrastructure</t>
        </is>
      </c>
      <c r="C129" s="417">
        <f>IF(Squads!$R$405="Vacant","Vacant",Squads!$B$405)</f>
        <v/>
      </c>
      <c r="D129" s="417">
        <f>SUBSTITUTE(SUBSTITUTE(Squads!$C$405,"–","-"),"—","-")</f>
        <v/>
      </c>
      <c r="E129" s="417" t="inlineStr">
        <is>
          <t>Distribution</t>
        </is>
      </c>
    </row>
    <row r="130">
      <c r="B130" s="417" t="inlineStr">
        <is>
          <t>Infrastructure</t>
        </is>
      </c>
      <c r="C130" s="417">
        <f>IF(Squads!$R$353="Vacant","Vacant",Squads!$B$353)</f>
        <v/>
      </c>
      <c r="D130" s="417">
        <f>SUBSTITUTE(SUBSTITUTE(Squads!$C$353,"–","-"),"—","-")</f>
        <v/>
      </c>
      <c r="E130" s="417" t="inlineStr">
        <is>
          <t xml:space="preserve">Leadership </t>
        </is>
      </c>
    </row>
    <row r="131">
      <c r="B131" s="417" t="inlineStr">
        <is>
          <t>Infrastructure</t>
        </is>
      </c>
      <c r="C131" s="439">
        <f>IF(Squads!$R$351="Vacant","Vacant",Squads!$B$351)</f>
        <v/>
      </c>
      <c r="D131" s="417">
        <f>SUBSTITUTE(SUBSTITUTE(Squads!$C$351,"–","-"),"—","-")</f>
        <v/>
      </c>
      <c r="E131" s="417" t="inlineStr">
        <is>
          <t>Leadership</t>
        </is>
      </c>
    </row>
    <row r="132">
      <c r="B132" s="417" t="inlineStr">
        <is>
          <t>P&amp;C</t>
        </is>
      </c>
      <c r="C132" s="417">
        <f>IF(Squads!$R$494="Vacant","Vacant",Squads!$B$494)</f>
        <v/>
      </c>
      <c r="D132" s="417">
        <f>SUBSTITUTE(SUBSTITUTE(Squads!$C$494,"–","-"),"—","-")</f>
        <v/>
      </c>
      <c r="E132" s="417" t="inlineStr">
        <is>
          <t>P&amp;C</t>
        </is>
      </c>
    </row>
    <row r="133">
      <c r="B133" s="417" t="inlineStr">
        <is>
          <t>P&amp;C</t>
        </is>
      </c>
      <c r="C133" s="439">
        <f>IF(Squads!$R$496="Vacant","Vacant",Squads!$B$496)</f>
        <v/>
      </c>
      <c r="D133" s="417">
        <f>SUBSTITUTE(SUBSTITUTE(Squads!$C$496,"–","-"),"—","-")</f>
        <v/>
      </c>
      <c r="E133" s="417" t="inlineStr">
        <is>
          <t>P&amp;C, Finance &amp; Legal</t>
        </is>
      </c>
    </row>
    <row r="134">
      <c r="B134" s="417" t="inlineStr">
        <is>
          <t>P&amp;C</t>
        </is>
      </c>
      <c r="C134" s="417">
        <f>IF(Squads!$R$495="Vacant","Vacant",Squads!$B$495)</f>
        <v/>
      </c>
      <c r="D134" s="417">
        <f>SUBSTITUTE(SUBSTITUTE(Squads!$C$495,"–","-"),"—","-")</f>
        <v/>
      </c>
      <c r="E134" s="417" t="inlineStr">
        <is>
          <t>P&amp;C, Finance &amp; Legal</t>
        </is>
      </c>
    </row>
    <row r="135">
      <c r="B135" s="417" t="inlineStr">
        <is>
          <t>TDD Group Functions</t>
        </is>
      </c>
      <c r="C135" s="417">
        <f>IF(Squads!$R$499="Vacant","Vacant",Squads!$B$499)</f>
        <v/>
      </c>
      <c r="D135" s="417">
        <f>SUBSTITUTE(SUBSTITUTE(Squads!$C$499,"–","-"),"—","-")</f>
        <v/>
      </c>
      <c r="E135" s="417" t="inlineStr">
        <is>
          <t>TDD</t>
        </is>
      </c>
    </row>
    <row r="136">
      <c r="B136" s="417" t="inlineStr">
        <is>
          <t>TDD Group Functions</t>
        </is>
      </c>
      <c r="C136" s="417">
        <f>IF(Squads!$R$498="Vacant","Vacant",Squads!$B$498)</f>
        <v/>
      </c>
      <c r="D136" s="417">
        <f>SUBSTITUTE(SUBSTITUTE(Squads!$C$498,"–","-"),"—","-")</f>
        <v/>
      </c>
      <c r="E136" s="417" t="inlineStr">
        <is>
          <t>Leadership</t>
        </is>
      </c>
    </row>
    <row r="137">
      <c r="B137" s="417" t="inlineStr">
        <is>
          <t>TDD Group Functions</t>
        </is>
      </c>
      <c r="C137" s="439">
        <f>IF(Squads!$R$501="Vacant","Vacant",Squads!$B$501)</f>
        <v/>
      </c>
      <c r="D137" s="417">
        <f>SUBSTITUTE(SUBSTITUTE(Squads!$C$501,"–","-"),"—","-")</f>
        <v/>
      </c>
      <c r="E137" s="417" t="inlineStr">
        <is>
          <t>TDD</t>
        </is>
      </c>
    </row>
    <row r="138">
      <c r="B138" s="417" t="inlineStr">
        <is>
          <t>TDD Group Functions</t>
        </is>
      </c>
      <c r="C138" s="439">
        <f>IF(Squads!$R$497="Vacant","Vacant",Squads!$B$497)</f>
        <v/>
      </c>
      <c r="D138" s="417">
        <f>SUBSTITUTE(SUBSTITUTE(Squads!$C$497,"–","-"),"—","-")</f>
        <v/>
      </c>
      <c r="E138" s="417" t="inlineStr">
        <is>
          <t>TDD</t>
        </is>
      </c>
    </row>
    <row r="139">
      <c r="B139" s="417" t="inlineStr">
        <is>
          <t>TDD Group Functions</t>
        </is>
      </c>
      <c r="C139" s="439">
        <f>IF(Squads!$R$503="Vacant","Vacant",Squads!$B$503)</f>
        <v/>
      </c>
      <c r="D139" s="417">
        <f>SUBSTITUTE(SUBSTITUTE(Squads!$C$503,"–","-"),"—","-")</f>
        <v/>
      </c>
      <c r="E139" s="417" t="inlineStr">
        <is>
          <t>Leadership</t>
        </is>
      </c>
    </row>
    <row r="140">
      <c r="B140" s="417" t="inlineStr">
        <is>
          <t>TDD Group Functions</t>
        </is>
      </c>
      <c r="C140" s="439">
        <f>IF(Squads!$R$502="Vacant","Vacant",Squads!$B$502)</f>
        <v/>
      </c>
      <c r="D140" s="417">
        <f>SUBSTITUTE(SUBSTITUTE(Squads!$C$502,"–","-"),"—","-")</f>
        <v/>
      </c>
      <c r="E140" s="417" t="inlineStr">
        <is>
          <t>TDD</t>
        </is>
      </c>
    </row>
    <row r="141">
      <c r="B141" s="417" t="inlineStr">
        <is>
          <t>TDD Group Functions</t>
        </is>
      </c>
      <c r="C141" s="439">
        <f>IF(Squads!$R$500="Vacant","Vacant",Squads!$B$500)</f>
        <v/>
      </c>
      <c r="D141" s="417">
        <f>SUBSTITUTE(SUBSTITUTE(Squads!$C$500,"–","-"),"—","-")</f>
        <v/>
      </c>
      <c r="E141" s="417" t="inlineStr">
        <is>
          <t>TDD</t>
        </is>
      </c>
    </row>
    <row r="142">
      <c r="B142" s="417" t="inlineStr">
        <is>
          <t>Unmapped</t>
        </is>
      </c>
      <c r="C142" s="417">
        <f>IF(Squads!$R$340="Vacant","Vacant",Squads!$B$340)</f>
        <v/>
      </c>
      <c r="D142" s="417">
        <f>SUBSTITUTE(SUBSTITUTE(Squads!$C$340,"–","-"),"—","-")</f>
        <v/>
      </c>
      <c r="E142" s="417" t="n"/>
    </row>
    <row r="143">
      <c r="B143" s="417" t="inlineStr">
        <is>
          <t>Unmapped</t>
        </is>
      </c>
      <c r="C143" s="417">
        <f>IF(Squads!$R$307="Vacant","Vacant",Squads!$B$307)</f>
        <v/>
      </c>
      <c r="D143" s="417">
        <f>SUBSTITUTE(SUBSTITUTE(Squads!$C$307,"–","-"),"—","-")</f>
        <v/>
      </c>
      <c r="E143" s="417" t="n"/>
    </row>
    <row r="144">
      <c r="B144" s="417" t="inlineStr">
        <is>
          <t>Unmapped</t>
        </is>
      </c>
      <c r="C144" s="417">
        <f>IF(Squads!$R$308="Vacant","Vacant",Squads!$B$308)</f>
        <v/>
      </c>
      <c r="D144" s="417">
        <f>SUBSTITUTE(SUBSTITUTE(Squads!$C$308,"–","-"),"—","-")</f>
        <v/>
      </c>
      <c r="E144" s="417" t="n"/>
    </row>
    <row r="145">
      <c r="B145" s="417" t="inlineStr">
        <is>
          <t>Unmapped</t>
        </is>
      </c>
      <c r="C145" s="417">
        <f>IF(Squads!$R$252="Vacant","Vacant",Squads!$B$252)</f>
        <v/>
      </c>
      <c r="D145" s="417">
        <f>SUBSTITUTE(SUBSTITUTE(Squads!$C$252,"–","-"),"—","-")</f>
        <v/>
      </c>
      <c r="E145" s="417" t="inlineStr">
        <is>
          <t>Leadership</t>
        </is>
      </c>
    </row>
    <row r="146">
      <c r="B146" s="417" t="inlineStr">
        <is>
          <t>Unmapped</t>
        </is>
      </c>
      <c r="C146" s="439">
        <f>IF(Squads!$R$309="Vacant","Vacant",Squads!$B$309)</f>
        <v/>
      </c>
      <c r="D146" s="417">
        <f>SUBSTITUTE(SUBSTITUTE(Squads!$C$309,"–","-"),"—","-")</f>
        <v/>
      </c>
      <c r="E146" s="417" t="n"/>
    </row>
    <row r="147">
      <c r="B147" s="417" t="inlineStr">
        <is>
          <t>Unmapped</t>
        </is>
      </c>
      <c r="C147" s="439">
        <f>IF(Squads!$R$306="Vacant","Vacant",Squads!$B$306)</f>
        <v/>
      </c>
      <c r="D147" s="417">
        <f>SUBSTITUTE(SUBSTITUTE(Squads!$C$306,"–","-"),"—","-")</f>
        <v/>
      </c>
      <c r="E147" s="417" t="n"/>
    </row>
    <row r="148">
      <c r="B148" s="417" t="inlineStr">
        <is>
          <t>Z Retail</t>
        </is>
      </c>
      <c r="C148" s="417">
        <f>IF(Squads!$R$57="Vacant","Vacant",Squads!$B$57)</f>
        <v/>
      </c>
      <c r="D148" s="417">
        <f>SUBSTITUTE(SUBSTITUTE(Squads!$C$57,"–","-"),"—","-")</f>
        <v/>
      </c>
      <c r="E148" s="417" t="inlineStr">
        <is>
          <t>Z Customer &amp; Z Supply</t>
        </is>
      </c>
    </row>
    <row r="149">
      <c r="B149" s="417" t="inlineStr">
        <is>
          <t>Z Retail</t>
        </is>
      </c>
      <c r="C149" s="417">
        <f>IF(Squads!$R$35="Vacant","Vacant",Squads!$B$35)</f>
        <v/>
      </c>
      <c r="D149" s="417">
        <f>SUBSTITUTE(SUBSTITUTE(Squads!$C$35,"–","-"),"—","-")</f>
        <v/>
      </c>
      <c r="E149" s="417" t="inlineStr">
        <is>
          <t>Z Customer &amp; Z Supply</t>
        </is>
      </c>
    </row>
    <row r="150">
      <c r="B150" s="417" t="inlineStr">
        <is>
          <t>Z Retail</t>
        </is>
      </c>
      <c r="C150" s="439">
        <f>IF(Squads!$R$32="Vacant","Vacant",Squads!$B$32)</f>
        <v/>
      </c>
      <c r="D150" s="417">
        <f>SUBSTITUTE(SUBSTITUTE(Squads!$C$32,"–","-"),"—","-")</f>
        <v/>
      </c>
      <c r="E150" s="417" t="inlineStr">
        <is>
          <t>Z Customer &amp; Z Supply</t>
        </is>
      </c>
    </row>
    <row r="151">
      <c r="B151" s="417" t="inlineStr">
        <is>
          <t>Z Retail</t>
        </is>
      </c>
      <c r="C151" s="439">
        <f>IF(Squads!$R$98="Vacant","Vacant",Squads!$B$98)</f>
        <v/>
      </c>
      <c r="D151" s="417">
        <f>SUBSTITUTE(SUBSTITUTE(Squads!$C$98,"–","-"),"—","-")</f>
        <v/>
      </c>
      <c r="E151" s="417" t="inlineStr">
        <is>
          <t>Z Customer &amp; Z Supply</t>
        </is>
      </c>
    </row>
    <row r="152">
      <c r="B152" s="419" t="inlineStr">
        <is>
          <t>Total leadership roles</t>
        </is>
      </c>
      <c r="C152" s="431">
        <f>COUNTIF(Squads!$Q:$Q,"Leadership")</f>
        <v/>
      </c>
      <c r="D152" s="419">
        <f>COUNTIFS(Squads!$Q:$Q,"Leadership",Squads!$R:$R,"Filled")&amp;" filled / "&amp;COUNTIFS(Squads!$Q:$Q,"Leadership",Squads!$R:$R,"Vacant")&amp;" vacant"</f>
        <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
      </c>
      <c r="J157" s="441">
        <f>COUNTIFS(Squads!$N:$N,"Z Retail",Squads!$P:$P,"Data NZ",Squads!$R:$R,"Vacant")</f>
        <v/>
      </c>
      <c r="K157" s="441">
        <f>I157+J157</f>
        <v/>
      </c>
    </row>
    <row r="158">
      <c r="B158" s="440" t="inlineStr">
        <is>
          <t>EGI</t>
        </is>
      </c>
      <c r="C158" s="440" t="inlineStr">
        <is>
          <t>EGI (unassigned)</t>
        </is>
      </c>
      <c r="I158" s="441">
        <f>COUNTIFS(Squads!$N:$N,"EGI",Squads!$P:$P,"EGI (unassigned)",Squads!$R:$R,"Filled")</f>
        <v/>
      </c>
      <c r="J158" s="441">
        <f>COUNTIFS(Squads!$N:$N,"EGI",Squads!$P:$P,"EGI (unassigned)",Squads!$R:$R,"Vacant")</f>
        <v/>
      </c>
      <c r="K158" s="441">
        <f>I158+J158</f>
        <v/>
      </c>
    </row>
    <row r="159">
      <c r="B159" s="440" t="inlineStr">
        <is>
          <t>Other unmapped</t>
        </is>
      </c>
      <c r="I159" s="441">
        <f>COUNTIFS(Squads!$Q:$Q,"Unmapped",Squads!$R:$R,"Filled")-SUM(I157:I158)</f>
        <v/>
      </c>
      <c r="J159" s="441">
        <f>COUNTIFS(Squads!$Q:$Q,"Unmapped",Squads!$R:$R,"Vacant")-SUM(J157:J158)</f>
        <v/>
      </c>
      <c r="K159" s="441">
        <f>I159+J159</f>
        <v/>
      </c>
    </row>
    <row r="161">
      <c r="B161" s="417" t="inlineStr">
        <is>
          <t>COE roles (detail on 1.11 / 1.12 / 1.13)</t>
        </is>
      </c>
      <c r="I161" s="425">
        <f>COUNTIFS(Squads!$Q:$Q,"COE",Squads!$R:$R,"Filled")</f>
        <v/>
      </c>
      <c r="J161" s="425">
        <f>COUNTIFS(Squads!$Q:$Q,"COE",Squads!$R:$R,"Vacant")</f>
        <v/>
      </c>
      <c r="K161" s="425">
        <f>I161+J161</f>
        <v/>
      </c>
    </row>
    <row r="162">
      <c r="B162" s="432" t="inlineStr">
        <is>
          <t>Cross-check: org records</t>
        </is>
      </c>
      <c r="C162" s="442">
        <f>C4</f>
        <v/>
      </c>
    </row>
    <row r="163">
      <c r="B163" s="432" t="inlineStr">
        <is>
          <t>Accounted for above</t>
        </is>
      </c>
      <c r="C163" s="478">
        <f>J95+COUNTIF(Squads!$Q:$Q,"Leadership")+SUM(K156:K159)+K161</f>
        <v/>
      </c>
    </row>
    <row r="164">
      <c r="B164" s="419" t="inlineStr">
        <is>
          <t>Difference (must be 0)</t>
        </is>
      </c>
      <c r="C164" s="431">
        <f>C162-C163</f>
        <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f>Sheet2!$B$54</f>
        <v/>
      </c>
      <c r="C169" s="563">
        <f>SUBSTITUTE(SUBSTITUTE(Sheet2!$C$54,"–","-"),"—","-")</f>
        <v/>
      </c>
      <c r="D169" s="552">
        <f>IF(LOWER(Sheet2!$Q$54)="v","Vacant",IF(LOWER(Sheet2!$Q$54)="pause","Paused",IF(LOWER(Sheet2!$Q$54)="cxc","Contractor","Filled")))</f>
        <v/>
      </c>
      <c r="E169" s="563">
        <f>Sheet2!$M$54</f>
        <v/>
      </c>
      <c r="F169" s="551">
        <f>Sheet2!$AA$54/1000000</f>
        <v/>
      </c>
    </row>
    <row r="170">
      <c r="B170" s="563">
        <f>Sheet2!$B$55</f>
        <v/>
      </c>
      <c r="C170" s="563">
        <f>SUBSTITUTE(SUBSTITUTE(Sheet2!$C$55,"–","-"),"—","-")</f>
        <v/>
      </c>
      <c r="D170" s="552">
        <f>IF(LOWER(Sheet2!$Q$55)="v","Vacant",IF(LOWER(Sheet2!$Q$55)="pause","Paused",IF(LOWER(Sheet2!$Q$55)="cxc","Contractor","Filled")))</f>
        <v/>
      </c>
      <c r="E170" s="563">
        <f>Sheet2!$M$55</f>
        <v/>
      </c>
      <c r="F170" s="551">
        <f>Sheet2!$AA$55/1000000</f>
        <v/>
      </c>
    </row>
    <row r="171">
      <c r="B171" s="563">
        <f>Sheet2!$B$56</f>
        <v/>
      </c>
      <c r="C171" s="563">
        <f>SUBSTITUTE(SUBSTITUTE(Sheet2!$C$56,"–","-"),"—","-")</f>
        <v/>
      </c>
      <c r="D171" s="552">
        <f>IF(LOWER(Sheet2!$Q$56)="v","Vacant",IF(LOWER(Sheet2!$Q$56)="pause","Paused",IF(LOWER(Sheet2!$Q$56)="cxc","Contractor","Filled")))</f>
        <v/>
      </c>
      <c r="E171" s="563">
        <f>Sheet2!$M$56</f>
        <v/>
      </c>
      <c r="F171" s="551">
        <f>Sheet2!$AA$56/1000000</f>
        <v/>
      </c>
    </row>
    <row r="172">
      <c r="B172" s="563">
        <f>Sheet2!$B$57</f>
        <v/>
      </c>
      <c r="C172" s="563">
        <f>SUBSTITUTE(SUBSTITUTE(Sheet2!$C$57,"–","-"),"—","-")</f>
        <v/>
      </c>
      <c r="D172" s="552">
        <f>IF(LOWER(Sheet2!$Q$57)="v","Vacant",IF(LOWER(Sheet2!$Q$57)="pause","Paused",IF(LOWER(Sheet2!$Q$57)="cxc","Contractor","Filled")))</f>
        <v/>
      </c>
      <c r="E172" s="563">
        <f>Sheet2!$M$57</f>
        <v/>
      </c>
      <c r="F172" s="551">
        <f>Sheet2!$AA$57/1000000</f>
        <v/>
      </c>
    </row>
    <row r="173">
      <c r="B173" s="563">
        <f>Sheet2!$B$58</f>
        <v/>
      </c>
      <c r="C173" s="563">
        <f>SUBSTITUTE(SUBSTITUTE(Sheet2!$C$58,"–","-"),"—","-")</f>
        <v/>
      </c>
      <c r="D173" s="552">
        <f>IF(LOWER(Sheet2!$Q$58)="v","Vacant",IF(LOWER(Sheet2!$Q$58)="pause","Paused",IF(LOWER(Sheet2!$Q$58)="cxc","Contractor","Filled")))</f>
        <v/>
      </c>
      <c r="E173" s="563">
        <f>Sheet2!$M$58</f>
        <v/>
      </c>
      <c r="F173" s="551">
        <f>Sheet2!$AA$58/1000000</f>
        <v/>
      </c>
    </row>
    <row r="174">
      <c r="B174" s="563">
        <f>Sheet2!$B$59</f>
        <v/>
      </c>
      <c r="C174" s="563">
        <f>SUBSTITUTE(SUBSTITUTE(Sheet2!$C$59,"–","-"),"—","-")</f>
        <v/>
      </c>
      <c r="D174" s="552">
        <f>IF(LOWER(Sheet2!$Q$59)="v","Vacant",IF(LOWER(Sheet2!$Q$59)="pause","Paused",IF(LOWER(Sheet2!$Q$59)="cxc","Contractor","Filled")))</f>
        <v/>
      </c>
      <c r="E174" s="563">
        <f>Sheet2!$M$59</f>
        <v/>
      </c>
      <c r="F174" s="551">
        <f>Sheet2!$AA$59/1000000</f>
        <v/>
      </c>
    </row>
    <row r="175">
      <c r="B175" s="563">
        <f>Sheet2!$B$60</f>
        <v/>
      </c>
      <c r="C175" s="563">
        <f>SUBSTITUTE(SUBSTITUTE(Sheet2!$C$60,"–","-"),"—","-")</f>
        <v/>
      </c>
      <c r="D175" s="552">
        <f>IF(LOWER(Sheet2!$Q$60)="v","Vacant",IF(LOWER(Sheet2!$Q$60)="pause","Paused",IF(LOWER(Sheet2!$Q$60)="cxc","Contractor","Filled")))</f>
        <v/>
      </c>
      <c r="E175" s="563">
        <f>Sheet2!$M$60</f>
        <v/>
      </c>
      <c r="F175" s="551">
        <f>Sheet2!$AA$60/1000000</f>
        <v/>
      </c>
    </row>
    <row r="176">
      <c r="B176" s="563">
        <f>Sheet2!$B$61</f>
        <v/>
      </c>
      <c r="C176" s="563">
        <f>SUBSTITUTE(SUBSTITUTE(Sheet2!$C$61,"–","-"),"—","-")</f>
        <v/>
      </c>
      <c r="D176" s="552">
        <f>IF(LOWER(Sheet2!$Q$61)="v","Vacant",IF(LOWER(Sheet2!$Q$61)="pause","Paused",IF(LOWER(Sheet2!$Q$61)="cxc","Contractor","Filled")))</f>
        <v/>
      </c>
      <c r="E176" s="563">
        <f>Sheet2!$M$61</f>
        <v/>
      </c>
      <c r="F176" s="551">
        <f>Sheet2!$AA$61/1000000</f>
        <v/>
      </c>
    </row>
    <row r="177">
      <c r="B177" s="563">
        <f>Sheet2!$B$62</f>
        <v/>
      </c>
      <c r="C177" s="563">
        <f>SUBSTITUTE(SUBSTITUTE(Sheet2!$C$62,"–","-"),"—","-")</f>
        <v/>
      </c>
      <c r="D177" s="552">
        <f>IF(LOWER(Sheet2!$Q$62)="v","Vacant",IF(LOWER(Sheet2!$Q$62)="pause","Paused",IF(LOWER(Sheet2!$Q$62)="cxc","Contractor","Filled")))</f>
        <v/>
      </c>
      <c r="E177" s="563">
        <f>Sheet2!$M$62</f>
        <v/>
      </c>
      <c r="F177" s="551">
        <f>Sheet2!$AA$62/1000000</f>
        <v/>
      </c>
    </row>
    <row r="178">
      <c r="B178" s="563">
        <f>Sheet2!$B$63</f>
        <v/>
      </c>
      <c r="C178" s="563">
        <f>SUBSTITUTE(SUBSTITUTE(Sheet2!$C$63,"–","-"),"—","-")</f>
        <v/>
      </c>
      <c r="D178" s="552">
        <f>IF(LOWER(Sheet2!$Q$63)="v","Vacant",IF(LOWER(Sheet2!$Q$63)="pause","Paused",IF(LOWER(Sheet2!$Q$63)="cxc","Contractor","Filled")))</f>
        <v/>
      </c>
      <c r="E178" s="563">
        <f>Sheet2!$M$63</f>
        <v/>
      </c>
      <c r="F178" s="551">
        <f>Sheet2!$AA$63/1000000</f>
        <v/>
      </c>
    </row>
    <row r="179">
      <c r="B179" s="563">
        <f>Sheet2!$B$64</f>
        <v/>
      </c>
      <c r="C179" s="563">
        <f>SUBSTITUTE(SUBSTITUTE(Sheet2!$C$64,"–","-"),"—","-")</f>
        <v/>
      </c>
      <c r="D179" s="552">
        <f>IF(LOWER(Sheet2!$Q$64)="v","Vacant",IF(LOWER(Sheet2!$Q$64)="pause","Paused",IF(LOWER(Sheet2!$Q$64)="cxc","Contractor","Filled")))</f>
        <v/>
      </c>
      <c r="E179" s="563">
        <f>Sheet2!$M$64</f>
        <v/>
      </c>
      <c r="F179" s="551">
        <f>Sheet2!$AA$64/1000000</f>
        <v/>
      </c>
    </row>
    <row r="180">
      <c r="B180" s="563">
        <f>Sheet2!$B$65</f>
        <v/>
      </c>
      <c r="C180" s="563">
        <f>SUBSTITUTE(SUBSTITUTE(Sheet2!$C$65,"–","-"),"—","-")</f>
        <v/>
      </c>
      <c r="D180" s="552">
        <f>IF(LOWER(Sheet2!$Q$65)="v","Vacant",IF(LOWER(Sheet2!$Q$65)="pause","Paused",IF(LOWER(Sheet2!$Q$65)="cxc","Contractor","Filled")))</f>
        <v/>
      </c>
      <c r="E180" s="563">
        <f>Sheet2!$M$65</f>
        <v/>
      </c>
      <c r="F180" s="551">
        <f>Sheet2!$AA$65/1000000</f>
        <v/>
      </c>
    </row>
    <row r="181">
      <c r="B181" s="563">
        <f>Sheet2!$B$66</f>
        <v/>
      </c>
      <c r="C181" s="563">
        <f>SUBSTITUTE(SUBSTITUTE(Sheet2!$C$66,"–","-"),"—","-")</f>
        <v/>
      </c>
      <c r="D181" s="552">
        <f>IF(LOWER(Sheet2!$Q$66)="v","Vacant",IF(LOWER(Sheet2!$Q$66)="pause","Paused",IF(LOWER(Sheet2!$Q$66)="cxc","Contractor","Filled")))</f>
        <v/>
      </c>
      <c r="E181" s="563">
        <f>Sheet2!$M$66</f>
        <v/>
      </c>
      <c r="F181" s="551">
        <f>Sheet2!$AA$66/1000000</f>
        <v/>
      </c>
    </row>
    <row r="182">
      <c r="B182" s="563">
        <f>Sheet2!$B$67</f>
        <v/>
      </c>
      <c r="C182" s="563">
        <f>SUBSTITUTE(SUBSTITUTE(Sheet2!$C$67,"–","-"),"—","-")</f>
        <v/>
      </c>
      <c r="D182" s="552">
        <f>IF(LOWER(Sheet2!$Q$67)="v","Vacant",IF(LOWER(Sheet2!$Q$67)="pause","Paused",IF(LOWER(Sheet2!$Q$67)="cxc","Contractor","Filled")))</f>
        <v/>
      </c>
      <c r="E182" s="563">
        <f>Sheet2!$M$67</f>
        <v/>
      </c>
      <c r="F182" s="551">
        <f>Sheet2!$AA$67/1000000</f>
        <v/>
      </c>
    </row>
    <row r="183">
      <c r="B183" s="563">
        <f>Sheet2!$B$68</f>
        <v/>
      </c>
      <c r="C183" s="563">
        <f>SUBSTITUTE(SUBSTITUTE(Sheet2!$C$68,"–","-"),"—","-")</f>
        <v/>
      </c>
      <c r="D183" s="552">
        <f>IF(LOWER(Sheet2!$Q$68)="v","Vacant",IF(LOWER(Sheet2!$Q$68)="pause","Paused",IF(LOWER(Sheet2!$Q$68)="cxc","Contractor","Filled")))</f>
        <v/>
      </c>
      <c r="E183" s="563">
        <f>Sheet2!$M$68</f>
        <v/>
      </c>
      <c r="F183" s="551">
        <f>Sheet2!$AA$68/1000000</f>
        <v/>
      </c>
    </row>
    <row r="184">
      <c r="B184" s="563">
        <f>Sheet2!$B$69</f>
        <v/>
      </c>
      <c r="C184" s="563">
        <f>SUBSTITUTE(SUBSTITUTE(Sheet2!$C$69,"–","-"),"—","-")</f>
        <v/>
      </c>
      <c r="D184" s="552">
        <f>IF(LOWER(Sheet2!$Q$69)="v","Vacant",IF(LOWER(Sheet2!$Q$69)="pause","Paused",IF(LOWER(Sheet2!$Q$69)="cxc","Contractor","Filled")))</f>
        <v/>
      </c>
      <c r="E184" s="563">
        <f>Sheet2!$M$69</f>
        <v/>
      </c>
      <c r="F184" s="551">
        <f>Sheet2!$AA$69/1000000</f>
        <v/>
      </c>
    </row>
    <row r="185">
      <c r="B185" s="561" t="inlineStr">
        <is>
          <t>Total EGI strategic delivery</t>
        </is>
      </c>
      <c r="C185" s="562">
        <f>COUNTA(B169:B184)</f>
        <v/>
      </c>
      <c r="F185" s="553">
        <f>SUM(F169:F184)</f>
        <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
      </c>
      <c r="D6" s="600">
        <f>COUNTIFS('REVIEW - Complete Role Mapping'!$AJ:$AJ,"COE BP&amp;T",'REVIEW - Complete Role Mapping'!$AK:$AK,"Filled")-COUNTIFS('REVIEW - Complete Role Mapping'!$AJ:$AJ,"COE BP&amp;T",'REVIEW - Complete Role Mapping'!$AK:$AK,"Filled",'REVIEW - Complete Role Mapping'!$G:$G,"Transformation")</f>
        <v/>
      </c>
      <c r="E6" s="600">
        <f>COUNTIFS('REVIEW - Complete Role Mapping'!$AJ:$AJ,"COE BP&amp;T",'REVIEW - Complete Role Mapping'!$AK:$AK,"Vacant")-COUNTIFS('REVIEW - Complete Role Mapping'!$AJ:$AJ,"COE BP&amp;T",'REVIEW - Complete Role Mapping'!$AK:$AK,"Vacant",'REVIEW - Complete Role Mapping'!$G:$G,"Transformation")</f>
        <v/>
      </c>
      <c r="F6" s="551">
        <f>'1.11 BP&amp;T'!$F$6</f>
        <v/>
      </c>
      <c r="G6" s="551">
        <f>'1.11 BP&amp;T'!$G$6</f>
        <v/>
      </c>
      <c r="H6" s="551">
        <f>'1.11 BP&amp;T'!$H$6</f>
        <v/>
      </c>
      <c r="I6" s="551">
        <f>'1.11 BP&amp;T'!$I$6</f>
        <v/>
      </c>
      <c r="J6" s="551">
        <f>'1.11 BP&amp;T'!$J$6</f>
        <v/>
      </c>
    </row>
    <row r="7">
      <c r="B7" s="550" t="inlineStr">
        <is>
          <t>Transformation</t>
        </is>
      </c>
      <c r="C7" s="600">
        <f>COUNTIFS('REVIEW - Complete Role Mapping'!$AJ:$AJ,"COE BP&amp;T",'REVIEW - Complete Role Mapping'!$G:$G,"Transformation")</f>
        <v/>
      </c>
      <c r="D7" s="600">
        <f>COUNTIFS('REVIEW - Complete Role Mapping'!$AJ:$AJ,"COE BP&amp;T",'REVIEW - Complete Role Mapping'!$AK:$AK,"Filled",'REVIEW - Complete Role Mapping'!$G:$G,"Transformation")</f>
        <v/>
      </c>
      <c r="E7" s="600">
        <f>COUNTIFS('REVIEW - Complete Role Mapping'!$AJ:$AJ,"COE BP&amp;T",'REVIEW - Complete Role Mapping'!$AK:$AK,"Vacant",'REVIEW - Complete Role Mapping'!$G:$G,"Transformation")</f>
        <v/>
      </c>
      <c r="F7" s="551">
        <f>'1.11 BP&amp;T'!$F$7</f>
        <v/>
      </c>
      <c r="G7" s="551">
        <f>'1.11 BP&amp;T'!$G$7</f>
        <v/>
      </c>
      <c r="H7" s="551">
        <f>'1.11 BP&amp;T'!$H$7</f>
        <v/>
      </c>
      <c r="I7" s="551">
        <f>'1.11 BP&amp;T'!$I$7</f>
        <v/>
      </c>
      <c r="J7" s="551">
        <f>'1.11 BP&amp;T'!$J$7</f>
        <v/>
      </c>
    </row>
    <row r="8">
      <c r="B8" s="550" t="inlineStr">
        <is>
          <t>Strategy &amp; Architecture</t>
        </is>
      </c>
      <c r="C8" s="600">
        <f>COUNTIFS('REVIEW - Complete Role Mapping'!$AJ:$AJ,"COE SA&amp;D")-COUNTIFS('REVIEW - Complete Role Mapping'!$AJ:$AJ,"COE SA&amp;D",'REVIEW - Complete Role Mapping'!$G:$G,"Group Data")</f>
        <v/>
      </c>
      <c r="D8" s="600">
        <f>COUNTIFS('REVIEW - Complete Role Mapping'!$AJ:$AJ,"COE SA&amp;D",'REVIEW - Complete Role Mapping'!$AK:$AK,"Filled")-COUNTIFS('REVIEW - Complete Role Mapping'!$AJ:$AJ,"COE SA&amp;D",'REVIEW - Complete Role Mapping'!$AK:$AK,"Filled",'REVIEW - Complete Role Mapping'!$G:$G,"Group Data")</f>
        <v/>
      </c>
      <c r="E8" s="600">
        <f>COUNTIFS('REVIEW - Complete Role Mapping'!$AJ:$AJ,"COE SA&amp;D",'REVIEW - Complete Role Mapping'!$AK:$AK,"Vacant")-COUNTIFS('REVIEW - Complete Role Mapping'!$AJ:$AJ,"COE SA&amp;D",'REVIEW - Complete Role Mapping'!$AK:$AK,"Vacant",'REVIEW - Complete Role Mapping'!$G:$G,"Group Data")</f>
        <v/>
      </c>
      <c r="F8" s="551">
        <f>'1.12 SA&amp;D'!$G$6</f>
        <v/>
      </c>
      <c r="G8" s="551">
        <f>'1.12 SA&amp;D'!$H$6</f>
        <v/>
      </c>
      <c r="H8" s="551">
        <f>'1.12 SA&amp;D'!$I$6</f>
        <v/>
      </c>
      <c r="I8" s="551">
        <f>'1.12 SA&amp;D'!$J$6</f>
        <v/>
      </c>
      <c r="J8" s="551">
        <f>'1.12 SA&amp;D'!$K$6</f>
        <v/>
      </c>
    </row>
    <row r="9">
      <c r="B9" s="550" t="inlineStr">
        <is>
          <t>Data</t>
        </is>
      </c>
      <c r="C9" s="600">
        <f>COUNTIFS('REVIEW - Complete Role Mapping'!$AJ:$AJ,"COE SA&amp;D",'REVIEW - Complete Role Mapping'!$G:$G,"Group Data")</f>
        <v/>
      </c>
      <c r="D9" s="600">
        <f>COUNTIFS('REVIEW - Complete Role Mapping'!$AJ:$AJ,"COE SA&amp;D",'REVIEW - Complete Role Mapping'!$AK:$AK,"Filled",'REVIEW - Complete Role Mapping'!$G:$G,"Group Data")</f>
        <v/>
      </c>
      <c r="E9" s="600">
        <f>COUNTIFS('REVIEW - Complete Role Mapping'!$AJ:$AJ,"COE SA&amp;D",'REVIEW - Complete Role Mapping'!$AK:$AK,"Vacant",'REVIEW - Complete Role Mapping'!$G:$G,"Group Data")</f>
        <v/>
      </c>
      <c r="F9" s="551">
        <f>'1.12 SA&amp;D'!$G$7</f>
        <v/>
      </c>
      <c r="G9" s="551">
        <f>'1.12 SA&amp;D'!$H$7</f>
        <v/>
      </c>
      <c r="H9" s="551">
        <f>'1.12 SA&amp;D'!$I$7</f>
        <v/>
      </c>
      <c r="I9" s="551">
        <f>'1.12 SA&amp;D'!$J$7</f>
        <v/>
      </c>
      <c r="J9" s="551">
        <f>'1.12 SA&amp;D'!$K$7</f>
        <v/>
      </c>
    </row>
    <row r="10">
      <c r="B10" s="550" t="inlineStr">
        <is>
          <t>Cyber, Risk &amp; Service Operations</t>
        </is>
      </c>
      <c r="C10" s="600">
        <f>COUNTIFS('REVIEW - Complete Role Mapping'!$AJ:$AJ,"COE Cyber")</f>
        <v/>
      </c>
      <c r="D10" s="600">
        <f>COUNTIFS('REVIEW - Complete Role Mapping'!$AJ:$AJ,"COE Cyber",'REVIEW - Complete Role Mapping'!$AK:$AK,"Filled")</f>
        <v/>
      </c>
      <c r="E10" s="600">
        <f>COUNTIFS('REVIEW - Complete Role Mapping'!$AJ:$AJ,"COE Cyber",'REVIEW - Complete Role Mapping'!$AK:$AK,"Vacant")</f>
        <v/>
      </c>
      <c r="F10" s="551">
        <f>'1.13 Cyber Roles'!$F$8</f>
        <v/>
      </c>
      <c r="G10" s="551">
        <f>'1.13 Cyber Roles'!$G$8</f>
        <v/>
      </c>
      <c r="H10" s="551">
        <f>'1.13 Cyber Roles'!$H$8</f>
        <v/>
      </c>
      <c r="I10" s="551">
        <f>'1.13 Cyber Roles'!$I$8</f>
        <v/>
      </c>
      <c r="J10" s="551">
        <f>'1.13 Cyber Roles'!$J$8</f>
        <v/>
      </c>
    </row>
    <row r="11">
      <c r="B11" s="561" t="inlineStr">
        <is>
          <t>Total</t>
        </is>
      </c>
      <c r="C11" s="562">
        <f>SUM(C6:C10)</f>
        <v/>
      </c>
      <c r="D11" s="562">
        <f>SUM(D6:D10)</f>
        <v/>
      </c>
      <c r="E11" s="562">
        <f>SUM(E6:E10)</f>
        <v/>
      </c>
      <c r="F11" s="553">
        <f>SUM(F6:F10)</f>
        <v/>
      </c>
      <c r="G11" s="553">
        <f>SUM(G6:G10)</f>
        <v/>
      </c>
      <c r="H11" s="553">
        <f>SUM(H6:H10)</f>
        <v/>
      </c>
      <c r="I11" s="553">
        <f>SUM(I6:I10)</f>
        <v/>
      </c>
      <c r="J11" s="553">
        <f>SUM(J6:J10)</f>
        <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
      </c>
      <c r="D19" s="551">
        <f>0</f>
        <v/>
      </c>
      <c r="E19" s="551">
        <f>C19-D19</f>
        <v/>
      </c>
      <c r="F19" s="547" t="n"/>
      <c r="G19" s="547" t="n"/>
      <c r="H19" s="547" t="n"/>
      <c r="I19" s="547" t="n"/>
      <c r="J19" s="547" t="n"/>
    </row>
    <row r="20">
      <c r="B20" s="563" t="inlineStr">
        <is>
          <t>Significant Items</t>
        </is>
      </c>
      <c r="C20" s="551">
        <f>'0.1 Budget Table (Fin)'!$O$5</f>
        <v/>
      </c>
      <c r="D20" s="551">
        <f>'1.3 Enterprise Data'!$J$14+'1.4 TDD Group Functions'!$J$13</f>
        <v/>
      </c>
      <c r="E20" s="551">
        <f>C20-D20</f>
        <v/>
      </c>
      <c r="F20" s="547" t="n"/>
      <c r="G20" s="547" t="n"/>
      <c r="H20" s="547" t="n"/>
      <c r="I20" s="547" t="n"/>
      <c r="J20" s="547" t="n"/>
    </row>
    <row r="21">
      <c r="B21" s="563" t="inlineStr">
        <is>
          <t>CapEx</t>
        </is>
      </c>
      <c r="C21" s="551">
        <f>'0.1 Budget Table (Fin)'!$P$5</f>
        <v/>
      </c>
      <c r="D21" s="551">
        <f>'1.9 Commercial Fuels'!$J$15+'1.13 Cyber Roles'!$C$13</f>
        <v/>
      </c>
      <c r="E21" s="551">
        <f>C21-D21</f>
        <v/>
      </c>
      <c r="F21" s="547" t="n"/>
      <c r="G21" s="547" t="n"/>
      <c r="H21" s="547" t="n"/>
      <c r="I21" s="547" t="n"/>
      <c r="J21" s="547" t="n"/>
    </row>
    <row r="22">
      <c r="B22" s="561" t="inlineStr">
        <is>
          <t>Total</t>
        </is>
      </c>
      <c r="C22" s="553">
        <f>SUM(C19:C21)</f>
        <v/>
      </c>
      <c r="D22" s="553">
        <f>SUM(D19:D21)</f>
        <v/>
      </c>
      <c r="E22" s="553">
        <f>SUM(E19:E21)</f>
        <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
      </c>
    </row>
    <row r="112">
      <c r="B112" s="448" t="inlineStr">
        <is>
          <t>Live check - cost data rows now</t>
        </is>
      </c>
      <c r="C112" s="489">
        <f>COUNTA('Added data'!$B$2:$B$549)</f>
        <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f>Sheet2!$B$50</f>
        <v/>
      </c>
      <c r="C118" s="563">
        <f>SUBSTITUTE(SUBSTITUTE(Sheet2!$C$50,"–","-"),"—","-")</f>
        <v/>
      </c>
      <c r="D118" s="563">
        <f>Sheet2!$F$50</f>
        <v/>
      </c>
      <c r="E118" s="552">
        <f>Squads!$R$247</f>
        <v/>
      </c>
      <c r="F118" s="552">
        <f>IF(LOWER(Sheet2!$Q$50)="v","Vacant",IF(LOWER(Sheet2!$Q$50)="pause","Paused",IF(LOWER(Sheet2!$Q$50)="cxc","Contractor","Filled")))</f>
        <v/>
      </c>
    </row>
    <row r="119">
      <c r="B119" s="563">
        <f>Sheet2!$B$51</f>
        <v/>
      </c>
      <c r="C119" s="563">
        <f>SUBSTITUTE(SUBSTITUTE(Sheet2!$C$51,"–","-"),"—","-")</f>
        <v/>
      </c>
      <c r="D119" s="563">
        <f>Sheet2!$F$51</f>
        <v/>
      </c>
      <c r="E119" s="552">
        <f>Squads!$R$225</f>
        <v/>
      </c>
      <c r="F119" s="552">
        <f>IF(LOWER(Sheet2!$Q$51)="v","Vacant",IF(LOWER(Sheet2!$Q$51)="pause","Paused",IF(LOWER(Sheet2!$Q$51)="cxc","Contractor","Filled")))</f>
        <v/>
      </c>
    </row>
    <row r="120">
      <c r="B120" s="563">
        <f>Sheet2!$B$117</f>
        <v/>
      </c>
      <c r="C120" s="563">
        <f>SUBSTITUTE(SUBSTITUTE(Sheet2!$C$117,"–","-"),"—","-")</f>
        <v/>
      </c>
      <c r="D120" s="563">
        <f>Sheet2!$F$117</f>
        <v/>
      </c>
      <c r="E120" s="552">
        <f>Squads!$R$341</f>
        <v/>
      </c>
      <c r="F120" s="552">
        <f>IF(LOWER(Sheet2!$Q$117)="v","Vacant",IF(LOWER(Sheet2!$Q$117)="pause","Paused",IF(LOWER(Sheet2!$Q$117)="cxc","Contractor","Filled")))</f>
        <v/>
      </c>
    </row>
    <row r="121">
      <c r="B121" s="563">
        <f>Sheet2!$B$118</f>
        <v/>
      </c>
      <c r="C121" s="563">
        <f>SUBSTITUTE(SUBSTITUTE(Sheet2!$C$118,"–","-"),"—","-")</f>
        <v/>
      </c>
      <c r="D121" s="563">
        <f>Sheet2!$F$118</f>
        <v/>
      </c>
      <c r="E121" s="552">
        <f>Squads!$R$287</f>
        <v/>
      </c>
      <c r="F121" s="552">
        <f>IF(LOWER(Sheet2!$Q$118)="v","Vacant",IF(LOWER(Sheet2!$Q$118)="pause","Paused",IF(LOWER(Sheet2!$Q$118)="cxc","Contractor","Filled")))</f>
        <v/>
      </c>
    </row>
    <row r="122">
      <c r="B122" s="563">
        <f>Sheet2!$B$119</f>
        <v/>
      </c>
      <c r="C122" s="563">
        <f>SUBSTITUTE(SUBSTITUTE(Sheet2!$C$119,"–","-"),"—","-")</f>
        <v/>
      </c>
      <c r="D122" s="563">
        <f>Sheet2!$F$119</f>
        <v/>
      </c>
      <c r="E122" s="552">
        <f>Squads!$R$339</f>
        <v/>
      </c>
      <c r="F122" s="552">
        <f>IF(LOWER(Sheet2!$Q$119)="v","Vacant",IF(LOWER(Sheet2!$Q$119)="pause","Paused",IF(LOWER(Sheet2!$Q$119)="cxc","Contractor","Filled")))</f>
        <v/>
      </c>
    </row>
    <row r="123">
      <c r="B123" s="563">
        <f>Sheet2!$B$120</f>
        <v/>
      </c>
      <c r="C123" s="563">
        <f>SUBSTITUTE(SUBSTITUTE(Sheet2!$C$120,"–","-"),"—","-")</f>
        <v/>
      </c>
      <c r="D123" s="563">
        <f>Sheet2!$F$120</f>
        <v/>
      </c>
      <c r="E123" s="552">
        <f>Squads!$R$289</f>
        <v/>
      </c>
      <c r="F123" s="552">
        <f>IF(LOWER(Sheet2!$Q$120)="v","Vacant",IF(LOWER(Sheet2!$Q$120)="pause","Paused",IF(LOWER(Sheet2!$Q$120)="cxc","Contractor","Filled")))</f>
        <v/>
      </c>
    </row>
    <row r="124">
      <c r="B124" s="563">
        <f>Sheet2!$B$130</f>
        <v/>
      </c>
      <c r="C124" s="563">
        <f>SUBSTITUTE(SUBSTITUTE(Sheet2!$C$130,"–","-"),"—","-")</f>
        <v/>
      </c>
      <c r="D124" s="563">
        <f>Sheet2!$F$130</f>
        <v/>
      </c>
      <c r="E124" s="552">
        <f>Squads!$R$284</f>
        <v/>
      </c>
      <c r="F124" s="552">
        <f>IF(LOWER(Sheet2!$Q$130)="v","Vacant",IF(LOWER(Sheet2!$Q$130)="pause","Paused",IF(LOWER(Sheet2!$Q$130)="cxc","Contractor","Filled")))</f>
        <v/>
      </c>
    </row>
    <row r="125">
      <c r="B125" s="563">
        <f>Sheet2!$B$134</f>
        <v/>
      </c>
      <c r="C125" s="563">
        <f>SUBSTITUTE(SUBSTITUTE(Sheet2!$C$134,"–","-"),"—","-")</f>
        <v/>
      </c>
      <c r="D125" s="563">
        <f>Sheet2!$F$134</f>
        <v/>
      </c>
      <c r="E125" s="552">
        <f>Squads!$R$299</f>
        <v/>
      </c>
      <c r="F125" s="552">
        <f>IF(LOWER(Sheet2!$Q$134)="v","Vacant",IF(LOWER(Sheet2!$Q$134)="pause","Paused",IF(LOWER(Sheet2!$Q$134)="cxc","Contractor","Filled")))</f>
        <v/>
      </c>
    </row>
    <row r="126">
      <c r="B126" s="563">
        <f>Sheet2!$B$135</f>
        <v/>
      </c>
      <c r="C126" s="563">
        <f>SUBSTITUTE(SUBSTITUTE(Sheet2!$C$135,"–","-"),"—","-")</f>
        <v/>
      </c>
      <c r="D126" s="563">
        <f>Sheet2!$F$135</f>
        <v/>
      </c>
      <c r="E126" s="552">
        <f>Squads!$R$302</f>
        <v/>
      </c>
      <c r="F126" s="552">
        <f>IF(LOWER(Sheet2!$Q$135)="v","Vacant",IF(LOWER(Sheet2!$Q$135)="pause","Paused",IF(LOWER(Sheet2!$Q$135)="cxc","Contractor","Filled")))</f>
        <v/>
      </c>
    </row>
    <row r="127">
      <c r="B127" s="563">
        <f>Sheet2!$B$136</f>
        <v/>
      </c>
      <c r="C127" s="563">
        <f>SUBSTITUTE(SUBSTITUTE(Sheet2!$C$136,"–","-"),"—","-")</f>
        <v/>
      </c>
      <c r="D127" s="563">
        <f>Sheet2!$F$136</f>
        <v/>
      </c>
      <c r="E127" s="552">
        <f>Squads!$R$336</f>
        <v/>
      </c>
      <c r="F127" s="552">
        <f>IF(LOWER(Sheet2!$Q$136)="v","Vacant",IF(LOWER(Sheet2!$Q$136)="pause","Paused",IF(LOWER(Sheet2!$Q$136)="cxc","Contractor","Filled")))</f>
        <v/>
      </c>
    </row>
    <row r="128">
      <c r="B128" s="563">
        <f>Sheet2!$B$137</f>
        <v/>
      </c>
      <c r="C128" s="563">
        <f>SUBSTITUTE(SUBSTITUTE(Sheet2!$C$137,"–","-"),"—","-")</f>
        <v/>
      </c>
      <c r="D128" s="563">
        <f>Sheet2!$F$137</f>
        <v/>
      </c>
      <c r="E128" s="552">
        <f>Squads!$R$304</f>
        <v/>
      </c>
      <c r="F128" s="552">
        <f>IF(LOWER(Sheet2!$Q$137)="v","Vacant",IF(LOWER(Sheet2!$Q$137)="pause","Paused",IF(LOWER(Sheet2!$Q$137)="cxc","Contractor","Filled")))</f>
        <v/>
      </c>
    </row>
    <row r="129">
      <c r="B129" s="563">
        <f>Sheet2!$B$138</f>
        <v/>
      </c>
      <c r="C129" s="563">
        <f>SUBSTITUTE(SUBSTITUTE(Sheet2!$C$138,"–","-"),"—","-")</f>
        <v/>
      </c>
      <c r="D129" s="563">
        <f>Sheet2!$F$138</f>
        <v/>
      </c>
      <c r="E129" s="552">
        <f>Squads!$R$324</f>
        <v/>
      </c>
      <c r="F129" s="552">
        <f>IF(LOWER(Sheet2!$Q$138)="v","Vacant",IF(LOWER(Sheet2!$Q$138)="pause","Paused",IF(LOWER(Sheet2!$Q$138)="cxc","Contractor","Filled")))</f>
        <v/>
      </c>
    </row>
    <row r="130">
      <c r="B130" s="563">
        <f>Sheet2!$B$142</f>
        <v/>
      </c>
      <c r="C130" s="563">
        <f>SUBSTITUTE(SUBSTITUTE(Sheet2!$C$142,"–","-"),"—","-")</f>
        <v/>
      </c>
      <c r="D130" s="563">
        <f>Sheet2!$F$142</f>
        <v/>
      </c>
      <c r="E130" s="552">
        <f>Squads!$R$340</f>
        <v/>
      </c>
      <c r="F130" s="552">
        <f>IF(LOWER(Sheet2!$Q$142)="v","Vacant",IF(LOWER(Sheet2!$Q$142)="pause","Paused",IF(LOWER(Sheet2!$Q$142)="cxc","Contractor","Filled")))</f>
        <v/>
      </c>
    </row>
    <row r="131">
      <c r="B131" s="563">
        <f>Sheet2!$B$145</f>
        <v/>
      </c>
      <c r="C131" s="563">
        <f>SUBSTITUTE(SUBSTITUTE(Sheet2!$C$145,"–","-"),"—","-")</f>
        <v/>
      </c>
      <c r="D131" s="563">
        <f>Sheet2!$F$145</f>
        <v/>
      </c>
      <c r="E131" s="552">
        <f>Squads!$R$322</f>
        <v/>
      </c>
      <c r="F131" s="552">
        <f>IF(LOWER(Sheet2!$Q$145)="v","Vacant",IF(LOWER(Sheet2!$Q$145)="pause","Paused",IF(LOWER(Sheet2!$Q$145)="cxc","Contractor","Filled")))</f>
        <v/>
      </c>
    </row>
    <row r="132">
      <c r="B132" s="563">
        <f>Sheet2!$B$150</f>
        <v/>
      </c>
      <c r="C132" s="563">
        <f>SUBSTITUTE(SUBSTITUTE(Sheet2!$C$150,"–","-"),"—","-")</f>
        <v/>
      </c>
      <c r="D132" s="563">
        <f>Sheet2!$F$150</f>
        <v/>
      </c>
      <c r="E132" s="552">
        <f>Squads!$R$312</f>
        <v/>
      </c>
      <c r="F132" s="552">
        <f>IF(LOWER(Sheet2!$Q$150)="v","Vacant",IF(LOWER(Sheet2!$Q$150)="pause","Paused",IF(LOWER(Sheet2!$Q$150)="cxc","Contractor","Filled")))</f>
        <v/>
      </c>
    </row>
    <row r="133">
      <c r="B133" s="563">
        <f>Sheet2!$B$151</f>
        <v/>
      </c>
      <c r="C133" s="563">
        <f>SUBSTITUTE(SUBSTITUTE(Sheet2!$C$151,"–","-"),"—","-")</f>
        <v/>
      </c>
      <c r="D133" s="563">
        <f>Sheet2!$F$151</f>
        <v/>
      </c>
      <c r="E133" s="552">
        <f>Squads!$R$310</f>
        <v/>
      </c>
      <c r="F133" s="552">
        <f>IF(LOWER(Sheet2!$Q$151)="v","Vacant",IF(LOWER(Sheet2!$Q$151)="pause","Paused",IF(LOWER(Sheet2!$Q$151)="cxc","Contractor","Filled")))</f>
        <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f>Sheet2!$B$3</f>
        <v/>
      </c>
      <c r="C138" s="563">
        <f>SUBSTITUTE(SUBSTITUTE(Sheet2!$C$3,"–","-"),"—","-")</f>
        <v/>
      </c>
      <c r="D138" s="563">
        <f>Sheet2!$F$3</f>
        <v/>
      </c>
      <c r="E138" s="563" t="inlineStr">
        <is>
          <t>1.13 Cyber Roles</t>
        </is>
      </c>
    </row>
    <row r="139">
      <c r="B139" s="563">
        <f>Sheet2!$B$54</f>
        <v/>
      </c>
      <c r="C139" s="563">
        <f>SUBSTITUTE(SUBSTITUTE(Sheet2!$C$54,"–","-"),"—","-")</f>
        <v/>
      </c>
      <c r="D139" s="563">
        <f>Sheet2!$F$54</f>
        <v/>
      </c>
      <c r="E139" s="563" t="inlineStr">
        <is>
          <t>3.3 FTE View - EGI strategic delivery FTE</t>
        </is>
      </c>
    </row>
    <row r="140">
      <c r="B140" s="563">
        <f>Sheet2!$B$55</f>
        <v/>
      </c>
      <c r="C140" s="563">
        <f>SUBSTITUTE(SUBSTITUTE(Sheet2!$C$55,"–","-"),"—","-")</f>
        <v/>
      </c>
      <c r="D140" s="563">
        <f>Sheet2!$F$55</f>
        <v/>
      </c>
      <c r="E140" s="563" t="inlineStr">
        <is>
          <t>3.3 FTE View - EGI strategic delivery FTE</t>
        </is>
      </c>
    </row>
    <row r="141">
      <c r="B141" s="563">
        <f>Sheet2!$B$57</f>
        <v/>
      </c>
      <c r="C141" s="563">
        <f>SUBSTITUTE(SUBSTITUTE(Sheet2!$C$57,"–","-"),"—","-")</f>
        <v/>
      </c>
      <c r="D141" s="563">
        <f>Sheet2!$F$57</f>
        <v/>
      </c>
      <c r="E141" s="563" t="inlineStr">
        <is>
          <t>3.3 FTE View - EGI strategic delivery FTE</t>
        </is>
      </c>
    </row>
    <row r="142">
      <c r="B142" s="563">
        <f>Sheet2!$B$58</f>
        <v/>
      </c>
      <c r="C142" s="563">
        <f>SUBSTITUTE(SUBSTITUTE(Sheet2!$C$58,"–","-"),"—","-")</f>
        <v/>
      </c>
      <c r="D142" s="563">
        <f>Sheet2!$F$58</f>
        <v/>
      </c>
      <c r="E142" s="563" t="inlineStr">
        <is>
          <t>3.3 FTE View - EGI strategic delivery FTE</t>
        </is>
      </c>
    </row>
    <row r="143">
      <c r="B143" s="563">
        <f>Sheet2!$B$59</f>
        <v/>
      </c>
      <c r="C143" s="563">
        <f>SUBSTITUTE(SUBSTITUTE(Sheet2!$C$59,"–","-"),"—","-")</f>
        <v/>
      </c>
      <c r="D143" s="563">
        <f>Sheet2!$F$59</f>
        <v/>
      </c>
      <c r="E143" s="563" t="inlineStr">
        <is>
          <t>3.3 FTE View - EGI strategic delivery FTE</t>
        </is>
      </c>
    </row>
    <row r="144">
      <c r="B144" s="563">
        <f>Sheet2!$B$60</f>
        <v/>
      </c>
      <c r="C144" s="563">
        <f>SUBSTITUTE(SUBSTITUTE(Sheet2!$C$60,"–","-"),"—","-")</f>
        <v/>
      </c>
      <c r="D144" s="563">
        <f>Sheet2!$F$60</f>
        <v/>
      </c>
      <c r="E144" s="563" t="inlineStr">
        <is>
          <t>3.3 FTE View - EGI strategic delivery FTE</t>
        </is>
      </c>
    </row>
    <row r="145">
      <c r="B145" s="563">
        <f>Sheet2!$B$61</f>
        <v/>
      </c>
      <c r="C145" s="563">
        <f>SUBSTITUTE(SUBSTITUTE(Sheet2!$C$61,"–","-"),"—","-")</f>
        <v/>
      </c>
      <c r="D145" s="563">
        <f>Sheet2!$F$61</f>
        <v/>
      </c>
      <c r="E145" s="563" t="inlineStr">
        <is>
          <t>3.3 FTE View - EGI strategic delivery FTE</t>
        </is>
      </c>
    </row>
    <row r="146">
      <c r="B146" s="563">
        <f>Sheet2!$B$62</f>
        <v/>
      </c>
      <c r="C146" s="563">
        <f>SUBSTITUTE(SUBSTITUTE(Sheet2!$C$62,"–","-"),"—","-")</f>
        <v/>
      </c>
      <c r="D146" s="563">
        <f>Sheet2!$F$62</f>
        <v/>
      </c>
      <c r="E146" s="563" t="inlineStr">
        <is>
          <t>3.3 FTE View - EGI strategic delivery FTE</t>
        </is>
      </c>
    </row>
    <row r="147">
      <c r="B147" s="563">
        <f>Sheet2!$B$63</f>
        <v/>
      </c>
      <c r="C147" s="563">
        <f>SUBSTITUTE(SUBSTITUTE(Sheet2!$C$63,"–","-"),"—","-")</f>
        <v/>
      </c>
      <c r="D147" s="563">
        <f>Sheet2!$F$63</f>
        <v/>
      </c>
      <c r="E147" s="563" t="inlineStr">
        <is>
          <t>3.3 FTE View - EGI strategic delivery FTE</t>
        </is>
      </c>
    </row>
    <row r="148">
      <c r="B148" s="563">
        <f>Sheet2!$B$64</f>
        <v/>
      </c>
      <c r="C148" s="563">
        <f>SUBSTITUTE(SUBSTITUTE(Sheet2!$C$64,"–","-"),"—","-")</f>
        <v/>
      </c>
      <c r="D148" s="563">
        <f>Sheet2!$F$64</f>
        <v/>
      </c>
      <c r="E148" s="563" t="inlineStr">
        <is>
          <t>3.3 FTE View - EGI strategic delivery FTE</t>
        </is>
      </c>
    </row>
    <row r="149">
      <c r="B149" s="563">
        <f>Sheet2!$B$65</f>
        <v/>
      </c>
      <c r="C149" s="563">
        <f>SUBSTITUTE(SUBSTITUTE(Sheet2!$C$65,"–","-"),"—","-")</f>
        <v/>
      </c>
      <c r="D149" s="563">
        <f>Sheet2!$F$65</f>
        <v/>
      </c>
      <c r="E149" s="563" t="inlineStr">
        <is>
          <t>3.3 FTE View - EGI strategic delivery FTE</t>
        </is>
      </c>
    </row>
    <row r="150">
      <c r="B150" s="563">
        <f>Sheet2!$B$67</f>
        <v/>
      </c>
      <c r="C150" s="563">
        <f>SUBSTITUTE(SUBSTITUTE(Sheet2!$C$67,"–","-"),"—","-")</f>
        <v/>
      </c>
      <c r="D150" s="563">
        <f>Sheet2!$F$67</f>
        <v/>
      </c>
      <c r="E150" s="563" t="inlineStr">
        <is>
          <t>3.3 FTE View - EGI strategic delivery FTE</t>
        </is>
      </c>
    </row>
    <row r="151">
      <c r="B151" s="563">
        <f>Sheet2!$B$68</f>
        <v/>
      </c>
      <c r="C151" s="563">
        <f>SUBSTITUTE(SUBSTITUTE(Sheet2!$C$68,"–","-"),"—","-")</f>
        <v/>
      </c>
      <c r="D151" s="563">
        <f>Sheet2!$F$68</f>
        <v/>
      </c>
      <c r="E151" s="563" t="inlineStr">
        <is>
          <t>3.3 FTE View - EGI strategic delivery FTE</t>
        </is>
      </c>
    </row>
    <row r="152">
      <c r="B152" s="563">
        <f>Sheet2!$B$69</f>
        <v/>
      </c>
      <c r="C152" s="563">
        <f>SUBSTITUTE(SUBSTITUTE(Sheet2!$C$69,"–","-"),"—","-")</f>
        <v/>
      </c>
      <c r="D152" s="563">
        <f>Sheet2!$F$69</f>
        <v/>
      </c>
      <c r="E152" s="563" t="inlineStr">
        <is>
          <t>3.3 FTE View - EGI strategic delivery FTE</t>
        </is>
      </c>
    </row>
    <row r="153">
      <c r="B153" s="563">
        <f>Sheet2!$B$71</f>
        <v/>
      </c>
      <c r="C153" s="563">
        <f>SUBSTITUTE(SUBSTITUTE(Sheet2!$C$71,"–","-"),"—","-")</f>
        <v/>
      </c>
      <c r="D153" s="563">
        <f>Sheet2!$F$71</f>
        <v/>
      </c>
      <c r="E153" s="563" t="inlineStr">
        <is>
          <t>1.11 BP&amp;T</t>
        </is>
      </c>
    </row>
    <row r="154">
      <c r="B154" s="563">
        <f>Sheet2!$B$73</f>
        <v/>
      </c>
      <c r="C154" s="563">
        <f>SUBSTITUTE(SUBSTITUTE(Sheet2!$C$73,"–","-"),"—","-")</f>
        <v/>
      </c>
      <c r="D154" s="563">
        <f>Sheet2!$F$73</f>
        <v/>
      </c>
      <c r="E154" s="563" t="inlineStr">
        <is>
          <t>1.11 BP&amp;T</t>
        </is>
      </c>
    </row>
    <row r="155">
      <c r="B155" s="563">
        <f>Sheet2!$B$96</f>
        <v/>
      </c>
      <c r="C155" s="563">
        <f>SUBSTITUTE(SUBSTITUTE(Sheet2!$C$96,"–","-"),"—","-")</f>
        <v/>
      </c>
      <c r="D155" s="563">
        <f>Sheet2!$F$96</f>
        <v/>
      </c>
      <c r="E155" s="563" t="inlineStr">
        <is>
          <t>In an Enterprise Data squad per Sheet2 - needs a raw data row to join the 1.3 / 4.3 counts</t>
        </is>
      </c>
    </row>
    <row r="156">
      <c r="B156" s="563">
        <f>Sheet2!$B$101</f>
        <v/>
      </c>
      <c r="C156" s="563">
        <f>SUBSTITUTE(SUBSTITUTE(Sheet2!$C$101,"–","-"),"—","-")</f>
        <v/>
      </c>
      <c r="D156" s="563">
        <f>Sheet2!$F$101</f>
        <v/>
      </c>
      <c r="E156" s="563" t="inlineStr">
        <is>
          <t>Nowhere yet - needs a raw data row to join the Enterprise Data portfolio</t>
        </is>
      </c>
    </row>
    <row r="157">
      <c r="B157" s="563">
        <f>Sheet2!$B$105</f>
        <v/>
      </c>
      <c r="C157" s="563">
        <f>SUBSTITUTE(SUBSTITUTE(Sheet2!$C$105,"–","-"),"—","-")</f>
        <v/>
      </c>
      <c r="D157" s="563">
        <f>Sheet2!$F$105</f>
        <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f>Squads!$B$227</f>
        <v/>
      </c>
      <c r="C161" s="563">
        <f>SUBSTITUTE(SUBSTITUTE(Squads!$C$227,"–","-"),"—","-")</f>
        <v/>
      </c>
      <c r="D161" s="563">
        <f>Squads!$N$227</f>
        <v/>
      </c>
      <c r="E161" s="552">
        <f>Squads!$R$227</f>
        <v/>
      </c>
    </row>
    <row r="162">
      <c r="B162" s="563">
        <f>Squads!$B$256</f>
        <v/>
      </c>
      <c r="C162" s="563">
        <f>SUBSTITUTE(SUBSTITUTE(Squads!$C$256,"–","-"),"—","-")</f>
        <v/>
      </c>
      <c r="D162" s="563">
        <f>Squads!$N$256</f>
        <v/>
      </c>
      <c r="E162" s="552">
        <f>Squads!$R$256</f>
        <v/>
      </c>
    </row>
    <row r="163">
      <c r="B163" s="563">
        <f>Squads!$B$263</f>
        <v/>
      </c>
      <c r="C163" s="563">
        <f>SUBSTITUTE(SUBSTITUTE(Squads!$C$263,"–","-"),"—","-")</f>
        <v/>
      </c>
      <c r="D163" s="563">
        <f>Squads!$N$263</f>
        <v/>
      </c>
      <c r="E163" s="552">
        <f>Squads!$R$263</f>
        <v/>
      </c>
    </row>
    <row r="164">
      <c r="B164" s="563">
        <f>Squads!$B$279</f>
        <v/>
      </c>
      <c r="C164" s="563">
        <f>SUBSTITUTE(SUBSTITUTE(Squads!$C$279,"–","-"),"—","-")</f>
        <v/>
      </c>
      <c r="D164" s="563">
        <f>Squads!$N$279</f>
        <v/>
      </c>
      <c r="E164" s="552">
        <f>Squads!$R$279</f>
        <v/>
      </c>
    </row>
    <row r="165">
      <c r="B165" s="563">
        <f>Squads!$B$281</f>
        <v/>
      </c>
      <c r="C165" s="563">
        <f>SUBSTITUTE(SUBSTITUTE(Squads!$C$281,"–","-"),"—","-")</f>
        <v/>
      </c>
      <c r="D165" s="563">
        <f>Squads!$N$281</f>
        <v/>
      </c>
      <c r="E165" s="552">
        <f>Squads!$R$281</f>
        <v/>
      </c>
    </row>
    <row r="166">
      <c r="B166" s="563">
        <f>Squads!$B$291</f>
        <v/>
      </c>
      <c r="C166" s="563">
        <f>SUBSTITUTE(SUBSTITUTE(Squads!$C$291,"–","-"),"—","-")</f>
        <v/>
      </c>
      <c r="D166" s="563">
        <f>Squads!$N$291</f>
        <v/>
      </c>
      <c r="E166" s="552">
        <f>Squads!$R$291</f>
        <v/>
      </c>
    </row>
    <row r="167">
      <c r="B167" s="563">
        <f>Squads!$B$297</f>
        <v/>
      </c>
      <c r="C167" s="563">
        <f>SUBSTITUTE(SUBSTITUTE(Squads!$C$297,"–","-"),"—","-")</f>
        <v/>
      </c>
      <c r="D167" s="563">
        <f>Squads!$N$297</f>
        <v/>
      </c>
      <c r="E167" s="552">
        <f>Squads!$R$297</f>
        <v/>
      </c>
    </row>
    <row r="168">
      <c r="B168" s="563">
        <f>Squads!$B$305</f>
        <v/>
      </c>
      <c r="C168" s="563">
        <f>SUBSTITUTE(SUBSTITUTE(Squads!$C$305,"–","-"),"—","-")</f>
        <v/>
      </c>
      <c r="D168" s="563">
        <f>Squads!$N$305</f>
        <v/>
      </c>
      <c r="E168" s="552">
        <f>Squads!$R$305</f>
        <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f>Squads!$B$260</f>
        <v/>
      </c>
      <c r="C173" s="563">
        <f>SUBSTITUTE(SUBSTITUTE(Squads!$C$260,"–","-"),"—","-")</f>
        <v/>
      </c>
      <c r="D173" s="563">
        <f>Squads!$P$260</f>
        <v/>
      </c>
      <c r="E173" s="552">
        <f>Squads!$R$260</f>
        <v/>
      </c>
    </row>
    <row r="174">
      <c r="B174" s="563">
        <f>Squads!$B$269</f>
        <v/>
      </c>
      <c r="C174" s="563">
        <f>SUBSTITUTE(SUBSTITUTE(Squads!$C$269,"–","-"),"—","-")</f>
        <v/>
      </c>
      <c r="D174" s="563">
        <f>Squads!$P$269</f>
        <v/>
      </c>
      <c r="E174" s="552">
        <f>Squads!$R$269</f>
        <v/>
      </c>
    </row>
    <row r="175">
      <c r="B175" s="563">
        <f>Squads!$B$270</f>
        <v/>
      </c>
      <c r="C175" s="563">
        <f>SUBSTITUTE(SUBSTITUTE(Squads!$C$270,"–","-"),"—","-")</f>
        <v/>
      </c>
      <c r="D175" s="563">
        <f>Squads!$P$270</f>
        <v/>
      </c>
      <c r="E175" s="552">
        <f>Squads!$R$270</f>
        <v/>
      </c>
    </row>
    <row r="176">
      <c r="B176" s="563">
        <f>Squads!$B$281</f>
        <v/>
      </c>
      <c r="C176" s="563">
        <f>SUBSTITUTE(SUBSTITUTE(Squads!$C$281,"–","-"),"—","-")</f>
        <v/>
      </c>
      <c r="D176" s="563">
        <f>Squads!$P$281</f>
        <v/>
      </c>
      <c r="E176" s="552">
        <f>Squads!$R$281</f>
        <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f>Squads!$B$307&amp;" - "&amp;Squads!$C$307</f>
        <v/>
      </c>
    </row>
    <row r="185">
      <c r="B185" s="552" t="n">
        <v>307</v>
      </c>
      <c r="C185" s="552" t="inlineStr">
        <is>
          <t>O307</t>
        </is>
      </c>
      <c r="D185" s="563" t="inlineStr">
        <is>
          <t>Leadership</t>
        </is>
      </c>
      <c r="E185" s="563" t="inlineStr">
        <is>
          <t>COE - Data</t>
        </is>
      </c>
      <c r="F185" s="563">
        <f>Squads!$B$307&amp;" - "&amp;Squads!$C$307</f>
        <v/>
      </c>
    </row>
    <row r="186">
      <c r="B186" s="552" t="n">
        <v>307</v>
      </c>
      <c r="C186" s="552" t="inlineStr">
        <is>
          <t>P307</t>
        </is>
      </c>
      <c r="D186" s="563" t="inlineStr">
        <is>
          <t>Leadership</t>
        </is>
      </c>
      <c r="E186" s="563" t="inlineStr">
        <is>
          <t>COE - Data</t>
        </is>
      </c>
      <c r="F186" s="563">
        <f>Squads!$B$307&amp;" - "&amp;Squads!$C$307</f>
        <v/>
      </c>
    </row>
    <row r="187">
      <c r="B187" s="552" t="n">
        <v>307</v>
      </c>
      <c r="C187" s="552" t="inlineStr">
        <is>
          <t>Q307</t>
        </is>
      </c>
      <c r="D187" s="563" t="inlineStr">
        <is>
          <t>Leadership</t>
        </is>
      </c>
      <c r="E187" s="563" t="inlineStr">
        <is>
          <t>COE</t>
        </is>
      </c>
      <c r="F187" s="563">
        <f>Squads!$B$307&amp;" - "&amp;Squads!$C$307</f>
        <v/>
      </c>
    </row>
    <row r="188">
      <c r="B188" s="552" t="n">
        <v>308</v>
      </c>
      <c r="C188" s="552" t="inlineStr">
        <is>
          <t>N308</t>
        </is>
      </c>
      <c r="D188" s="563" t="inlineStr">
        <is>
          <t>Unmapped</t>
        </is>
      </c>
      <c r="E188" s="563" t="inlineStr">
        <is>
          <t>COE</t>
        </is>
      </c>
      <c r="F188" s="563">
        <f>Squads!$B$308&amp;" - "&amp;Squads!$C$308</f>
        <v/>
      </c>
    </row>
    <row r="189">
      <c r="B189" s="552" t="n">
        <v>308</v>
      </c>
      <c r="C189" s="552" t="inlineStr">
        <is>
          <t>O308</t>
        </is>
      </c>
      <c r="D189" s="563" t="inlineStr">
        <is>
          <t>Leadership</t>
        </is>
      </c>
      <c r="E189" s="563" t="inlineStr">
        <is>
          <t>COE - Strategy Architecture</t>
        </is>
      </c>
      <c r="F189" s="563">
        <f>Squads!$B$308&amp;" - "&amp;Squads!$C$308</f>
        <v/>
      </c>
    </row>
    <row r="190">
      <c r="B190" s="552" t="n">
        <v>308</v>
      </c>
      <c r="C190" s="552" t="inlineStr">
        <is>
          <t>P308</t>
        </is>
      </c>
      <c r="D190" s="563" t="inlineStr">
        <is>
          <t>Leadership</t>
        </is>
      </c>
      <c r="E190" s="563" t="inlineStr">
        <is>
          <t>COE - Strategy Architecture</t>
        </is>
      </c>
      <c r="F190" s="563">
        <f>Squads!$B$308&amp;" - "&amp;Squads!$C$308</f>
        <v/>
      </c>
    </row>
    <row r="191">
      <c r="B191" s="552" t="n">
        <v>308</v>
      </c>
      <c r="C191" s="552" t="inlineStr">
        <is>
          <t>Q308</t>
        </is>
      </c>
      <c r="D191" s="563" t="inlineStr">
        <is>
          <t>Leadership</t>
        </is>
      </c>
      <c r="E191" s="563" t="inlineStr">
        <is>
          <t>COE</t>
        </is>
      </c>
      <c r="F191" s="563">
        <f>Squads!$B$308&amp;" - "&amp;Squads!$C$308</f>
        <v/>
      </c>
    </row>
    <row r="192">
      <c r="B192" s="552" t="n">
        <v>321</v>
      </c>
      <c r="C192" s="552" t="inlineStr">
        <is>
          <t>N321</t>
        </is>
      </c>
      <c r="D192" s="563" t="inlineStr">
        <is>
          <t>Enterprise Data</t>
        </is>
      </c>
      <c r="E192" s="563" t="inlineStr">
        <is>
          <t>COE</t>
        </is>
      </c>
      <c r="F192" s="563">
        <f>Squads!$B$321&amp;" - "&amp;Squads!$C$321</f>
        <v/>
      </c>
    </row>
    <row r="193">
      <c r="B193" s="552" t="n">
        <v>321</v>
      </c>
      <c r="C193" s="552" t="inlineStr">
        <is>
          <t>O321</t>
        </is>
      </c>
      <c r="D193" s="563" t="inlineStr">
        <is>
          <t>Group Data</t>
        </is>
      </c>
      <c r="E193" s="563" t="inlineStr">
        <is>
          <t>COE - Data</t>
        </is>
      </c>
      <c r="F193" s="563">
        <f>Squads!$B$321&amp;" - "&amp;Squads!$C$321</f>
        <v/>
      </c>
    </row>
    <row r="194">
      <c r="B194" s="552" t="n">
        <v>321</v>
      </c>
      <c r="C194" s="552" t="inlineStr">
        <is>
          <t>P321</t>
        </is>
      </c>
      <c r="D194" s="563" t="inlineStr">
        <is>
          <t>Data Platforms</t>
        </is>
      </c>
      <c r="E194" s="563" t="inlineStr">
        <is>
          <t>COE - Data</t>
        </is>
      </c>
      <c r="F194" s="563">
        <f>Squads!$B$321&amp;" - "&amp;Squads!$C$321</f>
        <v/>
      </c>
    </row>
    <row r="195">
      <c r="B195" s="552" t="n">
        <v>321</v>
      </c>
      <c r="C195" s="552" t="inlineStr">
        <is>
          <t>Q321</t>
        </is>
      </c>
      <c r="D195" s="563" t="inlineStr">
        <is>
          <t>Squad</t>
        </is>
      </c>
      <c r="E195" s="563" t="inlineStr">
        <is>
          <t>COE</t>
        </is>
      </c>
      <c r="F195" s="563">
        <f>Squads!$B$321&amp;" - "&amp;Squads!$C$321</f>
        <v/>
      </c>
    </row>
    <row r="196">
      <c r="B196" s="552" t="n">
        <v>317</v>
      </c>
      <c r="C196" s="552" t="inlineStr">
        <is>
          <t>N317</t>
        </is>
      </c>
      <c r="D196" s="563" t="inlineStr">
        <is>
          <t>Enterprise Data</t>
        </is>
      </c>
      <c r="E196" s="563" t="inlineStr">
        <is>
          <t>COE</t>
        </is>
      </c>
      <c r="F196" s="563">
        <f>Squads!$B$317&amp;" - "&amp;Squads!$C$317</f>
        <v/>
      </c>
    </row>
    <row r="197">
      <c r="B197" s="552" t="n">
        <v>317</v>
      </c>
      <c r="C197" s="552" t="inlineStr">
        <is>
          <t>O317</t>
        </is>
      </c>
      <c r="D197" s="563" t="inlineStr">
        <is>
          <t>Leadership</t>
        </is>
      </c>
      <c r="E197" s="563" t="inlineStr">
        <is>
          <t>COE - Data</t>
        </is>
      </c>
      <c r="F197" s="563">
        <f>Squads!$B$317&amp;" - "&amp;Squads!$C$317</f>
        <v/>
      </c>
    </row>
    <row r="198">
      <c r="B198" s="552" t="n">
        <v>317</v>
      </c>
      <c r="C198" s="552" t="inlineStr">
        <is>
          <t>P317</t>
        </is>
      </c>
      <c r="D198" s="563" t="inlineStr">
        <is>
          <t>Leadership</t>
        </is>
      </c>
      <c r="E198" s="563" t="inlineStr">
        <is>
          <t>COE - Data</t>
        </is>
      </c>
      <c r="F198" s="563">
        <f>Squads!$B$317&amp;" - "&amp;Squads!$C$317</f>
        <v/>
      </c>
    </row>
    <row r="199">
      <c r="B199" s="552" t="n">
        <v>317</v>
      </c>
      <c r="C199" s="552" t="inlineStr">
        <is>
          <t>Q317</t>
        </is>
      </c>
      <c r="D199" s="563" t="inlineStr">
        <is>
          <t>Leadership</t>
        </is>
      </c>
      <c r="E199" s="563" t="inlineStr">
        <is>
          <t>COE</t>
        </is>
      </c>
      <c r="F199" s="563">
        <f>Squads!$B$317&amp;" - "&amp;Squads!$C$317</f>
        <v/>
      </c>
    </row>
    <row r="200">
      <c r="B200" s="552" t="n">
        <v>298</v>
      </c>
      <c r="C200" s="552" t="inlineStr">
        <is>
          <t>O298</t>
        </is>
      </c>
      <c r="D200" s="563" t="inlineStr">
        <is>
          <t>COE (unspecified)</t>
        </is>
      </c>
      <c r="E200" s="563" t="inlineStr">
        <is>
          <t>COE - Strategy Architecture</t>
        </is>
      </c>
      <c r="F200" s="563">
        <f>Squads!$B$298&amp;" - "&amp;Squads!$C$298</f>
        <v/>
      </c>
    </row>
    <row r="201">
      <c r="B201" s="552" t="n">
        <v>298</v>
      </c>
      <c r="C201" s="552" t="inlineStr">
        <is>
          <t>P298</t>
        </is>
      </c>
      <c r="D201" s="563" t="inlineStr">
        <is>
          <t>COE (unspecified)</t>
        </is>
      </c>
      <c r="E201" s="563" t="inlineStr">
        <is>
          <t>COE - Strategy Architecture</t>
        </is>
      </c>
      <c r="F201" s="563">
        <f>Squads!$B$298&amp;" - "&amp;Squads!$C$298</f>
        <v/>
      </c>
    </row>
    <row r="202">
      <c r="B202" s="552" t="n">
        <v>331</v>
      </c>
      <c r="C202" s="552" t="inlineStr">
        <is>
          <t>O331</t>
        </is>
      </c>
      <c r="D202" s="563" t="inlineStr">
        <is>
          <t>COE (unspecified)</t>
        </is>
      </c>
      <c r="E202" s="563" t="inlineStr">
        <is>
          <t>COE - Strategy Architecture</t>
        </is>
      </c>
      <c r="F202" s="563">
        <f>Squads!$B$331&amp;" - "&amp;Squads!$C$331</f>
        <v/>
      </c>
    </row>
    <row r="203">
      <c r="B203" s="552" t="n">
        <v>331</v>
      </c>
      <c r="C203" s="552" t="inlineStr">
        <is>
          <t>P331</t>
        </is>
      </c>
      <c r="D203" s="563" t="inlineStr">
        <is>
          <t>COE (unspecified)</t>
        </is>
      </c>
      <c r="E203" s="563" t="inlineStr">
        <is>
          <t>COE - Strategy Architecture</t>
        </is>
      </c>
      <c r="F203" s="563">
        <f>Squads!$B$331&amp;" - "&amp;Squads!$C$331</f>
        <v/>
      </c>
    </row>
    <row r="204">
      <c r="B204" s="552" t="n">
        <v>290</v>
      </c>
      <c r="C204" s="552" t="inlineStr">
        <is>
          <t>O290</t>
        </is>
      </c>
      <c r="D204" s="563" t="inlineStr">
        <is>
          <t>Leadership</t>
        </is>
      </c>
      <c r="E204" s="563" t="inlineStr">
        <is>
          <t>COE - Data</t>
        </is>
      </c>
      <c r="F204" s="563">
        <f>Squads!$B$290&amp;" - "&amp;Squads!$C$290</f>
        <v/>
      </c>
    </row>
    <row r="205">
      <c r="B205" s="552" t="n">
        <v>290</v>
      </c>
      <c r="C205" s="552" t="inlineStr">
        <is>
          <t>P290</t>
        </is>
      </c>
      <c r="D205" s="563" t="inlineStr">
        <is>
          <t>Leadership</t>
        </is>
      </c>
      <c r="E205" s="563" t="inlineStr">
        <is>
          <t>COE - Data</t>
        </is>
      </c>
      <c r="F205" s="563">
        <f>Squads!$B$290&amp;" - "&amp;Squads!$C$290</f>
        <v/>
      </c>
    </row>
    <row r="206">
      <c r="B206" s="552" t="n">
        <v>290</v>
      </c>
      <c r="C206" s="552" t="inlineStr">
        <is>
          <t>Q290</t>
        </is>
      </c>
      <c r="D206" s="563" t="inlineStr">
        <is>
          <t>Leadership</t>
        </is>
      </c>
      <c r="E206" s="563" t="inlineStr">
        <is>
          <t>COE</t>
        </is>
      </c>
      <c r="F206" s="563">
        <f>Squads!$B$290&amp;" - "&amp;Squads!$C$290</f>
        <v/>
      </c>
    </row>
    <row r="207">
      <c r="B207" s="552" t="n">
        <v>300</v>
      </c>
      <c r="C207" s="552" t="inlineStr">
        <is>
          <t>N300</t>
        </is>
      </c>
      <c r="D207" s="563" t="inlineStr">
        <is>
          <t>Enterprise Data</t>
        </is>
      </c>
      <c r="E207" s="563" t="inlineStr">
        <is>
          <t>COE</t>
        </is>
      </c>
      <c r="F207" s="563">
        <f>Squads!$B$300&amp;" - "&amp;Squads!$C$300</f>
        <v/>
      </c>
    </row>
    <row r="208">
      <c r="B208" s="552" t="n">
        <v>300</v>
      </c>
      <c r="C208" s="552" t="inlineStr">
        <is>
          <t>O300</t>
        </is>
      </c>
      <c r="D208" s="563" t="inlineStr">
        <is>
          <t>Group Data</t>
        </is>
      </c>
      <c r="E208" s="563" t="inlineStr">
        <is>
          <t>COE - Strategy Architecture</t>
        </is>
      </c>
      <c r="F208" s="563">
        <f>Squads!$B$300&amp;" - "&amp;Squads!$C$300</f>
        <v/>
      </c>
    </row>
    <row r="209">
      <c r="B209" s="552" t="n">
        <v>300</v>
      </c>
      <c r="C209" s="552" t="inlineStr">
        <is>
          <t>P300</t>
        </is>
      </c>
      <c r="D209" s="563" t="inlineStr">
        <is>
          <t>Data Platforms</t>
        </is>
      </c>
      <c r="E209" s="563" t="inlineStr">
        <is>
          <t>COE - Strategy Architecture</t>
        </is>
      </c>
      <c r="F209" s="563">
        <f>Squads!$B$300&amp;" - "&amp;Squads!$C$300</f>
        <v/>
      </c>
    </row>
    <row r="210">
      <c r="B210" s="552" t="n">
        <v>300</v>
      </c>
      <c r="C210" s="552" t="inlineStr">
        <is>
          <t>Q300</t>
        </is>
      </c>
      <c r="D210" s="563" t="inlineStr">
        <is>
          <t>Squad</t>
        </is>
      </c>
      <c r="E210" s="563" t="inlineStr">
        <is>
          <t>COE</t>
        </is>
      </c>
      <c r="F210" s="563">
        <f>Squads!$B$300&amp;" - "&amp;Squads!$C$300</f>
        <v/>
      </c>
    </row>
    <row r="211">
      <c r="B211" s="552" t="n">
        <v>296</v>
      </c>
      <c r="C211" s="552" t="inlineStr">
        <is>
          <t>N296</t>
        </is>
      </c>
      <c r="D211" s="563" t="inlineStr">
        <is>
          <t>Enterprise Data</t>
        </is>
      </c>
      <c r="E211" s="563" t="inlineStr">
        <is>
          <t>COE</t>
        </is>
      </c>
      <c r="F211" s="563">
        <f>Squads!$B$296&amp;" - "&amp;Squads!$C$296</f>
        <v/>
      </c>
    </row>
    <row r="212">
      <c r="B212" s="552" t="n">
        <v>296</v>
      </c>
      <c r="C212" s="552" t="inlineStr">
        <is>
          <t>O296</t>
        </is>
      </c>
      <c r="D212" s="563" t="inlineStr">
        <is>
          <t>Group Data</t>
        </is>
      </c>
      <c r="E212" s="563" t="inlineStr">
        <is>
          <t>COE - Strategy Architecture</t>
        </is>
      </c>
      <c r="F212" s="563">
        <f>Squads!$B$296&amp;" - "&amp;Squads!$C$296</f>
        <v/>
      </c>
    </row>
    <row r="213">
      <c r="B213" s="552" t="n">
        <v>296</v>
      </c>
      <c r="C213" s="552" t="inlineStr">
        <is>
          <t>P296</t>
        </is>
      </c>
      <c r="D213" s="563" t="inlineStr">
        <is>
          <t>Reporting &amp; Analytics</t>
        </is>
      </c>
      <c r="E213" s="563" t="inlineStr">
        <is>
          <t>COE - Strategy Architecture</t>
        </is>
      </c>
      <c r="F213" s="563">
        <f>Squads!$B$296&amp;" - "&amp;Squads!$C$296</f>
        <v/>
      </c>
    </row>
    <row r="214">
      <c r="B214" s="552" t="n">
        <v>296</v>
      </c>
      <c r="C214" s="552" t="inlineStr">
        <is>
          <t>Q296</t>
        </is>
      </c>
      <c r="D214" s="563" t="inlineStr">
        <is>
          <t>Squad</t>
        </is>
      </c>
      <c r="E214" s="563" t="inlineStr">
        <is>
          <t>COE</t>
        </is>
      </c>
      <c r="F214" s="563">
        <f>Squads!$B$296&amp;" - "&amp;Squads!$C$296</f>
        <v/>
      </c>
    </row>
    <row r="215">
      <c r="B215" s="552" t="n">
        <v>309</v>
      </c>
      <c r="C215" s="552" t="inlineStr">
        <is>
          <t>N309</t>
        </is>
      </c>
      <c r="D215" s="563" t="inlineStr">
        <is>
          <t>Unmapped</t>
        </is>
      </c>
      <c r="E215" s="563" t="inlineStr">
        <is>
          <t>COE</t>
        </is>
      </c>
      <c r="F215" s="563">
        <f>Squads!$B$309&amp;" - "&amp;Squads!$C$309</f>
        <v/>
      </c>
    </row>
    <row r="216">
      <c r="B216" s="552" t="n">
        <v>309</v>
      </c>
      <c r="C216" s="552" t="inlineStr">
        <is>
          <t>O309</t>
        </is>
      </c>
      <c r="D216" s="563" t="inlineStr">
        <is>
          <t>Leadership</t>
        </is>
      </c>
      <c r="E216" s="563" t="inlineStr">
        <is>
          <t>COE - Strategy Architecture</t>
        </is>
      </c>
      <c r="F216" s="563">
        <f>Squads!$B$309&amp;" - "&amp;Squads!$C$309</f>
        <v/>
      </c>
    </row>
    <row r="217">
      <c r="B217" s="552" t="n">
        <v>309</v>
      </c>
      <c r="C217" s="552" t="inlineStr">
        <is>
          <t>P309</t>
        </is>
      </c>
      <c r="D217" s="563" t="inlineStr">
        <is>
          <t>Leadership</t>
        </is>
      </c>
      <c r="E217" s="563" t="inlineStr">
        <is>
          <t>COE - Strategy Architecture</t>
        </is>
      </c>
      <c r="F217" s="563">
        <f>Squads!$B$309&amp;" - "&amp;Squads!$C$309</f>
        <v/>
      </c>
    </row>
    <row r="218">
      <c r="B218" s="552" t="n">
        <v>309</v>
      </c>
      <c r="C218" s="552" t="inlineStr">
        <is>
          <t>Q309</t>
        </is>
      </c>
      <c r="D218" s="563" t="inlineStr">
        <is>
          <t>Leadership</t>
        </is>
      </c>
      <c r="E218" s="563" t="inlineStr">
        <is>
          <t>COE</t>
        </is>
      </c>
      <c r="F218" s="563">
        <f>Squads!$B$309&amp;" - "&amp;Squads!$C$309</f>
        <v/>
      </c>
    </row>
    <row r="219">
      <c r="B219" s="552" t="n">
        <v>306</v>
      </c>
      <c r="C219" s="552" t="inlineStr">
        <is>
          <t>N306</t>
        </is>
      </c>
      <c r="D219" s="563" t="inlineStr">
        <is>
          <t>Unmapped</t>
        </is>
      </c>
      <c r="E219" s="563" t="inlineStr">
        <is>
          <t>COE</t>
        </is>
      </c>
      <c r="F219" s="563">
        <f>Squads!$B$306&amp;" - "&amp;Squads!$C$306</f>
        <v/>
      </c>
    </row>
    <row r="220">
      <c r="B220" s="552" t="n">
        <v>306</v>
      </c>
      <c r="C220" s="552" t="inlineStr">
        <is>
          <t>O306</t>
        </is>
      </c>
      <c r="D220" s="563" t="inlineStr">
        <is>
          <t>Leadership</t>
        </is>
      </c>
      <c r="E220" s="563" t="inlineStr">
        <is>
          <t>COE - Strategy Architecture</t>
        </is>
      </c>
      <c r="F220" s="563">
        <f>Squads!$B$306&amp;" - "&amp;Squads!$C$306</f>
        <v/>
      </c>
    </row>
    <row r="221">
      <c r="B221" s="552" t="n">
        <v>306</v>
      </c>
      <c r="C221" s="552" t="inlineStr">
        <is>
          <t>P306</t>
        </is>
      </c>
      <c r="D221" s="563" t="inlineStr">
        <is>
          <t>Leadership</t>
        </is>
      </c>
      <c r="E221" s="563" t="inlineStr">
        <is>
          <t>COE - Strategy Architecture</t>
        </is>
      </c>
      <c r="F221" s="563">
        <f>Squads!$B$306&amp;" - "&amp;Squads!$C$306</f>
        <v/>
      </c>
    </row>
    <row r="222">
      <c r="B222" s="552" t="n">
        <v>306</v>
      </c>
      <c r="C222" s="552" t="inlineStr">
        <is>
          <t>Q306</t>
        </is>
      </c>
      <c r="D222" s="563" t="inlineStr">
        <is>
          <t>Leadership</t>
        </is>
      </c>
      <c r="E222" s="563" t="inlineStr">
        <is>
          <t>COE</t>
        </is>
      </c>
      <c r="F222" s="563">
        <f>Squads!$B$306&amp;" - "&amp;Squads!$C$306</f>
        <v/>
      </c>
    </row>
    <row r="223">
      <c r="B223" s="552" t="n">
        <v>322</v>
      </c>
      <c r="C223" s="552" t="inlineStr">
        <is>
          <t>O322</t>
        </is>
      </c>
      <c r="D223" s="563" t="inlineStr">
        <is>
          <t>COE (unspecified)</t>
        </is>
      </c>
      <c r="E223" s="563" t="inlineStr">
        <is>
          <t>COE - Data</t>
        </is>
      </c>
      <c r="F223" s="563">
        <f>Squads!$B$322&amp;" - "&amp;Squads!$C$322</f>
        <v/>
      </c>
    </row>
    <row r="224">
      <c r="B224" s="552" t="n">
        <v>322</v>
      </c>
      <c r="C224" s="552" t="inlineStr">
        <is>
          <t>P322</t>
        </is>
      </c>
      <c r="D224" s="563" t="inlineStr">
        <is>
          <t>COE (unspecified)</t>
        </is>
      </c>
      <c r="E224" s="563" t="inlineStr">
        <is>
          <t>COE - Data</t>
        </is>
      </c>
      <c r="F224" s="563">
        <f>Squads!$B$322&amp;" - "&amp;Squads!$C$322</f>
        <v/>
      </c>
    </row>
    <row r="225">
      <c r="B225" s="552" t="n">
        <v>327</v>
      </c>
      <c r="C225" s="552" t="inlineStr">
        <is>
          <t>O327</t>
        </is>
      </c>
      <c r="D225" s="563" t="inlineStr">
        <is>
          <t>COE (unspecified)</t>
        </is>
      </c>
      <c r="E225" s="563" t="inlineStr">
        <is>
          <t>COE - Strategy Architecture</t>
        </is>
      </c>
      <c r="F225" s="563">
        <f>Squads!$B$327&amp;" - "&amp;Squads!$C$327</f>
        <v/>
      </c>
    </row>
    <row r="226">
      <c r="B226" s="552" t="n">
        <v>327</v>
      </c>
      <c r="C226" s="552" t="inlineStr">
        <is>
          <t>P327</t>
        </is>
      </c>
      <c r="D226" s="563" t="inlineStr">
        <is>
          <t>COE (unspecified)</t>
        </is>
      </c>
      <c r="E226" s="563" t="inlineStr">
        <is>
          <t>COE - Strategy Architecture</t>
        </is>
      </c>
      <c r="F226" s="563">
        <f>Squads!$B$327&amp;" - "&amp;Squads!$C$327</f>
        <v/>
      </c>
    </row>
    <row r="227">
      <c r="B227" s="552" t="n">
        <v>333</v>
      </c>
      <c r="C227" s="552" t="inlineStr">
        <is>
          <t>O333</t>
        </is>
      </c>
      <c r="D227" s="563" t="inlineStr">
        <is>
          <t>COE (unspecified)</t>
        </is>
      </c>
      <c r="E227" s="563" t="inlineStr">
        <is>
          <t>COE - Strategy Architecture</t>
        </is>
      </c>
      <c r="F227" s="563">
        <f>Squads!$B$333&amp;" - "&amp;Squads!$C$333</f>
        <v/>
      </c>
    </row>
    <row r="228">
      <c r="B228" s="552" t="n">
        <v>333</v>
      </c>
      <c r="C228" s="552" t="inlineStr">
        <is>
          <t>P333</t>
        </is>
      </c>
      <c r="D228" s="563" t="inlineStr">
        <is>
          <t>COE (unspecified)</t>
        </is>
      </c>
      <c r="E228" s="563" t="inlineStr">
        <is>
          <t>COE - Strategy Architecture</t>
        </is>
      </c>
      <c r="F228" s="563">
        <f>Squads!$B$333&amp;" - "&amp;Squads!$C$333</f>
        <v/>
      </c>
    </row>
    <row r="229">
      <c r="B229" s="552" t="n">
        <v>334</v>
      </c>
      <c r="C229" s="552" t="inlineStr">
        <is>
          <t>O334</t>
        </is>
      </c>
      <c r="D229" s="563" t="inlineStr">
        <is>
          <t>COE (unspecified)</t>
        </is>
      </c>
      <c r="E229" s="563" t="inlineStr">
        <is>
          <t>COE - Strategy Architecture</t>
        </is>
      </c>
      <c r="F229" s="563">
        <f>Squads!$B$334&amp;" - "&amp;Squads!$C$334</f>
        <v/>
      </c>
    </row>
    <row r="230">
      <c r="B230" s="552" t="n">
        <v>334</v>
      </c>
      <c r="C230" s="552" t="inlineStr">
        <is>
          <t>P334</t>
        </is>
      </c>
      <c r="D230" s="563" t="inlineStr">
        <is>
          <t>COE (unspecified)</t>
        </is>
      </c>
      <c r="E230" s="563" t="inlineStr">
        <is>
          <t>COE - Strategy Architecture</t>
        </is>
      </c>
      <c r="F230" s="563">
        <f>Squads!$B$334&amp;" - "&amp;Squads!$C$334</f>
        <v/>
      </c>
    </row>
    <row r="231">
      <c r="B231" s="552" t="n">
        <v>342</v>
      </c>
      <c r="C231" s="552" t="inlineStr">
        <is>
          <t>O342</t>
        </is>
      </c>
      <c r="D231" s="563" t="inlineStr">
        <is>
          <t>COE (unspecified)</t>
        </is>
      </c>
      <c r="E231" s="563" t="inlineStr">
        <is>
          <t>COE - Strategy Architecture</t>
        </is>
      </c>
      <c r="F231" s="563">
        <f>Squads!$B$342&amp;" - "&amp;Squads!$C$342</f>
        <v/>
      </c>
    </row>
    <row r="232">
      <c r="B232" s="552" t="n">
        <v>342</v>
      </c>
      <c r="C232" s="552" t="inlineStr">
        <is>
          <t>P342</t>
        </is>
      </c>
      <c r="D232" s="563" t="inlineStr">
        <is>
          <t>COE (unspecified)</t>
        </is>
      </c>
      <c r="E232" s="563" t="inlineStr">
        <is>
          <t>COE - Strategy Architecture</t>
        </is>
      </c>
      <c r="F232" s="563">
        <f>Squads!$B$342&amp;" - "&amp;Squads!$C$342</f>
        <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Retail'!$D$1:$D$500,"Vacant")+COUNTIF('2.10 Z Retail'!$D$1:$D$500,"Vacant")+COUNTIF('2.11 TDD Cyber'!$D$1:$D$500,"Vacant")+COUNTIF('2.2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Fuels'!$D$1:$D$500,"Vacant")+COUNTIF('2.12 BP&amp;T'!$D$1:$D$500,"Vacant")+COUNTIF('2.13 SA&amp;D'!$D$1:$D$500,"Vacant")+COUNTIF('2.14 EGI &amp; Central'!$D$1:$D$500,"Vacant")</f>
        <v/>
      </c>
    </row>
    <row r="259">
      <c r="B259" s="563" t="inlineStr">
        <is>
          <t>Vacant in Squads (the 166)</t>
        </is>
      </c>
      <c r="C259" s="552">
        <f>COUNTIF(Squads!$R$2:$R$1000,"Vacant")</f>
        <v/>
      </c>
    </row>
    <row r="260">
      <c r="B260" s="563" t="inlineStr">
        <is>
          <t>Vacant in Sheet2 (COE and cyber FTE lists)</t>
        </is>
      </c>
      <c r="C260" s="552">
        <f>SUMPRODUCT(--(LOWER(Sheet2!$Q$2:$Q$200)="v"))</f>
        <v/>
      </c>
    </row>
    <row r="261">
      <c r="B261" s="550" t="inlineStr">
        <is>
          <t>Check - coverage minus raw counts</t>
        </is>
      </c>
      <c r="C261" s="604">
        <f>C258-C259-C260</f>
        <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
      </c>
    </row>
    <row r="263">
      <c r="B263" s="563" t="inlineStr">
        <is>
          <t>Stray totals parked below the Added data ledger (bounded references keep them out of every sum)</t>
        </is>
      </c>
      <c r="C263" s="552">
        <f>COUNT('Added data'!$AA$550:$AA$1000)</f>
        <v/>
      </c>
    </row>
  </sheetData>
  <pageMargins left="0.75" right="0.75" top="1" bottom="1" header="0.5" footer="0.5"/>
</worksheet>
</file>

<file path=xl/worksheets/sheet44.xml><?xml version="1.0" encoding="utf-8"?>
<worksheet xmlns="http://schemas.openxmlformats.org/spreadsheetml/2006/main">
  <sheetPr>
    <tabColor rgb="FF00B050"/>
    <outlinePr summaryBelow="1" summaryRight="1"/>
    <pageSetUpPr/>
  </sheetPr>
  <dimension ref="A1:AO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c r="AO1" t="inlineStr">
        <is>
          <t>MSquad</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
      </c>
      <c r="AH2" s="920" t="n"/>
      <c r="AJ2">
        <f>IFERROR(INDEX(Lists!$U$1:$U$18,MATCH($I2,Lists!$T$1:$T$18,0)),"?")</f>
        <v/>
      </c>
      <c r="AK2">
        <f>IF(LOWER($Q2)="v","Vacant",IF(LOWER($Q2)="pause","Paused",IF(LOWER($Q2)="cxc","Contractor",IF($Q2="Contractor","Contractor","Filled"))))</f>
        <v/>
      </c>
      <c r="AL2">
        <f>IF($M2="NZ","NZ","AU")</f>
        <v/>
      </c>
      <c r="AM2">
        <f>COUNTIF($AJ$2:$AJ2,$AJ2)</f>
        <v/>
      </c>
      <c r="AN2">
        <f>$AJ2&amp;"|"&amp;$AM2</f>
        <v/>
      </c>
      <c r="AO2" t="inlineStr">
        <is>
          <t>Z Retail Backend</t>
        </is>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
      </c>
      <c r="AH3" s="920" t="n">
        <v>374</v>
      </c>
      <c r="AJ3">
        <f>IFERROR(INDEX(Lists!$U$1:$U$18,MATCH($I3,Lists!$T$1:$T$18,0)),"?")</f>
        <v/>
      </c>
      <c r="AK3">
        <f>IF(LOWER($Q3)="v","Vacant",IF(LOWER($Q3)="pause","Paused",IF(LOWER($Q3)="cxc","Contractor",IF($Q3="Contractor","Contractor","Filled"))))</f>
        <v/>
      </c>
      <c r="AL3">
        <f>IF($M3="NZ","NZ","AU")</f>
        <v/>
      </c>
      <c r="AM3">
        <f>COUNTIF($AJ$2:$AJ3,$AJ3)</f>
        <v/>
      </c>
      <c r="AN3">
        <f>$AJ3&amp;"|"&amp;$AM3</f>
        <v/>
      </c>
      <c r="AO3" t="inlineStr">
        <is>
          <t>Network &amp; QSR</t>
        </is>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
      </c>
      <c r="AH4" s="920" t="n">
        <v>374</v>
      </c>
      <c r="AJ4">
        <f>IFERROR(INDEX(Lists!$U$1:$U$18,MATCH($I4,Lists!$T$1:$T$18,0)),"?")</f>
        <v/>
      </c>
      <c r="AK4">
        <f>IF(LOWER($Q4)="v","Vacant",IF(LOWER($Q4)="pause","Paused",IF(LOWER($Q4)="cxc","Contractor",IF($Q4="Contractor","Contractor","Filled"))))</f>
        <v/>
      </c>
      <c r="AL4">
        <f>IF($M4="NZ","NZ","AU")</f>
        <v/>
      </c>
      <c r="AM4">
        <f>COUNTIF($AJ$2:$AJ4,$AJ4)</f>
        <v/>
      </c>
      <c r="AN4">
        <f>$AJ4&amp;"|"&amp;$AM4</f>
        <v/>
      </c>
      <c r="AO4" t="inlineStr">
        <is>
          <t>EGI Retail</t>
        </is>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
      </c>
      <c r="AH5" s="920" t="n"/>
      <c r="AJ5">
        <f>IFERROR(INDEX(Lists!$U$1:$U$18,MATCH($I5,Lists!$T$1:$T$18,0)),"?")</f>
        <v/>
      </c>
      <c r="AK5">
        <f>IF(LOWER($Q5)="v","Vacant",IF(LOWER($Q5)="pause","Paused",IF(LOWER($Q5)="cxc","Contractor",IF($Q5="Contractor","Contractor","Filled"))))</f>
        <v/>
      </c>
      <c r="AL5">
        <f>IF($M5="NZ","NZ","AU")</f>
        <v/>
      </c>
      <c r="AM5">
        <f>COUNTIF($AJ$2:$AJ5,$AJ5)</f>
        <v/>
      </c>
      <c r="AN5">
        <f>$AJ5&amp;"|"&amp;$AM5</f>
        <v/>
      </c>
      <c r="AO5" t="inlineStr">
        <is>
          <t>Site Systems</t>
        </is>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
      </c>
      <c r="AH6" s="920" t="n"/>
      <c r="AJ6">
        <f>IFERROR(INDEX(Lists!$U$1:$U$18,MATCH($I6,Lists!$T$1:$T$18,0)),"?")</f>
        <v/>
      </c>
      <c r="AK6">
        <f>IF(LOWER($Q6)="v","Vacant",IF(LOWER($Q6)="pause","Paused",IF(LOWER($Q6)="cxc","Contractor",IF($Q6="Contractor","Contractor","Filled"))))</f>
        <v/>
      </c>
      <c r="AL6">
        <f>IF($M6="NZ","NZ","AU")</f>
        <v/>
      </c>
      <c r="AM6">
        <f>COUNTIF($AJ$2:$AJ6,$AJ6)</f>
        <v/>
      </c>
      <c r="AN6">
        <f>$AJ6&amp;"|"&amp;$AM6</f>
        <v/>
      </c>
      <c r="AO6" t="inlineStr">
        <is>
          <t>Z Retail Backend</t>
        </is>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
      </c>
      <c r="AJ7">
        <f>IFERROR(INDEX(Lists!$U$1:$U$18,MATCH($I7,Lists!$T$1:$T$18,0)),"?")</f>
        <v/>
      </c>
      <c r="AK7">
        <f>IF(LOWER($Q7)="v","Vacant",IF(LOWER($Q7)="pause","Paused",IF(LOWER($Q7)="cxc","Contractor",IF($Q7="Contractor","Contractor","Filled"))))</f>
        <v/>
      </c>
      <c r="AL7">
        <f>IF($M7="NZ","NZ","AU")</f>
        <v/>
      </c>
      <c r="AM7">
        <f>COUNTIF($AJ$2:$AJ7,$AJ7)</f>
        <v/>
      </c>
      <c r="AN7">
        <f>$AJ7&amp;"|"&amp;$AM7</f>
        <v/>
      </c>
      <c r="AO7" t="inlineStr">
        <is>
          <t>Store Operations</t>
        </is>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
      </c>
      <c r="AJ8">
        <f>IFERROR(INDEX(Lists!$U$1:$U$18,MATCH($I8,Lists!$T$1:$T$18,0)),"?")</f>
        <v/>
      </c>
      <c r="AK8">
        <f>IF(LOWER($Q8)="v","Vacant",IF(LOWER($Q8)="pause","Paused",IF(LOWER($Q8)="cxc","Contractor",IF($Q8="Contractor","Contractor","Filled"))))</f>
        <v/>
      </c>
      <c r="AL8">
        <f>IF($M8="NZ","NZ","AU")</f>
        <v/>
      </c>
      <c r="AM8">
        <f>COUNTIF($AJ$2:$AJ8,$AJ8)</f>
        <v/>
      </c>
      <c r="AN8">
        <f>$AJ8&amp;"|"&amp;$AM8</f>
        <v/>
      </c>
      <c r="AO8" t="inlineStr">
        <is>
          <t>Deployment</t>
        </is>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
      </c>
      <c r="AJ9">
        <f>IFERROR(INDEX(Lists!$U$1:$U$18,MATCH($I9,Lists!$T$1:$T$18,0)),"?")</f>
        <v/>
      </c>
      <c r="AK9">
        <f>IF(LOWER($Q9)="v","Vacant",IF(LOWER($Q9)="pause","Paused",IF(LOWER($Q9)="cxc","Contractor",IF($Q9="Contractor","Contractor","Filled"))))</f>
        <v/>
      </c>
      <c r="AL9">
        <f>IF($M9="NZ","NZ","AU")</f>
        <v/>
      </c>
      <c r="AM9">
        <f>COUNTIF($AJ$2:$AJ9,$AJ9)</f>
        <v/>
      </c>
      <c r="AN9">
        <f>$AJ9&amp;"|"&amp;$AM9</f>
        <v/>
      </c>
      <c r="AO9" t="inlineStr">
        <is>
          <t>Z Supply</t>
        </is>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
      </c>
      <c r="AJ10">
        <f>IFERROR(INDEX(Lists!$U$1:$U$18,MATCH($I10,Lists!$T$1:$T$18,0)),"?")</f>
        <v/>
      </c>
      <c r="AK10">
        <f>IF(LOWER($Q10)="v","Vacant",IF(LOWER($Q10)="pause","Paused",IF(LOWER($Q10)="cxc","Contractor",IF($Q10="Contractor","Contractor","Filled"))))</f>
        <v/>
      </c>
      <c r="AL10">
        <f>IF($M10="NZ","NZ","AU")</f>
        <v/>
      </c>
      <c r="AM10">
        <f>COUNTIF($AJ$2:$AJ10,$AJ10)</f>
        <v/>
      </c>
      <c r="AN10">
        <f>$AJ10&amp;"|"&amp;$AM10</f>
        <v/>
      </c>
      <c r="AO10" t="inlineStr">
        <is>
          <t>EGI Retail</t>
        </is>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
      </c>
      <c r="AJ11">
        <f>IFERROR(INDEX(Lists!$U$1:$U$18,MATCH($I11,Lists!$T$1:$T$18,0)),"?")</f>
        <v/>
      </c>
      <c r="AK11">
        <f>IF(LOWER($Q11)="v","Vacant",IF(LOWER($Q11)="pause","Paused",IF(LOWER($Q11)="cxc","Contractor",IF($Q11="Contractor","Contractor","Filled"))))</f>
        <v/>
      </c>
      <c r="AL11">
        <f>IF($M11="NZ","NZ","AU")</f>
        <v/>
      </c>
      <c r="AM11">
        <f>COUNTIF($AJ$2:$AJ11,$AJ11)</f>
        <v/>
      </c>
      <c r="AN11">
        <f>$AJ11&amp;"|"&amp;$AM11</f>
        <v/>
      </c>
      <c r="AO11" t="inlineStr">
        <is>
          <t>Deployment</t>
        </is>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
      </c>
      <c r="AJ12">
        <f>IFERROR(INDEX(Lists!$U$1:$U$18,MATCH($I12,Lists!$T$1:$T$18,0)),"?")</f>
        <v/>
      </c>
      <c r="AK12">
        <f>IF(LOWER($Q12)="v","Vacant",IF(LOWER($Q12)="pause","Paused",IF(LOWER($Q12)="cxc","Contractor",IF($Q12="Contractor","Contractor","Filled"))))</f>
        <v/>
      </c>
      <c r="AL12">
        <f>IF($M12="NZ","NZ","AU")</f>
        <v/>
      </c>
      <c r="AM12">
        <f>COUNTIF($AJ$2:$AJ12,$AJ12)</f>
        <v/>
      </c>
      <c r="AN12">
        <f>$AJ12&amp;"|"&amp;$AM12</f>
        <v/>
      </c>
      <c r="AO12" t="inlineStr">
        <is>
          <t>Data NZ</t>
        </is>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
      </c>
      <c r="AJ13">
        <f>IFERROR(INDEX(Lists!$U$1:$U$18,MATCH($I13,Lists!$T$1:$T$18,0)),"?")</f>
        <v/>
      </c>
      <c r="AK13">
        <f>IF(LOWER($Q13)="v","Vacant",IF(LOWER($Q13)="pause","Paused",IF(LOWER($Q13)="cxc","Contractor",IF($Q13="Contractor","Contractor","Filled"))))</f>
        <v/>
      </c>
      <c r="AL13">
        <f>IF($M13="NZ","NZ","AU")</f>
        <v/>
      </c>
      <c r="AM13">
        <f>COUNTIF($AJ$2:$AJ13,$AJ13)</f>
        <v/>
      </c>
      <c r="AN13">
        <f>$AJ13&amp;"|"&amp;$AM13</f>
        <v/>
      </c>
      <c r="AO13" t="inlineStr">
        <is>
          <t>AmPOS</t>
        </is>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
      </c>
      <c r="AJ14">
        <f>IFERROR(INDEX(Lists!$U$1:$U$18,MATCH($I14,Lists!$T$1:$T$18,0)),"?")</f>
        <v/>
      </c>
      <c r="AK14">
        <f>IF(LOWER($Q14)="v","Vacant",IF(LOWER($Q14)="pause","Paused",IF(LOWER($Q14)="cxc","Contractor",IF($Q14="Contractor","Contractor","Filled"))))</f>
        <v/>
      </c>
      <c r="AL14">
        <f>IF($M14="NZ","NZ","AU")</f>
        <v/>
      </c>
      <c r="AM14">
        <f>COUNTIF($AJ$2:$AJ14,$AJ14)</f>
        <v/>
      </c>
      <c r="AN14">
        <f>$AJ14&amp;"|"&amp;$AM14</f>
        <v/>
      </c>
      <c r="AO14" t="inlineStr">
        <is>
          <t>Payments</t>
        </is>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
      </c>
      <c r="AJ15">
        <f>IFERROR(INDEX(Lists!$U$1:$U$18,MATCH($I15,Lists!$T$1:$T$18,0)),"?")</f>
        <v/>
      </c>
      <c r="AK15">
        <f>IF(LOWER($Q15)="v","Vacant",IF(LOWER($Q15)="pause","Paused",IF(LOWER($Q15)="cxc","Contractor",IF($Q15="Contractor","Contractor","Filled"))))</f>
        <v/>
      </c>
      <c r="AL15">
        <f>IF($M15="NZ","NZ","AU")</f>
        <v/>
      </c>
      <c r="AM15">
        <f>COUNTIF($AJ$2:$AJ15,$AJ15)</f>
        <v/>
      </c>
      <c r="AN15">
        <f>$AJ15&amp;"|"&amp;$AM15</f>
        <v/>
      </c>
      <c r="AO15" t="inlineStr">
        <is>
          <t>Z Supply</t>
        </is>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
      </c>
      <c r="AJ16">
        <f>IFERROR(INDEX(Lists!$U$1:$U$18,MATCH($I16,Lists!$T$1:$T$18,0)),"?")</f>
        <v/>
      </c>
      <c r="AK16">
        <f>IF(LOWER($Q16)="v","Vacant",IF(LOWER($Q16)="pause","Paused",IF(LOWER($Q16)="cxc","Contractor",IF($Q16="Contractor","Contractor","Filled"))))</f>
        <v/>
      </c>
      <c r="AL16">
        <f>IF($M16="NZ","NZ","AU")</f>
        <v/>
      </c>
      <c r="AM16">
        <f>COUNTIF($AJ$2:$AJ16,$AJ16)</f>
        <v/>
      </c>
      <c r="AN16">
        <f>$AJ16&amp;"|"&amp;$AM16</f>
        <v/>
      </c>
      <c r="AO16" t="inlineStr">
        <is>
          <t>Site Systems</t>
        </is>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
      </c>
      <c r="AJ17">
        <f>IFERROR(INDEX(Lists!$U$1:$U$18,MATCH($I17,Lists!$T$1:$T$18,0)),"?")</f>
        <v/>
      </c>
      <c r="AK17">
        <f>IF(LOWER($Q17)="v","Vacant",IF(LOWER($Q17)="pause","Paused",IF(LOWER($Q17)="cxc","Contractor",IF($Q17="Contractor","Contractor","Filled"))))</f>
        <v/>
      </c>
      <c r="AL17">
        <f>IF($M17="NZ","NZ","AU")</f>
        <v/>
      </c>
      <c r="AM17">
        <f>COUNTIF($AJ$2:$AJ17,$AJ17)</f>
        <v/>
      </c>
      <c r="AN17">
        <f>$AJ17&amp;"|"&amp;$AM17</f>
        <v/>
      </c>
      <c r="AO17" t="inlineStr">
        <is>
          <t>Data NZ</t>
        </is>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
      </c>
      <c r="AJ18">
        <f>IFERROR(INDEX(Lists!$U$1:$U$18,MATCH($I18,Lists!$T$1:$T$18,0)),"?")</f>
        <v/>
      </c>
      <c r="AK18">
        <f>IF(LOWER($Q18)="v","Vacant",IF(LOWER($Q18)="pause","Paused",IF(LOWER($Q18)="cxc","Contractor",IF($Q18="Contractor","Contractor","Filled"))))</f>
        <v/>
      </c>
      <c r="AL18">
        <f>IF($M18="NZ","NZ","AU")</f>
        <v/>
      </c>
      <c r="AM18">
        <f>COUNTIF($AJ$2:$AJ18,$AJ18)</f>
        <v/>
      </c>
      <c r="AN18">
        <f>$AJ18&amp;"|"&amp;$AM18</f>
        <v/>
      </c>
      <c r="AO18" t="inlineStr">
        <is>
          <t>Leadership</t>
        </is>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
      </c>
      <c r="AJ19">
        <f>IFERROR(INDEX(Lists!$U$1:$U$18,MATCH($I19,Lists!$T$1:$T$18,0)),"?")</f>
        <v/>
      </c>
      <c r="AK19">
        <f>IF(LOWER($Q19)="v","Vacant",IF(LOWER($Q19)="pause","Paused",IF(LOWER($Q19)="cxc","Contractor",IF($Q19="Contractor","Contractor","Filled"))))</f>
        <v/>
      </c>
      <c r="AL19">
        <f>IF($M19="NZ","NZ","AU")</f>
        <v/>
      </c>
      <c r="AM19">
        <f>COUNTIF($AJ$2:$AJ19,$AJ19)</f>
        <v/>
      </c>
      <c r="AN19">
        <f>$AJ19&amp;"|"&amp;$AM19</f>
        <v/>
      </c>
      <c r="AO19" t="inlineStr">
        <is>
          <t>Site Systems</t>
        </is>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
      </c>
      <c r="AJ20">
        <f>IFERROR(INDEX(Lists!$U$1:$U$18,MATCH($I20,Lists!$T$1:$T$18,0)),"?")</f>
        <v/>
      </c>
      <c r="AK20">
        <f>IF(LOWER($Q20)="v","Vacant",IF(LOWER($Q20)="pause","Paused",IF(LOWER($Q20)="cxc","Contractor",IF($Q20="Contractor","Contractor","Filled"))))</f>
        <v/>
      </c>
      <c r="AL20">
        <f>IF($M20="NZ","NZ","AU")</f>
        <v/>
      </c>
      <c r="AM20">
        <f>COUNTIF($AJ$2:$AJ20,$AJ20)</f>
        <v/>
      </c>
      <c r="AN20">
        <f>$AJ20&amp;"|"&amp;$AM20</f>
        <v/>
      </c>
      <c r="AO20" t="inlineStr">
        <is>
          <t>Site Systems</t>
        </is>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
      </c>
      <c r="AJ21">
        <f>IFERROR(INDEX(Lists!$U$1:$U$18,MATCH($I21,Lists!$T$1:$T$18,0)),"?")</f>
        <v/>
      </c>
      <c r="AK21">
        <f>IF(LOWER($Q21)="v","Vacant",IF(LOWER($Q21)="pause","Paused",IF(LOWER($Q21)="cxc","Contractor",IF($Q21="Contractor","Contractor","Filled"))))</f>
        <v/>
      </c>
      <c r="AL21">
        <f>IF($M21="NZ","NZ","AU")</f>
        <v/>
      </c>
      <c r="AM21">
        <f>COUNTIF($AJ$2:$AJ21,$AJ21)</f>
        <v/>
      </c>
      <c r="AN21">
        <f>$AJ21&amp;"|"&amp;$AM21</f>
        <v/>
      </c>
      <c r="AO21" t="inlineStr">
        <is>
          <t>Z Retail Backend</t>
        </is>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
      </c>
      <c r="AJ22">
        <f>IFERROR(INDEX(Lists!$U$1:$U$18,MATCH($I22,Lists!$T$1:$T$18,0)),"?")</f>
        <v/>
      </c>
      <c r="AK22">
        <f>IF(LOWER($Q22)="v","Vacant",IF(LOWER($Q22)="pause","Paused",IF(LOWER($Q22)="cxc","Contractor",IF($Q22="Contractor","Contractor","Filled"))))</f>
        <v/>
      </c>
      <c r="AL22">
        <f>IF($M22="NZ","NZ","AU")</f>
        <v/>
      </c>
      <c r="AM22">
        <f>COUNTIF($AJ$2:$AJ22,$AJ22)</f>
        <v/>
      </c>
      <c r="AN22">
        <f>$AJ22&amp;"|"&amp;$AM22</f>
        <v/>
      </c>
      <c r="AO22" t="inlineStr">
        <is>
          <t>Deployment</t>
        </is>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
      </c>
      <c r="AJ23">
        <f>IFERROR(INDEX(Lists!$U$1:$U$18,MATCH($I23,Lists!$T$1:$T$18,0)),"?")</f>
        <v/>
      </c>
      <c r="AK23">
        <f>IF(LOWER($Q23)="v","Vacant",IF(LOWER($Q23)="pause","Paused",IF(LOWER($Q23)="cxc","Contractor",IF($Q23="Contractor","Contractor","Filled"))))</f>
        <v/>
      </c>
      <c r="AL23">
        <f>IF($M23="NZ","NZ","AU")</f>
        <v/>
      </c>
      <c r="AM23">
        <f>COUNTIF($AJ$2:$AJ23,$AJ23)</f>
        <v/>
      </c>
      <c r="AN23">
        <f>$AJ23&amp;"|"&amp;$AM23</f>
        <v/>
      </c>
      <c r="AO23" t="inlineStr">
        <is>
          <t>Leadership</t>
        </is>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
      </c>
      <c r="AJ24">
        <f>IFERROR(INDEX(Lists!$U$1:$U$18,MATCH($I24,Lists!$T$1:$T$18,0)),"?")</f>
        <v/>
      </c>
      <c r="AK24">
        <f>IF(LOWER($Q24)="v","Vacant",IF(LOWER($Q24)="pause","Paused",IF(LOWER($Q24)="cxc","Contractor",IF($Q24="Contractor","Contractor","Filled"))))</f>
        <v/>
      </c>
      <c r="AL24">
        <f>IF($M24="NZ","NZ","AU")</f>
        <v/>
      </c>
      <c r="AM24">
        <f>COUNTIF($AJ$2:$AJ24,$AJ24)</f>
        <v/>
      </c>
      <c r="AN24">
        <f>$AJ24&amp;"|"&amp;$AM24</f>
        <v/>
      </c>
      <c r="AO24" t="inlineStr">
        <is>
          <t>Store Operations</t>
        </is>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
      </c>
      <c r="AJ25">
        <f>IFERROR(INDEX(Lists!$U$1:$U$18,MATCH($I25,Lists!$T$1:$T$18,0)),"?")</f>
        <v/>
      </c>
      <c r="AK25">
        <f>IF(LOWER($Q25)="v","Vacant",IF(LOWER($Q25)="pause","Paused",IF(LOWER($Q25)="cxc","Contractor",IF($Q25="Contractor","Contractor","Filled"))))</f>
        <v/>
      </c>
      <c r="AL25">
        <f>IF($M25="NZ","NZ","AU")</f>
        <v/>
      </c>
      <c r="AM25">
        <f>COUNTIF($AJ$2:$AJ25,$AJ25)</f>
        <v/>
      </c>
      <c r="AN25">
        <f>$AJ25&amp;"|"&amp;$AM25</f>
        <v/>
      </c>
      <c r="AO25" t="inlineStr">
        <is>
          <t>Z Supply</t>
        </is>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
      </c>
      <c r="AJ26">
        <f>IFERROR(INDEX(Lists!$U$1:$U$18,MATCH($I26,Lists!$T$1:$T$18,0)),"?")</f>
        <v/>
      </c>
      <c r="AK26">
        <f>IF(LOWER($Q26)="v","Vacant",IF(LOWER($Q26)="pause","Paused",IF(LOWER($Q26)="cxc","Contractor",IF($Q26="Contractor","Contractor","Filled"))))</f>
        <v/>
      </c>
      <c r="AL26">
        <f>IF($M26="NZ","NZ","AU")</f>
        <v/>
      </c>
      <c r="AM26">
        <f>COUNTIF($AJ$2:$AJ26,$AJ26)</f>
        <v/>
      </c>
      <c r="AN26">
        <f>$AJ26&amp;"|"&amp;$AM26</f>
        <v/>
      </c>
      <c r="AO26" t="inlineStr">
        <is>
          <t>Z Supply</t>
        </is>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
      </c>
      <c r="AJ27">
        <f>IFERROR(INDEX(Lists!$U$1:$U$18,MATCH($I27,Lists!$T$1:$T$18,0)),"?")</f>
        <v/>
      </c>
      <c r="AK27">
        <f>IF(LOWER($Q27)="v","Vacant",IF(LOWER($Q27)="pause","Paused",IF(LOWER($Q27)="cxc","Contractor",IF($Q27="Contractor","Contractor","Filled"))))</f>
        <v/>
      </c>
      <c r="AL27">
        <f>IF($M27="NZ","NZ","AU")</f>
        <v/>
      </c>
      <c r="AM27">
        <f>COUNTIF($AJ$2:$AJ27,$AJ27)</f>
        <v/>
      </c>
      <c r="AN27">
        <f>$AJ27&amp;"|"&amp;$AM27</f>
        <v/>
      </c>
      <c r="AO27" t="inlineStr">
        <is>
          <t>Store Operations</t>
        </is>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
      </c>
      <c r="AJ28">
        <f>IFERROR(INDEX(Lists!$U$1:$U$18,MATCH($I28,Lists!$T$1:$T$18,0)),"?")</f>
        <v/>
      </c>
      <c r="AK28">
        <f>IF(LOWER($Q28)="v","Vacant",IF(LOWER($Q28)="pause","Paused",IF(LOWER($Q28)="cxc","Contractor",IF($Q28="Contractor","Contractor","Filled"))))</f>
        <v/>
      </c>
      <c r="AL28">
        <f>IF($M28="NZ","NZ","AU")</f>
        <v/>
      </c>
      <c r="AM28">
        <f>COUNTIF($AJ$2:$AJ28,$AJ28)</f>
        <v/>
      </c>
      <c r="AN28">
        <f>$AJ28&amp;"|"&amp;$AM28</f>
        <v/>
      </c>
      <c r="AO28" t="inlineStr">
        <is>
          <t>Store Operations</t>
        </is>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
      </c>
      <c r="AJ29">
        <f>IFERROR(INDEX(Lists!$U$1:$U$18,MATCH($I29,Lists!$T$1:$T$18,0)),"?")</f>
        <v/>
      </c>
      <c r="AK29">
        <f>IF(LOWER($Q29)="v","Vacant",IF(LOWER($Q29)="pause","Paused",IF(LOWER($Q29)="cxc","Contractor",IF($Q29="Contractor","Contractor","Filled"))))</f>
        <v/>
      </c>
      <c r="AL29">
        <f>IF($M29="NZ","NZ","AU")</f>
        <v/>
      </c>
      <c r="AM29">
        <f>COUNTIF($AJ$2:$AJ29,$AJ29)</f>
        <v/>
      </c>
      <c r="AN29">
        <f>$AJ29&amp;"|"&amp;$AM29</f>
        <v/>
      </c>
      <c r="AO29" t="inlineStr">
        <is>
          <t>Z Supply</t>
        </is>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
      </c>
      <c r="AJ30">
        <f>IFERROR(INDEX(Lists!$U$1:$U$18,MATCH($I30,Lists!$T$1:$T$18,0)),"?")</f>
        <v/>
      </c>
      <c r="AK30">
        <f>IF(LOWER($Q30)="v","Vacant",IF(LOWER($Q30)="pause","Paused",IF(LOWER($Q30)="cxc","Contractor",IF($Q30="Contractor","Contractor","Filled"))))</f>
        <v/>
      </c>
      <c r="AL30">
        <f>IF($M30="NZ","NZ","AU")</f>
        <v/>
      </c>
      <c r="AM30">
        <f>COUNTIF($AJ$2:$AJ30,$AJ30)</f>
        <v/>
      </c>
      <c r="AN30">
        <f>$AJ30&amp;"|"&amp;$AM30</f>
        <v/>
      </c>
      <c r="AO30" t="inlineStr">
        <is>
          <t>AmPOS</t>
        </is>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
      </c>
      <c r="AJ31">
        <f>IFERROR(INDEX(Lists!$U$1:$U$18,MATCH($I31,Lists!$T$1:$T$18,0)),"?")</f>
        <v/>
      </c>
      <c r="AK31">
        <f>IF(LOWER($Q31)="v","Vacant",IF(LOWER($Q31)="pause","Paused",IF(LOWER($Q31)="cxc","Contractor",IF($Q31="Contractor","Contractor","Filled"))))</f>
        <v/>
      </c>
      <c r="AL31">
        <f>IF($M31="NZ","NZ","AU")</f>
        <v/>
      </c>
      <c r="AM31">
        <f>COUNTIF($AJ$2:$AJ31,$AJ31)</f>
        <v/>
      </c>
      <c r="AN31">
        <f>$AJ31&amp;"|"&amp;$AM31</f>
        <v/>
      </c>
      <c r="AO31" t="inlineStr">
        <is>
          <t>Z Supply</t>
        </is>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
      </c>
      <c r="AJ32">
        <f>IFERROR(INDEX(Lists!$U$1:$U$18,MATCH($I32,Lists!$T$1:$T$18,0)),"?")</f>
        <v/>
      </c>
      <c r="AK32">
        <f>IF(LOWER($Q32)="v","Vacant",IF(LOWER($Q32)="pause","Paused",IF(LOWER($Q32)="cxc","Contractor",IF($Q32="Contractor","Contractor","Filled"))))</f>
        <v/>
      </c>
      <c r="AL32">
        <f>IF($M32="NZ","NZ","AU")</f>
        <v/>
      </c>
      <c r="AM32">
        <f>COUNTIF($AJ$2:$AJ32,$AJ32)</f>
        <v/>
      </c>
      <c r="AN32">
        <f>$AJ32&amp;"|"&amp;$AM32</f>
        <v/>
      </c>
      <c r="AO32" t="inlineStr">
        <is>
          <t>Network &amp; QSR</t>
        </is>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
      </c>
      <c r="AJ33">
        <f>IFERROR(INDEX(Lists!$U$1:$U$18,MATCH($I33,Lists!$T$1:$T$18,0)),"?")</f>
        <v/>
      </c>
      <c r="AK33">
        <f>IF(LOWER($Q33)="v","Vacant",IF(LOWER($Q33)="pause","Paused",IF(LOWER($Q33)="cxc","Contractor",IF($Q33="Contractor","Contractor","Filled"))))</f>
        <v/>
      </c>
      <c r="AL33">
        <f>IF($M33="NZ","NZ","AU")</f>
        <v/>
      </c>
      <c r="AM33">
        <f>COUNTIF($AJ$2:$AJ33,$AJ33)</f>
        <v/>
      </c>
      <c r="AN33">
        <f>$AJ33&amp;"|"&amp;$AM33</f>
        <v/>
      </c>
      <c r="AO33" t="inlineStr">
        <is>
          <t>Data NZ</t>
        </is>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
      </c>
      <c r="AJ34">
        <f>IFERROR(INDEX(Lists!$U$1:$U$18,MATCH($I34,Lists!$T$1:$T$18,0)),"?")</f>
        <v/>
      </c>
      <c r="AK34">
        <f>IF(LOWER($Q34)="v","Vacant",IF(LOWER($Q34)="pause","Paused",IF(LOWER($Q34)="cxc","Contractor",IF($Q34="Contractor","Contractor","Filled"))))</f>
        <v/>
      </c>
      <c r="AL34">
        <f>IF($M34="NZ","NZ","AU")</f>
        <v/>
      </c>
      <c r="AM34">
        <f>COUNTIF($AJ$2:$AJ34,$AJ34)</f>
        <v/>
      </c>
      <c r="AN34">
        <f>$AJ34&amp;"|"&amp;$AM34</f>
        <v/>
      </c>
      <c r="AO34" t="inlineStr">
        <is>
          <t>Z Supply</t>
        </is>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
      </c>
      <c r="AJ35">
        <f>IFERROR(INDEX(Lists!$U$1:$U$18,MATCH($I35,Lists!$T$1:$T$18,0)),"?")</f>
        <v/>
      </c>
      <c r="AK35">
        <f>IF(LOWER($Q35)="v","Vacant",IF(LOWER($Q35)="pause","Paused",IF(LOWER($Q35)="cxc","Contractor",IF($Q35="Contractor","Contractor","Filled"))))</f>
        <v/>
      </c>
      <c r="AL35">
        <f>IF($M35="NZ","NZ","AU")</f>
        <v/>
      </c>
      <c r="AM35">
        <f>COUNTIF($AJ$2:$AJ35,$AJ35)</f>
        <v/>
      </c>
      <c r="AN35">
        <f>$AJ35&amp;"|"&amp;$AM35</f>
        <v/>
      </c>
      <c r="AO35" t="inlineStr">
        <is>
          <t>Z Supply</t>
        </is>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
      </c>
      <c r="AJ36">
        <f>IFERROR(INDEX(Lists!$U$1:$U$18,MATCH($I36,Lists!$T$1:$T$18,0)),"?")</f>
        <v/>
      </c>
      <c r="AK36">
        <f>IF(LOWER($Q36)="v","Vacant",IF(LOWER($Q36)="pause","Paused",IF(LOWER($Q36)="cxc","Contractor",IF($Q36="Contractor","Contractor","Filled"))))</f>
        <v/>
      </c>
      <c r="AL36">
        <f>IF($M36="NZ","NZ","AU")</f>
        <v/>
      </c>
      <c r="AM36">
        <f>COUNTIF($AJ$2:$AJ36,$AJ36)</f>
        <v/>
      </c>
      <c r="AN36">
        <f>$AJ36&amp;"|"&amp;$AM36</f>
        <v/>
      </c>
      <c r="AO36" t="inlineStr">
        <is>
          <t>Above Store</t>
        </is>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
      </c>
      <c r="AJ37">
        <f>IFERROR(INDEX(Lists!$U$1:$U$18,MATCH($I37,Lists!$T$1:$T$18,0)),"?")</f>
        <v/>
      </c>
      <c r="AK37">
        <f>IF(LOWER($Q37)="v","Vacant",IF(LOWER($Q37)="pause","Paused",IF(LOWER($Q37)="cxc","Contractor",IF($Q37="Contractor","Contractor","Filled"))))</f>
        <v/>
      </c>
      <c r="AL37">
        <f>IF($M37="NZ","NZ","AU")</f>
        <v/>
      </c>
      <c r="AM37">
        <f>COUNTIF($AJ$2:$AJ37,$AJ37)</f>
        <v/>
      </c>
      <c r="AN37">
        <f>$AJ37&amp;"|"&amp;$AM37</f>
        <v/>
      </c>
      <c r="AO37" t="inlineStr">
        <is>
          <t>AmPOS</t>
        </is>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
      </c>
      <c r="AJ38">
        <f>IFERROR(INDEX(Lists!$U$1:$U$18,MATCH($I38,Lists!$T$1:$T$18,0)),"?")</f>
        <v/>
      </c>
      <c r="AK38">
        <f>IF(LOWER($Q38)="v","Vacant",IF(LOWER($Q38)="pause","Paused",IF(LOWER($Q38)="cxc","Contractor",IF($Q38="Contractor","Contractor","Filled"))))</f>
        <v/>
      </c>
      <c r="AL38">
        <f>IF($M38="NZ","NZ","AU")</f>
        <v/>
      </c>
      <c r="AM38">
        <f>COUNTIF($AJ$2:$AJ38,$AJ38)</f>
        <v/>
      </c>
      <c r="AN38">
        <f>$AJ38&amp;"|"&amp;$AM38</f>
        <v/>
      </c>
      <c r="AO38" t="inlineStr">
        <is>
          <t>Store Operations</t>
        </is>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
      </c>
      <c r="AJ39">
        <f>IFERROR(INDEX(Lists!$U$1:$U$18,MATCH($I39,Lists!$T$1:$T$18,0)),"?")</f>
        <v/>
      </c>
      <c r="AK39">
        <f>IF(LOWER($Q39)="v","Vacant",IF(LOWER($Q39)="pause","Paused",IF(LOWER($Q39)="cxc","Contractor",IF($Q39="Contractor","Contractor","Filled"))))</f>
        <v/>
      </c>
      <c r="AL39">
        <f>IF($M39="NZ","NZ","AU")</f>
        <v/>
      </c>
      <c r="AM39">
        <f>COUNTIF($AJ$2:$AJ39,$AJ39)</f>
        <v/>
      </c>
      <c r="AN39">
        <f>$AJ39&amp;"|"&amp;$AM39</f>
        <v/>
      </c>
      <c r="AO39" t="inlineStr">
        <is>
          <t>AmPOS</t>
        </is>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
      </c>
      <c r="AJ40">
        <f>IFERROR(INDEX(Lists!$U$1:$U$18,MATCH($I40,Lists!$T$1:$T$18,0)),"?")</f>
        <v/>
      </c>
      <c r="AK40">
        <f>IF(LOWER($Q40)="v","Vacant",IF(LOWER($Q40)="pause","Paused",IF(LOWER($Q40)="cxc","Contractor",IF($Q40="Contractor","Contractor","Filled"))))</f>
        <v/>
      </c>
      <c r="AL40">
        <f>IF($M40="NZ","NZ","AU")</f>
        <v/>
      </c>
      <c r="AM40">
        <f>COUNTIF($AJ$2:$AJ40,$AJ40)</f>
        <v/>
      </c>
      <c r="AN40">
        <f>$AJ40&amp;"|"&amp;$AM40</f>
        <v/>
      </c>
      <c r="AO40" t="inlineStr">
        <is>
          <t>Site Systems</t>
        </is>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
      </c>
      <c r="AJ41">
        <f>IFERROR(INDEX(Lists!$U$1:$U$18,MATCH($I41,Lists!$T$1:$T$18,0)),"?")</f>
        <v/>
      </c>
      <c r="AK41">
        <f>IF(LOWER($Q41)="v","Vacant",IF(LOWER($Q41)="pause","Paused",IF(LOWER($Q41)="cxc","Contractor",IF($Q41="Contractor","Contractor","Filled"))))</f>
        <v/>
      </c>
      <c r="AL41">
        <f>IF($M41="NZ","NZ","AU")</f>
        <v/>
      </c>
      <c r="AM41">
        <f>COUNTIF($AJ$2:$AJ41,$AJ41)</f>
        <v/>
      </c>
      <c r="AN41">
        <f>$AJ41&amp;"|"&amp;$AM41</f>
        <v/>
      </c>
      <c r="AO41" t="inlineStr">
        <is>
          <t>Z Retail Backend</t>
        </is>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
      </c>
      <c r="AJ42">
        <f>IFERROR(INDEX(Lists!$U$1:$U$18,MATCH($I42,Lists!$T$1:$T$18,0)),"?")</f>
        <v/>
      </c>
      <c r="AK42">
        <f>IF(LOWER($Q42)="v","Vacant",IF(LOWER($Q42)="pause","Paused",IF(LOWER($Q42)="cxc","Contractor",IF($Q42="Contractor","Contractor","Filled"))))</f>
        <v/>
      </c>
      <c r="AL42">
        <f>IF($M42="NZ","NZ","AU")</f>
        <v/>
      </c>
      <c r="AM42">
        <f>COUNTIF($AJ$2:$AJ42,$AJ42)</f>
        <v/>
      </c>
      <c r="AN42">
        <f>$AJ42&amp;"|"&amp;$AM42</f>
        <v/>
      </c>
      <c r="AO42" t="inlineStr">
        <is>
          <t>Leadership</t>
        </is>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
      </c>
      <c r="AJ43">
        <f>IFERROR(INDEX(Lists!$U$1:$U$18,MATCH($I43,Lists!$T$1:$T$18,0)),"?")</f>
        <v/>
      </c>
      <c r="AK43">
        <f>IF(LOWER($Q43)="v","Vacant",IF(LOWER($Q43)="pause","Paused",IF(LOWER($Q43)="cxc","Contractor",IF($Q43="Contractor","Contractor","Filled"))))</f>
        <v/>
      </c>
      <c r="AL43">
        <f>IF($M43="NZ","NZ","AU")</f>
        <v/>
      </c>
      <c r="AM43">
        <f>COUNTIF($AJ$2:$AJ43,$AJ43)</f>
        <v/>
      </c>
      <c r="AN43">
        <f>$AJ43&amp;"|"&amp;$AM43</f>
        <v/>
      </c>
      <c r="AO43" t="inlineStr">
        <is>
          <t>Above Store</t>
        </is>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
      </c>
      <c r="AJ44">
        <f>IFERROR(INDEX(Lists!$U$1:$U$18,MATCH($I44,Lists!$T$1:$T$18,0)),"?")</f>
        <v/>
      </c>
      <c r="AK44">
        <f>IF(LOWER($Q44)="v","Vacant",IF(LOWER($Q44)="pause","Paused",IF(LOWER($Q44)="cxc","Contractor",IF($Q44="Contractor","Contractor","Filled"))))</f>
        <v/>
      </c>
      <c r="AL44">
        <f>IF($M44="NZ","NZ","AU")</f>
        <v/>
      </c>
      <c r="AM44">
        <f>COUNTIF($AJ$2:$AJ44,$AJ44)</f>
        <v/>
      </c>
      <c r="AN44">
        <f>$AJ44&amp;"|"&amp;$AM44</f>
        <v/>
      </c>
      <c r="AO44" t="inlineStr">
        <is>
          <t>Z Retail Backend</t>
        </is>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
      </c>
      <c r="AJ45">
        <f>IFERROR(INDEX(Lists!$U$1:$U$18,MATCH($I45,Lists!$T$1:$T$18,0)),"?")</f>
        <v/>
      </c>
      <c r="AK45">
        <f>IF(LOWER($Q45)="v","Vacant",IF(LOWER($Q45)="pause","Paused",IF(LOWER($Q45)="cxc","Contractor",IF($Q45="Contractor","Contractor","Filled"))))</f>
        <v/>
      </c>
      <c r="AL45">
        <f>IF($M45="NZ","NZ","AU")</f>
        <v/>
      </c>
      <c r="AM45">
        <f>COUNTIF($AJ$2:$AJ45,$AJ45)</f>
        <v/>
      </c>
      <c r="AN45">
        <f>$AJ45&amp;"|"&amp;$AM45</f>
        <v/>
      </c>
      <c r="AO45" t="inlineStr">
        <is>
          <t>Leadership</t>
        </is>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
      </c>
      <c r="AJ46">
        <f>IFERROR(INDEX(Lists!$U$1:$U$18,MATCH($I46,Lists!$T$1:$T$18,0)),"?")</f>
        <v/>
      </c>
      <c r="AK46">
        <f>IF(LOWER($Q46)="v","Vacant",IF(LOWER($Q46)="pause","Paused",IF(LOWER($Q46)="cxc","Contractor",IF($Q46="Contractor","Contractor","Filled"))))</f>
        <v/>
      </c>
      <c r="AL46">
        <f>IF($M46="NZ","NZ","AU")</f>
        <v/>
      </c>
      <c r="AM46">
        <f>COUNTIF($AJ$2:$AJ46,$AJ46)</f>
        <v/>
      </c>
      <c r="AN46">
        <f>$AJ46&amp;"|"&amp;$AM46</f>
        <v/>
      </c>
      <c r="AO46" t="inlineStr">
        <is>
          <t>Z Retail Backend</t>
        </is>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
      </c>
      <c r="AJ47">
        <f>IFERROR(INDEX(Lists!$U$1:$U$18,MATCH($I47,Lists!$T$1:$T$18,0)),"?")</f>
        <v/>
      </c>
      <c r="AK47">
        <f>IF(LOWER($Q47)="v","Vacant",IF(LOWER($Q47)="pause","Paused",IF(LOWER($Q47)="cxc","Contractor",IF($Q47="Contractor","Contractor","Filled"))))</f>
        <v/>
      </c>
      <c r="AL47">
        <f>IF($M47="NZ","NZ","AU")</f>
        <v/>
      </c>
      <c r="AM47">
        <f>COUNTIF($AJ$2:$AJ47,$AJ47)</f>
        <v/>
      </c>
      <c r="AN47">
        <f>$AJ47&amp;"|"&amp;$AM47</f>
        <v/>
      </c>
      <c r="AO47" t="inlineStr">
        <is>
          <t>EGI Retail</t>
        </is>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
      </c>
      <c r="AJ48">
        <f>IFERROR(INDEX(Lists!$U$1:$U$18,MATCH($I48,Lists!$T$1:$T$18,0)),"?")</f>
        <v/>
      </c>
      <c r="AK48">
        <f>IF(LOWER($Q48)="v","Vacant",IF(LOWER($Q48)="pause","Paused",IF(LOWER($Q48)="cxc","Contractor",IF($Q48="Contractor","Contractor","Filled"))))</f>
        <v/>
      </c>
      <c r="AL48">
        <f>IF($M48="NZ","NZ","AU")</f>
        <v/>
      </c>
      <c r="AM48">
        <f>COUNTIF($AJ$2:$AJ48,$AJ48)</f>
        <v/>
      </c>
      <c r="AN48">
        <f>$AJ48&amp;"|"&amp;$AM48</f>
        <v/>
      </c>
      <c r="AO48" t="inlineStr">
        <is>
          <t>Deployment</t>
        </is>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
      </c>
      <c r="AJ49">
        <f>IFERROR(INDEX(Lists!$U$1:$U$18,MATCH($I49,Lists!$T$1:$T$18,0)),"?")</f>
        <v/>
      </c>
      <c r="AK49">
        <f>IF(LOWER($Q49)="v","Vacant",IF(LOWER($Q49)="pause","Paused",IF(LOWER($Q49)="cxc","Contractor",IF($Q49="Contractor","Contractor","Filled"))))</f>
        <v/>
      </c>
      <c r="AL49">
        <f>IF($M49="NZ","NZ","AU")</f>
        <v/>
      </c>
      <c r="AM49">
        <f>COUNTIF($AJ$2:$AJ49,$AJ49)</f>
        <v/>
      </c>
      <c r="AN49">
        <f>$AJ49&amp;"|"&amp;$AM49</f>
        <v/>
      </c>
      <c r="AO49" t="inlineStr">
        <is>
          <t>Data NZ</t>
        </is>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
      </c>
      <c r="AJ50">
        <f>IFERROR(INDEX(Lists!$U$1:$U$18,MATCH($I50,Lists!$T$1:$T$18,0)),"?")</f>
        <v/>
      </c>
      <c r="AK50">
        <f>IF(LOWER($Q50)="v","Vacant",IF(LOWER($Q50)="pause","Paused",IF(LOWER($Q50)="cxc","Contractor",IF($Q50="Contractor","Contractor","Filled"))))</f>
        <v/>
      </c>
      <c r="AL50">
        <f>IF($M50="NZ","NZ","AU")</f>
        <v/>
      </c>
      <c r="AM50">
        <f>COUNTIF($AJ$2:$AJ50,$AJ50)</f>
        <v/>
      </c>
      <c r="AN50">
        <f>$AJ50&amp;"|"&amp;$AM50</f>
        <v/>
      </c>
      <c r="AO50" t="inlineStr">
        <is>
          <t>Data NZ</t>
        </is>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
      </c>
      <c r="AJ51">
        <f>IFERROR(INDEX(Lists!$U$1:$U$18,MATCH($I51,Lists!$T$1:$T$18,0)),"?")</f>
        <v/>
      </c>
      <c r="AK51">
        <f>IF(LOWER($Q51)="v","Vacant",IF(LOWER($Q51)="pause","Paused",IF(LOWER($Q51)="cxc","Contractor",IF($Q51="Contractor","Contractor","Filled"))))</f>
        <v/>
      </c>
      <c r="AL51">
        <f>IF($M51="NZ","NZ","AU")</f>
        <v/>
      </c>
      <c r="AM51">
        <f>COUNTIF($AJ$2:$AJ51,$AJ51)</f>
        <v/>
      </c>
      <c r="AN51">
        <f>$AJ51&amp;"|"&amp;$AM51</f>
        <v/>
      </c>
      <c r="AO51" t="inlineStr">
        <is>
          <t>AmPOS</t>
        </is>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
      </c>
      <c r="AJ52">
        <f>IFERROR(INDEX(Lists!$U$1:$U$18,MATCH($I52,Lists!$T$1:$T$18,0)),"?")</f>
        <v/>
      </c>
      <c r="AK52">
        <f>IF(LOWER($Q52)="v","Vacant",IF(LOWER($Q52)="pause","Paused",IF(LOWER($Q52)="cxc","Contractor",IF($Q52="Contractor","Contractor","Filled"))))</f>
        <v/>
      </c>
      <c r="AL52">
        <f>IF($M52="NZ","NZ","AU")</f>
        <v/>
      </c>
      <c r="AM52">
        <f>COUNTIF($AJ$2:$AJ52,$AJ52)</f>
        <v/>
      </c>
      <c r="AN52">
        <f>$AJ52&amp;"|"&amp;$AM52</f>
        <v/>
      </c>
      <c r="AO52" t="inlineStr">
        <is>
          <t>EGI Retail</t>
        </is>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
      </c>
      <c r="AJ53">
        <f>IFERROR(INDEX(Lists!$U$1:$U$18,MATCH($I53,Lists!$T$1:$T$18,0)),"?")</f>
        <v/>
      </c>
      <c r="AK53">
        <f>IF(LOWER($Q53)="v","Vacant",IF(LOWER($Q53)="pause","Paused",IF(LOWER($Q53)="cxc","Contractor",IF($Q53="Contractor","Contractor","Filled"))))</f>
        <v/>
      </c>
      <c r="AL53">
        <f>IF($M53="NZ","NZ","AU")</f>
        <v/>
      </c>
      <c r="AM53">
        <f>COUNTIF($AJ$2:$AJ53,$AJ53)</f>
        <v/>
      </c>
      <c r="AN53">
        <f>$AJ53&amp;"|"&amp;$AM53</f>
        <v/>
      </c>
      <c r="AO53" t="inlineStr">
        <is>
          <t>Above Store</t>
        </is>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
      </c>
      <c r="AJ54">
        <f>IFERROR(INDEX(Lists!$U$1:$U$18,MATCH($I54,Lists!$T$1:$T$18,0)),"?")</f>
        <v/>
      </c>
      <c r="AK54">
        <f>IF(LOWER($Q54)="v","Vacant",IF(LOWER($Q54)="pause","Paused",IF(LOWER($Q54)="cxc","Contractor",IF($Q54="Contractor","Contractor","Filled"))))</f>
        <v/>
      </c>
      <c r="AL54">
        <f>IF($M54="NZ","NZ","AU")</f>
        <v/>
      </c>
      <c r="AM54">
        <f>COUNTIF($AJ$2:$AJ54,$AJ54)</f>
        <v/>
      </c>
      <c r="AN54">
        <f>$AJ54&amp;"|"&amp;$AM54</f>
        <v/>
      </c>
      <c r="AO54" t="inlineStr">
        <is>
          <t>Store Operations</t>
        </is>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
      </c>
      <c r="AJ55">
        <f>IFERROR(INDEX(Lists!$U$1:$U$18,MATCH($I55,Lists!$T$1:$T$18,0)),"?")</f>
        <v/>
      </c>
      <c r="AK55">
        <f>IF(LOWER($Q55)="v","Vacant",IF(LOWER($Q55)="pause","Paused",IF(LOWER($Q55)="cxc","Contractor",IF($Q55="Contractor","Contractor","Filled"))))</f>
        <v/>
      </c>
      <c r="AL55">
        <f>IF($M55="NZ","NZ","AU")</f>
        <v/>
      </c>
      <c r="AM55">
        <f>COUNTIF($AJ$2:$AJ55,$AJ55)</f>
        <v/>
      </c>
      <c r="AN55">
        <f>$AJ55&amp;"|"&amp;$AM55</f>
        <v/>
      </c>
      <c r="AO55" t="inlineStr">
        <is>
          <t>AmPOS</t>
        </is>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
      </c>
      <c r="AJ56">
        <f>IFERROR(INDEX(Lists!$U$1:$U$18,MATCH($I56,Lists!$T$1:$T$18,0)),"?")</f>
        <v/>
      </c>
      <c r="AK56">
        <f>IF(LOWER($Q56)="v","Vacant",IF(LOWER($Q56)="pause","Paused",IF(LOWER($Q56)="cxc","Contractor",IF($Q56="Contractor","Contractor","Filled"))))</f>
        <v/>
      </c>
      <c r="AL56">
        <f>IF($M56="NZ","NZ","AU")</f>
        <v/>
      </c>
      <c r="AM56">
        <f>COUNTIF($AJ$2:$AJ56,$AJ56)</f>
        <v/>
      </c>
      <c r="AN56">
        <f>$AJ56&amp;"|"&amp;$AM56</f>
        <v/>
      </c>
      <c r="AO56" t="inlineStr">
        <is>
          <t>Site Systems</t>
        </is>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
      </c>
      <c r="AJ57">
        <f>IFERROR(INDEX(Lists!$U$1:$U$18,MATCH($I57,Lists!$T$1:$T$18,0)),"?")</f>
        <v/>
      </c>
      <c r="AK57">
        <f>IF(LOWER($Q57)="v","Vacant",IF(LOWER($Q57)="pause","Paused",IF(LOWER($Q57)="cxc","Contractor",IF($Q57="Contractor","Contractor","Filled"))))</f>
        <v/>
      </c>
      <c r="AL57">
        <f>IF($M57="NZ","NZ","AU")</f>
        <v/>
      </c>
      <c r="AM57">
        <f>COUNTIF($AJ$2:$AJ57,$AJ57)</f>
        <v/>
      </c>
      <c r="AN57">
        <f>$AJ57&amp;"|"&amp;$AM57</f>
        <v/>
      </c>
      <c r="AO57" t="inlineStr">
        <is>
          <t>Network &amp; QSR</t>
        </is>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
      </c>
      <c r="AJ58">
        <f>IFERROR(INDEX(Lists!$U$1:$U$18,MATCH($I58,Lists!$T$1:$T$18,0)),"?")</f>
        <v/>
      </c>
      <c r="AK58">
        <f>IF(LOWER($Q58)="v","Vacant",IF(LOWER($Q58)="pause","Paused",IF(LOWER($Q58)="cxc","Contractor",IF($Q58="Contractor","Contractor","Filled"))))</f>
        <v/>
      </c>
      <c r="AL58">
        <f>IF($M58="NZ","NZ","AU")</f>
        <v/>
      </c>
      <c r="AM58">
        <f>COUNTIF($AJ$2:$AJ58,$AJ58)</f>
        <v/>
      </c>
      <c r="AN58">
        <f>$AJ58&amp;"|"&amp;$AM58</f>
        <v/>
      </c>
      <c r="AO58" t="inlineStr">
        <is>
          <t>Above Store</t>
        </is>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
      </c>
      <c r="AJ59">
        <f>IFERROR(INDEX(Lists!$U$1:$U$18,MATCH($I59,Lists!$T$1:$T$18,0)),"?")</f>
        <v/>
      </c>
      <c r="AK59">
        <f>IF(LOWER($Q59)="v","Vacant",IF(LOWER($Q59)="pause","Paused",IF(LOWER($Q59)="cxc","Contractor",IF($Q59="Contractor","Contractor","Filled"))))</f>
        <v/>
      </c>
      <c r="AL59">
        <f>IF($M59="NZ","NZ","AU")</f>
        <v/>
      </c>
      <c r="AM59">
        <f>COUNTIF($AJ$2:$AJ59,$AJ59)</f>
        <v/>
      </c>
      <c r="AN59">
        <f>$AJ59&amp;"|"&amp;$AM59</f>
        <v/>
      </c>
      <c r="AO59" t="inlineStr">
        <is>
          <t>Payments</t>
        </is>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
      </c>
      <c r="AJ60">
        <f>IFERROR(INDEX(Lists!$U$1:$U$18,MATCH($I60,Lists!$T$1:$T$18,0)),"?")</f>
        <v/>
      </c>
      <c r="AK60">
        <f>IF(LOWER($Q60)="v","Vacant",IF(LOWER($Q60)="pause","Paused",IF(LOWER($Q60)="cxc","Contractor",IF($Q60="Contractor","Contractor","Filled"))))</f>
        <v/>
      </c>
      <c r="AL60">
        <f>IF($M60="NZ","NZ","AU")</f>
        <v/>
      </c>
      <c r="AM60">
        <f>COUNTIF($AJ$2:$AJ60,$AJ60)</f>
        <v/>
      </c>
      <c r="AN60">
        <f>$AJ60&amp;"|"&amp;$AM60</f>
        <v/>
      </c>
      <c r="AO60" t="inlineStr">
        <is>
          <t>EGI Retail</t>
        </is>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
      </c>
      <c r="AJ61">
        <f>IFERROR(INDEX(Lists!$U$1:$U$18,MATCH($I61,Lists!$T$1:$T$18,0)),"?")</f>
        <v/>
      </c>
      <c r="AK61">
        <f>IF(LOWER($Q61)="v","Vacant",IF(LOWER($Q61)="pause","Paused",IF(LOWER($Q61)="cxc","Contractor",IF($Q61="Contractor","Contractor","Filled"))))</f>
        <v/>
      </c>
      <c r="AL61">
        <f>IF($M61="NZ","NZ","AU")</f>
        <v/>
      </c>
      <c r="AM61">
        <f>COUNTIF($AJ$2:$AJ61,$AJ61)</f>
        <v/>
      </c>
      <c r="AN61">
        <f>$AJ61&amp;"|"&amp;$AM61</f>
        <v/>
      </c>
      <c r="AO61" t="inlineStr">
        <is>
          <t>EGI Retail</t>
        </is>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
      </c>
      <c r="AJ62">
        <f>IFERROR(INDEX(Lists!$U$1:$U$18,MATCH($I62,Lists!$T$1:$T$18,0)),"?")</f>
        <v/>
      </c>
      <c r="AK62">
        <f>IF(LOWER($Q62)="v","Vacant",IF(LOWER($Q62)="pause","Paused",IF(LOWER($Q62)="cxc","Contractor",IF($Q62="Contractor","Contractor","Filled"))))</f>
        <v/>
      </c>
      <c r="AL62">
        <f>IF($M62="NZ","NZ","AU")</f>
        <v/>
      </c>
      <c r="AM62">
        <f>COUNTIF($AJ$2:$AJ62,$AJ62)</f>
        <v/>
      </c>
      <c r="AN62">
        <f>$AJ62&amp;"|"&amp;$AM62</f>
        <v/>
      </c>
      <c r="AO62" t="inlineStr">
        <is>
          <t>AmPOS</t>
        </is>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
      </c>
      <c r="AJ63">
        <f>IFERROR(INDEX(Lists!$U$1:$U$18,MATCH($I63,Lists!$T$1:$T$18,0)),"?")</f>
        <v/>
      </c>
      <c r="AK63">
        <f>IF(LOWER($Q63)="v","Vacant",IF(LOWER($Q63)="pause","Paused",IF(LOWER($Q63)="cxc","Contractor",IF($Q63="Contractor","Contractor","Filled"))))</f>
        <v/>
      </c>
      <c r="AL63">
        <f>IF($M63="NZ","NZ","AU")</f>
        <v/>
      </c>
      <c r="AM63">
        <f>COUNTIF($AJ$2:$AJ63,$AJ63)</f>
        <v/>
      </c>
      <c r="AN63">
        <f>$AJ63&amp;"|"&amp;$AM63</f>
        <v/>
      </c>
      <c r="AO63" t="inlineStr">
        <is>
          <t>Site Systems</t>
        </is>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
      </c>
      <c r="AJ64">
        <f>IFERROR(INDEX(Lists!$U$1:$U$18,MATCH($I64,Lists!$T$1:$T$18,0)),"?")</f>
        <v/>
      </c>
      <c r="AK64">
        <f>IF(LOWER($Q64)="v","Vacant",IF(LOWER($Q64)="pause","Paused",IF(LOWER($Q64)="cxc","Contractor",IF($Q64="Contractor","Contractor","Filled"))))</f>
        <v/>
      </c>
      <c r="AL64">
        <f>IF($M64="NZ","NZ","AU")</f>
        <v/>
      </c>
      <c r="AM64">
        <f>COUNTIF($AJ$2:$AJ64,$AJ64)</f>
        <v/>
      </c>
      <c r="AN64">
        <f>$AJ64&amp;"|"&amp;$AM64</f>
        <v/>
      </c>
      <c r="AO64" t="inlineStr">
        <is>
          <t>Leadership</t>
        </is>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
      </c>
      <c r="AJ65">
        <f>IFERROR(INDEX(Lists!$U$1:$U$18,MATCH($I65,Lists!$T$1:$T$18,0)),"?")</f>
        <v/>
      </c>
      <c r="AK65">
        <f>IF(LOWER($Q65)="v","Vacant",IF(LOWER($Q65)="pause","Paused",IF(LOWER($Q65)="cxc","Contractor",IF($Q65="Contractor","Contractor","Filled"))))</f>
        <v/>
      </c>
      <c r="AL65">
        <f>IF($M65="NZ","NZ","AU")</f>
        <v/>
      </c>
      <c r="AM65">
        <f>COUNTIF($AJ$2:$AJ65,$AJ65)</f>
        <v/>
      </c>
      <c r="AN65">
        <f>$AJ65&amp;"|"&amp;$AM65</f>
        <v/>
      </c>
      <c r="AO65" t="inlineStr">
        <is>
          <t>Z Retail Backend</t>
        </is>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
      </c>
      <c r="AJ66">
        <f>IFERROR(INDEX(Lists!$U$1:$U$18,MATCH($I66,Lists!$T$1:$T$18,0)),"?")</f>
        <v/>
      </c>
      <c r="AK66">
        <f>IF(LOWER($Q66)="v","Vacant",IF(LOWER($Q66)="pause","Paused",IF(LOWER($Q66)="cxc","Contractor",IF($Q66="Contractor","Contractor","Filled"))))</f>
        <v/>
      </c>
      <c r="AL66">
        <f>IF($M66="NZ","NZ","AU")</f>
        <v/>
      </c>
      <c r="AM66">
        <f>COUNTIF($AJ$2:$AJ66,$AJ66)</f>
        <v/>
      </c>
      <c r="AN66">
        <f>$AJ66&amp;"|"&amp;$AM66</f>
        <v/>
      </c>
      <c r="AO66" t="inlineStr">
        <is>
          <t>Store Operations</t>
        </is>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
      </c>
      <c r="AJ67">
        <f>IFERROR(INDEX(Lists!$U$1:$U$18,MATCH($I67,Lists!$T$1:$T$18,0)),"?")</f>
        <v/>
      </c>
      <c r="AK67">
        <f>IF(LOWER($Q67)="v","Vacant",IF(LOWER($Q67)="pause","Paused",IF(LOWER($Q67)="cxc","Contractor",IF($Q67="Contractor","Contractor","Filled"))))</f>
        <v/>
      </c>
      <c r="AL67">
        <f>IF($M67="NZ","NZ","AU")</f>
        <v/>
      </c>
      <c r="AM67">
        <f>COUNTIF($AJ$2:$AJ67,$AJ67)</f>
        <v/>
      </c>
      <c r="AN67">
        <f>$AJ67&amp;"|"&amp;$AM67</f>
        <v/>
      </c>
      <c r="AO67" t="inlineStr">
        <is>
          <t>Above Store</t>
        </is>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
      </c>
      <c r="AJ68">
        <f>IFERROR(INDEX(Lists!$U$1:$U$18,MATCH($I68,Lists!$T$1:$T$18,0)),"?")</f>
        <v/>
      </c>
      <c r="AK68">
        <f>IF(LOWER($Q68)="v","Vacant",IF(LOWER($Q68)="pause","Paused",IF(LOWER($Q68)="cxc","Contractor",IF($Q68="Contractor","Contractor","Filled"))))</f>
        <v/>
      </c>
      <c r="AL68">
        <f>IF($M68="NZ","NZ","AU")</f>
        <v/>
      </c>
      <c r="AM68">
        <f>COUNTIF($AJ$2:$AJ68,$AJ68)</f>
        <v/>
      </c>
      <c r="AN68">
        <f>$AJ68&amp;"|"&amp;$AM68</f>
        <v/>
      </c>
      <c r="AO68" t="inlineStr">
        <is>
          <t>Network &amp; QSR</t>
        </is>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
      </c>
      <c r="AJ69">
        <f>IFERROR(INDEX(Lists!$U$1:$U$18,MATCH($I69,Lists!$T$1:$T$18,0)),"?")</f>
        <v/>
      </c>
      <c r="AK69">
        <f>IF(LOWER($Q69)="v","Vacant",IF(LOWER($Q69)="pause","Paused",IF(LOWER($Q69)="cxc","Contractor",IF($Q69="Contractor","Contractor","Filled"))))</f>
        <v/>
      </c>
      <c r="AL69">
        <f>IF($M69="NZ","NZ","AU")</f>
        <v/>
      </c>
      <c r="AM69">
        <f>COUNTIF($AJ$2:$AJ69,$AJ69)</f>
        <v/>
      </c>
      <c r="AN69">
        <f>$AJ69&amp;"|"&amp;$AM69</f>
        <v/>
      </c>
      <c r="AO69" t="inlineStr">
        <is>
          <t>POS</t>
        </is>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
      </c>
      <c r="AJ70">
        <f>IFERROR(INDEX(Lists!$U$1:$U$18,MATCH($I70,Lists!$T$1:$T$18,0)),"?")</f>
        <v/>
      </c>
      <c r="AK70">
        <f>IF(LOWER($Q70)="v","Vacant",IF(LOWER($Q70)="pause","Paused",IF(LOWER($Q70)="cxc","Contractor",IF($Q70="Contractor","Contractor","Filled"))))</f>
        <v/>
      </c>
      <c r="AL70">
        <f>IF($M70="NZ","NZ","AU")</f>
        <v/>
      </c>
      <c r="AM70">
        <f>COUNTIF($AJ$2:$AJ70,$AJ70)</f>
        <v/>
      </c>
      <c r="AN70">
        <f>$AJ70&amp;"|"&amp;$AM70</f>
        <v/>
      </c>
      <c r="AO70" t="inlineStr">
        <is>
          <t>Data AU</t>
        </is>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
      </c>
      <c r="AJ71">
        <f>IFERROR(INDEX(Lists!$U$1:$U$18,MATCH($I71,Lists!$T$1:$T$18,0)),"?")</f>
        <v/>
      </c>
      <c r="AK71">
        <f>IF(LOWER($Q71)="v","Vacant",IF(LOWER($Q71)="pause","Paused",IF(LOWER($Q71)="cxc","Contractor",IF($Q71="Contractor","Contractor","Filled"))))</f>
        <v/>
      </c>
      <c r="AL71">
        <f>IF($M71="NZ","NZ","AU")</f>
        <v/>
      </c>
      <c r="AM71">
        <f>COUNTIF($AJ$2:$AJ71,$AJ71)</f>
        <v/>
      </c>
      <c r="AN71">
        <f>$AJ71&amp;"|"&amp;$AM71</f>
        <v/>
      </c>
      <c r="AO71" t="inlineStr">
        <is>
          <t>Data AU</t>
        </is>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
      </c>
      <c r="AB72" s="673" t="n"/>
      <c r="AC72" s="673" t="n"/>
      <c r="AH72" s="673" t="n"/>
      <c r="AJ72">
        <f>IFERROR(INDEX(Lists!$U$1:$U$18,MATCH($I72,Lists!$T$1:$T$18,0)),"?")</f>
        <v/>
      </c>
      <c r="AK72">
        <f>IF(LOWER($Q72)="v","Vacant",IF(LOWER($Q72)="pause","Paused",IF(LOWER($Q72)="cxc","Contractor",IF($Q72="Contractor","Contractor","Filled"))))</f>
        <v/>
      </c>
      <c r="AL72">
        <f>IF($M72="NZ","NZ","AU")</f>
        <v/>
      </c>
      <c r="AM72">
        <f>COUNTIF($AJ$2:$AJ72,$AJ72)</f>
        <v/>
      </c>
      <c r="AN72">
        <f>$AJ72&amp;"|"&amp;$AM72</f>
        <v/>
      </c>
      <c r="AO72" t="inlineStr">
        <is>
          <t>Data AU</t>
        </is>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
      </c>
      <c r="AJ73">
        <f>IFERROR(INDEX(Lists!$U$1:$U$18,MATCH($I73,Lists!$T$1:$T$18,0)),"?")</f>
        <v/>
      </c>
      <c r="AK73">
        <f>IF(LOWER($Q73)="v","Vacant",IF(LOWER($Q73)="pause","Paused",IF(LOWER($Q73)="cxc","Contractor",IF($Q73="Contractor","Contractor","Filled"))))</f>
        <v/>
      </c>
      <c r="AL73">
        <f>IF($M73="NZ","NZ","AU")</f>
        <v/>
      </c>
      <c r="AM73">
        <f>COUNTIF($AJ$2:$AJ73,$AJ73)</f>
        <v/>
      </c>
      <c r="AN73">
        <f>$AJ73&amp;"|"&amp;$AM73</f>
        <v/>
      </c>
      <c r="AO73" t="inlineStr">
        <is>
          <t>Data NZ</t>
        </is>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
      </c>
      <c r="AJ74">
        <f>IFERROR(INDEX(Lists!$U$1:$U$18,MATCH($I74,Lists!$T$1:$T$18,0)),"?")</f>
        <v/>
      </c>
      <c r="AK74">
        <f>IF(LOWER($Q74)="v","Vacant",IF(LOWER($Q74)="pause","Paused",IF(LOWER($Q74)="cxc","Contractor",IF($Q74="Contractor","Contractor","Filled"))))</f>
        <v/>
      </c>
      <c r="AL74">
        <f>IF($M74="NZ","NZ","AU")</f>
        <v/>
      </c>
      <c r="AM74">
        <f>COUNTIF($AJ$2:$AJ74,$AJ74)</f>
        <v/>
      </c>
      <c r="AN74">
        <f>$AJ74&amp;"|"&amp;$AM74</f>
        <v/>
      </c>
      <c r="AO74" t="inlineStr">
        <is>
          <t>Leadership</t>
        </is>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
      </c>
      <c r="AJ75">
        <f>IFERROR(INDEX(Lists!$U$1:$U$18,MATCH($I75,Lists!$T$1:$T$18,0)),"?")</f>
        <v/>
      </c>
      <c r="AK75">
        <f>IF(LOWER($Q75)="v","Vacant",IF(LOWER($Q75)="pause","Paused",IF(LOWER($Q75)="cxc","Contractor",IF($Q75="Contractor","Contractor","Filled"))))</f>
        <v/>
      </c>
      <c r="AL75">
        <f>IF($M75="NZ","NZ","AU")</f>
        <v/>
      </c>
      <c r="AM75">
        <f>COUNTIF($AJ$2:$AJ75,$AJ75)</f>
        <v/>
      </c>
      <c r="AN75">
        <f>$AJ75&amp;"|"&amp;$AM75</f>
        <v/>
      </c>
      <c r="AO75" t="inlineStr">
        <is>
          <t>Data AU</t>
        </is>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
      </c>
      <c r="AJ76">
        <f>IFERROR(INDEX(Lists!$U$1:$U$18,MATCH($I76,Lists!$T$1:$T$18,0)),"?")</f>
        <v/>
      </c>
      <c r="AK76">
        <f>IF(LOWER($Q76)="v","Vacant",IF(LOWER($Q76)="pause","Paused",IF(LOWER($Q76)="cxc","Contractor",IF($Q76="Contractor","Contractor","Filled"))))</f>
        <v/>
      </c>
      <c r="AL76">
        <f>IF($M76="NZ","NZ","AU")</f>
        <v/>
      </c>
      <c r="AM76">
        <f>COUNTIF($AJ$2:$AJ76,$AJ76)</f>
        <v/>
      </c>
      <c r="AN76">
        <f>$AJ76&amp;"|"&amp;$AM76</f>
        <v/>
      </c>
      <c r="AO76" t="inlineStr">
        <is>
          <t>Data AU</t>
        </is>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
      </c>
      <c r="AJ77">
        <f>IFERROR(INDEX(Lists!$U$1:$U$18,MATCH($I77,Lists!$T$1:$T$18,0)),"?")</f>
        <v/>
      </c>
      <c r="AK77">
        <f>IF(LOWER($Q77)="v","Vacant",IF(LOWER($Q77)="pause","Paused",IF(LOWER($Q77)="cxc","Contractor",IF($Q77="Contractor","Contractor","Filled"))))</f>
        <v/>
      </c>
      <c r="AL77">
        <f>IF($M77="NZ","NZ","AU")</f>
        <v/>
      </c>
      <c r="AM77">
        <f>COUNTIF($AJ$2:$AJ77,$AJ77)</f>
        <v/>
      </c>
      <c r="AN77">
        <f>$AJ77&amp;"|"&amp;$AM77</f>
        <v/>
      </c>
      <c r="AO77" t="inlineStr">
        <is>
          <t>Data AU</t>
        </is>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
      </c>
      <c r="AH78" s="708" t="n"/>
      <c r="AJ78">
        <f>IFERROR(INDEX(Lists!$U$1:$U$18,MATCH($I78,Lists!$T$1:$T$18,0)),"?")</f>
        <v/>
      </c>
      <c r="AK78">
        <f>IF(LOWER($Q78)="v","Vacant",IF(LOWER($Q78)="pause","Paused",IF(LOWER($Q78)="cxc","Contractor",IF($Q78="Contractor","Contractor","Filled"))))</f>
        <v/>
      </c>
      <c r="AL78">
        <f>IF($M78="NZ","NZ","AU")</f>
        <v/>
      </c>
      <c r="AM78">
        <f>COUNTIF($AJ$2:$AJ78,$AJ78)</f>
        <v/>
      </c>
      <c r="AN78">
        <f>$AJ78&amp;"|"&amp;$AM78</f>
        <v/>
      </c>
      <c r="AO78" t="inlineStr">
        <is>
          <t>Data NZ</t>
        </is>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
      </c>
      <c r="AJ79">
        <f>IFERROR(INDEX(Lists!$U$1:$U$18,MATCH($I79,Lists!$T$1:$T$18,0)),"?")</f>
        <v/>
      </c>
      <c r="AK79">
        <f>IF(LOWER($Q79)="v","Vacant",IF(LOWER($Q79)="pause","Paused",IF(LOWER($Q79)="cxc","Contractor",IF($Q79="Contractor","Contractor","Filled"))))</f>
        <v/>
      </c>
      <c r="AL79">
        <f>IF($M79="NZ","NZ","AU")</f>
        <v/>
      </c>
      <c r="AM79">
        <f>COUNTIF($AJ$2:$AJ79,$AJ79)</f>
        <v/>
      </c>
      <c r="AN79">
        <f>$AJ79&amp;"|"&amp;$AM79</f>
        <v/>
      </c>
      <c r="AO79" t="inlineStr">
        <is>
          <t>Above Store</t>
        </is>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
      </c>
      <c r="AJ80">
        <f>IFERROR(INDEX(Lists!$U$1:$U$18,MATCH($I80,Lists!$T$1:$T$18,0)),"?")</f>
        <v/>
      </c>
      <c r="AK80">
        <f>IF(LOWER($Q80)="v","Vacant",IF(LOWER($Q80)="pause","Paused",IF(LOWER($Q80)="cxc","Contractor",IF($Q80="Contractor","Contractor","Filled"))))</f>
        <v/>
      </c>
      <c r="AL80">
        <f>IF($M80="NZ","NZ","AU")</f>
        <v/>
      </c>
      <c r="AM80">
        <f>COUNTIF($AJ$2:$AJ80,$AJ80)</f>
        <v/>
      </c>
      <c r="AN80">
        <f>$AJ80&amp;"|"&amp;$AM80</f>
        <v/>
      </c>
      <c r="AO80" t="inlineStr">
        <is>
          <t>Z Retail Backend</t>
        </is>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
      </c>
      <c r="AJ81">
        <f>IFERROR(INDEX(Lists!$U$1:$U$18,MATCH($I81,Lists!$T$1:$T$18,0)),"?")</f>
        <v/>
      </c>
      <c r="AK81">
        <f>IF(LOWER($Q81)="v","Vacant",IF(LOWER($Q81)="pause","Paused",IF(LOWER($Q81)="cxc","Contractor",IF($Q81="Contractor","Contractor","Filled"))))</f>
        <v/>
      </c>
      <c r="AL81">
        <f>IF($M81="NZ","NZ","AU")</f>
        <v/>
      </c>
      <c r="AM81">
        <f>COUNTIF($AJ$2:$AJ81,$AJ81)</f>
        <v/>
      </c>
      <c r="AN81">
        <f>$AJ81&amp;"|"&amp;$AM81</f>
        <v/>
      </c>
      <c r="AO81" t="inlineStr">
        <is>
          <t>POS</t>
        </is>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
      </c>
      <c r="AJ82">
        <f>IFERROR(INDEX(Lists!$U$1:$U$18,MATCH($I82,Lists!$T$1:$T$18,0)),"?")</f>
        <v/>
      </c>
      <c r="AK82">
        <f>IF(LOWER($Q82)="v","Vacant",IF(LOWER($Q82)="pause","Paused",IF(LOWER($Q82)="cxc","Contractor",IF($Q82="Contractor","Contractor","Filled"))))</f>
        <v/>
      </c>
      <c r="AL82">
        <f>IF($M82="NZ","NZ","AU")</f>
        <v/>
      </c>
      <c r="AM82">
        <f>COUNTIF($AJ$2:$AJ82,$AJ82)</f>
        <v/>
      </c>
      <c r="AN82">
        <f>$AJ82&amp;"|"&amp;$AM82</f>
        <v/>
      </c>
      <c r="AO82" t="inlineStr">
        <is>
          <t>Leadership</t>
        </is>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
      </c>
      <c r="AJ83">
        <f>IFERROR(INDEX(Lists!$U$1:$U$18,MATCH($I83,Lists!$T$1:$T$18,0)),"?")</f>
        <v/>
      </c>
      <c r="AK83">
        <f>IF(LOWER($Q83)="v","Vacant",IF(LOWER($Q83)="pause","Paused",IF(LOWER($Q83)="cxc","Contractor",IF($Q83="Contractor","Contractor","Filled"))))</f>
        <v/>
      </c>
      <c r="AL83">
        <f>IF($M83="NZ","NZ","AU")</f>
        <v/>
      </c>
      <c r="AM83">
        <f>COUNTIF($AJ$2:$AJ83,$AJ83)</f>
        <v/>
      </c>
      <c r="AN83">
        <f>$AJ83&amp;"|"&amp;$AM83</f>
        <v/>
      </c>
      <c r="AO83" t="inlineStr">
        <is>
          <t>POS</t>
        </is>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
      </c>
      <c r="AJ84">
        <f>IFERROR(INDEX(Lists!$U$1:$U$18,MATCH($I84,Lists!$T$1:$T$18,0)),"?")</f>
        <v/>
      </c>
      <c r="AK84">
        <f>IF(LOWER($Q84)="v","Vacant",IF(LOWER($Q84)="pause","Paused",IF(LOWER($Q84)="cxc","Contractor",IF($Q84="Contractor","Contractor","Filled"))))</f>
        <v/>
      </c>
      <c r="AL84">
        <f>IF($M84="NZ","NZ","AU")</f>
        <v/>
      </c>
      <c r="AM84">
        <f>COUNTIF($AJ$2:$AJ84,$AJ84)</f>
        <v/>
      </c>
      <c r="AN84">
        <f>$AJ84&amp;"|"&amp;$AM84</f>
        <v/>
      </c>
      <c r="AO84" t="inlineStr">
        <is>
          <t>Z Retail Backend</t>
        </is>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
      </c>
      <c r="AJ85">
        <f>IFERROR(INDEX(Lists!$U$1:$U$18,MATCH($I85,Lists!$T$1:$T$18,0)),"?")</f>
        <v/>
      </c>
      <c r="AK85">
        <f>IF(LOWER($Q85)="v","Vacant",IF(LOWER($Q85)="pause","Paused",IF(LOWER($Q85)="cxc","Contractor",IF($Q85="Contractor","Contractor","Filled"))))</f>
        <v/>
      </c>
      <c r="AL85">
        <f>IF($M85="NZ","NZ","AU")</f>
        <v/>
      </c>
      <c r="AM85">
        <f>COUNTIF($AJ$2:$AJ85,$AJ85)</f>
        <v/>
      </c>
      <c r="AN85">
        <f>$AJ85&amp;"|"&amp;$AM85</f>
        <v/>
      </c>
      <c r="AO85" t="inlineStr">
        <is>
          <t>Above Store</t>
        </is>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
      </c>
      <c r="AJ86">
        <f>IFERROR(INDEX(Lists!$U$1:$U$18,MATCH($I86,Lists!$T$1:$T$18,0)),"?")</f>
        <v/>
      </c>
      <c r="AK86">
        <f>IF(LOWER($Q86)="v","Vacant",IF(LOWER($Q86)="pause","Paused",IF(LOWER($Q86)="cxc","Contractor",IF($Q86="Contractor","Contractor","Filled"))))</f>
        <v/>
      </c>
      <c r="AL86">
        <f>IF($M86="NZ","NZ","AU")</f>
        <v/>
      </c>
      <c r="AM86">
        <f>COUNTIF($AJ$2:$AJ86,$AJ86)</f>
        <v/>
      </c>
      <c r="AN86">
        <f>$AJ86&amp;"|"&amp;$AM86</f>
        <v/>
      </c>
      <c r="AO86" t="inlineStr">
        <is>
          <t>POS</t>
        </is>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
      </c>
      <c r="AJ87">
        <f>IFERROR(INDEX(Lists!$U$1:$U$18,MATCH($I87,Lists!$T$1:$T$18,0)),"?")</f>
        <v/>
      </c>
      <c r="AK87">
        <f>IF(LOWER($Q87)="v","Vacant",IF(LOWER($Q87)="pause","Paused",IF(LOWER($Q87)="cxc","Contractor",IF($Q87="Contractor","Contractor","Filled"))))</f>
        <v/>
      </c>
      <c r="AL87">
        <f>IF($M87="NZ","NZ","AU")</f>
        <v/>
      </c>
      <c r="AM87">
        <f>COUNTIF($AJ$2:$AJ87,$AJ87)</f>
        <v/>
      </c>
      <c r="AN87">
        <f>$AJ87&amp;"|"&amp;$AM87</f>
        <v/>
      </c>
      <c r="AO87" t="inlineStr">
        <is>
          <t>POS</t>
        </is>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
      </c>
      <c r="AJ88">
        <f>IFERROR(INDEX(Lists!$U$1:$U$18,MATCH($I88,Lists!$T$1:$T$18,0)),"?")</f>
        <v/>
      </c>
      <c r="AK88">
        <f>IF(LOWER($Q88)="v","Vacant",IF(LOWER($Q88)="pause","Paused",IF(LOWER($Q88)="cxc","Contractor",IF($Q88="Contractor","Contractor","Filled"))))</f>
        <v/>
      </c>
      <c r="AL88">
        <f>IF($M88="NZ","NZ","AU")</f>
        <v/>
      </c>
      <c r="AM88">
        <f>COUNTIF($AJ$2:$AJ88,$AJ88)</f>
        <v/>
      </c>
      <c r="AN88">
        <f>$AJ88&amp;"|"&amp;$AM88</f>
        <v/>
      </c>
      <c r="AO88" t="inlineStr">
        <is>
          <t>POS</t>
        </is>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
      </c>
      <c r="AJ89">
        <f>IFERROR(INDEX(Lists!$U$1:$U$18,MATCH($I89,Lists!$T$1:$T$18,0)),"?")</f>
        <v/>
      </c>
      <c r="AK89">
        <f>IF(LOWER($Q89)="v","Vacant",IF(LOWER($Q89)="pause","Paused",IF(LOWER($Q89)="cxc","Contractor",IF($Q89="Contractor","Contractor","Filled"))))</f>
        <v/>
      </c>
      <c r="AL89">
        <f>IF($M89="NZ","NZ","AU")</f>
        <v/>
      </c>
      <c r="AM89">
        <f>COUNTIF($AJ$2:$AJ89,$AJ89)</f>
        <v/>
      </c>
      <c r="AN89">
        <f>$AJ89&amp;"|"&amp;$AM89</f>
        <v/>
      </c>
      <c r="AO89" t="inlineStr">
        <is>
          <t>Z Supply</t>
        </is>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
      </c>
      <c r="AJ90">
        <f>IFERROR(INDEX(Lists!$U$1:$U$18,MATCH($I90,Lists!$T$1:$T$18,0)),"?")</f>
        <v/>
      </c>
      <c r="AK90">
        <f>IF(LOWER($Q90)="v","Vacant",IF(LOWER($Q90)="pause","Paused",IF(LOWER($Q90)="cxc","Contractor",IF($Q90="Contractor","Contractor","Filled"))))</f>
        <v/>
      </c>
      <c r="AL90">
        <f>IF($M90="NZ","NZ","AU")</f>
        <v/>
      </c>
      <c r="AM90">
        <f>COUNTIF($AJ$2:$AJ90,$AJ90)</f>
        <v/>
      </c>
      <c r="AN90">
        <f>$AJ90&amp;"|"&amp;$AM90</f>
        <v/>
      </c>
      <c r="AO90" t="inlineStr">
        <is>
          <t>POS</t>
        </is>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
      </c>
      <c r="AJ91">
        <f>IFERROR(INDEX(Lists!$U$1:$U$18,MATCH($I91,Lists!$T$1:$T$18,0)),"?")</f>
        <v/>
      </c>
      <c r="AK91">
        <f>IF(LOWER($Q91)="v","Vacant",IF(LOWER($Q91)="pause","Paused",IF(LOWER($Q91)="cxc","Contractor",IF($Q91="Contractor","Contractor","Filled"))))</f>
        <v/>
      </c>
      <c r="AL91">
        <f>IF($M91="NZ","NZ","AU")</f>
        <v/>
      </c>
      <c r="AM91">
        <f>COUNTIF($AJ$2:$AJ91,$AJ91)</f>
        <v/>
      </c>
      <c r="AN91">
        <f>$AJ91&amp;"|"&amp;$AM91</f>
        <v/>
      </c>
      <c r="AO91" t="inlineStr">
        <is>
          <t>Store Operations</t>
        </is>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
      </c>
      <c r="AJ92">
        <f>IFERROR(INDEX(Lists!$U$1:$U$18,MATCH($I92,Lists!$T$1:$T$18,0)),"?")</f>
        <v/>
      </c>
      <c r="AK92">
        <f>IF(LOWER($Q92)="v","Vacant",IF(LOWER($Q92)="pause","Paused",IF(LOWER($Q92)="cxc","Contractor",IF($Q92="Contractor","Contractor","Filled"))))</f>
        <v/>
      </c>
      <c r="AL92">
        <f>IF($M92="NZ","NZ","AU")</f>
        <v/>
      </c>
      <c r="AM92">
        <f>COUNTIF($AJ$2:$AJ92,$AJ92)</f>
        <v/>
      </c>
      <c r="AN92">
        <f>$AJ92&amp;"|"&amp;$AM92</f>
        <v/>
      </c>
      <c r="AO92" t="inlineStr">
        <is>
          <t>Above Store</t>
        </is>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
      </c>
      <c r="AJ93">
        <f>IFERROR(INDEX(Lists!$U$1:$U$18,MATCH($I93,Lists!$T$1:$T$18,0)),"?")</f>
        <v/>
      </c>
      <c r="AK93">
        <f>IF(LOWER($Q93)="v","Vacant",IF(LOWER($Q93)="pause","Paused",IF(LOWER($Q93)="cxc","Contractor",IF($Q93="Contractor","Contractor","Filled"))))</f>
        <v/>
      </c>
      <c r="AL93">
        <f>IF($M93="NZ","NZ","AU")</f>
        <v/>
      </c>
      <c r="AM93">
        <f>COUNTIF($AJ$2:$AJ93,$AJ93)</f>
        <v/>
      </c>
      <c r="AN93">
        <f>$AJ93&amp;"|"&amp;$AM93</f>
        <v/>
      </c>
      <c r="AO93" t="inlineStr">
        <is>
          <t>Network &amp; QSR</t>
        </is>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
      </c>
      <c r="AJ94">
        <f>IFERROR(INDEX(Lists!$U$1:$U$18,MATCH($I94,Lists!$T$1:$T$18,0)),"?")</f>
        <v/>
      </c>
      <c r="AK94">
        <f>IF(LOWER($Q94)="v","Vacant",IF(LOWER($Q94)="pause","Paused",IF(LOWER($Q94)="cxc","Contractor",IF($Q94="Contractor","Contractor","Filled"))))</f>
        <v/>
      </c>
      <c r="AL94">
        <f>IF($M94="NZ","NZ","AU")</f>
        <v/>
      </c>
      <c r="AM94">
        <f>COUNTIF($AJ$2:$AJ94,$AJ94)</f>
        <v/>
      </c>
      <c r="AN94">
        <f>$AJ94&amp;"|"&amp;$AM94</f>
        <v/>
      </c>
      <c r="AO94" t="inlineStr">
        <is>
          <t>Payments</t>
        </is>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
      </c>
      <c r="AJ95">
        <f>IFERROR(INDEX(Lists!$U$1:$U$18,MATCH($I95,Lists!$T$1:$T$18,0)),"?")</f>
        <v/>
      </c>
      <c r="AK95">
        <f>IF(LOWER($Q95)="v","Vacant",IF(LOWER($Q95)="pause","Paused",IF(LOWER($Q95)="cxc","Contractor",IF($Q95="Contractor","Contractor","Filled"))))</f>
        <v/>
      </c>
      <c r="AL95">
        <f>IF($M95="NZ","NZ","AU")</f>
        <v/>
      </c>
      <c r="AM95">
        <f>COUNTIF($AJ$2:$AJ95,$AJ95)</f>
        <v/>
      </c>
      <c r="AN95">
        <f>$AJ95&amp;"|"&amp;$AM95</f>
        <v/>
      </c>
      <c r="AO95" t="inlineStr">
        <is>
          <t>POS</t>
        </is>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
      </c>
      <c r="AJ96">
        <f>IFERROR(INDEX(Lists!$U$1:$U$18,MATCH($I96,Lists!$T$1:$T$18,0)),"?")</f>
        <v/>
      </c>
      <c r="AK96">
        <f>IF(LOWER($Q96)="v","Vacant",IF(LOWER($Q96)="pause","Paused",IF(LOWER($Q96)="cxc","Contractor",IF($Q96="Contractor","Contractor","Filled"))))</f>
        <v/>
      </c>
      <c r="AL96">
        <f>IF($M96="NZ","NZ","AU")</f>
        <v/>
      </c>
      <c r="AM96">
        <f>COUNTIF($AJ$2:$AJ96,$AJ96)</f>
        <v/>
      </c>
      <c r="AN96">
        <f>$AJ96&amp;"|"&amp;$AM96</f>
        <v/>
      </c>
      <c r="AO96" t="inlineStr">
        <is>
          <t>Leadership</t>
        </is>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
      </c>
      <c r="AJ97">
        <f>IFERROR(INDEX(Lists!$U$1:$U$18,MATCH($I97,Lists!$T$1:$T$18,0)),"?")</f>
        <v/>
      </c>
      <c r="AK97">
        <f>IF(LOWER($Q97)="v","Vacant",IF(LOWER($Q97)="pause","Paused",IF(LOWER($Q97)="cxc","Contractor",IF($Q97="Contractor","Contractor","Filled"))))</f>
        <v/>
      </c>
      <c r="AL97">
        <f>IF($M97="NZ","NZ","AU")</f>
        <v/>
      </c>
      <c r="AM97">
        <f>COUNTIF($AJ$2:$AJ97,$AJ97)</f>
        <v/>
      </c>
      <c r="AN97">
        <f>$AJ97&amp;"|"&amp;$AM97</f>
        <v/>
      </c>
      <c r="AO97" t="inlineStr">
        <is>
          <t>Leadership</t>
        </is>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
      </c>
      <c r="AJ98">
        <f>IFERROR(INDEX(Lists!$U$1:$U$18,MATCH($I98,Lists!$T$1:$T$18,0)),"?")</f>
        <v/>
      </c>
      <c r="AK98">
        <f>IF(LOWER($Q98)="v","Vacant",IF(LOWER($Q98)="pause","Paused",IF(LOWER($Q98)="cxc","Contractor",IF($Q98="Contractor","Contractor","Filled"))))</f>
        <v/>
      </c>
      <c r="AL98">
        <f>IF($M98="NZ","NZ","AU")</f>
        <v/>
      </c>
      <c r="AM98">
        <f>COUNTIF($AJ$2:$AJ98,$AJ98)</f>
        <v/>
      </c>
      <c r="AN98">
        <f>$AJ98&amp;"|"&amp;$AM98</f>
        <v/>
      </c>
      <c r="AO98" t="inlineStr">
        <is>
          <t>Site Systems</t>
        </is>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
      </c>
      <c r="AJ99">
        <f>IFERROR(INDEX(Lists!$U$1:$U$18,MATCH($I99,Lists!$T$1:$T$18,0)),"?")</f>
        <v/>
      </c>
      <c r="AK99">
        <f>IF(LOWER($Q99)="v","Vacant",IF(LOWER($Q99)="pause","Paused",IF(LOWER($Q99)="cxc","Contractor",IF($Q99="Contractor","Contractor","Filled"))))</f>
        <v/>
      </c>
      <c r="AL99">
        <f>IF($M99="NZ","NZ","AU")</f>
        <v/>
      </c>
      <c r="AM99">
        <f>COUNTIF($AJ$2:$AJ99,$AJ99)</f>
        <v/>
      </c>
      <c r="AN99">
        <f>$AJ99&amp;"|"&amp;$AM99</f>
        <v/>
      </c>
      <c r="AO99" t="inlineStr">
        <is>
          <t>Network &amp; QSR</t>
        </is>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
      </c>
      <c r="AJ100">
        <f>IFERROR(INDEX(Lists!$U$1:$U$18,MATCH($I100,Lists!$T$1:$T$18,0)),"?")</f>
        <v/>
      </c>
      <c r="AK100">
        <f>IF(LOWER($Q100)="v","Vacant",IF(LOWER($Q100)="pause","Paused",IF(LOWER($Q100)="cxc","Contractor",IF($Q100="Contractor","Contractor","Filled"))))</f>
        <v/>
      </c>
      <c r="AL100">
        <f>IF($M100="NZ","NZ","AU")</f>
        <v/>
      </c>
      <c r="AM100">
        <f>COUNTIF($AJ$2:$AJ100,$AJ100)</f>
        <v/>
      </c>
      <c r="AN100">
        <f>$AJ100&amp;"|"&amp;$AM100</f>
        <v/>
      </c>
      <c r="AO100" t="inlineStr">
        <is>
          <t>Leadership</t>
        </is>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
      </c>
      <c r="AJ101">
        <f>IFERROR(INDEX(Lists!$U$1:$U$18,MATCH($I101,Lists!$T$1:$T$18,0)),"?")</f>
        <v/>
      </c>
      <c r="AK101">
        <f>IF(LOWER($Q101)="v","Vacant",IF(LOWER($Q101)="pause","Paused",IF(LOWER($Q101)="cxc","Contractor",IF($Q101="Contractor","Contractor","Filled"))))</f>
        <v/>
      </c>
      <c r="AL101">
        <f>IF($M101="NZ","NZ","AU")</f>
        <v/>
      </c>
      <c r="AM101">
        <f>COUNTIF($AJ$2:$AJ101,$AJ101)</f>
        <v/>
      </c>
      <c r="AN101">
        <f>$AJ101&amp;"|"&amp;$AM101</f>
        <v/>
      </c>
      <c r="AO101" t="inlineStr">
        <is>
          <t>Payments</t>
        </is>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
      </c>
      <c r="AJ102">
        <f>IFERROR(INDEX(Lists!$U$1:$U$18,MATCH($I102,Lists!$T$1:$T$18,0)),"?")</f>
        <v/>
      </c>
      <c r="AK102">
        <f>IF(LOWER($Q102)="v","Vacant",IF(LOWER($Q102)="pause","Paused",IF(LOWER($Q102)="cxc","Contractor",IF($Q102="Contractor","Contractor","Filled"))))</f>
        <v/>
      </c>
      <c r="AL102">
        <f>IF($M102="NZ","NZ","AU")</f>
        <v/>
      </c>
      <c r="AM102">
        <f>COUNTIF($AJ$2:$AJ102,$AJ102)</f>
        <v/>
      </c>
      <c r="AN102">
        <f>$AJ102&amp;"|"&amp;$AM102</f>
        <v/>
      </c>
      <c r="AO102" t="inlineStr">
        <is>
          <t>Above Store</t>
        </is>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
      </c>
      <c r="AJ103">
        <f>IFERROR(INDEX(Lists!$U$1:$U$18,MATCH($I103,Lists!$T$1:$T$18,0)),"?")</f>
        <v/>
      </c>
      <c r="AK103">
        <f>IF(LOWER($Q103)="v","Vacant",IF(LOWER($Q103)="pause","Paused",IF(LOWER($Q103)="cxc","Contractor",IF($Q103="Contractor","Contractor","Filled"))))</f>
        <v/>
      </c>
      <c r="AL103">
        <f>IF($M103="NZ","NZ","AU")</f>
        <v/>
      </c>
      <c r="AM103">
        <f>COUNTIF($AJ$2:$AJ103,$AJ103)</f>
        <v/>
      </c>
      <c r="AN103">
        <f>$AJ103&amp;"|"&amp;$AM103</f>
        <v/>
      </c>
      <c r="AO103" t="inlineStr">
        <is>
          <t>Deployment</t>
        </is>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
      </c>
      <c r="AJ104">
        <f>IFERROR(INDEX(Lists!$U$1:$U$18,MATCH($I104,Lists!$T$1:$T$18,0)),"?")</f>
        <v/>
      </c>
      <c r="AK104">
        <f>IF(LOWER($Q104)="v","Vacant",IF(LOWER($Q104)="pause","Paused",IF(LOWER($Q104)="cxc","Contractor",IF($Q104="Contractor","Contractor","Filled"))))</f>
        <v/>
      </c>
      <c r="AL104">
        <f>IF($M104="NZ","NZ","AU")</f>
        <v/>
      </c>
      <c r="AM104">
        <f>COUNTIF($AJ$2:$AJ104,$AJ104)</f>
        <v/>
      </c>
      <c r="AN104">
        <f>$AJ104&amp;"|"&amp;$AM104</f>
        <v/>
      </c>
      <c r="AO104" t="inlineStr">
        <is>
          <t>EGI TDD</t>
        </is>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
      </c>
      <c r="AJ105">
        <f>IFERROR(INDEX(Lists!$U$1:$U$18,MATCH($I105,Lists!$T$1:$T$18,0)),"?")</f>
        <v/>
      </c>
      <c r="AK105">
        <f>IF(LOWER($Q105)="v","Vacant",IF(LOWER($Q105)="pause","Paused",IF(LOWER($Q105)="cxc","Contractor",IF($Q105="Contractor","Contractor","Filled"))))</f>
        <v/>
      </c>
      <c r="AL105">
        <f>IF($M105="NZ","NZ","AU")</f>
        <v/>
      </c>
      <c r="AM105">
        <f>COUNTIF($AJ$2:$AJ105,$AJ105)</f>
        <v/>
      </c>
      <c r="AN105">
        <f>$AJ105&amp;"|"&amp;$AM105</f>
        <v/>
      </c>
      <c r="AO105" t="inlineStr">
        <is>
          <t>Site Systems</t>
        </is>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
      </c>
      <c r="AJ106">
        <f>IFERROR(INDEX(Lists!$U$1:$U$18,MATCH($I106,Lists!$T$1:$T$18,0)),"?")</f>
        <v/>
      </c>
      <c r="AK106">
        <f>IF(LOWER($Q106)="v","Vacant",IF(LOWER($Q106)="pause","Paused",IF(LOWER($Q106)="cxc","Contractor",IF($Q106="Contractor","Contractor","Filled"))))</f>
        <v/>
      </c>
      <c r="AL106">
        <f>IF($M106="NZ","NZ","AU")</f>
        <v/>
      </c>
      <c r="AM106">
        <f>COUNTIF($AJ$2:$AJ106,$AJ106)</f>
        <v/>
      </c>
      <c r="AN106">
        <f>$AJ106&amp;"|"&amp;$AM106</f>
        <v/>
      </c>
      <c r="AO106" t="inlineStr">
        <is>
          <t>Above Store</t>
        </is>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
      </c>
      <c r="AJ107">
        <f>IFERROR(INDEX(Lists!$U$1:$U$18,MATCH($I107,Lists!$T$1:$T$18,0)),"?")</f>
        <v/>
      </c>
      <c r="AK107">
        <f>IF(LOWER($Q107)="v","Vacant",IF(LOWER($Q107)="pause","Paused",IF(LOWER($Q107)="cxc","Contractor",IF($Q107="Contractor","Contractor","Filled"))))</f>
        <v/>
      </c>
      <c r="AL107">
        <f>IF($M107="NZ","NZ","AU")</f>
        <v/>
      </c>
      <c r="AM107">
        <f>COUNTIF($AJ$2:$AJ107,$AJ107)</f>
        <v/>
      </c>
      <c r="AN107">
        <f>$AJ107&amp;"|"&amp;$AM107</f>
        <v/>
      </c>
      <c r="AO107" t="inlineStr">
        <is>
          <t>Above Store</t>
        </is>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f>IFERROR(INDEX(Lists!$U$1:$U$18,MATCH($I108,Lists!$T$1:$T$18,0)),"?")</f>
        <v/>
      </c>
      <c r="AK108">
        <f>IF(LOWER($Q108)="v","Vacant",IF(LOWER($Q108)="pause","Paused",IF(LOWER($Q108)="cxc","Contractor",IF($Q108="Contractor","Contractor","Filled"))))</f>
        <v/>
      </c>
      <c r="AL108">
        <f>IF($M108="NZ","NZ","AU")</f>
        <v/>
      </c>
      <c r="AM108">
        <f>COUNTIF($AJ$2:$AJ108,$AJ108)</f>
        <v/>
      </c>
      <c r="AN108">
        <f>$AJ108&amp;"|"&amp;$AM108</f>
        <v/>
      </c>
      <c r="AO108" t="inlineStr">
        <is>
          <t>Ampol Web</t>
        </is>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f>IFERROR(INDEX(Lists!$U$1:$U$18,MATCH($I109,Lists!$T$1:$T$18,0)),"?")</f>
        <v/>
      </c>
      <c r="AK109">
        <f>IF(LOWER($Q109)="v","Vacant",IF(LOWER($Q109)="pause","Paused",IF(LOWER($Q109)="cxc","Contractor",IF($Q109="Contractor","Contractor","Filled"))))</f>
        <v/>
      </c>
      <c r="AL109">
        <f>IF($M109="NZ","NZ","AU")</f>
        <v/>
      </c>
      <c r="AM109">
        <f>COUNTIF($AJ$2:$AJ109,$AJ109)</f>
        <v/>
      </c>
      <c r="AN109">
        <f>$AJ109&amp;"|"&amp;$AM109</f>
        <v/>
      </c>
      <c r="AO109" t="inlineStr">
        <is>
          <t>Leadership</t>
        </is>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f>IFERROR(INDEX(Lists!$U$1:$U$18,MATCH($I110,Lists!$T$1:$T$18,0)),"?")</f>
        <v/>
      </c>
      <c r="AK110">
        <f>IF(LOWER($Q110)="v","Vacant",IF(LOWER($Q110)="pause","Paused",IF(LOWER($Q110)="cxc","Contractor",IF($Q110="Contractor","Contractor","Filled"))))</f>
        <v/>
      </c>
      <c r="AL110">
        <f>IF($M110="NZ","NZ","AU")</f>
        <v/>
      </c>
      <c r="AM110">
        <f>COUNTIF($AJ$2:$AJ110,$AJ110)</f>
        <v/>
      </c>
      <c r="AN110">
        <f>$AJ110&amp;"|"&amp;$AM110</f>
        <v/>
      </c>
      <c r="AO110" t="inlineStr">
        <is>
          <t>Ampol Web</t>
        </is>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f>IFERROR(INDEX(Lists!$U$1:$U$18,MATCH($I111,Lists!$T$1:$T$18,0)),"?")</f>
        <v/>
      </c>
      <c r="AK111">
        <f>IF(LOWER($Q111)="v","Vacant",IF(LOWER($Q111)="pause","Paused",IF(LOWER($Q111)="cxc","Contractor",IF($Q111="Contractor","Contractor","Filled"))))</f>
        <v/>
      </c>
      <c r="AL111">
        <f>IF($M111="NZ","NZ","AU")</f>
        <v/>
      </c>
      <c r="AM111">
        <f>COUNTIF($AJ$2:$AJ111,$AJ111)</f>
        <v/>
      </c>
      <c r="AN111">
        <f>$AJ111&amp;"|"&amp;$AM111</f>
        <v/>
      </c>
      <c r="AO111" t="inlineStr">
        <is>
          <t>EGI Customer</t>
        </is>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f>IFERROR(INDEX(Lists!$U$1:$U$18,MATCH($I112,Lists!$T$1:$T$18,0)),"?")</f>
        <v/>
      </c>
      <c r="AK112">
        <f>IF(LOWER($Q112)="v","Vacant",IF(LOWER($Q112)="pause","Paused",IF(LOWER($Q112)="cxc","Contractor",IF($Q112="Contractor","Contractor","Filled"))))</f>
        <v/>
      </c>
      <c r="AL112">
        <f>IF($M112="NZ","NZ","AU")</f>
        <v/>
      </c>
      <c r="AM112">
        <f>COUNTIF($AJ$2:$AJ112,$AJ112)</f>
        <v/>
      </c>
      <c r="AN112">
        <f>$AJ112&amp;"|"&amp;$AM112</f>
        <v/>
      </c>
      <c r="AO112" t="inlineStr">
        <is>
          <t>Ampol App</t>
        </is>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f>IFERROR(INDEX(Lists!$U$1:$U$18,MATCH($I113,Lists!$T$1:$T$18,0)),"?")</f>
        <v/>
      </c>
      <c r="AK113">
        <f>IF(LOWER($Q113)="v","Vacant",IF(LOWER($Q113)="pause","Paused",IF(LOWER($Q113)="cxc","Contractor",IF($Q113="Contractor","Contractor","Filled"))))</f>
        <v/>
      </c>
      <c r="AL113">
        <f>IF($M113="NZ","NZ","AU")</f>
        <v/>
      </c>
      <c r="AM113">
        <f>COUNTIF($AJ$2:$AJ113,$AJ113)</f>
        <v/>
      </c>
      <c r="AN113">
        <f>$AJ113&amp;"|"&amp;$AM113</f>
        <v/>
      </c>
      <c r="AO113" t="inlineStr">
        <is>
          <t>Leadership</t>
        </is>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f>IFERROR(INDEX(Lists!$U$1:$U$18,MATCH($I114,Lists!$T$1:$T$18,0)),"?")</f>
        <v/>
      </c>
      <c r="AK114">
        <f>IF(LOWER($Q114)="v","Vacant",IF(LOWER($Q114)="pause","Paused",IF(LOWER($Q114)="cxc","Contractor",IF($Q114="Contractor","Contractor","Filled"))))</f>
        <v/>
      </c>
      <c r="AL114">
        <f>IF($M114="NZ","NZ","AU")</f>
        <v/>
      </c>
      <c r="AM114">
        <f>COUNTIF($AJ$2:$AJ114,$AJ114)</f>
        <v/>
      </c>
      <c r="AN114">
        <f>$AJ114&amp;"|"&amp;$AM114</f>
        <v/>
      </c>
      <c r="AO114" t="inlineStr">
        <is>
          <t>AU CRM &amp; Martech</t>
        </is>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f>IFERROR(INDEX(Lists!$U$1:$U$18,MATCH($I115,Lists!$T$1:$T$18,0)),"?")</f>
        <v/>
      </c>
      <c r="AK115">
        <f>IF(LOWER($Q115)="v","Vacant",IF(LOWER($Q115)="pause","Paused",IF(LOWER($Q115)="cxc","Contractor",IF($Q115="Contractor","Contractor","Filled"))))</f>
        <v/>
      </c>
      <c r="AL115">
        <f>IF($M115="NZ","NZ","AU")</f>
        <v/>
      </c>
      <c r="AM115">
        <f>COUNTIF($AJ$2:$AJ115,$AJ115)</f>
        <v/>
      </c>
      <c r="AN115">
        <f>$AJ115&amp;"|"&amp;$AM115</f>
        <v/>
      </c>
      <c r="AO115" t="inlineStr">
        <is>
          <t>EGI Customer</t>
        </is>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f>IFERROR(INDEX(Lists!$U$1:$U$18,MATCH($I116,Lists!$T$1:$T$18,0)),"?")</f>
        <v/>
      </c>
      <c r="AK116">
        <f>IF(LOWER($Q116)="v","Vacant",IF(LOWER($Q116)="pause","Paused",IF(LOWER($Q116)="cxc","Contractor",IF($Q116="Contractor","Contractor","Filled"))))</f>
        <v/>
      </c>
      <c r="AL116">
        <f>IF($M116="NZ","NZ","AU")</f>
        <v/>
      </c>
      <c r="AM116">
        <f>COUNTIF($AJ$2:$AJ116,$AJ116)</f>
        <v/>
      </c>
      <c r="AN116">
        <f>$AJ116&amp;"|"&amp;$AM116</f>
        <v/>
      </c>
      <c r="AO116" t="inlineStr">
        <is>
          <t>Ampol App</t>
        </is>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f>IFERROR(INDEX(Lists!$U$1:$U$18,MATCH($I117,Lists!$T$1:$T$18,0)),"?")</f>
        <v/>
      </c>
      <c r="AK117">
        <f>IF(LOWER($Q117)="v","Vacant",IF(LOWER($Q117)="pause","Paused",IF(LOWER($Q117)="cxc","Contractor",IF($Q117="Contractor","Contractor","Filled"))))</f>
        <v/>
      </c>
      <c r="AL117">
        <f>IF($M117="NZ","NZ","AU")</f>
        <v/>
      </c>
      <c r="AM117">
        <f>COUNTIF($AJ$2:$AJ117,$AJ117)</f>
        <v/>
      </c>
      <c r="AN117">
        <f>$AJ117&amp;"|"&amp;$AM117</f>
        <v/>
      </c>
      <c r="AO117" t="inlineStr">
        <is>
          <t>Z Energy Martech</t>
        </is>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f>IFERROR(INDEX(Lists!$U$1:$U$18,MATCH($I118,Lists!$T$1:$T$18,0)),"?")</f>
        <v/>
      </c>
      <c r="AK118">
        <f>IF(LOWER($Q118)="v","Vacant",IF(LOWER($Q118)="pause","Paused",IF(LOWER($Q118)="cxc","Contractor",IF($Q118="Contractor","Contractor","Filled"))))</f>
        <v/>
      </c>
      <c r="AL118">
        <f>IF($M118="NZ","NZ","AU")</f>
        <v/>
      </c>
      <c r="AM118">
        <f>COUNTIF($AJ$2:$AJ118,$AJ118)</f>
        <v/>
      </c>
      <c r="AN118">
        <f>$AJ118&amp;"|"&amp;$AM118</f>
        <v/>
      </c>
      <c r="AO118" t="inlineStr">
        <is>
          <t>Z Energy Apps</t>
        </is>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f>IFERROR(INDEX(Lists!$U$1:$U$18,MATCH($I119,Lists!$T$1:$T$18,0)),"?")</f>
        <v/>
      </c>
      <c r="AK119">
        <f>IF(LOWER($Q119)="v","Vacant",IF(LOWER($Q119)="pause","Paused",IF(LOWER($Q119)="cxc","Contractor",IF($Q119="Contractor","Contractor","Filled"))))</f>
        <v/>
      </c>
      <c r="AL119">
        <f>IF($M119="NZ","NZ","AU")</f>
        <v/>
      </c>
      <c r="AM119">
        <f>COUNTIF($AJ$2:$AJ119,$AJ119)</f>
        <v/>
      </c>
      <c r="AN119">
        <f>$AJ119&amp;"|"&amp;$AM119</f>
        <v/>
      </c>
      <c r="AO119" t="inlineStr">
        <is>
          <t>Ampol App</t>
        </is>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f>IFERROR(INDEX(Lists!$U$1:$U$18,MATCH($I120,Lists!$T$1:$T$18,0)),"?")</f>
        <v/>
      </c>
      <c r="AK120">
        <f>IF(LOWER($Q120)="v","Vacant",IF(LOWER($Q120)="pause","Paused",IF(LOWER($Q120)="cxc","Contractor",IF($Q120="Contractor","Contractor","Filled"))))</f>
        <v/>
      </c>
      <c r="AL120">
        <f>IF($M120="NZ","NZ","AU")</f>
        <v/>
      </c>
      <c r="AM120">
        <f>COUNTIF($AJ$2:$AJ120,$AJ120)</f>
        <v/>
      </c>
      <c r="AN120">
        <f>$AJ120&amp;"|"&amp;$AM120</f>
        <v/>
      </c>
      <c r="AO120" t="inlineStr">
        <is>
          <t>Ampol Web</t>
        </is>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f>IFERROR(INDEX(Lists!$U$1:$U$18,MATCH($I121,Lists!$T$1:$T$18,0)),"?")</f>
        <v/>
      </c>
      <c r="AK121">
        <f>IF(LOWER($Q121)="v","Vacant",IF(LOWER($Q121)="pause","Paused",IF(LOWER($Q121)="cxc","Contractor",IF($Q121="Contractor","Contractor","Filled"))))</f>
        <v/>
      </c>
      <c r="AL121">
        <f>IF($M121="NZ","NZ","AU")</f>
        <v/>
      </c>
      <c r="AM121">
        <f>COUNTIF($AJ$2:$AJ121,$AJ121)</f>
        <v/>
      </c>
      <c r="AN121">
        <f>$AJ121&amp;"|"&amp;$AM121</f>
        <v/>
      </c>
      <c r="AO121" t="inlineStr">
        <is>
          <t>Z Energy Martech</t>
        </is>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f>IFERROR(INDEX(Lists!$U$1:$U$18,MATCH($I122,Lists!$T$1:$T$18,0)),"?")</f>
        <v/>
      </c>
      <c r="AK122">
        <f>IF(LOWER($Q122)="v","Vacant",IF(LOWER($Q122)="pause","Paused",IF(LOWER($Q122)="cxc","Contractor",IF($Q122="Contractor","Contractor","Filled"))))</f>
        <v/>
      </c>
      <c r="AL122">
        <f>IF($M122="NZ","NZ","AU")</f>
        <v/>
      </c>
      <c r="AM122">
        <f>COUNTIF($AJ$2:$AJ122,$AJ122)</f>
        <v/>
      </c>
      <c r="AN122">
        <f>$AJ122&amp;"|"&amp;$AM122</f>
        <v/>
      </c>
      <c r="AO122" t="inlineStr">
        <is>
          <t>Ampol App</t>
        </is>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f>IFERROR(INDEX(Lists!$U$1:$U$18,MATCH($I123,Lists!$T$1:$T$18,0)),"?")</f>
        <v/>
      </c>
      <c r="AK123">
        <f>IF(LOWER($Q123)="v","Vacant",IF(LOWER($Q123)="pause","Paused",IF(LOWER($Q123)="cxc","Contractor",IF($Q123="Contractor","Contractor","Filled"))))</f>
        <v/>
      </c>
      <c r="AL123">
        <f>IF($M123="NZ","NZ","AU")</f>
        <v/>
      </c>
      <c r="AM123">
        <f>COUNTIF($AJ$2:$AJ123,$AJ123)</f>
        <v/>
      </c>
      <c r="AN123">
        <f>$AJ123&amp;"|"&amp;$AM123</f>
        <v/>
      </c>
      <c r="AO123" t="inlineStr">
        <is>
          <t>Leadership</t>
        </is>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f>IFERROR(INDEX(Lists!$U$1:$U$18,MATCH($I124,Lists!$T$1:$T$18,0)),"?")</f>
        <v/>
      </c>
      <c r="AK124">
        <f>IF(LOWER($Q124)="v","Vacant",IF(LOWER($Q124)="pause","Paused",IF(LOWER($Q124)="cxc","Contractor",IF($Q124="Contractor","Contractor","Filled"))))</f>
        <v/>
      </c>
      <c r="AL124">
        <f>IF($M124="NZ","NZ","AU")</f>
        <v/>
      </c>
      <c r="AM124">
        <f>COUNTIF($AJ$2:$AJ124,$AJ124)</f>
        <v/>
      </c>
      <c r="AN124">
        <f>$AJ124&amp;"|"&amp;$AM124</f>
        <v/>
      </c>
      <c r="AO124" t="inlineStr">
        <is>
          <t>Z Energy Martech</t>
        </is>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f>IFERROR(INDEX(Lists!$U$1:$U$18,MATCH($I125,Lists!$T$1:$T$18,0)),"?")</f>
        <v/>
      </c>
      <c r="AK125">
        <f>IF(LOWER($Q125)="v","Vacant",IF(LOWER($Q125)="pause","Paused",IF(LOWER($Q125)="cxc","Contractor",IF($Q125="Contractor","Contractor","Filled"))))</f>
        <v/>
      </c>
      <c r="AL125">
        <f>IF($M125="NZ","NZ","AU")</f>
        <v/>
      </c>
      <c r="AM125">
        <f>COUNTIF($AJ$2:$AJ125,$AJ125)</f>
        <v/>
      </c>
      <c r="AN125">
        <f>$AJ125&amp;"|"&amp;$AM125</f>
        <v/>
      </c>
      <c r="AO125" t="inlineStr">
        <is>
          <t>Z Energy Martech</t>
        </is>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f>IFERROR(INDEX(Lists!$U$1:$U$18,MATCH($I126,Lists!$T$1:$T$18,0)),"?")</f>
        <v/>
      </c>
      <c r="AK126">
        <f>IF(LOWER($Q126)="v","Vacant",IF(LOWER($Q126)="pause","Paused",IF(LOWER($Q126)="cxc","Contractor",IF($Q126="Contractor","Contractor","Filled"))))</f>
        <v/>
      </c>
      <c r="AL126">
        <f>IF($M126="NZ","NZ","AU")</f>
        <v/>
      </c>
      <c r="AM126">
        <f>COUNTIF($AJ$2:$AJ126,$AJ126)</f>
        <v/>
      </c>
      <c r="AN126">
        <f>$AJ126&amp;"|"&amp;$AM126</f>
        <v/>
      </c>
      <c r="AO126" t="inlineStr">
        <is>
          <t>Leadership</t>
        </is>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f>IFERROR(INDEX(Lists!$U$1:$U$18,MATCH($I127,Lists!$T$1:$T$18,0)),"?")</f>
        <v/>
      </c>
      <c r="AK127">
        <f>IF(LOWER($Q127)="v","Vacant",IF(LOWER($Q127)="pause","Paused",IF(LOWER($Q127)="cxc","Contractor",IF($Q127="Contractor","Contractor","Filled"))))</f>
        <v/>
      </c>
      <c r="AL127">
        <f>IF($M127="NZ","NZ","AU")</f>
        <v/>
      </c>
      <c r="AM127">
        <f>COUNTIF($AJ$2:$AJ127,$AJ127)</f>
        <v/>
      </c>
      <c r="AN127">
        <f>$AJ127&amp;"|"&amp;$AM127</f>
        <v/>
      </c>
      <c r="AO127" t="inlineStr">
        <is>
          <t>Digital Ops Support</t>
        </is>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f>IFERROR(INDEX(Lists!$U$1:$U$18,MATCH($I128,Lists!$T$1:$T$18,0)),"?")</f>
        <v/>
      </c>
      <c r="AK128">
        <f>IF(LOWER($Q128)="v","Vacant",IF(LOWER($Q128)="pause","Paused",IF(LOWER($Q128)="cxc","Contractor",IF($Q128="Contractor","Contractor","Filled"))))</f>
        <v/>
      </c>
      <c r="AL128">
        <f>IF($M128="NZ","NZ","AU")</f>
        <v/>
      </c>
      <c r="AM128">
        <f>COUNTIF($AJ$2:$AJ128,$AJ128)</f>
        <v/>
      </c>
      <c r="AN128">
        <f>$AJ128&amp;"|"&amp;$AM128</f>
        <v/>
      </c>
      <c r="AO128" t="inlineStr">
        <is>
          <t>Ampol Web</t>
        </is>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f>IFERROR(INDEX(Lists!$U$1:$U$18,MATCH($I129,Lists!$T$1:$T$18,0)),"?")</f>
        <v/>
      </c>
      <c r="AK129">
        <f>IF(LOWER($Q129)="v","Vacant",IF(LOWER($Q129)="pause","Paused",IF(LOWER($Q129)="cxc","Contractor",IF($Q129="Contractor","Contractor","Filled"))))</f>
        <v/>
      </c>
      <c r="AL129">
        <f>IF($M129="NZ","NZ","AU")</f>
        <v/>
      </c>
      <c r="AM129">
        <f>COUNTIF($AJ$2:$AJ129,$AJ129)</f>
        <v/>
      </c>
      <c r="AN129">
        <f>$AJ129&amp;"|"&amp;$AM129</f>
        <v/>
      </c>
      <c r="AO129" t="inlineStr">
        <is>
          <t>EGI Customer</t>
        </is>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f>IFERROR(INDEX(Lists!$U$1:$U$18,MATCH($I130,Lists!$T$1:$T$18,0)),"?")</f>
        <v/>
      </c>
      <c r="AK130">
        <f>IF(LOWER($Q130)="v","Vacant",IF(LOWER($Q130)="pause","Paused",IF(LOWER($Q130)="cxc","Contractor",IF($Q130="Contractor","Contractor","Filled"))))</f>
        <v/>
      </c>
      <c r="AL130">
        <f>IF($M130="NZ","NZ","AU")</f>
        <v/>
      </c>
      <c r="AM130">
        <f>COUNTIF($AJ$2:$AJ130,$AJ130)</f>
        <v/>
      </c>
      <c r="AN130">
        <f>$AJ130&amp;"|"&amp;$AM130</f>
        <v/>
      </c>
      <c r="AO130" t="inlineStr">
        <is>
          <t>Z Energy Martech</t>
        </is>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f>IFERROR(INDEX(Lists!$U$1:$U$18,MATCH($I131,Lists!$T$1:$T$18,0)),"?")</f>
        <v/>
      </c>
      <c r="AK131">
        <f>IF(LOWER($Q131)="v","Vacant",IF(LOWER($Q131)="pause","Paused",IF(LOWER($Q131)="cxc","Contractor",IF($Q131="Contractor","Contractor","Filled"))))</f>
        <v/>
      </c>
      <c r="AL131">
        <f>IF($M131="NZ","NZ","AU")</f>
        <v/>
      </c>
      <c r="AM131">
        <f>COUNTIF($AJ$2:$AJ131,$AJ131)</f>
        <v/>
      </c>
      <c r="AN131">
        <f>$AJ131&amp;"|"&amp;$AM131</f>
        <v/>
      </c>
      <c r="AO131" t="inlineStr">
        <is>
          <t>Ampol App</t>
        </is>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f>IFERROR(INDEX(Lists!$U$1:$U$18,MATCH($I132,Lists!$T$1:$T$18,0)),"?")</f>
        <v/>
      </c>
      <c r="AK132">
        <f>IF(LOWER($Q132)="v","Vacant",IF(LOWER($Q132)="pause","Paused",IF(LOWER($Q132)="cxc","Contractor",IF($Q132="Contractor","Contractor","Filled"))))</f>
        <v/>
      </c>
      <c r="AL132">
        <f>IF($M132="NZ","NZ","AU")</f>
        <v/>
      </c>
      <c r="AM132">
        <f>COUNTIF($AJ$2:$AJ132,$AJ132)</f>
        <v/>
      </c>
      <c r="AN132">
        <f>$AJ132&amp;"|"&amp;$AM132</f>
        <v/>
      </c>
      <c r="AO132" t="inlineStr">
        <is>
          <t>Digital Ops Support</t>
        </is>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f>IFERROR(INDEX(Lists!$U$1:$U$18,MATCH($I133,Lists!$T$1:$T$18,0)),"?")</f>
        <v/>
      </c>
      <c r="AK133">
        <f>IF(LOWER($Q133)="v","Vacant",IF(LOWER($Q133)="pause","Paused",IF(LOWER($Q133)="cxc","Contractor",IF($Q133="Contractor","Contractor","Filled"))))</f>
        <v/>
      </c>
      <c r="AL133">
        <f>IF($M133="NZ","NZ","AU")</f>
        <v/>
      </c>
      <c r="AM133">
        <f>COUNTIF($AJ$2:$AJ133,$AJ133)</f>
        <v/>
      </c>
      <c r="AN133">
        <f>$AJ133&amp;"|"&amp;$AM133</f>
        <v/>
      </c>
      <c r="AO133" t="inlineStr">
        <is>
          <t>Ampol App</t>
        </is>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f>IFERROR(INDEX(Lists!$U$1:$U$18,MATCH($I134,Lists!$T$1:$T$18,0)),"?")</f>
        <v/>
      </c>
      <c r="AK134">
        <f>IF(LOWER($Q134)="v","Vacant",IF(LOWER($Q134)="pause","Paused",IF(LOWER($Q134)="cxc","Contractor",IF($Q134="Contractor","Contractor","Filled"))))</f>
        <v/>
      </c>
      <c r="AL134">
        <f>IF($M134="NZ","NZ","AU")</f>
        <v/>
      </c>
      <c r="AM134">
        <f>COUNTIF($AJ$2:$AJ134,$AJ134)</f>
        <v/>
      </c>
      <c r="AN134">
        <f>$AJ134&amp;"|"&amp;$AM134</f>
        <v/>
      </c>
      <c r="AO134" t="inlineStr">
        <is>
          <t>Z Energy Apps</t>
        </is>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f>IFERROR(INDEX(Lists!$U$1:$U$18,MATCH($I135,Lists!$T$1:$T$18,0)),"?")</f>
        <v/>
      </c>
      <c r="AK135">
        <f>IF(LOWER($Q135)="v","Vacant",IF(LOWER($Q135)="pause","Paused",IF(LOWER($Q135)="cxc","Contractor",IF($Q135="Contractor","Contractor","Filled"))))</f>
        <v/>
      </c>
      <c r="AL135">
        <f>IF($M135="NZ","NZ","AU")</f>
        <v/>
      </c>
      <c r="AM135">
        <f>COUNTIF($AJ$2:$AJ135,$AJ135)</f>
        <v/>
      </c>
      <c r="AN135">
        <f>$AJ135&amp;"|"&amp;$AM135</f>
        <v/>
      </c>
      <c r="AO135" t="inlineStr">
        <is>
          <t>Energy</t>
        </is>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f>IFERROR(INDEX(Lists!$U$1:$U$18,MATCH($I136,Lists!$T$1:$T$18,0)),"?")</f>
        <v/>
      </c>
      <c r="AK136">
        <f>IF(LOWER($Q136)="v","Vacant",IF(LOWER($Q136)="pause","Paused",IF(LOWER($Q136)="cxc","Contractor",IF($Q136="Contractor","Contractor","Filled"))))</f>
        <v/>
      </c>
      <c r="AL136">
        <f>IF($M136="NZ","NZ","AU")</f>
        <v/>
      </c>
      <c r="AM136">
        <f>COUNTIF($AJ$2:$AJ136,$AJ136)</f>
        <v/>
      </c>
      <c r="AN136">
        <f>$AJ136&amp;"|"&amp;$AM136</f>
        <v/>
      </c>
      <c r="AO136" t="inlineStr">
        <is>
          <t>AU CRM &amp; Martech</t>
        </is>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f>IFERROR(INDEX(Lists!$U$1:$U$18,MATCH($I137,Lists!$T$1:$T$18,0)),"?")</f>
        <v/>
      </c>
      <c r="AK137">
        <f>IF(LOWER($Q137)="v","Vacant",IF(LOWER($Q137)="pause","Paused",IF(LOWER($Q137)="cxc","Contractor",IF($Q137="Contractor","Contractor","Filled"))))</f>
        <v/>
      </c>
      <c r="AL137">
        <f>IF($M137="NZ","NZ","AU")</f>
        <v/>
      </c>
      <c r="AM137">
        <f>COUNTIF($AJ$2:$AJ137,$AJ137)</f>
        <v/>
      </c>
      <c r="AN137">
        <f>$AJ137&amp;"|"&amp;$AM137</f>
        <v/>
      </c>
      <c r="AO137" t="inlineStr">
        <is>
          <t>Ampol Web</t>
        </is>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f>IFERROR(INDEX(Lists!$U$1:$U$18,MATCH($I138,Lists!$T$1:$T$18,0)),"?")</f>
        <v/>
      </c>
      <c r="AK138">
        <f>IF(LOWER($Q138)="v","Vacant",IF(LOWER($Q138)="pause","Paused",IF(LOWER($Q138)="cxc","Contractor",IF($Q138="Contractor","Contractor","Filled"))))</f>
        <v/>
      </c>
      <c r="AL138">
        <f>IF($M138="NZ","NZ","AU")</f>
        <v/>
      </c>
      <c r="AM138">
        <f>COUNTIF($AJ$2:$AJ138,$AJ138)</f>
        <v/>
      </c>
      <c r="AN138">
        <f>$AJ138&amp;"|"&amp;$AM138</f>
        <v/>
      </c>
      <c r="AO138" t="inlineStr">
        <is>
          <t>Ampol Web</t>
        </is>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f>IFERROR(INDEX(Lists!$U$1:$U$18,MATCH($I139,Lists!$T$1:$T$18,0)),"?")</f>
        <v/>
      </c>
      <c r="AK139">
        <f>IF(LOWER($Q139)="v","Vacant",IF(LOWER($Q139)="pause","Paused",IF(LOWER($Q139)="cxc","Contractor",IF($Q139="Contractor","Contractor","Filled"))))</f>
        <v/>
      </c>
      <c r="AL139">
        <f>IF($M139="NZ","NZ","AU")</f>
        <v/>
      </c>
      <c r="AM139">
        <f>COUNTIF($AJ$2:$AJ139,$AJ139)</f>
        <v/>
      </c>
      <c r="AN139">
        <f>$AJ139&amp;"|"&amp;$AM139</f>
        <v/>
      </c>
      <c r="AO139" t="inlineStr">
        <is>
          <t>Z Energy Martech</t>
        </is>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f>IFERROR(INDEX(Lists!$U$1:$U$18,MATCH($I140,Lists!$T$1:$T$18,0)),"?")</f>
        <v/>
      </c>
      <c r="AK140">
        <f>IF(LOWER($Q140)="v","Vacant",IF(LOWER($Q140)="pause","Paused",IF(LOWER($Q140)="cxc","Contractor",IF($Q140="Contractor","Contractor","Filled"))))</f>
        <v/>
      </c>
      <c r="AL140">
        <f>IF($M140="NZ","NZ","AU")</f>
        <v/>
      </c>
      <c r="AM140">
        <f>COUNTIF($AJ$2:$AJ140,$AJ140)</f>
        <v/>
      </c>
      <c r="AN140">
        <f>$AJ140&amp;"|"&amp;$AM140</f>
        <v/>
      </c>
      <c r="AO140" t="inlineStr">
        <is>
          <t>Z Energy Martech</t>
        </is>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f>IFERROR(INDEX(Lists!$U$1:$U$18,MATCH($I141,Lists!$T$1:$T$18,0)),"?")</f>
        <v/>
      </c>
      <c r="AK141">
        <f>IF(LOWER($Q141)="v","Vacant",IF(LOWER($Q141)="pause","Paused",IF(LOWER($Q141)="cxc","Contractor",IF($Q141="Contractor","Contractor","Filled"))))</f>
        <v/>
      </c>
      <c r="AL141">
        <f>IF($M141="NZ","NZ","AU")</f>
        <v/>
      </c>
      <c r="AM141">
        <f>COUNTIF($AJ$2:$AJ141,$AJ141)</f>
        <v/>
      </c>
      <c r="AN141">
        <f>$AJ141&amp;"|"&amp;$AM141</f>
        <v/>
      </c>
      <c r="AO141" t="inlineStr">
        <is>
          <t>Z Energy Martech</t>
        </is>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f>IFERROR(INDEX(Lists!$U$1:$U$18,MATCH($I142,Lists!$T$1:$T$18,0)),"?")</f>
        <v/>
      </c>
      <c r="AK142">
        <f>IF(LOWER($Q142)="v","Vacant",IF(LOWER($Q142)="pause","Paused",IF(LOWER($Q142)="cxc","Contractor",IF($Q142="Contractor","Contractor","Filled"))))</f>
        <v/>
      </c>
      <c r="AL142">
        <f>IF($M142="NZ","NZ","AU")</f>
        <v/>
      </c>
      <c r="AM142">
        <f>COUNTIF($AJ$2:$AJ142,$AJ142)</f>
        <v/>
      </c>
      <c r="AN142">
        <f>$AJ142&amp;"|"&amp;$AM142</f>
        <v/>
      </c>
      <c r="AO142" t="inlineStr">
        <is>
          <t>Ampol App</t>
        </is>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f>IFERROR(INDEX(Lists!$U$1:$U$18,MATCH($I143,Lists!$T$1:$T$18,0)),"?")</f>
        <v/>
      </c>
      <c r="AK143">
        <f>IF(LOWER($Q143)="v","Vacant",IF(LOWER($Q143)="pause","Paused",IF(LOWER($Q143)="cxc","Contractor",IF($Q143="Contractor","Contractor","Filled"))))</f>
        <v/>
      </c>
      <c r="AL143">
        <f>IF($M143="NZ","NZ","AU")</f>
        <v/>
      </c>
      <c r="AM143">
        <f>COUNTIF($AJ$2:$AJ143,$AJ143)</f>
        <v/>
      </c>
      <c r="AN143">
        <f>$AJ143&amp;"|"&amp;$AM143</f>
        <v/>
      </c>
      <c r="AO143" t="inlineStr">
        <is>
          <t>Z Energy Martech</t>
        </is>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f>IFERROR(INDEX(Lists!$U$1:$U$18,MATCH($I144,Lists!$T$1:$T$18,0)),"?")</f>
        <v/>
      </c>
      <c r="AK144">
        <f>IF(LOWER($Q144)="v","Vacant",IF(LOWER($Q144)="pause","Paused",IF(LOWER($Q144)="cxc","Contractor",IF($Q144="Contractor","Contractor","Filled"))))</f>
        <v/>
      </c>
      <c r="AL144">
        <f>IF($M144="NZ","NZ","AU")</f>
        <v/>
      </c>
      <c r="AM144">
        <f>COUNTIF($AJ$2:$AJ144,$AJ144)</f>
        <v/>
      </c>
      <c r="AN144">
        <f>$AJ144&amp;"|"&amp;$AM144</f>
        <v/>
      </c>
      <c r="AO144" t="inlineStr">
        <is>
          <t>Leadership</t>
        </is>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f>IFERROR(INDEX(Lists!$U$1:$U$18,MATCH($I145,Lists!$T$1:$T$18,0)),"?")</f>
        <v/>
      </c>
      <c r="AK145">
        <f>IF(LOWER($Q145)="v","Vacant",IF(LOWER($Q145)="pause","Paused",IF(LOWER($Q145)="cxc","Contractor",IF($Q145="Contractor","Contractor","Filled"))))</f>
        <v/>
      </c>
      <c r="AL145">
        <f>IF($M145="NZ","NZ","AU")</f>
        <v/>
      </c>
      <c r="AM145">
        <f>COUNTIF($AJ$2:$AJ145,$AJ145)</f>
        <v/>
      </c>
      <c r="AN145">
        <f>$AJ145&amp;"|"&amp;$AM145</f>
        <v/>
      </c>
      <c r="AO145" t="inlineStr">
        <is>
          <t>Ampol Web</t>
        </is>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f>IFERROR(INDEX(Lists!$U$1:$U$18,MATCH($I146,Lists!$T$1:$T$18,0)),"?")</f>
        <v/>
      </c>
      <c r="AK146">
        <f>IF(LOWER($Q146)="v","Vacant",IF(LOWER($Q146)="pause","Paused",IF(LOWER($Q146)="cxc","Contractor",IF($Q146="Contractor","Contractor","Filled"))))</f>
        <v/>
      </c>
      <c r="AL146">
        <f>IF($M146="NZ","NZ","AU")</f>
        <v/>
      </c>
      <c r="AM146">
        <f>COUNTIF($AJ$2:$AJ146,$AJ146)</f>
        <v/>
      </c>
      <c r="AN146">
        <f>$AJ146&amp;"|"&amp;$AM146</f>
        <v/>
      </c>
      <c r="AO146" t="inlineStr">
        <is>
          <t>Ampol App</t>
        </is>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f>IFERROR(INDEX(Lists!$U$1:$U$18,MATCH($I147,Lists!$T$1:$T$18,0)),"?")</f>
        <v/>
      </c>
      <c r="AK147">
        <f>IF(LOWER($Q147)="v","Vacant",IF(LOWER($Q147)="pause","Paused",IF(LOWER($Q147)="cxc","Contractor",IF($Q147="Contractor","Contractor","Filled"))))</f>
        <v/>
      </c>
      <c r="AL147">
        <f>IF($M147="NZ","NZ","AU")</f>
        <v/>
      </c>
      <c r="AM147">
        <f>COUNTIF($AJ$2:$AJ147,$AJ147)</f>
        <v/>
      </c>
      <c r="AN147">
        <f>$AJ147&amp;"|"&amp;$AM147</f>
        <v/>
      </c>
      <c r="AO147" t="inlineStr">
        <is>
          <t>Digital Ops Support</t>
        </is>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f>IFERROR(INDEX(Lists!$U$1:$U$18,MATCH($I148,Lists!$T$1:$T$18,0)),"?")</f>
        <v/>
      </c>
      <c r="AK148">
        <f>IF(LOWER($Q148)="v","Vacant",IF(LOWER($Q148)="pause","Paused",IF(LOWER($Q148)="cxc","Contractor",IF($Q148="Contractor","Contractor","Filled"))))</f>
        <v/>
      </c>
      <c r="AL148">
        <f>IF($M148="NZ","NZ","AU")</f>
        <v/>
      </c>
      <c r="AM148">
        <f>COUNTIF($AJ$2:$AJ148,$AJ148)</f>
        <v/>
      </c>
      <c r="AN148">
        <f>$AJ148&amp;"|"&amp;$AM148</f>
        <v/>
      </c>
      <c r="AO148" t="inlineStr">
        <is>
          <t>Z Energy Martech</t>
        </is>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f>IFERROR(INDEX(Lists!$U$1:$U$18,MATCH($I149,Lists!$T$1:$T$18,0)),"?")</f>
        <v/>
      </c>
      <c r="AK149">
        <f>IF(LOWER($Q149)="v","Vacant",IF(LOWER($Q149)="pause","Paused",IF(LOWER($Q149)="cxc","Contractor",IF($Q149="Contractor","Contractor","Filled"))))</f>
        <v/>
      </c>
      <c r="AL149">
        <f>IF($M149="NZ","NZ","AU")</f>
        <v/>
      </c>
      <c r="AM149">
        <f>COUNTIF($AJ$2:$AJ149,$AJ149)</f>
        <v/>
      </c>
      <c r="AN149">
        <f>$AJ149&amp;"|"&amp;$AM149</f>
        <v/>
      </c>
      <c r="AO149" t="inlineStr">
        <is>
          <t>Leadership</t>
        </is>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f>IFERROR(INDEX(Lists!$U$1:$U$18,MATCH($I150,Lists!$T$1:$T$18,0)),"?")</f>
        <v/>
      </c>
      <c r="AK150">
        <f>IF(LOWER($Q150)="v","Vacant",IF(LOWER($Q150)="pause","Paused",IF(LOWER($Q150)="cxc","Contractor",IF($Q150="Contractor","Contractor","Filled"))))</f>
        <v/>
      </c>
      <c r="AL150">
        <f>IF($M150="NZ","NZ","AU")</f>
        <v/>
      </c>
      <c r="AM150">
        <f>COUNTIF($AJ$2:$AJ150,$AJ150)</f>
        <v/>
      </c>
      <c r="AN150">
        <f>$AJ150&amp;"|"&amp;$AM150</f>
        <v/>
      </c>
      <c r="AO150" t="inlineStr">
        <is>
          <t>Z Energy Martech</t>
        </is>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f>IFERROR(INDEX(Lists!$U$1:$U$18,MATCH($I151,Lists!$T$1:$T$18,0)),"?")</f>
        <v/>
      </c>
      <c r="AK151">
        <f>IF(LOWER($Q151)="v","Vacant",IF(LOWER($Q151)="pause","Paused",IF(LOWER($Q151)="cxc","Contractor",IF($Q151="Contractor","Contractor","Filled"))))</f>
        <v/>
      </c>
      <c r="AL151">
        <f>IF($M151="NZ","NZ","AU")</f>
        <v/>
      </c>
      <c r="AM151">
        <f>COUNTIF($AJ$2:$AJ151,$AJ151)</f>
        <v/>
      </c>
      <c r="AN151">
        <f>$AJ151&amp;"|"&amp;$AM151</f>
        <v/>
      </c>
      <c r="AO151" t="inlineStr">
        <is>
          <t>Ampol App</t>
        </is>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f>IFERROR(INDEX(Lists!$U$1:$U$18,MATCH($I152,Lists!$T$1:$T$18,0)),"?")</f>
        <v/>
      </c>
      <c r="AK152">
        <f>IF(LOWER($Q152)="v","Vacant",IF(LOWER($Q152)="pause","Paused",IF(LOWER($Q152)="cxc","Contractor",IF($Q152="Contractor","Contractor","Filled"))))</f>
        <v/>
      </c>
      <c r="AL152">
        <f>IF($M152="NZ","NZ","AU")</f>
        <v/>
      </c>
      <c r="AM152">
        <f>COUNTIF($AJ$2:$AJ152,$AJ152)</f>
        <v/>
      </c>
      <c r="AN152">
        <f>$AJ152&amp;"|"&amp;$AM152</f>
        <v/>
      </c>
      <c r="AO152" t="inlineStr">
        <is>
          <t>Ampol App</t>
        </is>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f>IFERROR(INDEX(Lists!$U$1:$U$18,MATCH($I153,Lists!$T$1:$T$18,0)),"?")</f>
        <v/>
      </c>
      <c r="AK153">
        <f>IF(LOWER($Q153)="v","Vacant",IF(LOWER($Q153)="pause","Paused",IF(LOWER($Q153)="cxc","Contractor",IF($Q153="Contractor","Contractor","Filled"))))</f>
        <v/>
      </c>
      <c r="AL153">
        <f>IF($M153="NZ","NZ","AU")</f>
        <v/>
      </c>
      <c r="AM153">
        <f>COUNTIF($AJ$2:$AJ153,$AJ153)</f>
        <v/>
      </c>
      <c r="AN153">
        <f>$AJ153&amp;"|"&amp;$AM153</f>
        <v/>
      </c>
      <c r="AO153" t="inlineStr">
        <is>
          <t>Ampol App</t>
        </is>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f>IFERROR(INDEX(Lists!$U$1:$U$18,MATCH($I154,Lists!$T$1:$T$18,0)),"?")</f>
        <v/>
      </c>
      <c r="AK154">
        <f>IF(LOWER($Q154)="v","Vacant",IF(LOWER($Q154)="pause","Paused",IF(LOWER($Q154)="cxc","Contractor",IF($Q154="Contractor","Contractor","Filled"))))</f>
        <v/>
      </c>
      <c r="AL154">
        <f>IF($M154="NZ","NZ","AU")</f>
        <v/>
      </c>
      <c r="AM154">
        <f>COUNTIF($AJ$2:$AJ154,$AJ154)</f>
        <v/>
      </c>
      <c r="AN154">
        <f>$AJ154&amp;"|"&amp;$AM154</f>
        <v/>
      </c>
      <c r="AO154" t="inlineStr">
        <is>
          <t>Ampol App</t>
        </is>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f>IFERROR(INDEX(Lists!$U$1:$U$18,MATCH($I155,Lists!$T$1:$T$18,0)),"?")</f>
        <v/>
      </c>
      <c r="AK155">
        <f>IF(LOWER($Q155)="v","Vacant",IF(LOWER($Q155)="pause","Paused",IF(LOWER($Q155)="cxc","Contractor",IF($Q155="Contractor","Contractor","Filled"))))</f>
        <v/>
      </c>
      <c r="AL155">
        <f>IF($M155="NZ","NZ","AU")</f>
        <v/>
      </c>
      <c r="AM155">
        <f>COUNTIF($AJ$2:$AJ155,$AJ155)</f>
        <v/>
      </c>
      <c r="AN155">
        <f>$AJ155&amp;"|"&amp;$AM155</f>
        <v/>
      </c>
      <c r="AO155" t="inlineStr">
        <is>
          <t>EGI Customer</t>
        </is>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f>IFERROR(INDEX(Lists!$U$1:$U$18,MATCH($I156,Lists!$T$1:$T$18,0)),"?")</f>
        <v/>
      </c>
      <c r="AK156">
        <f>IF(LOWER($Q156)="v","Vacant",IF(LOWER($Q156)="pause","Paused",IF(LOWER($Q156)="cxc","Contractor",IF($Q156="Contractor","Contractor","Filled"))))</f>
        <v/>
      </c>
      <c r="AL156">
        <f>IF($M156="NZ","NZ","AU")</f>
        <v/>
      </c>
      <c r="AM156">
        <f>COUNTIF($AJ$2:$AJ156,$AJ156)</f>
        <v/>
      </c>
      <c r="AN156">
        <f>$AJ156&amp;"|"&amp;$AM156</f>
        <v/>
      </c>
      <c r="AO156" t="inlineStr">
        <is>
          <t>EGI Customer</t>
        </is>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f>IFERROR(INDEX(Lists!$U$1:$U$18,MATCH($I157,Lists!$T$1:$T$18,0)),"?")</f>
        <v/>
      </c>
      <c r="AK157">
        <f>IF(LOWER($Q157)="v","Vacant",IF(LOWER($Q157)="pause","Paused",IF(LOWER($Q157)="cxc","Contractor",IF($Q157="Contractor","Contractor","Filled"))))</f>
        <v/>
      </c>
      <c r="AL157">
        <f>IF($M157="NZ","NZ","AU")</f>
        <v/>
      </c>
      <c r="AM157">
        <f>COUNTIF($AJ$2:$AJ157,$AJ157)</f>
        <v/>
      </c>
      <c r="AN157">
        <f>$AJ157&amp;"|"&amp;$AM157</f>
        <v/>
      </c>
      <c r="AO157" t="inlineStr">
        <is>
          <t>EGI Customer</t>
        </is>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f>IFERROR(INDEX(Lists!$U$1:$U$18,MATCH($I158,Lists!$T$1:$T$18,0)),"?")</f>
        <v/>
      </c>
      <c r="AK158">
        <f>IF(LOWER($Q158)="v","Vacant",IF(LOWER($Q158)="pause","Paused",IF(LOWER($Q158)="cxc","Contractor",IF($Q158="Contractor","Contractor","Filled"))))</f>
        <v/>
      </c>
      <c r="AL158">
        <f>IF($M158="NZ","NZ","AU")</f>
        <v/>
      </c>
      <c r="AM158">
        <f>COUNTIF($AJ$2:$AJ158,$AJ158)</f>
        <v/>
      </c>
      <c r="AN158">
        <f>$AJ158&amp;"|"&amp;$AM158</f>
        <v/>
      </c>
      <c r="AO158" t="inlineStr">
        <is>
          <t>EGI Customer</t>
        </is>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f>IFERROR(INDEX(Lists!$U$1:$U$18,MATCH($I159,Lists!$T$1:$T$18,0)),"?")</f>
        <v/>
      </c>
      <c r="AK159">
        <f>IF(LOWER($Q159)="v","Vacant",IF(LOWER($Q159)="pause","Paused",IF(LOWER($Q159)="cxc","Contractor",IF($Q159="Contractor","Contractor","Filled"))))</f>
        <v/>
      </c>
      <c r="AL159">
        <f>IF($M159="NZ","NZ","AU")</f>
        <v/>
      </c>
      <c r="AM159">
        <f>COUNTIF($AJ$2:$AJ159,$AJ159)</f>
        <v/>
      </c>
      <c r="AN159">
        <f>$AJ159&amp;"|"&amp;$AM159</f>
        <v/>
      </c>
      <c r="AO159" t="inlineStr">
        <is>
          <t>Z Energy Apps</t>
        </is>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f>IFERROR(INDEX(Lists!$U$1:$U$18,MATCH($I160,Lists!$T$1:$T$18,0)),"?")</f>
        <v/>
      </c>
      <c r="AK160">
        <f>IF(LOWER($Q160)="v","Vacant",IF(LOWER($Q160)="pause","Paused",IF(LOWER($Q160)="cxc","Contractor",IF($Q160="Contractor","Contractor","Filled"))))</f>
        <v/>
      </c>
      <c r="AL160">
        <f>IF($M160="NZ","NZ","AU")</f>
        <v/>
      </c>
      <c r="AM160">
        <f>COUNTIF($AJ$2:$AJ160,$AJ160)</f>
        <v/>
      </c>
      <c r="AN160">
        <f>$AJ160&amp;"|"&amp;$AM160</f>
        <v/>
      </c>
      <c r="AO160" t="inlineStr">
        <is>
          <t>Ampol Web</t>
        </is>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f>IFERROR(INDEX(Lists!$U$1:$U$18,MATCH($I161,Lists!$T$1:$T$18,0)),"?")</f>
        <v/>
      </c>
      <c r="AK161">
        <f>IF(LOWER($Q161)="v","Vacant",IF(LOWER($Q161)="pause","Paused",IF(LOWER($Q161)="cxc","Contractor",IF($Q161="Contractor","Contractor","Filled"))))</f>
        <v/>
      </c>
      <c r="AL161">
        <f>IF($M161="NZ","NZ","AU")</f>
        <v/>
      </c>
      <c r="AM161">
        <f>COUNTIF($AJ$2:$AJ161,$AJ161)</f>
        <v/>
      </c>
      <c r="AN161">
        <f>$AJ161&amp;"|"&amp;$AM161</f>
        <v/>
      </c>
      <c r="AO161" t="inlineStr">
        <is>
          <t>Z Energy Martech</t>
        </is>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f>IFERROR(INDEX(Lists!$U$1:$U$18,MATCH($I162,Lists!$T$1:$T$18,0)),"?")</f>
        <v/>
      </c>
      <c r="AK162">
        <f>IF(LOWER($Q162)="v","Vacant",IF(LOWER($Q162)="pause","Paused",IF(LOWER($Q162)="cxc","Contractor",IF($Q162="Contractor","Contractor","Filled"))))</f>
        <v/>
      </c>
      <c r="AL162">
        <f>IF($M162="NZ","NZ","AU")</f>
        <v/>
      </c>
      <c r="AM162">
        <f>COUNTIF($AJ$2:$AJ162,$AJ162)</f>
        <v/>
      </c>
      <c r="AN162">
        <f>$AJ162&amp;"|"&amp;$AM162</f>
        <v/>
      </c>
      <c r="AO162" t="inlineStr">
        <is>
          <t>Z Energy Apps</t>
        </is>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f>IFERROR(INDEX(Lists!$U$1:$U$18,MATCH($I163,Lists!$T$1:$T$18,0)),"?")</f>
        <v/>
      </c>
      <c r="AK163">
        <f>IF(LOWER($Q163)="v","Vacant",IF(LOWER($Q163)="pause","Paused",IF(LOWER($Q163)="cxc","Contractor",IF($Q163="Contractor","Contractor","Filled"))))</f>
        <v/>
      </c>
      <c r="AL163">
        <f>IF($M163="NZ","NZ","AU")</f>
        <v/>
      </c>
      <c r="AM163">
        <f>COUNTIF($AJ$2:$AJ163,$AJ163)</f>
        <v/>
      </c>
      <c r="AN163">
        <f>$AJ163&amp;"|"&amp;$AM163</f>
        <v/>
      </c>
      <c r="AO163" t="inlineStr">
        <is>
          <t>Ampol App</t>
        </is>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f>IFERROR(INDEX(Lists!$U$1:$U$18,MATCH($I164,Lists!$T$1:$T$18,0)),"?")</f>
        <v/>
      </c>
      <c r="AK164">
        <f>IF(LOWER($Q164)="v","Vacant",IF(LOWER($Q164)="pause","Paused",IF(LOWER($Q164)="cxc","Contractor",IF($Q164="Contractor","Contractor","Filled"))))</f>
        <v/>
      </c>
      <c r="AL164">
        <f>IF($M164="NZ","NZ","AU")</f>
        <v/>
      </c>
      <c r="AM164">
        <f>COUNTIF($AJ$2:$AJ164,$AJ164)</f>
        <v/>
      </c>
      <c r="AN164">
        <f>$AJ164&amp;"|"&amp;$AM164</f>
        <v/>
      </c>
      <c r="AO164" t="inlineStr">
        <is>
          <t>AU CRM &amp; Martech</t>
        </is>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f>IFERROR(INDEX(Lists!$U$1:$U$18,MATCH($I165,Lists!$T$1:$T$18,0)),"?")</f>
        <v/>
      </c>
      <c r="AK165">
        <f>IF(LOWER($Q165)="v","Vacant",IF(LOWER($Q165)="pause","Paused",IF(LOWER($Q165)="cxc","Contractor",IF($Q165="Contractor","Contractor","Filled"))))</f>
        <v/>
      </c>
      <c r="AL165">
        <f>IF($M165="NZ","NZ","AU")</f>
        <v/>
      </c>
      <c r="AM165">
        <f>COUNTIF($AJ$2:$AJ165,$AJ165)</f>
        <v/>
      </c>
      <c r="AN165">
        <f>$AJ165&amp;"|"&amp;$AM165</f>
        <v/>
      </c>
      <c r="AO165" t="inlineStr">
        <is>
          <t>Leadership</t>
        </is>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f>IFERROR(INDEX(Lists!$U$1:$U$18,MATCH($I166,Lists!$T$1:$T$18,0)),"?")</f>
        <v/>
      </c>
      <c r="AK166">
        <f>IF(LOWER($Q166)="v","Vacant",IF(LOWER($Q166)="pause","Paused",IF(LOWER($Q166)="cxc","Contractor",IF($Q166="Contractor","Contractor","Filled"))))</f>
        <v/>
      </c>
      <c r="AL166">
        <f>IF($M166="NZ","NZ","AU")</f>
        <v/>
      </c>
      <c r="AM166">
        <f>COUNTIF($AJ$2:$AJ166,$AJ166)</f>
        <v/>
      </c>
      <c r="AN166">
        <f>$AJ166&amp;"|"&amp;$AM166</f>
        <v/>
      </c>
      <c r="AO166" t="inlineStr">
        <is>
          <t>Digital Ops Support</t>
        </is>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f>IFERROR(INDEX(Lists!$U$1:$U$18,MATCH($I167,Lists!$T$1:$T$18,0)),"?")</f>
        <v/>
      </c>
      <c r="AK167">
        <f>IF(LOWER($Q167)="v","Vacant",IF(LOWER($Q167)="pause","Paused",IF(LOWER($Q167)="cxc","Contractor",IF($Q167="Contractor","Contractor","Filled"))))</f>
        <v/>
      </c>
      <c r="AL167">
        <f>IF($M167="NZ","NZ","AU")</f>
        <v/>
      </c>
      <c r="AM167">
        <f>COUNTIF($AJ$2:$AJ167,$AJ167)</f>
        <v/>
      </c>
      <c r="AN167">
        <f>$AJ167&amp;"|"&amp;$AM167</f>
        <v/>
      </c>
      <c r="AO167" t="inlineStr">
        <is>
          <t>EGI Customer</t>
        </is>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f>IFERROR(INDEX(Lists!$U$1:$U$18,MATCH($I168,Lists!$T$1:$T$18,0)),"?")</f>
        <v/>
      </c>
      <c r="AK168">
        <f>IF(LOWER($Q168)="v","Vacant",IF(LOWER($Q168)="pause","Paused",IF(LOWER($Q168)="cxc","Contractor",IF($Q168="Contractor","Contractor","Filled"))))</f>
        <v/>
      </c>
      <c r="AL168">
        <f>IF($M168="NZ","NZ","AU")</f>
        <v/>
      </c>
      <c r="AM168">
        <f>COUNTIF($AJ$2:$AJ168,$AJ168)</f>
        <v/>
      </c>
      <c r="AN168">
        <f>$AJ168&amp;"|"&amp;$AM168</f>
        <v/>
      </c>
      <c r="AO168" t="inlineStr">
        <is>
          <t>EGI Customer</t>
        </is>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f>IFERROR(INDEX(Lists!$U$1:$U$18,MATCH($I169,Lists!$T$1:$T$18,0)),"?")</f>
        <v/>
      </c>
      <c r="AK169">
        <f>IF(LOWER($Q169)="v","Vacant",IF(LOWER($Q169)="pause","Paused",IF(LOWER($Q169)="cxc","Contractor",IF($Q169="Contractor","Contractor","Filled"))))</f>
        <v/>
      </c>
      <c r="AL169">
        <f>IF($M169="NZ","NZ","AU")</f>
        <v/>
      </c>
      <c r="AM169">
        <f>COUNTIF($AJ$2:$AJ169,$AJ169)</f>
        <v/>
      </c>
      <c r="AN169">
        <f>$AJ169&amp;"|"&amp;$AM169</f>
        <v/>
      </c>
      <c r="AO169" t="inlineStr">
        <is>
          <t>Z Energy Apps</t>
        </is>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f>IFERROR(INDEX(Lists!$U$1:$U$18,MATCH($I170,Lists!$T$1:$T$18,0)),"?")</f>
        <v/>
      </c>
      <c r="AK170">
        <f>IF(LOWER($Q170)="v","Vacant",IF(LOWER($Q170)="pause","Paused",IF(LOWER($Q170)="cxc","Contractor",IF($Q170="Contractor","Contractor","Filled"))))</f>
        <v/>
      </c>
      <c r="AL170">
        <f>IF($M170="NZ","NZ","AU")</f>
        <v/>
      </c>
      <c r="AM170">
        <f>COUNTIF($AJ$2:$AJ170,$AJ170)</f>
        <v/>
      </c>
      <c r="AN170">
        <f>$AJ170&amp;"|"&amp;$AM170</f>
        <v/>
      </c>
      <c r="AO170" t="inlineStr">
        <is>
          <t>Ampol App</t>
        </is>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f>IFERROR(INDEX(Lists!$U$1:$U$18,MATCH($I171,Lists!$T$1:$T$18,0)),"?")</f>
        <v/>
      </c>
      <c r="AK171">
        <f>IF(LOWER($Q171)="v","Vacant",IF(LOWER($Q171)="pause","Paused",IF(LOWER($Q171)="cxc","Contractor",IF($Q171="Contractor","Contractor","Filled"))))</f>
        <v/>
      </c>
      <c r="AL171">
        <f>IF($M171="NZ","NZ","AU")</f>
        <v/>
      </c>
      <c r="AM171">
        <f>COUNTIF($AJ$2:$AJ171,$AJ171)</f>
        <v/>
      </c>
      <c r="AN171">
        <f>$AJ171&amp;"|"&amp;$AM171</f>
        <v/>
      </c>
      <c r="AO171" t="inlineStr">
        <is>
          <t>Z Energy Martech</t>
        </is>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f>IFERROR(INDEX(Lists!$U$1:$U$18,MATCH($I172,Lists!$T$1:$T$18,0)),"?")</f>
        <v/>
      </c>
      <c r="AK172">
        <f>IF(LOWER($Q172)="v","Vacant",IF(LOWER($Q172)="pause","Paused",IF(LOWER($Q172)="cxc","Contractor",IF($Q172="Contractor","Contractor","Filled"))))</f>
        <v/>
      </c>
      <c r="AL172">
        <f>IF($M172="NZ","NZ","AU")</f>
        <v/>
      </c>
      <c r="AM172">
        <f>COUNTIF($AJ$2:$AJ172,$AJ172)</f>
        <v/>
      </c>
      <c r="AN172">
        <f>$AJ172&amp;"|"&amp;$AM172</f>
        <v/>
      </c>
      <c r="AO172" t="inlineStr">
        <is>
          <t>Ampol Web</t>
        </is>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f>IFERROR(INDEX(Lists!$U$1:$U$18,MATCH($I173,Lists!$T$1:$T$18,0)),"?")</f>
        <v/>
      </c>
      <c r="AK173">
        <f>IF(LOWER($Q173)="v","Vacant",IF(LOWER($Q173)="pause","Paused",IF(LOWER($Q173)="cxc","Contractor",IF($Q173="Contractor","Contractor","Filled"))))</f>
        <v/>
      </c>
      <c r="AL173">
        <f>IF($M173="NZ","NZ","AU")</f>
        <v/>
      </c>
      <c r="AM173">
        <f>COUNTIF($AJ$2:$AJ173,$AJ173)</f>
        <v/>
      </c>
      <c r="AN173">
        <f>$AJ173&amp;"|"&amp;$AM173</f>
        <v/>
      </c>
      <c r="AO173" t="inlineStr">
        <is>
          <t>Customer AI</t>
        </is>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f>IFERROR(INDEX(Lists!$U$1:$U$18,MATCH($I174,Lists!$T$1:$T$18,0)),"?")</f>
        <v/>
      </c>
      <c r="AK174">
        <f>IF(LOWER($Q174)="v","Vacant",IF(LOWER($Q174)="pause","Paused",IF(LOWER($Q174)="cxc","Contractor",IF($Q174="Contractor","Contractor","Filled"))))</f>
        <v/>
      </c>
      <c r="AL174">
        <f>IF($M174="NZ","NZ","AU")</f>
        <v/>
      </c>
      <c r="AM174">
        <f>COUNTIF($AJ$2:$AJ174,$AJ174)</f>
        <v/>
      </c>
      <c r="AN174">
        <f>$AJ174&amp;"|"&amp;$AM174</f>
        <v/>
      </c>
      <c r="AO174" t="inlineStr">
        <is>
          <t>AU CRM &amp; Martech</t>
        </is>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f>IFERROR(INDEX(Lists!$U$1:$U$18,MATCH($I175,Lists!$T$1:$T$18,0)),"?")</f>
        <v/>
      </c>
      <c r="AK175">
        <f>IF(LOWER($Q175)="v","Vacant",IF(LOWER($Q175)="pause","Paused",IF(LOWER($Q175)="cxc","Contractor",IF($Q175="Contractor","Contractor","Filled"))))</f>
        <v/>
      </c>
      <c r="AL175">
        <f>IF($M175="NZ","NZ","AU")</f>
        <v/>
      </c>
      <c r="AM175">
        <f>COUNTIF($AJ$2:$AJ175,$AJ175)</f>
        <v/>
      </c>
      <c r="AN175">
        <f>$AJ175&amp;"|"&amp;$AM175</f>
        <v/>
      </c>
      <c r="AO175" t="inlineStr">
        <is>
          <t>Leadership</t>
        </is>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f>IFERROR(INDEX(Lists!$U$1:$U$18,MATCH($I176,Lists!$T$1:$T$18,0)),"?")</f>
        <v/>
      </c>
      <c r="AK176">
        <f>IF(LOWER($Q176)="v","Vacant",IF(LOWER($Q176)="pause","Paused",IF(LOWER($Q176)="cxc","Contractor",IF($Q176="Contractor","Contractor","Filled"))))</f>
        <v/>
      </c>
      <c r="AL176">
        <f>IF($M176="NZ","NZ","AU")</f>
        <v/>
      </c>
      <c r="AM176">
        <f>COUNTIF($AJ$2:$AJ176,$AJ176)</f>
        <v/>
      </c>
      <c r="AN176">
        <f>$AJ176&amp;"|"&amp;$AM176</f>
        <v/>
      </c>
      <c r="AO176" t="inlineStr">
        <is>
          <t>Leadership</t>
        </is>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f>IFERROR(INDEX(Lists!$U$1:$U$18,MATCH($I177,Lists!$T$1:$T$18,0)),"?")</f>
        <v/>
      </c>
      <c r="AK177">
        <f>IF(LOWER($Q177)="v","Vacant",IF(LOWER($Q177)="pause","Paused",IF(LOWER($Q177)="cxc","Contractor",IF($Q177="Contractor","Contractor","Filled"))))</f>
        <v/>
      </c>
      <c r="AL177">
        <f>IF($M177="NZ","NZ","AU")</f>
        <v/>
      </c>
      <c r="AM177">
        <f>COUNTIF($AJ$2:$AJ177,$AJ177)</f>
        <v/>
      </c>
      <c r="AN177">
        <f>$AJ177&amp;"|"&amp;$AM177</f>
        <v/>
      </c>
      <c r="AO177" t="inlineStr">
        <is>
          <t>AU CRM &amp; Martech</t>
        </is>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f>IFERROR(INDEX(Lists!$U$1:$U$18,MATCH($I178,Lists!$T$1:$T$18,0)),"?")</f>
        <v/>
      </c>
      <c r="AK178">
        <f>IF(LOWER($Q178)="v","Vacant",IF(LOWER($Q178)="pause","Paused",IF(LOWER($Q178)="cxc","Contractor",IF($Q178="Contractor","Contractor","Filled"))))</f>
        <v/>
      </c>
      <c r="AL178">
        <f>IF($M178="NZ","NZ","AU")</f>
        <v/>
      </c>
      <c r="AM178">
        <f>COUNTIF($AJ$2:$AJ178,$AJ178)</f>
        <v/>
      </c>
      <c r="AN178">
        <f>$AJ178&amp;"|"&amp;$AM178</f>
        <v/>
      </c>
      <c r="AO178" t="inlineStr">
        <is>
          <t>Z Energy Martech</t>
        </is>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f>IFERROR(INDEX(Lists!$U$1:$U$18,MATCH($I179,Lists!$T$1:$T$18,0)),"?")</f>
        <v/>
      </c>
      <c r="AK179">
        <f>IF(LOWER($Q179)="v","Vacant",IF(LOWER($Q179)="pause","Paused",IF(LOWER($Q179)="cxc","Contractor",IF($Q179="Contractor","Contractor","Filled"))))</f>
        <v/>
      </c>
      <c r="AL179">
        <f>IF($M179="NZ","NZ","AU")</f>
        <v/>
      </c>
      <c r="AM179">
        <f>COUNTIF($AJ$2:$AJ179,$AJ179)</f>
        <v/>
      </c>
      <c r="AN179">
        <f>$AJ179&amp;"|"&amp;$AM179</f>
        <v/>
      </c>
      <c r="AO179" t="inlineStr">
        <is>
          <t>Z Energy Martech</t>
        </is>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f>IFERROR(INDEX(Lists!$U$1:$U$18,MATCH($I180,Lists!$T$1:$T$18,0)),"?")</f>
        <v/>
      </c>
      <c r="AK180">
        <f>IF(LOWER($Q180)="v","Vacant",IF(LOWER($Q180)="pause","Paused",IF(LOWER($Q180)="cxc","Contractor",IF($Q180="Contractor","Contractor","Filled"))))</f>
        <v/>
      </c>
      <c r="AL180">
        <f>IF($M180="NZ","NZ","AU")</f>
        <v/>
      </c>
      <c r="AM180">
        <f>COUNTIF($AJ$2:$AJ180,$AJ180)</f>
        <v/>
      </c>
      <c r="AN180">
        <f>$AJ180&amp;"|"&amp;$AM180</f>
        <v/>
      </c>
      <c r="AO180" t="inlineStr">
        <is>
          <t>Customer AI</t>
        </is>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f>IFERROR(INDEX(Lists!$U$1:$U$18,MATCH($I181,Lists!$T$1:$T$18,0)),"?")</f>
        <v/>
      </c>
      <c r="AK181">
        <f>IF(LOWER($Q181)="v","Vacant",IF(LOWER($Q181)="pause","Paused",IF(LOWER($Q181)="cxc","Contractor",IF($Q181="Contractor","Contractor","Filled"))))</f>
        <v/>
      </c>
      <c r="AL181">
        <f>IF($M181="NZ","NZ","AU")</f>
        <v/>
      </c>
      <c r="AM181">
        <f>COUNTIF($AJ$2:$AJ181,$AJ181)</f>
        <v/>
      </c>
      <c r="AN181">
        <f>$AJ181&amp;"|"&amp;$AM181</f>
        <v/>
      </c>
      <c r="AO181" t="inlineStr">
        <is>
          <t>Digital Ops Support</t>
        </is>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f>IFERROR(INDEX(Lists!$U$1:$U$18,MATCH($I182,Lists!$T$1:$T$18,0)),"?")</f>
        <v/>
      </c>
      <c r="AK182">
        <f>IF(LOWER($Q182)="v","Vacant",IF(LOWER($Q182)="pause","Paused",IF(LOWER($Q182)="cxc","Contractor",IF($Q182="Contractor","Contractor","Filled"))))</f>
        <v/>
      </c>
      <c r="AL182">
        <f>IF($M182="NZ","NZ","AU")</f>
        <v/>
      </c>
      <c r="AM182">
        <f>COUNTIF($AJ$2:$AJ182,$AJ182)</f>
        <v/>
      </c>
      <c r="AN182">
        <f>$AJ182&amp;"|"&amp;$AM182</f>
        <v/>
      </c>
      <c r="AO182" t="inlineStr">
        <is>
          <t>Digital Ops Support</t>
        </is>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f>IFERROR(INDEX(Lists!$U$1:$U$18,MATCH($I183,Lists!$T$1:$T$18,0)),"?")</f>
        <v/>
      </c>
      <c r="AK183">
        <f>IF(LOWER($Q183)="v","Vacant",IF(LOWER($Q183)="pause","Paused",IF(LOWER($Q183)="cxc","Contractor",IF($Q183="Contractor","Contractor","Filled"))))</f>
        <v/>
      </c>
      <c r="AL183">
        <f>IF($M183="NZ","NZ","AU")</f>
        <v/>
      </c>
      <c r="AM183">
        <f>COUNTIF($AJ$2:$AJ183,$AJ183)</f>
        <v/>
      </c>
      <c r="AN183">
        <f>$AJ183&amp;"|"&amp;$AM183</f>
        <v/>
      </c>
      <c r="AO183" t="inlineStr">
        <is>
          <t>AU CRM &amp; Martech</t>
        </is>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f>IFERROR(INDEX(Lists!$U$1:$U$18,MATCH($I184,Lists!$T$1:$T$18,0)),"?")</f>
        <v/>
      </c>
      <c r="AK184">
        <f>IF(LOWER($Q184)="v","Vacant",IF(LOWER($Q184)="pause","Paused",IF(LOWER($Q184)="cxc","Contractor",IF($Q184="Contractor","Contractor","Filled"))))</f>
        <v/>
      </c>
      <c r="AL184">
        <f>IF($M184="NZ","NZ","AU")</f>
        <v/>
      </c>
      <c r="AM184">
        <f>COUNTIF($AJ$2:$AJ184,$AJ184)</f>
        <v/>
      </c>
      <c r="AN184">
        <f>$AJ184&amp;"|"&amp;$AM184</f>
        <v/>
      </c>
      <c r="AO184" t="inlineStr">
        <is>
          <t>Leadership</t>
        </is>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f>IFERROR(INDEX(Lists!$U$1:$U$18,MATCH($I185,Lists!$T$1:$T$18,0)),"?")</f>
        <v/>
      </c>
      <c r="AK185">
        <f>IF(LOWER($Q185)="v","Vacant",IF(LOWER($Q185)="pause","Paused",IF(LOWER($Q185)="cxc","Contractor",IF($Q185="Contractor","Contractor","Filled"))))</f>
        <v/>
      </c>
      <c r="AL185">
        <f>IF($M185="NZ","NZ","AU")</f>
        <v/>
      </c>
      <c r="AM185">
        <f>COUNTIF($AJ$2:$AJ185,$AJ185)</f>
        <v/>
      </c>
      <c r="AN185">
        <f>$AJ185&amp;"|"&amp;$AM185</f>
        <v/>
      </c>
      <c r="AO185" t="inlineStr">
        <is>
          <t>Digital Ops Support</t>
        </is>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f>IFERROR(INDEX(Lists!$U$1:$U$18,MATCH($I186,Lists!$T$1:$T$18,0)),"?")</f>
        <v/>
      </c>
      <c r="AK186">
        <f>IF(LOWER($Q186)="v","Vacant",IF(LOWER($Q186)="pause","Paused",IF(LOWER($Q186)="cxc","Contractor",IF($Q186="Contractor","Contractor","Filled"))))</f>
        <v/>
      </c>
      <c r="AL186">
        <f>IF($M186="NZ","NZ","AU")</f>
        <v/>
      </c>
      <c r="AM186">
        <f>COUNTIF($AJ$2:$AJ186,$AJ186)</f>
        <v/>
      </c>
      <c r="AN186">
        <f>$AJ186&amp;"|"&amp;$AM186</f>
        <v/>
      </c>
      <c r="AO186" t="inlineStr">
        <is>
          <t>Leadership</t>
        </is>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f>IFERROR(INDEX(Lists!$U$1:$U$18,MATCH($I187,Lists!$T$1:$T$18,0)),"?")</f>
        <v/>
      </c>
      <c r="AK187">
        <f>IF(LOWER($Q187)="v","Vacant",IF(LOWER($Q187)="pause","Paused",IF(LOWER($Q187)="cxc","Contractor",IF($Q187="Contractor","Contractor","Filled"))))</f>
        <v/>
      </c>
      <c r="AL187">
        <f>IF($M187="NZ","NZ","AU")</f>
        <v/>
      </c>
      <c r="AM187">
        <f>COUNTIF($AJ$2:$AJ187,$AJ187)</f>
        <v/>
      </c>
      <c r="AN187">
        <f>$AJ187&amp;"|"&amp;$AM187</f>
        <v/>
      </c>
      <c r="AO187" t="inlineStr">
        <is>
          <t>AU CRM &amp; Martech</t>
        </is>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f>IFERROR(INDEX(Lists!$U$1:$U$18,MATCH($I188,Lists!$T$1:$T$18,0)),"?")</f>
        <v/>
      </c>
      <c r="AK188">
        <f>IF(LOWER($Q188)="v","Vacant",IF(LOWER($Q188)="pause","Paused",IF(LOWER($Q188)="cxc","Contractor",IF($Q188="Contractor","Contractor","Filled"))))</f>
        <v/>
      </c>
      <c r="AL188">
        <f>IF($M188="NZ","NZ","AU")</f>
        <v/>
      </c>
      <c r="AM188">
        <f>COUNTIF($AJ$2:$AJ188,$AJ188)</f>
        <v/>
      </c>
      <c r="AN188">
        <f>$AJ188&amp;"|"&amp;$AM188</f>
        <v/>
      </c>
      <c r="AO188" t="inlineStr">
        <is>
          <t>Leadership</t>
        </is>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f>IFERROR(INDEX(Lists!$U$1:$U$18,MATCH($I189,Lists!$T$1:$T$18,0)),"?")</f>
        <v/>
      </c>
      <c r="AK189">
        <f>IF(LOWER($Q189)="v","Vacant",IF(LOWER($Q189)="pause","Paused",IF(LOWER($Q189)="cxc","Contractor",IF($Q189="Contractor","Contractor","Filled"))))</f>
        <v/>
      </c>
      <c r="AL189">
        <f>IF($M189="NZ","NZ","AU")</f>
        <v/>
      </c>
      <c r="AM189">
        <f>COUNTIF($AJ$2:$AJ189,$AJ189)</f>
        <v/>
      </c>
      <c r="AN189">
        <f>$AJ189&amp;"|"&amp;$AM189</f>
        <v/>
      </c>
      <c r="AO189" t="inlineStr">
        <is>
          <t>Leadership</t>
        </is>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f>IFERROR(INDEX(Lists!$U$1:$U$18,MATCH($I190,Lists!$T$1:$T$18,0)),"?")</f>
        <v/>
      </c>
      <c r="AK190">
        <f>IF(LOWER($Q190)="v","Vacant",IF(LOWER($Q190)="pause","Paused",IF(LOWER($Q190)="cxc","Contractor",IF($Q190="Contractor","Contractor","Filled"))))</f>
        <v/>
      </c>
      <c r="AL190">
        <f>IF($M190="NZ","NZ","AU")</f>
        <v/>
      </c>
      <c r="AM190">
        <f>COUNTIF($AJ$2:$AJ190,$AJ190)</f>
        <v/>
      </c>
      <c r="AN190">
        <f>$AJ190&amp;"|"&amp;$AM190</f>
        <v/>
      </c>
      <c r="AO190" t="inlineStr">
        <is>
          <t>EGI Customer</t>
        </is>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f>IFERROR(INDEX(Lists!$U$1:$U$18,MATCH($I191,Lists!$T$1:$T$18,0)),"?")</f>
        <v/>
      </c>
      <c r="AK191">
        <f>IF(LOWER($Q191)="v","Vacant",IF(LOWER($Q191)="pause","Paused",IF(LOWER($Q191)="cxc","Contractor",IF($Q191="Contractor","Contractor","Filled"))))</f>
        <v/>
      </c>
      <c r="AL191">
        <f>IF($M191="NZ","NZ","AU")</f>
        <v/>
      </c>
      <c r="AM191">
        <f>COUNTIF($AJ$2:$AJ191,$AJ191)</f>
        <v/>
      </c>
      <c r="AN191">
        <f>$AJ191&amp;"|"&amp;$AM191</f>
        <v/>
      </c>
      <c r="AO191" t="inlineStr">
        <is>
          <t>Z Energy Martech</t>
        </is>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f>IFERROR(INDEX(Lists!$U$1:$U$18,MATCH($I192,Lists!$T$1:$T$18,0)),"?")</f>
        <v/>
      </c>
      <c r="AK192">
        <f>IF(LOWER($Q192)="v","Vacant",IF(LOWER($Q192)="pause","Paused",IF(LOWER($Q192)="cxc","Contractor",IF($Q192="Contractor","Contractor","Filled"))))</f>
        <v/>
      </c>
      <c r="AL192">
        <f>IF($M192="NZ","NZ","AU")</f>
        <v/>
      </c>
      <c r="AM192">
        <f>COUNTIF($AJ$2:$AJ192,$AJ192)</f>
        <v/>
      </c>
      <c r="AN192">
        <f>$AJ192&amp;"|"&amp;$AM192</f>
        <v/>
      </c>
      <c r="AO192" t="inlineStr">
        <is>
          <t>Ampol Web</t>
        </is>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f>IFERROR(INDEX(Lists!$U$1:$U$18,MATCH($I193,Lists!$T$1:$T$18,0)),"?")</f>
        <v/>
      </c>
      <c r="AK193">
        <f>IF(LOWER($Q193)="v","Vacant",IF(LOWER($Q193)="pause","Paused",IF(LOWER($Q193)="cxc","Contractor",IF($Q193="Contractor","Contractor","Filled"))))</f>
        <v/>
      </c>
      <c r="AL193">
        <f>IF($M193="NZ","NZ","AU")</f>
        <v/>
      </c>
      <c r="AM193">
        <f>COUNTIF($AJ$2:$AJ193,$AJ193)</f>
        <v/>
      </c>
      <c r="AN193">
        <f>$AJ193&amp;"|"&amp;$AM193</f>
        <v/>
      </c>
      <c r="AO193" t="inlineStr">
        <is>
          <t>(all roles)</t>
        </is>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f>IFERROR(INDEX(Lists!$U$1:$U$18,MATCH($I194,Lists!$T$1:$T$18,0)),"?")</f>
        <v/>
      </c>
      <c r="AK194">
        <f>IF(LOWER($Q194)="v","Vacant",IF(LOWER($Q194)="pause","Paused",IF(LOWER($Q194)="cxc","Contractor",IF($Q194="Contractor","Contractor","Filled"))))</f>
        <v/>
      </c>
      <c r="AL194">
        <f>IF($M194="NZ","NZ","AU")</f>
        <v/>
      </c>
      <c r="AM194">
        <f>COUNTIF($AJ$2:$AJ194,$AJ194)</f>
        <v/>
      </c>
      <c r="AN194">
        <f>$AJ194&amp;"|"&amp;$AM194</f>
        <v/>
      </c>
      <c r="AO194" t="inlineStr">
        <is>
          <t>(all roles)</t>
        </is>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f>IFERROR(INDEX(Lists!$U$1:$U$18,MATCH($I195,Lists!$T$1:$T$18,0)),"?")</f>
        <v/>
      </c>
      <c r="AK195">
        <f>IF(LOWER($Q195)="v","Vacant",IF(LOWER($Q195)="pause","Paused",IF(LOWER($Q195)="cxc","Contractor",IF($Q195="Contractor","Contractor","Filled"))))</f>
        <v/>
      </c>
      <c r="AL195">
        <f>IF($M195="NZ","NZ","AU")</f>
        <v/>
      </c>
      <c r="AM195">
        <f>COUNTIF($AJ$2:$AJ195,$AJ195)</f>
        <v/>
      </c>
      <c r="AN195">
        <f>$AJ195&amp;"|"&amp;$AM195</f>
        <v/>
      </c>
      <c r="AO195" t="inlineStr">
        <is>
          <t>(all roles)</t>
        </is>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f>IFERROR(INDEX(Lists!$U$1:$U$18,MATCH($I196,Lists!$T$1:$T$18,0)),"?")</f>
        <v/>
      </c>
      <c r="AK196">
        <f>IF(LOWER($Q196)="v","Vacant",IF(LOWER($Q196)="pause","Paused",IF(LOWER($Q196)="cxc","Contractor",IF($Q196="Contractor","Contractor","Filled"))))</f>
        <v/>
      </c>
      <c r="AL196">
        <f>IF($M196="NZ","NZ","AU")</f>
        <v/>
      </c>
      <c r="AM196">
        <f>COUNTIF($AJ$2:$AJ196,$AJ196)</f>
        <v/>
      </c>
      <c r="AN196">
        <f>$AJ196&amp;"|"&amp;$AM196</f>
        <v/>
      </c>
      <c r="AO196" t="inlineStr">
        <is>
          <t>(all roles)</t>
        </is>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f>IFERROR(INDEX(Lists!$U$1:$U$18,MATCH($I197,Lists!$T$1:$T$18,0)),"?")</f>
        <v/>
      </c>
      <c r="AK197">
        <f>IF(LOWER($Q197)="v","Vacant",IF(LOWER($Q197)="pause","Paused",IF(LOWER($Q197)="cxc","Contractor",IF($Q197="Contractor","Contractor","Filled"))))</f>
        <v/>
      </c>
      <c r="AL197">
        <f>IF($M197="NZ","NZ","AU")</f>
        <v/>
      </c>
      <c r="AM197">
        <f>COUNTIF($AJ$2:$AJ197,$AJ197)</f>
        <v/>
      </c>
      <c r="AN197">
        <f>$AJ197&amp;"|"&amp;$AM197</f>
        <v/>
      </c>
      <c r="AO197" t="inlineStr">
        <is>
          <t>(all roles)</t>
        </is>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f>IFERROR(INDEX(Lists!$U$1:$U$18,MATCH($I198,Lists!$T$1:$T$18,0)),"?")</f>
        <v/>
      </c>
      <c r="AK198">
        <f>IF(LOWER($Q198)="v","Vacant",IF(LOWER($Q198)="pause","Paused",IF(LOWER($Q198)="cxc","Contractor",IF($Q198="Contractor","Contractor","Filled"))))</f>
        <v/>
      </c>
      <c r="AL198">
        <f>IF($M198="NZ","NZ","AU")</f>
        <v/>
      </c>
      <c r="AM198">
        <f>COUNTIF($AJ$2:$AJ198,$AJ198)</f>
        <v/>
      </c>
      <c r="AN198">
        <f>$AJ198&amp;"|"&amp;$AM198</f>
        <v/>
      </c>
      <c r="AO198" t="inlineStr">
        <is>
          <t>(all roles)</t>
        </is>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f>IFERROR(INDEX(Lists!$U$1:$U$18,MATCH($I199,Lists!$T$1:$T$18,0)),"?")</f>
        <v/>
      </c>
      <c r="AK199">
        <f>IF(LOWER($Q199)="v","Vacant",IF(LOWER($Q199)="pause","Paused",IF(LOWER($Q199)="cxc","Contractor",IF($Q199="Contractor","Contractor","Filled"))))</f>
        <v/>
      </c>
      <c r="AL199">
        <f>IF($M199="NZ","NZ","AU")</f>
        <v/>
      </c>
      <c r="AM199">
        <f>COUNTIF($AJ$2:$AJ199,$AJ199)</f>
        <v/>
      </c>
      <c r="AN199">
        <f>$AJ199&amp;"|"&amp;$AM199</f>
        <v/>
      </c>
      <c r="AO199" t="inlineStr">
        <is>
          <t>(all roles)</t>
        </is>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f>IFERROR(INDEX(Lists!$U$1:$U$18,MATCH($I200,Lists!$T$1:$T$18,0)),"?")</f>
        <v/>
      </c>
      <c r="AK200">
        <f>IF(LOWER($Q200)="v","Vacant",IF(LOWER($Q200)="pause","Paused",IF(LOWER($Q200)="cxc","Contractor",IF($Q200="Contractor","Contractor","Filled"))))</f>
        <v/>
      </c>
      <c r="AL200">
        <f>IF($M200="NZ","NZ","AU")</f>
        <v/>
      </c>
      <c r="AM200">
        <f>COUNTIF($AJ$2:$AJ200,$AJ200)</f>
        <v/>
      </c>
      <c r="AN200">
        <f>$AJ200&amp;"|"&amp;$AM200</f>
        <v/>
      </c>
      <c r="AO200" t="inlineStr">
        <is>
          <t>(all roles)</t>
        </is>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f>IFERROR(INDEX(Lists!$U$1:$U$18,MATCH($I201,Lists!$T$1:$T$18,0)),"?")</f>
        <v/>
      </c>
      <c r="AK201">
        <f>IF(LOWER($Q201)="v","Vacant",IF(LOWER($Q201)="pause","Paused",IF(LOWER($Q201)="cxc","Contractor",IF($Q201="Contractor","Contractor","Filled"))))</f>
        <v/>
      </c>
      <c r="AL201">
        <f>IF($M201="NZ","NZ","AU")</f>
        <v/>
      </c>
      <c r="AM201">
        <f>COUNTIF($AJ$2:$AJ201,$AJ201)</f>
        <v/>
      </c>
      <c r="AN201">
        <f>$AJ201&amp;"|"&amp;$AM201</f>
        <v/>
      </c>
      <c r="AO201" t="inlineStr">
        <is>
          <t>(all roles)</t>
        </is>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f>IFERROR(INDEX(Lists!$U$1:$U$18,MATCH($I202,Lists!$T$1:$T$18,0)),"?")</f>
        <v/>
      </c>
      <c r="AK202">
        <f>IF(LOWER($Q202)="v","Vacant",IF(LOWER($Q202)="pause","Paused",IF(LOWER($Q202)="cxc","Contractor",IF($Q202="Contractor","Contractor","Filled"))))</f>
        <v/>
      </c>
      <c r="AL202">
        <f>IF($M202="NZ","NZ","AU")</f>
        <v/>
      </c>
      <c r="AM202">
        <f>COUNTIF($AJ$2:$AJ202,$AJ202)</f>
        <v/>
      </c>
      <c r="AN202">
        <f>$AJ202&amp;"|"&amp;$AM202</f>
        <v/>
      </c>
      <c r="AO202" t="inlineStr">
        <is>
          <t>(all roles)</t>
        </is>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f>IFERROR(INDEX(Lists!$U$1:$U$18,MATCH($I203,Lists!$T$1:$T$18,0)),"?")</f>
        <v/>
      </c>
      <c r="AK203">
        <f>IF(LOWER($Q203)="v","Vacant",IF(LOWER($Q203)="pause","Paused",IF(LOWER($Q203)="cxc","Contractor",IF($Q203="Contractor","Contractor","Filled"))))</f>
        <v/>
      </c>
      <c r="AL203">
        <f>IF($M203="NZ","NZ","AU")</f>
        <v/>
      </c>
      <c r="AM203">
        <f>COUNTIF($AJ$2:$AJ203,$AJ203)</f>
        <v/>
      </c>
      <c r="AN203">
        <f>$AJ203&amp;"|"&amp;$AM203</f>
        <v/>
      </c>
      <c r="AO203" t="inlineStr">
        <is>
          <t>(all roles)</t>
        </is>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f>IFERROR(INDEX(Lists!$U$1:$U$18,MATCH($I204,Lists!$T$1:$T$18,0)),"?")</f>
        <v/>
      </c>
      <c r="AK204">
        <f>IF(LOWER($Q204)="v","Vacant",IF(LOWER($Q204)="pause","Paused",IF(LOWER($Q204)="cxc","Contractor",IF($Q204="Contractor","Contractor","Filled"))))</f>
        <v/>
      </c>
      <c r="AL204">
        <f>IF($M204="NZ","NZ","AU")</f>
        <v/>
      </c>
      <c r="AM204">
        <f>COUNTIF($AJ$2:$AJ204,$AJ204)</f>
        <v/>
      </c>
      <c r="AN204">
        <f>$AJ204&amp;"|"&amp;$AM204</f>
        <v/>
      </c>
      <c r="AO204" t="inlineStr">
        <is>
          <t>(all roles)</t>
        </is>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f>IFERROR(INDEX(Lists!$U$1:$U$18,MATCH($I205,Lists!$T$1:$T$18,0)),"?")</f>
        <v/>
      </c>
      <c r="AK205">
        <f>IF(LOWER($Q205)="v","Vacant",IF(LOWER($Q205)="pause","Paused",IF(LOWER($Q205)="cxc","Contractor",IF($Q205="Contractor","Contractor","Filled"))))</f>
        <v/>
      </c>
      <c r="AL205">
        <f>IF($M205="NZ","NZ","AU")</f>
        <v/>
      </c>
      <c r="AM205">
        <f>COUNTIF($AJ$2:$AJ205,$AJ205)</f>
        <v/>
      </c>
      <c r="AN205">
        <f>$AJ205&amp;"|"&amp;$AM205</f>
        <v/>
      </c>
      <c r="AO205" t="inlineStr">
        <is>
          <t>(all roles)</t>
        </is>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f>IFERROR(INDEX(Lists!$U$1:$U$18,MATCH($I206,Lists!$T$1:$T$18,0)),"?")</f>
        <v/>
      </c>
      <c r="AK206">
        <f>IF(LOWER($Q206)="v","Vacant",IF(LOWER($Q206)="pause","Paused",IF(LOWER($Q206)="cxc","Contractor",IF($Q206="Contractor","Contractor","Filled"))))</f>
        <v/>
      </c>
      <c r="AL206">
        <f>IF($M206="NZ","NZ","AU")</f>
        <v/>
      </c>
      <c r="AM206">
        <f>COUNTIF($AJ$2:$AJ206,$AJ206)</f>
        <v/>
      </c>
      <c r="AN206">
        <f>$AJ206&amp;"|"&amp;$AM206</f>
        <v/>
      </c>
      <c r="AO206" t="inlineStr">
        <is>
          <t>(all roles)</t>
        </is>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f>IFERROR(INDEX(Lists!$U$1:$U$18,MATCH($I207,Lists!$T$1:$T$18,0)),"?")</f>
        <v/>
      </c>
      <c r="AK207">
        <f>IF(LOWER($Q207)="v","Vacant",IF(LOWER($Q207)="pause","Paused",IF(LOWER($Q207)="cxc","Contractor",IF($Q207="Contractor","Contractor","Filled"))))</f>
        <v/>
      </c>
      <c r="AL207">
        <f>IF($M207="NZ","NZ","AU")</f>
        <v/>
      </c>
      <c r="AM207">
        <f>COUNTIF($AJ$2:$AJ207,$AJ207)</f>
        <v/>
      </c>
      <c r="AN207">
        <f>$AJ207&amp;"|"&amp;$AM207</f>
        <v/>
      </c>
      <c r="AO207" t="inlineStr">
        <is>
          <t>(all roles)</t>
        </is>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f>IFERROR(INDEX(Lists!$U$1:$U$18,MATCH($I208,Lists!$T$1:$T$18,0)),"?")</f>
        <v/>
      </c>
      <c r="AK208">
        <f>IF(LOWER($Q208)="v","Vacant",IF(LOWER($Q208)="pause","Paused",IF(LOWER($Q208)="cxc","Contractor",IF($Q208="Contractor","Contractor","Filled"))))</f>
        <v/>
      </c>
      <c r="AL208">
        <f>IF($M208="NZ","NZ","AU")</f>
        <v/>
      </c>
      <c r="AM208">
        <f>COUNTIF($AJ$2:$AJ208,$AJ208)</f>
        <v/>
      </c>
      <c r="AN208">
        <f>$AJ208&amp;"|"&amp;$AM208</f>
        <v/>
      </c>
      <c r="AO208" t="inlineStr">
        <is>
          <t>(all roles)</t>
        </is>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f>IFERROR(INDEX(Lists!$U$1:$U$18,MATCH($I209,Lists!$T$1:$T$18,0)),"?")</f>
        <v/>
      </c>
      <c r="AK209">
        <f>IF(LOWER($Q209)="v","Vacant",IF(LOWER($Q209)="pause","Paused",IF(LOWER($Q209)="cxc","Contractor",IF($Q209="Contractor","Contractor","Filled"))))</f>
        <v/>
      </c>
      <c r="AL209">
        <f>IF($M209="NZ","NZ","AU")</f>
        <v/>
      </c>
      <c r="AM209">
        <f>COUNTIF($AJ$2:$AJ209,$AJ209)</f>
        <v/>
      </c>
      <c r="AN209">
        <f>$AJ209&amp;"|"&amp;$AM209</f>
        <v/>
      </c>
      <c r="AO209" t="inlineStr">
        <is>
          <t>(all roles)</t>
        </is>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f>IFERROR(INDEX(Lists!$U$1:$U$18,MATCH($I210,Lists!$T$1:$T$18,0)),"?")</f>
        <v/>
      </c>
      <c r="AK210">
        <f>IF(LOWER($Q210)="v","Vacant",IF(LOWER($Q210)="pause","Paused",IF(LOWER($Q210)="cxc","Contractor",IF($Q210="Contractor","Contractor","Filled"))))</f>
        <v/>
      </c>
      <c r="AL210">
        <f>IF($M210="NZ","NZ","AU")</f>
        <v/>
      </c>
      <c r="AM210">
        <f>COUNTIF($AJ$2:$AJ210,$AJ210)</f>
        <v/>
      </c>
      <c r="AN210">
        <f>$AJ210&amp;"|"&amp;$AM210</f>
        <v/>
      </c>
      <c r="AO210" t="inlineStr">
        <is>
          <t>(all roles)</t>
        </is>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f>IFERROR(INDEX(Lists!$U$1:$U$18,MATCH($I211,Lists!$T$1:$T$18,0)),"?")</f>
        <v/>
      </c>
      <c r="AK211">
        <f>IF(LOWER($Q211)="v","Vacant",IF(LOWER($Q211)="pause","Paused",IF(LOWER($Q211)="cxc","Contractor",IF($Q211="Contractor","Contractor","Filled"))))</f>
        <v/>
      </c>
      <c r="AL211">
        <f>IF($M211="NZ","NZ","AU")</f>
        <v/>
      </c>
      <c r="AM211">
        <f>COUNTIF($AJ$2:$AJ211,$AJ211)</f>
        <v/>
      </c>
      <c r="AN211">
        <f>$AJ211&amp;"|"&amp;$AM211</f>
        <v/>
      </c>
      <c r="AO211" t="inlineStr">
        <is>
          <t>(all roles)</t>
        </is>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f>IFERROR(INDEX(Lists!$U$1:$U$18,MATCH($I212,Lists!$T$1:$T$18,0)),"?")</f>
        <v/>
      </c>
      <c r="AK212">
        <f>IF(LOWER($Q212)="v","Vacant",IF(LOWER($Q212)="pause","Paused",IF(LOWER($Q212)="cxc","Contractor",IF($Q212="Contractor","Contractor","Filled"))))</f>
        <v/>
      </c>
      <c r="AL212">
        <f>IF($M212="NZ","NZ","AU")</f>
        <v/>
      </c>
      <c r="AM212">
        <f>COUNTIF($AJ$2:$AJ212,$AJ212)</f>
        <v/>
      </c>
      <c r="AN212">
        <f>$AJ212&amp;"|"&amp;$AM212</f>
        <v/>
      </c>
      <c r="AO212" t="inlineStr">
        <is>
          <t>(all roles)</t>
        </is>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f>IFERROR(INDEX(Lists!$U$1:$U$18,MATCH($I213,Lists!$T$1:$T$18,0)),"?")</f>
        <v/>
      </c>
      <c r="AK213">
        <f>IF(LOWER($Q213)="v","Vacant",IF(LOWER($Q213)="pause","Paused",IF(LOWER($Q213)="cxc","Contractor",IF($Q213="Contractor","Contractor","Filled"))))</f>
        <v/>
      </c>
      <c r="AL213">
        <f>IF($M213="NZ","NZ","AU")</f>
        <v/>
      </c>
      <c r="AM213">
        <f>COUNTIF($AJ$2:$AJ213,$AJ213)</f>
        <v/>
      </c>
      <c r="AN213">
        <f>$AJ213&amp;"|"&amp;$AM213</f>
        <v/>
      </c>
      <c r="AO213" t="inlineStr">
        <is>
          <t>(all roles)</t>
        </is>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f>IFERROR(INDEX(Lists!$U$1:$U$18,MATCH($I214,Lists!$T$1:$T$18,0)),"?")</f>
        <v/>
      </c>
      <c r="AK214">
        <f>IF(LOWER($Q214)="v","Vacant",IF(LOWER($Q214)="pause","Paused",IF(LOWER($Q214)="cxc","Contractor",IF($Q214="Contractor","Contractor","Filled"))))</f>
        <v/>
      </c>
      <c r="AL214">
        <f>IF($M214="NZ","NZ","AU")</f>
        <v/>
      </c>
      <c r="AM214">
        <f>COUNTIF($AJ$2:$AJ214,$AJ214)</f>
        <v/>
      </c>
      <c r="AN214">
        <f>$AJ214&amp;"|"&amp;$AM214</f>
        <v/>
      </c>
      <c r="AO214" t="inlineStr">
        <is>
          <t>(all roles)</t>
        </is>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f>IFERROR(INDEX(Lists!$U$1:$U$18,MATCH($I215,Lists!$T$1:$T$18,0)),"?")</f>
        <v/>
      </c>
      <c r="AK215">
        <f>IF(LOWER($Q215)="v","Vacant",IF(LOWER($Q215)="pause","Paused",IF(LOWER($Q215)="cxc","Contractor",IF($Q215="Contractor","Contractor","Filled"))))</f>
        <v/>
      </c>
      <c r="AL215">
        <f>IF($M215="NZ","NZ","AU")</f>
        <v/>
      </c>
      <c r="AM215">
        <f>COUNTIF($AJ$2:$AJ215,$AJ215)</f>
        <v/>
      </c>
      <c r="AN215">
        <f>$AJ215&amp;"|"&amp;$AM215</f>
        <v/>
      </c>
      <c r="AO215" t="inlineStr">
        <is>
          <t>(all roles)</t>
        </is>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f>IFERROR(INDEX(Lists!$U$1:$U$18,MATCH($I216,Lists!$T$1:$T$18,0)),"?")</f>
        <v/>
      </c>
      <c r="AK216">
        <f>IF(LOWER($Q216)="v","Vacant",IF(LOWER($Q216)="pause","Paused",IF(LOWER($Q216)="cxc","Contractor",IF($Q216="Contractor","Contractor","Filled"))))</f>
        <v/>
      </c>
      <c r="AL216">
        <f>IF($M216="NZ","NZ","AU")</f>
        <v/>
      </c>
      <c r="AM216">
        <f>COUNTIF($AJ$2:$AJ216,$AJ216)</f>
        <v/>
      </c>
      <c r="AN216">
        <f>$AJ216&amp;"|"&amp;$AM216</f>
        <v/>
      </c>
      <c r="AO216" t="inlineStr">
        <is>
          <t>(all roles)</t>
        </is>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f>IFERROR(INDEX(Lists!$U$1:$U$18,MATCH($I217,Lists!$T$1:$T$18,0)),"?")</f>
        <v/>
      </c>
      <c r="AK217">
        <f>IF(LOWER($Q217)="v","Vacant",IF(LOWER($Q217)="pause","Paused",IF(LOWER($Q217)="cxc","Contractor",IF($Q217="Contractor","Contractor","Filled"))))</f>
        <v/>
      </c>
      <c r="AL217">
        <f>IF($M217="NZ","NZ","AU")</f>
        <v/>
      </c>
      <c r="AM217">
        <f>COUNTIF($AJ$2:$AJ217,$AJ217)</f>
        <v/>
      </c>
      <c r="AN217">
        <f>$AJ217&amp;"|"&amp;$AM217</f>
        <v/>
      </c>
      <c r="AO217" t="inlineStr">
        <is>
          <t>(all roles)</t>
        </is>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f>IFERROR(INDEX(Lists!$U$1:$U$18,MATCH($I218,Lists!$T$1:$T$18,0)),"?")</f>
        <v/>
      </c>
      <c r="AK218">
        <f>IF(LOWER($Q218)="v","Vacant",IF(LOWER($Q218)="pause","Paused",IF(LOWER($Q218)="cxc","Contractor",IF($Q218="Contractor","Contractor","Filled"))))</f>
        <v/>
      </c>
      <c r="AL218">
        <f>IF($M218="NZ","NZ","AU")</f>
        <v/>
      </c>
      <c r="AM218">
        <f>COUNTIF($AJ$2:$AJ218,$AJ218)</f>
        <v/>
      </c>
      <c r="AN218">
        <f>$AJ218&amp;"|"&amp;$AM218</f>
        <v/>
      </c>
      <c r="AO218" t="inlineStr">
        <is>
          <t>(all roles)</t>
        </is>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f>IFERROR(INDEX(Lists!$U$1:$U$18,MATCH($I219,Lists!$T$1:$T$18,0)),"?")</f>
        <v/>
      </c>
      <c r="AK219">
        <f>IF(LOWER($Q219)="v","Vacant",IF(LOWER($Q219)="pause","Paused",IF(LOWER($Q219)="cxc","Contractor",IF($Q219="Contractor","Contractor","Filled"))))</f>
        <v/>
      </c>
      <c r="AL219">
        <f>IF($M219="NZ","NZ","AU")</f>
        <v/>
      </c>
      <c r="AM219">
        <f>COUNTIF($AJ$2:$AJ219,$AJ219)</f>
        <v/>
      </c>
      <c r="AN219">
        <f>$AJ219&amp;"|"&amp;$AM219</f>
        <v/>
      </c>
      <c r="AO219" t="inlineStr">
        <is>
          <t>(all roles)</t>
        </is>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f>IFERROR(INDEX(Lists!$U$1:$U$18,MATCH($I220,Lists!$T$1:$T$18,0)),"?")</f>
        <v/>
      </c>
      <c r="AK220">
        <f>IF(LOWER($Q220)="v","Vacant",IF(LOWER($Q220)="pause","Paused",IF(LOWER($Q220)="cxc","Contractor",IF($Q220="Contractor","Contractor","Filled"))))</f>
        <v/>
      </c>
      <c r="AL220">
        <f>IF($M220="NZ","NZ","AU")</f>
        <v/>
      </c>
      <c r="AM220">
        <f>COUNTIF($AJ$2:$AJ220,$AJ220)</f>
        <v/>
      </c>
      <c r="AN220">
        <f>$AJ220&amp;"|"&amp;$AM220</f>
        <v/>
      </c>
      <c r="AO220" t="inlineStr">
        <is>
          <t>(all roles)</t>
        </is>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f>IFERROR(INDEX(Lists!$U$1:$U$18,MATCH($I221,Lists!$T$1:$T$18,0)),"?")</f>
        <v/>
      </c>
      <c r="AK221">
        <f>IF(LOWER($Q221)="v","Vacant",IF(LOWER($Q221)="pause","Paused",IF(LOWER($Q221)="cxc","Contractor",IF($Q221="Contractor","Contractor","Filled"))))</f>
        <v/>
      </c>
      <c r="AL221">
        <f>IF($M221="NZ","NZ","AU")</f>
        <v/>
      </c>
      <c r="AM221">
        <f>COUNTIF($AJ$2:$AJ221,$AJ221)</f>
        <v/>
      </c>
      <c r="AN221">
        <f>$AJ221&amp;"|"&amp;$AM221</f>
        <v/>
      </c>
      <c r="AO221" t="inlineStr">
        <is>
          <t>(all roles)</t>
        </is>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f>IFERROR(INDEX(Lists!$U$1:$U$18,MATCH($I222,Lists!$T$1:$T$18,0)),"?")</f>
        <v/>
      </c>
      <c r="AK222">
        <f>IF(LOWER($Q222)="v","Vacant",IF(LOWER($Q222)="pause","Paused",IF(LOWER($Q222)="cxc","Contractor",IF($Q222="Contractor","Contractor","Filled"))))</f>
        <v/>
      </c>
      <c r="AL222">
        <f>IF($M222="NZ","NZ","AU")</f>
        <v/>
      </c>
      <c r="AM222">
        <f>COUNTIF($AJ$2:$AJ222,$AJ222)</f>
        <v/>
      </c>
      <c r="AN222">
        <f>$AJ222&amp;"|"&amp;$AM222</f>
        <v/>
      </c>
      <c r="AO222" t="inlineStr">
        <is>
          <t>(all roles)</t>
        </is>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f>IFERROR(INDEX(Lists!$U$1:$U$18,MATCH($I223,Lists!$T$1:$T$18,0)),"?")</f>
        <v/>
      </c>
      <c r="AK223">
        <f>IF(LOWER($Q223)="v","Vacant",IF(LOWER($Q223)="pause","Paused",IF(LOWER($Q223)="cxc","Contractor",IF($Q223="Contractor","Contractor","Filled"))))</f>
        <v/>
      </c>
      <c r="AL223">
        <f>IF($M223="NZ","NZ","AU")</f>
        <v/>
      </c>
      <c r="AM223">
        <f>COUNTIF($AJ$2:$AJ223,$AJ223)</f>
        <v/>
      </c>
      <c r="AN223">
        <f>$AJ223&amp;"|"&amp;$AM223</f>
        <v/>
      </c>
      <c r="AO223" t="inlineStr">
        <is>
          <t>(all roles)</t>
        </is>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f>IFERROR(INDEX(Lists!$U$1:$U$18,MATCH($I224,Lists!$T$1:$T$18,0)),"?")</f>
        <v/>
      </c>
      <c r="AK224">
        <f>IF(LOWER($Q224)="v","Vacant",IF(LOWER($Q224)="pause","Paused",IF(LOWER($Q224)="cxc","Contractor",IF($Q224="Contractor","Contractor","Filled"))))</f>
        <v/>
      </c>
      <c r="AL224">
        <f>IF($M224="NZ","NZ","AU")</f>
        <v/>
      </c>
      <c r="AM224">
        <f>COUNTIF($AJ$2:$AJ224,$AJ224)</f>
        <v/>
      </c>
      <c r="AN224">
        <f>$AJ224&amp;"|"&amp;$AM224</f>
        <v/>
      </c>
      <c r="AO224" t="inlineStr">
        <is>
          <t>(all roles)</t>
        </is>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f>IFERROR(INDEX(Lists!$U$1:$U$18,MATCH($I225,Lists!$T$1:$T$18,0)),"?")</f>
        <v/>
      </c>
      <c r="AK225">
        <f>IF(LOWER($Q225)="v","Vacant",IF(LOWER($Q225)="pause","Paused",IF(LOWER($Q225)="cxc","Contractor",IF($Q225="Contractor","Contractor","Filled"))))</f>
        <v/>
      </c>
      <c r="AL225">
        <f>IF($M225="NZ","NZ","AU")</f>
        <v/>
      </c>
      <c r="AM225">
        <f>COUNTIF($AJ$2:$AJ225,$AJ225)</f>
        <v/>
      </c>
      <c r="AN225">
        <f>$AJ225&amp;"|"&amp;$AM225</f>
        <v/>
      </c>
      <c r="AO225" t="inlineStr">
        <is>
          <t>(all roles)</t>
        </is>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f>IFERROR(INDEX(Lists!$U$1:$U$18,MATCH($I226,Lists!$T$1:$T$18,0)),"?")</f>
        <v/>
      </c>
      <c r="AK226">
        <f>IF(LOWER($Q226)="v","Vacant",IF(LOWER($Q226)="pause","Paused",IF(LOWER($Q226)="cxc","Contractor",IF($Q226="Contractor","Contractor","Filled"))))</f>
        <v/>
      </c>
      <c r="AL226">
        <f>IF($M226="NZ","NZ","AU")</f>
        <v/>
      </c>
      <c r="AM226">
        <f>COUNTIF($AJ$2:$AJ226,$AJ226)</f>
        <v/>
      </c>
      <c r="AN226">
        <f>$AJ226&amp;"|"&amp;$AM226</f>
        <v/>
      </c>
      <c r="AO226" t="inlineStr">
        <is>
          <t>(all roles)</t>
        </is>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f>IFERROR(INDEX(Lists!$U$1:$U$18,MATCH($I227,Lists!$T$1:$T$18,0)),"?")</f>
        <v/>
      </c>
      <c r="AK227">
        <f>IF(LOWER($Q227)="v","Vacant",IF(LOWER($Q227)="pause","Paused",IF(LOWER($Q227)="cxc","Contractor",IF($Q227="Contractor","Contractor","Filled"))))</f>
        <v/>
      </c>
      <c r="AL227">
        <f>IF($M227="NZ","NZ","AU")</f>
        <v/>
      </c>
      <c r="AM227">
        <f>COUNTIF($AJ$2:$AJ227,$AJ227)</f>
        <v/>
      </c>
      <c r="AN227">
        <f>$AJ227&amp;"|"&amp;$AM227</f>
        <v/>
      </c>
      <c r="AO227" t="inlineStr">
        <is>
          <t>(all roles)</t>
        </is>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f>IFERROR(INDEX(Lists!$U$1:$U$18,MATCH($I228,Lists!$T$1:$T$18,0)),"?")</f>
        <v/>
      </c>
      <c r="AK228">
        <f>IF(LOWER($Q228)="v","Vacant",IF(LOWER($Q228)="pause","Paused",IF(LOWER($Q228)="cxc","Contractor",IF($Q228="Contractor","Contractor","Filled"))))</f>
        <v/>
      </c>
      <c r="AL228">
        <f>IF($M228="NZ","NZ","AU")</f>
        <v/>
      </c>
      <c r="AM228">
        <f>COUNTIF($AJ$2:$AJ228,$AJ228)</f>
        <v/>
      </c>
      <c r="AN228">
        <f>$AJ228&amp;"|"&amp;$AM228</f>
        <v/>
      </c>
      <c r="AO228" t="inlineStr">
        <is>
          <t>(all roles)</t>
        </is>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f>IFERROR(INDEX(Lists!$U$1:$U$18,MATCH($I229,Lists!$T$1:$T$18,0)),"?")</f>
        <v/>
      </c>
      <c r="AK229">
        <f>IF(LOWER($Q229)="v","Vacant",IF(LOWER($Q229)="pause","Paused",IF(LOWER($Q229)="cxc","Contractor",IF($Q229="Contractor","Contractor","Filled"))))</f>
        <v/>
      </c>
      <c r="AL229">
        <f>IF($M229="NZ","NZ","AU")</f>
        <v/>
      </c>
      <c r="AM229">
        <f>COUNTIF($AJ$2:$AJ229,$AJ229)</f>
        <v/>
      </c>
      <c r="AN229">
        <f>$AJ229&amp;"|"&amp;$AM229</f>
        <v/>
      </c>
      <c r="AO229" t="inlineStr">
        <is>
          <t>(all roles)</t>
        </is>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f>IFERROR(INDEX(Lists!$U$1:$U$18,MATCH($I230,Lists!$T$1:$T$18,0)),"?")</f>
        <v/>
      </c>
      <c r="AK230">
        <f>IF(LOWER($Q230)="v","Vacant",IF(LOWER($Q230)="pause","Paused",IF(LOWER($Q230)="cxc","Contractor",IF($Q230="Contractor","Contractor","Filled"))))</f>
        <v/>
      </c>
      <c r="AL230">
        <f>IF($M230="NZ","NZ","AU")</f>
        <v/>
      </c>
      <c r="AM230">
        <f>COUNTIF($AJ$2:$AJ230,$AJ230)</f>
        <v/>
      </c>
      <c r="AN230">
        <f>$AJ230&amp;"|"&amp;$AM230</f>
        <v/>
      </c>
      <c r="AO230" t="inlineStr">
        <is>
          <t>(all roles)</t>
        </is>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f>IFERROR(INDEX(Lists!$U$1:$U$18,MATCH($I231,Lists!$T$1:$T$18,0)),"?")</f>
        <v/>
      </c>
      <c r="AK231">
        <f>IF(LOWER($Q231)="v","Vacant",IF(LOWER($Q231)="pause","Paused",IF(LOWER($Q231)="cxc","Contractor",IF($Q231="Contractor","Contractor","Filled"))))</f>
        <v/>
      </c>
      <c r="AL231">
        <f>IF($M231="NZ","NZ","AU")</f>
        <v/>
      </c>
      <c r="AM231">
        <f>COUNTIF($AJ$2:$AJ231,$AJ231)</f>
        <v/>
      </c>
      <c r="AN231">
        <f>$AJ231&amp;"|"&amp;$AM231</f>
        <v/>
      </c>
      <c r="AO231" t="inlineStr">
        <is>
          <t>(all roles)</t>
        </is>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f>IFERROR(INDEX(Lists!$U$1:$U$18,MATCH($I232,Lists!$T$1:$T$18,0)),"?")</f>
        <v/>
      </c>
      <c r="AK232">
        <f>IF(LOWER($Q232)="v","Vacant",IF(LOWER($Q232)="pause","Paused",IF(LOWER($Q232)="cxc","Contractor",IF($Q232="Contractor","Contractor","Filled"))))</f>
        <v/>
      </c>
      <c r="AL232">
        <f>IF($M232="NZ","NZ","AU")</f>
        <v/>
      </c>
      <c r="AM232">
        <f>COUNTIF($AJ$2:$AJ232,$AJ232)</f>
        <v/>
      </c>
      <c r="AN232">
        <f>$AJ232&amp;"|"&amp;$AM232</f>
        <v/>
      </c>
      <c r="AO232" t="inlineStr">
        <is>
          <t>(all roles)</t>
        </is>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f>IFERROR(INDEX(Lists!$U$1:$U$18,MATCH($I233,Lists!$T$1:$T$18,0)),"?")</f>
        <v/>
      </c>
      <c r="AK233">
        <f>IF(LOWER($Q233)="v","Vacant",IF(LOWER($Q233)="pause","Paused",IF(LOWER($Q233)="cxc","Contractor",IF($Q233="Contractor","Contractor","Filled"))))</f>
        <v/>
      </c>
      <c r="AL233">
        <f>IF($M233="NZ","NZ","AU")</f>
        <v/>
      </c>
      <c r="AM233">
        <f>COUNTIF($AJ$2:$AJ233,$AJ233)</f>
        <v/>
      </c>
      <c r="AN233">
        <f>$AJ233&amp;"|"&amp;$AM233</f>
        <v/>
      </c>
      <c r="AO233" t="inlineStr">
        <is>
          <t>(all roles)</t>
        </is>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f>IFERROR(INDEX(Lists!$U$1:$U$18,MATCH($I234,Lists!$T$1:$T$18,0)),"?")</f>
        <v/>
      </c>
      <c r="AK234">
        <f>IF(LOWER($Q234)="v","Vacant",IF(LOWER($Q234)="pause","Paused",IF(LOWER($Q234)="cxc","Contractor",IF($Q234="Contractor","Contractor","Filled"))))</f>
        <v/>
      </c>
      <c r="AL234">
        <f>IF($M234="NZ","NZ","AU")</f>
        <v/>
      </c>
      <c r="AM234">
        <f>COUNTIF($AJ$2:$AJ234,$AJ234)</f>
        <v/>
      </c>
      <c r="AN234">
        <f>$AJ234&amp;"|"&amp;$AM234</f>
        <v/>
      </c>
      <c r="AO234" t="inlineStr">
        <is>
          <t>(all roles)</t>
        </is>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f>IFERROR(INDEX(Lists!$U$1:$U$18,MATCH($I235,Lists!$T$1:$T$18,0)),"?")</f>
        <v/>
      </c>
      <c r="AK235">
        <f>IF(LOWER($Q235)="v","Vacant",IF(LOWER($Q235)="pause","Paused",IF(LOWER($Q235)="cxc","Contractor",IF($Q235="Contractor","Contractor","Filled"))))</f>
        <v/>
      </c>
      <c r="AL235">
        <f>IF($M235="NZ","NZ","AU")</f>
        <v/>
      </c>
      <c r="AM235">
        <f>COUNTIF($AJ$2:$AJ235,$AJ235)</f>
        <v/>
      </c>
      <c r="AN235">
        <f>$AJ235&amp;"|"&amp;$AM235</f>
        <v/>
      </c>
      <c r="AO235" t="inlineStr">
        <is>
          <t>(all roles)</t>
        </is>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f>IFERROR(INDEX(Lists!$U$1:$U$18,MATCH($I236,Lists!$T$1:$T$18,0)),"?")</f>
        <v/>
      </c>
      <c r="AK236">
        <f>IF(LOWER($Q236)="v","Vacant",IF(LOWER($Q236)="pause","Paused",IF(LOWER($Q236)="cxc","Contractor",IF($Q236="Contractor","Contractor","Filled"))))</f>
        <v/>
      </c>
      <c r="AL236">
        <f>IF($M236="NZ","NZ","AU")</f>
        <v/>
      </c>
      <c r="AM236">
        <f>COUNTIF($AJ$2:$AJ236,$AJ236)</f>
        <v/>
      </c>
      <c r="AN236">
        <f>$AJ236&amp;"|"&amp;$AM236</f>
        <v/>
      </c>
      <c r="AO236" t="inlineStr">
        <is>
          <t>(all roles)</t>
        </is>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f>IFERROR(INDEX(Lists!$U$1:$U$18,MATCH($I237,Lists!$T$1:$T$18,0)),"?")</f>
        <v/>
      </c>
      <c r="AK237">
        <f>IF(LOWER($Q237)="v","Vacant",IF(LOWER($Q237)="pause","Paused",IF(LOWER($Q237)="cxc","Contractor",IF($Q237="Contractor","Contractor","Filled"))))</f>
        <v/>
      </c>
      <c r="AL237">
        <f>IF($M237="NZ","NZ","AU")</f>
        <v/>
      </c>
      <c r="AM237">
        <f>COUNTIF($AJ$2:$AJ237,$AJ237)</f>
        <v/>
      </c>
      <c r="AN237">
        <f>$AJ237&amp;"|"&amp;$AM237</f>
        <v/>
      </c>
      <c r="AO237" t="inlineStr">
        <is>
          <t>(all roles)</t>
        </is>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f>IFERROR(INDEX(Lists!$U$1:$U$18,MATCH($I238,Lists!$T$1:$T$18,0)),"?")</f>
        <v/>
      </c>
      <c r="AK238">
        <f>IF(LOWER($Q238)="v","Vacant",IF(LOWER($Q238)="pause","Paused",IF(LOWER($Q238)="cxc","Contractor",IF($Q238="Contractor","Contractor","Filled"))))</f>
        <v/>
      </c>
      <c r="AL238">
        <f>IF($M238="NZ","NZ","AU")</f>
        <v/>
      </c>
      <c r="AM238">
        <f>COUNTIF($AJ$2:$AJ238,$AJ238)</f>
        <v/>
      </c>
      <c r="AN238">
        <f>$AJ238&amp;"|"&amp;$AM238</f>
        <v/>
      </c>
      <c r="AO238" t="inlineStr">
        <is>
          <t>(all roles)</t>
        </is>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
      </c>
      <c r="AH239" s="920" t="n"/>
      <c r="AJ239">
        <f>IFERROR(INDEX(Lists!$U$1:$U$18,MATCH($I239,Lists!$T$1:$T$18,0)),"?")</f>
        <v/>
      </c>
      <c r="AK239">
        <f>IF(LOWER($Q239)="v","Vacant",IF(LOWER($Q239)="pause","Paused",IF(LOWER($Q239)="cxc","Contractor",IF($Q239="Contractor","Contractor","Filled"))))</f>
        <v/>
      </c>
      <c r="AL239">
        <f>IF($M239="NZ","NZ","AU")</f>
        <v/>
      </c>
      <c r="AM239">
        <f>COUNTIF($AJ$2:$AJ239,$AJ239)</f>
        <v/>
      </c>
      <c r="AN239">
        <f>$AJ239&amp;"|"&amp;$AM239</f>
        <v/>
      </c>
      <c r="AO239" t="inlineStr">
        <is>
          <t>EGI</t>
        </is>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
      </c>
      <c r="AH240" s="920" t="n"/>
      <c r="AJ240">
        <f>IFERROR(INDEX(Lists!$U$1:$U$18,MATCH($I240,Lists!$T$1:$T$18,0)),"?")</f>
        <v/>
      </c>
      <c r="AK240">
        <f>IF(LOWER($Q240)="v","Vacant",IF(LOWER($Q240)="pause","Paused",IF(LOWER($Q240)="cxc","Contractor",IF($Q240="Contractor","Contractor","Filled"))))</f>
        <v/>
      </c>
      <c r="AL240">
        <f>IF($M240="NZ","NZ","AU")</f>
        <v/>
      </c>
      <c r="AM240">
        <f>COUNTIF($AJ$2:$AJ240,$AJ240)</f>
        <v/>
      </c>
      <c r="AN240">
        <f>$AJ240&amp;"|"&amp;$AM240</f>
        <v/>
      </c>
      <c r="AO240" t="inlineStr">
        <is>
          <t>EGI</t>
        </is>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
      </c>
      <c r="AH241" s="920" t="n"/>
      <c r="AJ241">
        <f>IFERROR(INDEX(Lists!$U$1:$U$18,MATCH($I241,Lists!$T$1:$T$18,0)),"?")</f>
        <v/>
      </c>
      <c r="AK241">
        <f>IF(LOWER($Q241)="v","Vacant",IF(LOWER($Q241)="pause","Paused",IF(LOWER($Q241)="cxc","Contractor",IF($Q241="Contractor","Contractor","Filled"))))</f>
        <v/>
      </c>
      <c r="AL241">
        <f>IF($M241="NZ","NZ","AU")</f>
        <v/>
      </c>
      <c r="AM241">
        <f>COUNTIF($AJ$2:$AJ241,$AJ241)</f>
        <v/>
      </c>
      <c r="AN241">
        <f>$AJ241&amp;"|"&amp;$AM241</f>
        <v/>
      </c>
      <c r="AO241" t="inlineStr">
        <is>
          <t>EGI</t>
        </is>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
      </c>
      <c r="AH242" s="920" t="n"/>
      <c r="AJ242">
        <f>IFERROR(INDEX(Lists!$U$1:$U$18,MATCH($I242,Lists!$T$1:$T$18,0)),"?")</f>
        <v/>
      </c>
      <c r="AK242">
        <f>IF(LOWER($Q242)="v","Vacant",IF(LOWER($Q242)="pause","Paused",IF(LOWER($Q242)="cxc","Contractor",IF($Q242="Contractor","Contractor","Filled"))))</f>
        <v/>
      </c>
      <c r="AL242">
        <f>IF($M242="NZ","NZ","AU")</f>
        <v/>
      </c>
      <c r="AM242">
        <f>COUNTIF($AJ$2:$AJ242,$AJ242)</f>
        <v/>
      </c>
      <c r="AN242">
        <f>$AJ242&amp;"|"&amp;$AM242</f>
        <v/>
      </c>
      <c r="AO242" t="inlineStr">
        <is>
          <t>EGI</t>
        </is>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
      </c>
      <c r="AH243" s="920" t="n"/>
      <c r="AJ243">
        <f>IFERROR(INDEX(Lists!$U$1:$U$18,MATCH($I243,Lists!$T$1:$T$18,0)),"?")</f>
        <v/>
      </c>
      <c r="AK243">
        <f>IF(LOWER($Q243)="v","Vacant",IF(LOWER($Q243)="pause","Paused",IF(LOWER($Q243)="cxc","Contractor",IF($Q243="Contractor","Contractor","Filled"))))</f>
        <v/>
      </c>
      <c r="AL243">
        <f>IF($M243="NZ","NZ","AU")</f>
        <v/>
      </c>
      <c r="AM243">
        <f>COUNTIF($AJ$2:$AJ243,$AJ243)</f>
        <v/>
      </c>
      <c r="AN243">
        <f>$AJ243&amp;"|"&amp;$AM243</f>
        <v/>
      </c>
      <c r="AO243" t="inlineStr">
        <is>
          <t>EGI</t>
        </is>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
      </c>
      <c r="AH244" s="920" t="n"/>
      <c r="AJ244">
        <f>IFERROR(INDEX(Lists!$U$1:$U$18,MATCH($I244,Lists!$T$1:$T$18,0)),"?")</f>
        <v/>
      </c>
      <c r="AK244">
        <f>IF(LOWER($Q244)="v","Vacant",IF(LOWER($Q244)="pause","Paused",IF(LOWER($Q244)="cxc","Contractor",IF($Q244="Contractor","Contractor","Filled"))))</f>
        <v/>
      </c>
      <c r="AL244">
        <f>IF($M244="NZ","NZ","AU")</f>
        <v/>
      </c>
      <c r="AM244">
        <f>COUNTIF($AJ$2:$AJ244,$AJ244)</f>
        <v/>
      </c>
      <c r="AN244">
        <f>$AJ244&amp;"|"&amp;$AM244</f>
        <v/>
      </c>
      <c r="AO244" t="inlineStr">
        <is>
          <t>EGI</t>
        </is>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
      </c>
      <c r="AB245" s="754" t="n"/>
      <c r="AJ245">
        <f>IFERROR(INDEX(Lists!$U$1:$U$18,MATCH($I245,Lists!$T$1:$T$18,0)),"?")</f>
        <v/>
      </c>
      <c r="AK245">
        <f>IF(LOWER($Q245)="v","Vacant",IF(LOWER($Q245)="pause","Paused",IF(LOWER($Q245)="cxc","Contractor",IF($Q245="Contractor","Contractor","Filled"))))</f>
        <v/>
      </c>
      <c r="AL245">
        <f>IF($M245="NZ","NZ","AU")</f>
        <v/>
      </c>
      <c r="AM245">
        <f>COUNTIF($AJ$2:$AJ245,$AJ245)</f>
        <v/>
      </c>
      <c r="AN245">
        <f>$AJ245&amp;"|"&amp;$AM245</f>
        <v/>
      </c>
      <c r="AO245" t="inlineStr">
        <is>
          <t>EGI</t>
        </is>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
      </c>
      <c r="AB246" s="754" t="n"/>
      <c r="AJ246">
        <f>IFERROR(INDEX(Lists!$U$1:$U$18,MATCH($I246,Lists!$T$1:$T$18,0)),"?")</f>
        <v/>
      </c>
      <c r="AK246">
        <f>IF(LOWER($Q246)="v","Vacant",IF(LOWER($Q246)="pause","Paused",IF(LOWER($Q246)="cxc","Contractor",IF($Q246="Contractor","Contractor","Filled"))))</f>
        <v/>
      </c>
      <c r="AL246">
        <f>IF($M246="NZ","NZ","AU")</f>
        <v/>
      </c>
      <c r="AM246">
        <f>COUNTIF($AJ$2:$AJ246,$AJ246)</f>
        <v/>
      </c>
      <c r="AN246">
        <f>$AJ246&amp;"|"&amp;$AM246</f>
        <v/>
      </c>
      <c r="AO246" t="inlineStr">
        <is>
          <t>EGI</t>
        </is>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
      </c>
      <c r="AJ247">
        <f>IFERROR(INDEX(Lists!$U$1:$U$18,MATCH($I247,Lists!$T$1:$T$18,0)),"?")</f>
        <v/>
      </c>
      <c r="AK247">
        <f>IF(LOWER($Q247)="v","Vacant",IF(LOWER($Q247)="pause","Paused",IF(LOWER($Q247)="cxc","Contractor",IF($Q247="Contractor","Contractor","Filled"))))</f>
        <v/>
      </c>
      <c r="AL247">
        <f>IF($M247="NZ","NZ","AU")</f>
        <v/>
      </c>
      <c r="AM247">
        <f>COUNTIF($AJ$2:$AJ247,$AJ247)</f>
        <v/>
      </c>
      <c r="AN247">
        <f>$AJ247&amp;"|"&amp;$AM247</f>
        <v/>
      </c>
      <c r="AO247" t="inlineStr">
        <is>
          <t>EGI</t>
        </is>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
      </c>
      <c r="AJ248">
        <f>IFERROR(INDEX(Lists!$U$1:$U$18,MATCH($I248,Lists!$T$1:$T$18,0)),"?")</f>
        <v/>
      </c>
      <c r="AK248">
        <f>IF(LOWER($Q248)="v","Vacant",IF(LOWER($Q248)="pause","Paused",IF(LOWER($Q248)="cxc","Contractor",IF($Q248="Contractor","Contractor","Filled"))))</f>
        <v/>
      </c>
      <c r="AL248">
        <f>IF($M248="NZ","NZ","AU")</f>
        <v/>
      </c>
      <c r="AM248">
        <f>COUNTIF($AJ$2:$AJ248,$AJ248)</f>
        <v/>
      </c>
      <c r="AN248">
        <f>$AJ248&amp;"|"&amp;$AM248</f>
        <v/>
      </c>
      <c r="AO248" t="inlineStr">
        <is>
          <t>EGI</t>
        </is>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
      </c>
      <c r="AB249" s="754" t="n"/>
      <c r="AJ249">
        <f>IFERROR(INDEX(Lists!$U$1:$U$18,MATCH($I249,Lists!$T$1:$T$18,0)),"?")</f>
        <v/>
      </c>
      <c r="AK249">
        <f>IF(LOWER($Q249)="v","Vacant",IF(LOWER($Q249)="pause","Paused",IF(LOWER($Q249)="cxc","Contractor",IF($Q249="Contractor","Contractor","Filled"))))</f>
        <v/>
      </c>
      <c r="AL249">
        <f>IF($M249="NZ","NZ","AU")</f>
        <v/>
      </c>
      <c r="AM249">
        <f>COUNTIF($AJ$2:$AJ249,$AJ249)</f>
        <v/>
      </c>
      <c r="AN249">
        <f>$AJ249&amp;"|"&amp;$AM249</f>
        <v/>
      </c>
      <c r="AO249" t="inlineStr">
        <is>
          <t>EGI</t>
        </is>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
      </c>
      <c r="V250" s="750" t="n">
        <v>0.2</v>
      </c>
      <c r="W250" s="936" t="n">
        <v>0.055</v>
      </c>
      <c r="X250" s="936" t="n">
        <v>0.12</v>
      </c>
      <c r="Y250" s="937" t="n"/>
      <c r="Z250" s="936" t="n">
        <v>0.04</v>
      </c>
      <c r="AA250" s="939">
        <f>U250*(1+V250+W250+X250+Y250+Z250)</f>
        <v/>
      </c>
      <c r="AJ250">
        <f>IFERROR(INDEX(Lists!$U$1:$U$18,MATCH($I250,Lists!$T$1:$T$18,0)),"?")</f>
        <v/>
      </c>
      <c r="AK250">
        <f>IF(LOWER($Q250)="v","Vacant",IF(LOWER($Q250)="pause","Paused",IF(LOWER($Q250)="cxc","Contractor",IF($Q250="Contractor","Contractor","Filled"))))</f>
        <v/>
      </c>
      <c r="AL250">
        <f>IF($M250="NZ","NZ","AU")</f>
        <v/>
      </c>
      <c r="AM250">
        <f>COUNTIF($AJ$2:$AJ250,$AJ250)</f>
        <v/>
      </c>
      <c r="AN250">
        <f>$AJ250&amp;"|"&amp;$AM250</f>
        <v/>
      </c>
      <c r="AO250" t="inlineStr">
        <is>
          <t>EGI</t>
        </is>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
      </c>
      <c r="AJ251">
        <f>IFERROR(INDEX(Lists!$U$1:$U$18,MATCH($I251,Lists!$T$1:$T$18,0)),"?")</f>
        <v/>
      </c>
      <c r="AK251">
        <f>IF(LOWER($Q251)="v","Vacant",IF(LOWER($Q251)="pause","Paused",IF(LOWER($Q251)="cxc","Contractor",IF($Q251="Contractor","Contractor","Filled"))))</f>
        <v/>
      </c>
      <c r="AL251">
        <f>IF($M251="NZ","NZ","AU")</f>
        <v/>
      </c>
      <c r="AM251">
        <f>COUNTIF($AJ$2:$AJ251,$AJ251)</f>
        <v/>
      </c>
      <c r="AN251">
        <f>$AJ251&amp;"|"&amp;$AM251</f>
        <v/>
      </c>
      <c r="AO251" t="inlineStr">
        <is>
          <t>EGI</t>
        </is>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
      </c>
      <c r="AJ252">
        <f>IFERROR(INDEX(Lists!$U$1:$U$18,MATCH($I252,Lists!$T$1:$T$18,0)),"?")</f>
        <v/>
      </c>
      <c r="AK252">
        <f>IF(LOWER($Q252)="v","Vacant",IF(LOWER($Q252)="pause","Paused",IF(LOWER($Q252)="cxc","Contractor",IF($Q252="Contractor","Contractor","Filled"))))</f>
        <v/>
      </c>
      <c r="AL252">
        <f>IF($M252="NZ","NZ","AU")</f>
        <v/>
      </c>
      <c r="AM252">
        <f>COUNTIF($AJ$2:$AJ252,$AJ252)</f>
        <v/>
      </c>
      <c r="AN252">
        <f>$AJ252&amp;"|"&amp;$AM252</f>
        <v/>
      </c>
      <c r="AO252" t="inlineStr">
        <is>
          <t>EGI</t>
        </is>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
      </c>
      <c r="AJ253">
        <f>IFERROR(INDEX(Lists!$U$1:$U$18,MATCH($I253,Lists!$T$1:$T$18,0)),"?")</f>
        <v/>
      </c>
      <c r="AK253">
        <f>IF(LOWER($Q253)="v","Vacant",IF(LOWER($Q253)="pause","Paused",IF(LOWER($Q253)="cxc","Contractor",IF($Q253="Contractor","Contractor","Filled"))))</f>
        <v/>
      </c>
      <c r="AL253">
        <f>IF($M253="NZ","NZ","AU")</f>
        <v/>
      </c>
      <c r="AM253">
        <f>COUNTIF($AJ$2:$AJ253,$AJ253)</f>
        <v/>
      </c>
      <c r="AN253">
        <f>$AJ253&amp;"|"&amp;$AM253</f>
        <v/>
      </c>
      <c r="AO253" t="inlineStr">
        <is>
          <t>EGI</t>
        </is>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
      </c>
      <c r="AJ254">
        <f>IFERROR(INDEX(Lists!$U$1:$U$18,MATCH($I254,Lists!$T$1:$T$18,0)),"?")</f>
        <v/>
      </c>
      <c r="AK254">
        <f>IF(LOWER($Q254)="v","Vacant",IF(LOWER($Q254)="pause","Paused",IF(LOWER($Q254)="cxc","Contractor",IF($Q254="Contractor","Contractor","Filled"))))</f>
        <v/>
      </c>
      <c r="AL254">
        <f>IF($M254="NZ","NZ","AU")</f>
        <v/>
      </c>
      <c r="AM254">
        <f>COUNTIF($AJ$2:$AJ254,$AJ254)</f>
        <v/>
      </c>
      <c r="AN254">
        <f>$AJ254&amp;"|"&amp;$AM254</f>
        <v/>
      </c>
      <c r="AO254" t="inlineStr">
        <is>
          <t>EGI</t>
        </is>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f>IFERROR(INDEX(Lists!$U$1:$U$18,MATCH($I255,Lists!$T$1:$T$18,0)),"?")</f>
        <v/>
      </c>
      <c r="AK255">
        <f>IF(LOWER($Q255)="v","Vacant",IF(LOWER($Q255)="pause","Paused",IF(LOWER($Q255)="cxc","Contractor",IF($Q255="Contractor","Contractor","Filled"))))</f>
        <v/>
      </c>
      <c r="AL255">
        <f>IF($M255="NZ","NZ","AU")</f>
        <v/>
      </c>
      <c r="AM255">
        <f>COUNTIF($AJ$2:$AJ255,$AJ255)</f>
        <v/>
      </c>
      <c r="AN255">
        <f>$AJ255&amp;"|"&amp;$AM255</f>
        <v/>
      </c>
      <c r="AO255" t="inlineStr">
        <is>
          <t>(all roles)</t>
        </is>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f>IFERROR(INDEX(Lists!$U$1:$U$18,MATCH($I256,Lists!$T$1:$T$18,0)),"?")</f>
        <v/>
      </c>
      <c r="AK256">
        <f>IF(LOWER($Q256)="v","Vacant",IF(LOWER($Q256)="pause","Paused",IF(LOWER($Q256)="cxc","Contractor",IF($Q256="Contractor","Contractor","Filled"))))</f>
        <v/>
      </c>
      <c r="AL256">
        <f>IF($M256="NZ","NZ","AU")</f>
        <v/>
      </c>
      <c r="AM256">
        <f>COUNTIF($AJ$2:$AJ256,$AJ256)</f>
        <v/>
      </c>
      <c r="AN256">
        <f>$AJ256&amp;"|"&amp;$AM256</f>
        <v/>
      </c>
      <c r="AO256" t="inlineStr">
        <is>
          <t>(all roles)</t>
        </is>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f>IFERROR(INDEX(Lists!$U$1:$U$18,MATCH($I257,Lists!$T$1:$T$18,0)),"?")</f>
        <v/>
      </c>
      <c r="AK257">
        <f>IF(LOWER($Q257)="v","Vacant",IF(LOWER($Q257)="pause","Paused",IF(LOWER($Q257)="cxc","Contractor",IF($Q257="Contractor","Contractor","Filled"))))</f>
        <v/>
      </c>
      <c r="AL257">
        <f>IF($M257="NZ","NZ","AU")</f>
        <v/>
      </c>
      <c r="AM257">
        <f>COUNTIF($AJ$2:$AJ257,$AJ257)</f>
        <v/>
      </c>
      <c r="AN257">
        <f>$AJ257&amp;"|"&amp;$AM257</f>
        <v/>
      </c>
      <c r="AO257" t="inlineStr">
        <is>
          <t>(all roles)</t>
        </is>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f>IFERROR(INDEX(Lists!$U$1:$U$18,MATCH($I258,Lists!$T$1:$T$18,0)),"?")</f>
        <v/>
      </c>
      <c r="AK258">
        <f>IF(LOWER($Q258)="v","Vacant",IF(LOWER($Q258)="pause","Paused",IF(LOWER($Q258)="cxc","Contractor",IF($Q258="Contractor","Contractor","Filled"))))</f>
        <v/>
      </c>
      <c r="AL258">
        <f>IF($M258="NZ","NZ","AU")</f>
        <v/>
      </c>
      <c r="AM258">
        <f>COUNTIF($AJ$2:$AJ258,$AJ258)</f>
        <v/>
      </c>
      <c r="AN258">
        <f>$AJ258&amp;"|"&amp;$AM258</f>
        <v/>
      </c>
      <c r="AO258" t="inlineStr">
        <is>
          <t>(all roles)</t>
        </is>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f>IFERROR(INDEX(Lists!$U$1:$U$18,MATCH($I259,Lists!$T$1:$T$18,0)),"?")</f>
        <v/>
      </c>
      <c r="AK259">
        <f>IF(LOWER($Q259)="v","Vacant",IF(LOWER($Q259)="pause","Paused",IF(LOWER($Q259)="cxc","Contractor",IF($Q259="Contractor","Contractor","Filled"))))</f>
        <v/>
      </c>
      <c r="AL259">
        <f>IF($M259="NZ","NZ","AU")</f>
        <v/>
      </c>
      <c r="AM259">
        <f>COUNTIF($AJ$2:$AJ259,$AJ259)</f>
        <v/>
      </c>
      <c r="AN259">
        <f>$AJ259&amp;"|"&amp;$AM259</f>
        <v/>
      </c>
      <c r="AO259" t="inlineStr">
        <is>
          <t>(all roles)</t>
        </is>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f>IFERROR(INDEX(Lists!$U$1:$U$18,MATCH($I260,Lists!$T$1:$T$18,0)),"?")</f>
        <v/>
      </c>
      <c r="AK260">
        <f>IF(LOWER($Q260)="v","Vacant",IF(LOWER($Q260)="pause","Paused",IF(LOWER($Q260)="cxc","Contractor",IF($Q260="Contractor","Contractor","Filled"))))</f>
        <v/>
      </c>
      <c r="AL260">
        <f>IF($M260="NZ","NZ","AU")</f>
        <v/>
      </c>
      <c r="AM260">
        <f>COUNTIF($AJ$2:$AJ260,$AJ260)</f>
        <v/>
      </c>
      <c r="AN260">
        <f>$AJ260&amp;"|"&amp;$AM260</f>
        <v/>
      </c>
      <c r="AO260" t="inlineStr">
        <is>
          <t>(all roles)</t>
        </is>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f>IFERROR(INDEX(Lists!$U$1:$U$18,MATCH($I261,Lists!$T$1:$T$18,0)),"?")</f>
        <v/>
      </c>
      <c r="AK261">
        <f>IF(LOWER($Q261)="v","Vacant",IF(LOWER($Q261)="pause","Paused",IF(LOWER($Q261)="cxc","Contractor",IF($Q261="Contractor","Contractor","Filled"))))</f>
        <v/>
      </c>
      <c r="AL261">
        <f>IF($M261="NZ","NZ","AU")</f>
        <v/>
      </c>
      <c r="AM261">
        <f>COUNTIF($AJ$2:$AJ261,$AJ261)</f>
        <v/>
      </c>
      <c r="AN261">
        <f>$AJ261&amp;"|"&amp;$AM261</f>
        <v/>
      </c>
      <c r="AO261" t="inlineStr">
        <is>
          <t>(all roles)</t>
        </is>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f>IFERROR(INDEX(Lists!$U$1:$U$18,MATCH($I262,Lists!$T$1:$T$18,0)),"?")</f>
        <v/>
      </c>
      <c r="AK262">
        <f>IF(LOWER($Q262)="v","Vacant",IF(LOWER($Q262)="pause","Paused",IF(LOWER($Q262)="cxc","Contractor",IF($Q262="Contractor","Contractor","Filled"))))</f>
        <v/>
      </c>
      <c r="AL262">
        <f>IF($M262="NZ","NZ","AU")</f>
        <v/>
      </c>
      <c r="AM262">
        <f>COUNTIF($AJ$2:$AJ262,$AJ262)</f>
        <v/>
      </c>
      <c r="AN262">
        <f>$AJ262&amp;"|"&amp;$AM262</f>
        <v/>
      </c>
      <c r="AO262" t="inlineStr">
        <is>
          <t>(all roles)</t>
        </is>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f>IFERROR(INDEX(Lists!$U$1:$U$18,MATCH($I263,Lists!$T$1:$T$18,0)),"?")</f>
        <v/>
      </c>
      <c r="AK263">
        <f>IF(LOWER($Q263)="v","Vacant",IF(LOWER($Q263)="pause","Paused",IF(LOWER($Q263)="cxc","Contractor",IF($Q263="Contractor","Contractor","Filled"))))</f>
        <v/>
      </c>
      <c r="AL263">
        <f>IF($M263="NZ","NZ","AU")</f>
        <v/>
      </c>
      <c r="AM263">
        <f>COUNTIF($AJ$2:$AJ263,$AJ263)</f>
        <v/>
      </c>
      <c r="AN263">
        <f>$AJ263&amp;"|"&amp;$AM263</f>
        <v/>
      </c>
      <c r="AO263" t="inlineStr">
        <is>
          <t>(all roles)</t>
        </is>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f>IFERROR(INDEX(Lists!$U$1:$U$18,MATCH($I264,Lists!$T$1:$T$18,0)),"?")</f>
        <v/>
      </c>
      <c r="AK264">
        <f>IF(LOWER($Q264)="v","Vacant",IF(LOWER($Q264)="pause","Paused",IF(LOWER($Q264)="cxc","Contractor",IF($Q264="Contractor","Contractor","Filled"))))</f>
        <v/>
      </c>
      <c r="AL264">
        <f>IF($M264="NZ","NZ","AU")</f>
        <v/>
      </c>
      <c r="AM264">
        <f>COUNTIF($AJ$2:$AJ264,$AJ264)</f>
        <v/>
      </c>
      <c r="AN264">
        <f>$AJ264&amp;"|"&amp;$AM264</f>
        <v/>
      </c>
      <c r="AO264" t="inlineStr">
        <is>
          <t>(all roles)</t>
        </is>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f>IFERROR(INDEX(Lists!$U$1:$U$18,MATCH($I265,Lists!$T$1:$T$18,0)),"?")</f>
        <v/>
      </c>
      <c r="AK265">
        <f>IF(LOWER($Q265)="v","Vacant",IF(LOWER($Q265)="pause","Paused",IF(LOWER($Q265)="cxc","Contractor",IF($Q265="Contractor","Contractor","Filled"))))</f>
        <v/>
      </c>
      <c r="AL265">
        <f>IF($M265="NZ","NZ","AU")</f>
        <v/>
      </c>
      <c r="AM265">
        <f>COUNTIF($AJ$2:$AJ265,$AJ265)</f>
        <v/>
      </c>
      <c r="AN265">
        <f>$AJ265&amp;"|"&amp;$AM265</f>
        <v/>
      </c>
      <c r="AO265" t="inlineStr">
        <is>
          <t>(all roles)</t>
        </is>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f>IFERROR(INDEX(Lists!$U$1:$U$18,MATCH($I266,Lists!$T$1:$T$18,0)),"?")</f>
        <v/>
      </c>
      <c r="AK266">
        <f>IF(LOWER($Q266)="v","Vacant",IF(LOWER($Q266)="pause","Paused",IF(LOWER($Q266)="cxc","Contractor",IF($Q266="Contractor","Contractor","Filled"))))</f>
        <v/>
      </c>
      <c r="AL266">
        <f>IF($M266="NZ","NZ","AU")</f>
        <v/>
      </c>
      <c r="AM266">
        <f>COUNTIF($AJ$2:$AJ266,$AJ266)</f>
        <v/>
      </c>
      <c r="AN266">
        <f>$AJ266&amp;"|"&amp;$AM266</f>
        <v/>
      </c>
      <c r="AO266" t="inlineStr">
        <is>
          <t>(all roles)</t>
        </is>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f>IFERROR(INDEX(Lists!$U$1:$U$18,MATCH($I267,Lists!$T$1:$T$18,0)),"?")</f>
        <v/>
      </c>
      <c r="AK267">
        <f>IF(LOWER($Q267)="v","Vacant",IF(LOWER($Q267)="pause","Paused",IF(LOWER($Q267)="cxc","Contractor",IF($Q267="Contractor","Contractor","Filled"))))</f>
        <v/>
      </c>
      <c r="AL267">
        <f>IF($M267="NZ","NZ","AU")</f>
        <v/>
      </c>
      <c r="AM267">
        <f>COUNTIF($AJ$2:$AJ267,$AJ267)</f>
        <v/>
      </c>
      <c r="AN267">
        <f>$AJ267&amp;"|"&amp;$AM267</f>
        <v/>
      </c>
      <c r="AO267" t="inlineStr">
        <is>
          <t>(all roles)</t>
        </is>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f>IFERROR(INDEX(Lists!$U$1:$U$18,MATCH($I268,Lists!$T$1:$T$18,0)),"?")</f>
        <v/>
      </c>
      <c r="AK268">
        <f>IF(LOWER($Q268)="v","Vacant",IF(LOWER($Q268)="pause","Paused",IF(LOWER($Q268)="cxc","Contractor",IF($Q268="Contractor","Contractor","Filled"))))</f>
        <v/>
      </c>
      <c r="AL268">
        <f>IF($M268="NZ","NZ","AU")</f>
        <v/>
      </c>
      <c r="AM268">
        <f>COUNTIF($AJ$2:$AJ268,$AJ268)</f>
        <v/>
      </c>
      <c r="AN268">
        <f>$AJ268&amp;"|"&amp;$AM268</f>
        <v/>
      </c>
      <c r="AO268" t="inlineStr">
        <is>
          <t>(all roles)</t>
        </is>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f>IFERROR(INDEX(Lists!$U$1:$U$18,MATCH($I269,Lists!$T$1:$T$18,0)),"?")</f>
        <v/>
      </c>
      <c r="AK269">
        <f>IF(LOWER($Q269)="v","Vacant",IF(LOWER($Q269)="pause","Paused",IF(LOWER($Q269)="cxc","Contractor",IF($Q269="Contractor","Contractor","Filled"))))</f>
        <v/>
      </c>
      <c r="AL269">
        <f>IF($M269="NZ","NZ","AU")</f>
        <v/>
      </c>
      <c r="AM269">
        <f>COUNTIF($AJ$2:$AJ269,$AJ269)</f>
        <v/>
      </c>
      <c r="AN269">
        <f>$AJ269&amp;"|"&amp;$AM269</f>
        <v/>
      </c>
      <c r="AO269" t="inlineStr">
        <is>
          <t>(all roles)</t>
        </is>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f>IFERROR(INDEX(Lists!$U$1:$U$18,MATCH($I270,Lists!$T$1:$T$18,0)),"?")</f>
        <v/>
      </c>
      <c r="AK270">
        <f>IF(LOWER($Q270)="v","Vacant",IF(LOWER($Q270)="pause","Paused",IF(LOWER($Q270)="cxc","Contractor",IF($Q270="Contractor","Contractor","Filled"))))</f>
        <v/>
      </c>
      <c r="AL270">
        <f>IF($M270="NZ","NZ","AU")</f>
        <v/>
      </c>
      <c r="AM270">
        <f>COUNTIF($AJ$2:$AJ270,$AJ270)</f>
        <v/>
      </c>
      <c r="AN270">
        <f>$AJ270&amp;"|"&amp;$AM270</f>
        <v/>
      </c>
      <c r="AO270" t="inlineStr">
        <is>
          <t>(all roles)</t>
        </is>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f>IFERROR(INDEX(Lists!$U$1:$U$18,MATCH($I271,Lists!$T$1:$T$18,0)),"?")</f>
        <v/>
      </c>
      <c r="AK271">
        <f>IF(LOWER($Q271)="v","Vacant",IF(LOWER($Q271)="pause","Paused",IF(LOWER($Q271)="cxc","Contractor",IF($Q271="Contractor","Contractor","Filled"))))</f>
        <v/>
      </c>
      <c r="AL271">
        <f>IF($M271="NZ","NZ","AU")</f>
        <v/>
      </c>
      <c r="AM271">
        <f>COUNTIF($AJ$2:$AJ271,$AJ271)</f>
        <v/>
      </c>
      <c r="AN271">
        <f>$AJ271&amp;"|"&amp;$AM271</f>
        <v/>
      </c>
      <c r="AO271" t="inlineStr">
        <is>
          <t>(all roles)</t>
        </is>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f>IFERROR(INDEX(Lists!$U$1:$U$18,MATCH($I272,Lists!$T$1:$T$18,0)),"?")</f>
        <v/>
      </c>
      <c r="AK272">
        <f>IF(LOWER($Q272)="v","Vacant",IF(LOWER($Q272)="pause","Paused",IF(LOWER($Q272)="cxc","Contractor",IF($Q272="Contractor","Contractor","Filled"))))</f>
        <v/>
      </c>
      <c r="AL272">
        <f>IF($M272="NZ","NZ","AU")</f>
        <v/>
      </c>
      <c r="AM272">
        <f>COUNTIF($AJ$2:$AJ272,$AJ272)</f>
        <v/>
      </c>
      <c r="AN272">
        <f>$AJ272&amp;"|"&amp;$AM272</f>
        <v/>
      </c>
      <c r="AO272" t="inlineStr">
        <is>
          <t>(all roles)</t>
        </is>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f>IFERROR(INDEX(Lists!$U$1:$U$18,MATCH($I273,Lists!$T$1:$T$18,0)),"?")</f>
        <v/>
      </c>
      <c r="AK273">
        <f>IF(LOWER($Q273)="v","Vacant",IF(LOWER($Q273)="pause","Paused",IF(LOWER($Q273)="cxc","Contractor",IF($Q273="Contractor","Contractor","Filled"))))</f>
        <v/>
      </c>
      <c r="AL273">
        <f>IF($M273="NZ","NZ","AU")</f>
        <v/>
      </c>
      <c r="AM273">
        <f>COUNTIF($AJ$2:$AJ273,$AJ273)</f>
        <v/>
      </c>
      <c r="AN273">
        <f>$AJ273&amp;"|"&amp;$AM273</f>
        <v/>
      </c>
      <c r="AO273" t="inlineStr">
        <is>
          <t>(all roles)</t>
        </is>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f>IFERROR(INDEX(Lists!$U$1:$U$18,MATCH($I274,Lists!$T$1:$T$18,0)),"?")</f>
        <v/>
      </c>
      <c r="AK274">
        <f>IF(LOWER($Q274)="v","Vacant",IF(LOWER($Q274)="pause","Paused",IF(LOWER($Q274)="cxc","Contractor",IF($Q274="Contractor","Contractor","Filled"))))</f>
        <v/>
      </c>
      <c r="AL274">
        <f>IF($M274="NZ","NZ","AU")</f>
        <v/>
      </c>
      <c r="AM274">
        <f>COUNTIF($AJ$2:$AJ274,$AJ274)</f>
        <v/>
      </c>
      <c r="AN274">
        <f>$AJ274&amp;"|"&amp;$AM274</f>
        <v/>
      </c>
      <c r="AO274" t="inlineStr">
        <is>
          <t>(all roles)</t>
        </is>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f>IFERROR(INDEX(Lists!$U$1:$U$18,MATCH($I275,Lists!$T$1:$T$18,0)),"?")</f>
        <v/>
      </c>
      <c r="AK275">
        <f>IF(LOWER($Q275)="v","Vacant",IF(LOWER($Q275)="pause","Paused",IF(LOWER($Q275)="cxc","Contractor",IF($Q275="Contractor","Contractor","Filled"))))</f>
        <v/>
      </c>
      <c r="AL275">
        <f>IF($M275="NZ","NZ","AU")</f>
        <v/>
      </c>
      <c r="AM275">
        <f>COUNTIF($AJ$2:$AJ275,$AJ275)</f>
        <v/>
      </c>
      <c r="AN275">
        <f>$AJ275&amp;"|"&amp;$AM275</f>
        <v/>
      </c>
      <c r="AO275" t="inlineStr">
        <is>
          <t>(all roles)</t>
        </is>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f>IFERROR(INDEX(Lists!$U$1:$U$18,MATCH($I276,Lists!$T$1:$T$18,0)),"?")</f>
        <v/>
      </c>
      <c r="AK276">
        <f>IF(LOWER($Q276)="v","Vacant",IF(LOWER($Q276)="pause","Paused",IF(LOWER($Q276)="cxc","Contractor",IF($Q276="Contractor","Contractor","Filled"))))</f>
        <v/>
      </c>
      <c r="AL276">
        <f>IF($M276="NZ","NZ","AU")</f>
        <v/>
      </c>
      <c r="AM276">
        <f>COUNTIF($AJ$2:$AJ276,$AJ276)</f>
        <v/>
      </c>
      <c r="AN276">
        <f>$AJ276&amp;"|"&amp;$AM276</f>
        <v/>
      </c>
      <c r="AO276" t="inlineStr">
        <is>
          <t>(all roles)</t>
        </is>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f>IFERROR(INDEX(Lists!$U$1:$U$18,MATCH($I277,Lists!$T$1:$T$18,0)),"?")</f>
        <v/>
      </c>
      <c r="AK277">
        <f>IF(LOWER($Q277)="v","Vacant",IF(LOWER($Q277)="pause","Paused",IF(LOWER($Q277)="cxc","Contractor",IF($Q277="Contractor","Contractor","Filled"))))</f>
        <v/>
      </c>
      <c r="AL277">
        <f>IF($M277="NZ","NZ","AU")</f>
        <v/>
      </c>
      <c r="AM277">
        <f>COUNTIF($AJ$2:$AJ277,$AJ277)</f>
        <v/>
      </c>
      <c r="AN277">
        <f>$AJ277&amp;"|"&amp;$AM277</f>
        <v/>
      </c>
      <c r="AO277" t="inlineStr">
        <is>
          <t>(all roles)</t>
        </is>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f>IFERROR(INDEX(Lists!$U$1:$U$18,MATCH($I278,Lists!$T$1:$T$18,0)),"?")</f>
        <v/>
      </c>
      <c r="AK278">
        <f>IF(LOWER($Q278)="v","Vacant",IF(LOWER($Q278)="pause","Paused",IF(LOWER($Q278)="cxc","Contractor",IF($Q278="Contractor","Contractor","Filled"))))</f>
        <v/>
      </c>
      <c r="AL278">
        <f>IF($M278="NZ","NZ","AU")</f>
        <v/>
      </c>
      <c r="AM278">
        <f>COUNTIF($AJ$2:$AJ278,$AJ278)</f>
        <v/>
      </c>
      <c r="AN278">
        <f>$AJ278&amp;"|"&amp;$AM278</f>
        <v/>
      </c>
      <c r="AO278" t="inlineStr">
        <is>
          <t>(all roles)</t>
        </is>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
      </c>
      <c r="AJ279">
        <f>IFERROR(INDEX(Lists!$U$1:$U$18,MATCH($I279,Lists!$T$1:$T$18,0)),"?")</f>
        <v/>
      </c>
      <c r="AK279">
        <f>IF(LOWER($Q279)="v","Vacant",IF(LOWER($Q279)="pause","Paused",IF(LOWER($Q279)="cxc","Contractor",IF($Q279="Contractor","Contractor","Filled"))))</f>
        <v/>
      </c>
      <c r="AL279">
        <f>IF($M279="NZ","NZ","AU")</f>
        <v/>
      </c>
      <c r="AM279">
        <f>COUNTIF($AJ$2:$AJ279,$AJ279)</f>
        <v/>
      </c>
      <c r="AN279">
        <f>$AJ279&amp;"|"&amp;$AM279</f>
        <v/>
      </c>
      <c r="AO279" t="inlineStr">
        <is>
          <t>Reporting &amp; Analytics</t>
        </is>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
      </c>
      <c r="AJ280">
        <f>IFERROR(INDEX(Lists!$U$1:$U$18,MATCH($I280,Lists!$T$1:$T$18,0)),"?")</f>
        <v/>
      </c>
      <c r="AK280">
        <f>IF(LOWER($Q280)="v","Vacant",IF(LOWER($Q280)="pause","Paused",IF(LOWER($Q280)="cxc","Contractor",IF($Q280="Contractor","Contractor","Filled"))))</f>
        <v/>
      </c>
      <c r="AL280">
        <f>IF($M280="NZ","NZ","AU")</f>
        <v/>
      </c>
      <c r="AM280">
        <f>COUNTIF($AJ$2:$AJ280,$AJ280)</f>
        <v/>
      </c>
      <c r="AN280">
        <f>$AJ280&amp;"|"&amp;$AM280</f>
        <v/>
      </c>
      <c r="AO280" t="inlineStr">
        <is>
          <t>Reporting &amp; Analytics</t>
        </is>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
      </c>
      <c r="AB281" s="754" t="n">
        <v>113527</v>
      </c>
      <c r="AH281" s="920" t="n">
        <v>418</v>
      </c>
      <c r="AJ281">
        <f>IFERROR(INDEX(Lists!$U$1:$U$18,MATCH($I281,Lists!$T$1:$T$18,0)),"?")</f>
        <v/>
      </c>
      <c r="AK281">
        <f>IF(LOWER($Q281)="v","Vacant",IF(LOWER($Q281)="pause","Paused",IF(LOWER($Q281)="cxc","Contractor",IF($Q281="Contractor","Contractor","Filled"))))</f>
        <v/>
      </c>
      <c r="AL281">
        <f>IF($M281="NZ","NZ","AU")</f>
        <v/>
      </c>
      <c r="AM281">
        <f>COUNTIF($AJ$2:$AJ281,$AJ281)</f>
        <v/>
      </c>
      <c r="AN281">
        <f>$AJ281&amp;"|"&amp;$AM281</f>
        <v/>
      </c>
      <c r="AO281" t="inlineStr">
        <is>
          <t>Data Science</t>
        </is>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
      </c>
      <c r="AJ282">
        <f>IFERROR(INDEX(Lists!$U$1:$U$18,MATCH($I282,Lists!$T$1:$T$18,0)),"?")</f>
        <v/>
      </c>
      <c r="AK282">
        <f>IF(LOWER($Q282)="v","Vacant",IF(LOWER($Q282)="pause","Paused",IF(LOWER($Q282)="cxc","Contractor",IF($Q282="Contractor","Contractor","Filled"))))</f>
        <v/>
      </c>
      <c r="AL282">
        <f>IF($M282="NZ","NZ","AU")</f>
        <v/>
      </c>
      <c r="AM282">
        <f>COUNTIF($AJ$2:$AJ282,$AJ282)</f>
        <v/>
      </c>
      <c r="AN282">
        <f>$AJ282&amp;"|"&amp;$AM282</f>
        <v/>
      </c>
      <c r="AO282" t="inlineStr">
        <is>
          <t>(unassigned)</t>
        </is>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
      </c>
      <c r="AJ283">
        <f>IFERROR(INDEX(Lists!$U$1:$U$18,MATCH($I283,Lists!$T$1:$T$18,0)),"?")</f>
        <v/>
      </c>
      <c r="AK283">
        <f>IF(LOWER($Q283)="v","Vacant",IF(LOWER($Q283)="pause","Paused",IF(LOWER($Q283)="cxc","Contractor",IF($Q283="Contractor","Contractor","Filled"))))</f>
        <v/>
      </c>
      <c r="AL283">
        <f>IF($M283="NZ","NZ","AU")</f>
        <v/>
      </c>
      <c r="AM283">
        <f>COUNTIF($AJ$2:$AJ283,$AJ283)</f>
        <v/>
      </c>
      <c r="AN283">
        <f>$AJ283&amp;"|"&amp;$AM283</f>
        <v/>
      </c>
      <c r="AO283" t="inlineStr">
        <is>
          <t>(unassigned)</t>
        </is>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
      </c>
      <c r="AJ284">
        <f>IFERROR(INDEX(Lists!$U$1:$U$18,MATCH($I284,Lists!$T$1:$T$18,0)),"?")</f>
        <v/>
      </c>
      <c r="AK284">
        <f>IF(LOWER($Q284)="v","Vacant",IF(LOWER($Q284)="pause","Paused",IF(LOWER($Q284)="cxc","Contractor",IF($Q284="Contractor","Contractor","Filled"))))</f>
        <v/>
      </c>
      <c r="AL284">
        <f>IF($M284="NZ","NZ","AU")</f>
        <v/>
      </c>
      <c r="AM284">
        <f>COUNTIF($AJ$2:$AJ284,$AJ284)</f>
        <v/>
      </c>
      <c r="AN284">
        <f>$AJ284&amp;"|"&amp;$AM284</f>
        <v/>
      </c>
      <c r="AO284" t="inlineStr">
        <is>
          <t>Data Platform</t>
        </is>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
      </c>
      <c r="AJ285">
        <f>IFERROR(INDEX(Lists!$U$1:$U$18,MATCH($I285,Lists!$T$1:$T$18,0)),"?")</f>
        <v/>
      </c>
      <c r="AK285">
        <f>IF(LOWER($Q285)="v","Vacant",IF(LOWER($Q285)="pause","Paused",IF(LOWER($Q285)="cxc","Contractor",IF($Q285="Contractor","Contractor","Filled"))))</f>
        <v/>
      </c>
      <c r="AL285">
        <f>IF($M285="NZ","NZ","AU")</f>
        <v/>
      </c>
      <c r="AM285">
        <f>COUNTIF($AJ$2:$AJ285,$AJ285)</f>
        <v/>
      </c>
      <c r="AN285">
        <f>$AJ285&amp;"|"&amp;$AM285</f>
        <v/>
      </c>
      <c r="AO285" t="inlineStr">
        <is>
          <t>(unassigned)</t>
        </is>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
      </c>
      <c r="AB286" s="754" t="n">
        <v>116999</v>
      </c>
      <c r="AJ286">
        <f>IFERROR(INDEX(Lists!$U$1:$U$18,MATCH($I286,Lists!$T$1:$T$18,0)),"?")</f>
        <v/>
      </c>
      <c r="AK286">
        <f>IF(LOWER($Q286)="v","Vacant",IF(LOWER($Q286)="pause","Paused",IF(LOWER($Q286)="cxc","Contractor",IF($Q286="Contractor","Contractor","Filled"))))</f>
        <v/>
      </c>
      <c r="AL286">
        <f>IF($M286="NZ","NZ","AU")</f>
        <v/>
      </c>
      <c r="AM286">
        <f>COUNTIF($AJ$2:$AJ286,$AJ286)</f>
        <v/>
      </c>
      <c r="AN286">
        <f>$AJ286&amp;"|"&amp;$AM286</f>
        <v/>
      </c>
      <c r="AO286" t="inlineStr">
        <is>
          <t>(unassigned)</t>
        </is>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
      </c>
      <c r="AJ287">
        <f>IFERROR(INDEX(Lists!$U$1:$U$18,MATCH($I287,Lists!$T$1:$T$18,0)),"?")</f>
        <v/>
      </c>
      <c r="AK287">
        <f>IF(LOWER($Q287)="v","Vacant",IF(LOWER($Q287)="pause","Paused",IF(LOWER($Q287)="cxc","Contractor",IF($Q287="Contractor","Contractor","Filled"))))</f>
        <v/>
      </c>
      <c r="AL287">
        <f>IF($M287="NZ","NZ","AU")</f>
        <v/>
      </c>
      <c r="AM287">
        <f>COUNTIF($AJ$2:$AJ287,$AJ287)</f>
        <v/>
      </c>
      <c r="AN287">
        <f>$AJ287&amp;"|"&amp;$AM287</f>
        <v/>
      </c>
      <c r="AO287" t="inlineStr">
        <is>
          <t>(unassigned)</t>
        </is>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
      </c>
      <c r="AJ288">
        <f>IFERROR(INDEX(Lists!$U$1:$U$18,MATCH($I288,Lists!$T$1:$T$18,0)),"?")</f>
        <v/>
      </c>
      <c r="AK288">
        <f>IF(LOWER($Q288)="v","Vacant",IF(LOWER($Q288)="pause","Paused",IF(LOWER($Q288)="cxc","Contractor",IF($Q288="Contractor","Contractor","Filled"))))</f>
        <v/>
      </c>
      <c r="AL288">
        <f>IF($M288="NZ","NZ","AU")</f>
        <v/>
      </c>
      <c r="AM288">
        <f>COUNTIF($AJ$2:$AJ288,$AJ288)</f>
        <v/>
      </c>
      <c r="AN288">
        <f>$AJ288&amp;"|"&amp;$AM288</f>
        <v/>
      </c>
      <c r="AO288" t="inlineStr">
        <is>
          <t>(unassigned)</t>
        </is>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
      </c>
      <c r="AJ289">
        <f>IFERROR(INDEX(Lists!$U$1:$U$18,MATCH($I289,Lists!$T$1:$T$18,0)),"?")</f>
        <v/>
      </c>
      <c r="AK289">
        <f>IF(LOWER($Q289)="v","Vacant",IF(LOWER($Q289)="pause","Paused",IF(LOWER($Q289)="cxc","Contractor",IF($Q289="Contractor","Contractor","Filled"))))</f>
        <v/>
      </c>
      <c r="AL289">
        <f>IF($M289="NZ","NZ","AU")</f>
        <v/>
      </c>
      <c r="AM289">
        <f>COUNTIF($AJ$2:$AJ289,$AJ289)</f>
        <v/>
      </c>
      <c r="AN289">
        <f>$AJ289&amp;"|"&amp;$AM289</f>
        <v/>
      </c>
      <c r="AO289" t="inlineStr">
        <is>
          <t>(unassigned)</t>
        </is>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
      </c>
      <c r="AJ290">
        <f>IFERROR(INDEX(Lists!$U$1:$U$18,MATCH($I290,Lists!$T$1:$T$18,0)),"?")</f>
        <v/>
      </c>
      <c r="AK290">
        <f>IF(LOWER($Q290)="v","Vacant",IF(LOWER($Q290)="pause","Paused",IF(LOWER($Q290)="cxc","Contractor",IF($Q290="Contractor","Contractor","Filled"))))</f>
        <v/>
      </c>
      <c r="AL290">
        <f>IF($M290="NZ","NZ","AU")</f>
        <v/>
      </c>
      <c r="AM290">
        <f>COUNTIF($AJ$2:$AJ290,$AJ290)</f>
        <v/>
      </c>
      <c r="AN290">
        <f>$AJ290&amp;"|"&amp;$AM290</f>
        <v/>
      </c>
      <c r="AO290" t="inlineStr">
        <is>
          <t>Reporting &amp; Analytics</t>
        </is>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
      </c>
      <c r="AB291" s="754" t="n">
        <v>113582</v>
      </c>
      <c r="AH291" s="920" t="n"/>
      <c r="AJ291">
        <f>IFERROR(INDEX(Lists!$U$1:$U$18,MATCH($I291,Lists!$T$1:$T$18,0)),"?")</f>
        <v/>
      </c>
      <c r="AK291">
        <f>IF(LOWER($Q291)="v","Vacant",IF(LOWER($Q291)="pause","Paused",IF(LOWER($Q291)="cxc","Contractor",IF($Q291="Contractor","Contractor","Filled"))))</f>
        <v/>
      </c>
      <c r="AL291">
        <f>IF($M291="NZ","NZ","AU")</f>
        <v/>
      </c>
      <c r="AM291">
        <f>COUNTIF($AJ$2:$AJ291,$AJ291)</f>
        <v/>
      </c>
      <c r="AN291">
        <f>$AJ291&amp;"|"&amp;$AM291</f>
        <v/>
      </c>
      <c r="AO291" t="inlineStr">
        <is>
          <t>(unassigned)</t>
        </is>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
      </c>
      <c r="AJ292">
        <f>IFERROR(INDEX(Lists!$U$1:$U$18,MATCH($I292,Lists!$T$1:$T$18,0)),"?")</f>
        <v/>
      </c>
      <c r="AK292">
        <f>IF(LOWER($Q292)="v","Vacant",IF(LOWER($Q292)="pause","Paused",IF(LOWER($Q292)="cxc","Contractor",IF($Q292="Contractor","Contractor","Filled"))))</f>
        <v/>
      </c>
      <c r="AL292">
        <f>IF($M292="NZ","NZ","AU")</f>
        <v/>
      </c>
      <c r="AM292">
        <f>COUNTIF($AJ$2:$AJ292,$AJ292)</f>
        <v/>
      </c>
      <c r="AN292">
        <f>$AJ292&amp;"|"&amp;$AM292</f>
        <v/>
      </c>
      <c r="AO292" t="inlineStr">
        <is>
          <t>(unassigned)</t>
        </is>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
      </c>
      <c r="AJ293">
        <f>IFERROR(INDEX(Lists!$U$1:$U$18,MATCH($I293,Lists!$T$1:$T$18,0)),"?")</f>
        <v/>
      </c>
      <c r="AK293">
        <f>IF(LOWER($Q293)="v","Vacant",IF(LOWER($Q293)="pause","Paused",IF(LOWER($Q293)="cxc","Contractor",IF($Q293="Contractor","Contractor","Filled"))))</f>
        <v/>
      </c>
      <c r="AL293">
        <f>IF($M293="NZ","NZ","AU")</f>
        <v/>
      </c>
      <c r="AM293">
        <f>COUNTIF($AJ$2:$AJ293,$AJ293)</f>
        <v/>
      </c>
      <c r="AN293">
        <f>$AJ293&amp;"|"&amp;$AM293</f>
        <v/>
      </c>
      <c r="AO293" t="inlineStr">
        <is>
          <t>Data Platform</t>
        </is>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
      </c>
      <c r="AJ294">
        <f>IFERROR(INDEX(Lists!$U$1:$U$18,MATCH($I294,Lists!$T$1:$T$18,0)),"?")</f>
        <v/>
      </c>
      <c r="AK294">
        <f>IF(LOWER($Q294)="v","Vacant",IF(LOWER($Q294)="pause","Paused",IF(LOWER($Q294)="cxc","Contractor",IF($Q294="Contractor","Contractor","Filled"))))</f>
        <v/>
      </c>
      <c r="AL294">
        <f>IF($M294="NZ","NZ","AU")</f>
        <v/>
      </c>
      <c r="AM294">
        <f>COUNTIF($AJ$2:$AJ294,$AJ294)</f>
        <v/>
      </c>
      <c r="AN294">
        <f>$AJ294&amp;"|"&amp;$AM294</f>
        <v/>
      </c>
      <c r="AO294" t="inlineStr">
        <is>
          <t>(unassigned)</t>
        </is>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
      </c>
      <c r="AJ295">
        <f>IFERROR(INDEX(Lists!$U$1:$U$18,MATCH($I295,Lists!$T$1:$T$18,0)),"?")</f>
        <v/>
      </c>
      <c r="AK295">
        <f>IF(LOWER($Q295)="v","Vacant",IF(LOWER($Q295)="pause","Paused",IF(LOWER($Q295)="cxc","Contractor",IF($Q295="Contractor","Contractor","Filled"))))</f>
        <v/>
      </c>
      <c r="AL295">
        <f>IF($M295="NZ","NZ","AU")</f>
        <v/>
      </c>
      <c r="AM295">
        <f>COUNTIF($AJ$2:$AJ295,$AJ295)</f>
        <v/>
      </c>
      <c r="AN295">
        <f>$AJ295&amp;"|"&amp;$AM295</f>
        <v/>
      </c>
      <c r="AO295" t="inlineStr">
        <is>
          <t>Data Science</t>
        </is>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
      </c>
      <c r="AJ296">
        <f>IFERROR(INDEX(Lists!$U$1:$U$18,MATCH($I296,Lists!$T$1:$T$18,0)),"?")</f>
        <v/>
      </c>
      <c r="AK296">
        <f>IF(LOWER($Q296)="v","Vacant",IF(LOWER($Q296)="pause","Paused",IF(LOWER($Q296)="cxc","Contractor",IF($Q296="Contractor","Contractor","Filled"))))</f>
        <v/>
      </c>
      <c r="AL296">
        <f>IF($M296="NZ","NZ","AU")</f>
        <v/>
      </c>
      <c r="AM296">
        <f>COUNTIF($AJ$2:$AJ296,$AJ296)</f>
        <v/>
      </c>
      <c r="AN296">
        <f>$AJ296&amp;"|"&amp;$AM296</f>
        <v/>
      </c>
      <c r="AO296" t="inlineStr">
        <is>
          <t>Data Science</t>
        </is>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
      </c>
      <c r="AJ297">
        <f>IFERROR(INDEX(Lists!$U$1:$U$18,MATCH($I297,Lists!$T$1:$T$18,0)),"?")</f>
        <v/>
      </c>
      <c r="AK297">
        <f>IF(LOWER($Q297)="v","Vacant",IF(LOWER($Q297)="pause","Paused",IF(LOWER($Q297)="cxc","Contractor",IF($Q297="Contractor","Contractor","Filled"))))</f>
        <v/>
      </c>
      <c r="AL297">
        <f>IF($M297="NZ","NZ","AU")</f>
        <v/>
      </c>
      <c r="AM297">
        <f>COUNTIF($AJ$2:$AJ297,$AJ297)</f>
        <v/>
      </c>
      <c r="AN297">
        <f>$AJ297&amp;"|"&amp;$AM297</f>
        <v/>
      </c>
      <c r="AO297" t="inlineStr">
        <is>
          <t>Reporting &amp; Analytics</t>
        </is>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
      </c>
      <c r="AJ298">
        <f>IFERROR(INDEX(Lists!$U$1:$U$18,MATCH($I298,Lists!$T$1:$T$18,0)),"?")</f>
        <v/>
      </c>
      <c r="AK298">
        <f>IF(LOWER($Q298)="v","Vacant",IF(LOWER($Q298)="pause","Paused",IF(LOWER($Q298)="cxc","Contractor",IF($Q298="Contractor","Contractor","Filled"))))</f>
        <v/>
      </c>
      <c r="AL298">
        <f>IF($M298="NZ","NZ","AU")</f>
        <v/>
      </c>
      <c r="AM298">
        <f>COUNTIF($AJ$2:$AJ298,$AJ298)</f>
        <v/>
      </c>
      <c r="AN298">
        <f>$AJ298&amp;"|"&amp;$AM298</f>
        <v/>
      </c>
      <c r="AO298" t="inlineStr">
        <is>
          <t>Reporting &amp; Analytics</t>
        </is>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
      </c>
      <c r="AJ299">
        <f>IFERROR(INDEX(Lists!$U$1:$U$18,MATCH($I299,Lists!$T$1:$T$18,0)),"?")</f>
        <v/>
      </c>
      <c r="AK299">
        <f>IF(LOWER($Q299)="v","Vacant",IF(LOWER($Q299)="pause","Paused",IF(LOWER($Q299)="cxc","Contractor",IF($Q299="Contractor","Contractor","Filled"))))</f>
        <v/>
      </c>
      <c r="AL299">
        <f>IF($M299="NZ","NZ","AU")</f>
        <v/>
      </c>
      <c r="AM299">
        <f>COUNTIF($AJ$2:$AJ299,$AJ299)</f>
        <v/>
      </c>
      <c r="AN299">
        <f>$AJ299&amp;"|"&amp;$AM299</f>
        <v/>
      </c>
      <c r="AO299" t="inlineStr">
        <is>
          <t>(unassigned)</t>
        </is>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
      </c>
      <c r="AJ300">
        <f>IFERROR(INDEX(Lists!$U$1:$U$18,MATCH($I300,Lists!$T$1:$T$18,0)),"?")</f>
        <v/>
      </c>
      <c r="AK300">
        <f>IF(LOWER($Q300)="v","Vacant",IF(LOWER($Q300)="pause","Paused",IF(LOWER($Q300)="cxc","Contractor",IF($Q300="Contractor","Contractor","Filled"))))</f>
        <v/>
      </c>
      <c r="AL300">
        <f>IF($M300="NZ","NZ","AU")</f>
        <v/>
      </c>
      <c r="AM300">
        <f>COUNTIF($AJ$2:$AJ300,$AJ300)</f>
        <v/>
      </c>
      <c r="AN300">
        <f>$AJ300&amp;"|"&amp;$AM300</f>
        <v/>
      </c>
      <c r="AO300" t="inlineStr">
        <is>
          <t>(unassigned)</t>
        </is>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
      </c>
      <c r="AJ301">
        <f>IFERROR(INDEX(Lists!$U$1:$U$18,MATCH($I301,Lists!$T$1:$T$18,0)),"?")</f>
        <v/>
      </c>
      <c r="AK301">
        <f>IF(LOWER($Q301)="v","Vacant",IF(LOWER($Q301)="pause","Paused",IF(LOWER($Q301)="cxc","Contractor",IF($Q301="Contractor","Contractor","Filled"))))</f>
        <v/>
      </c>
      <c r="AL301">
        <f>IF($M301="NZ","NZ","AU")</f>
        <v/>
      </c>
      <c r="AM301">
        <f>COUNTIF($AJ$2:$AJ301,$AJ301)</f>
        <v/>
      </c>
      <c r="AN301">
        <f>$AJ301&amp;"|"&amp;$AM301</f>
        <v/>
      </c>
      <c r="AO301" t="inlineStr">
        <is>
          <t>(unassigned)</t>
        </is>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
      </c>
      <c r="AJ302">
        <f>IFERROR(INDEX(Lists!$U$1:$U$18,MATCH($I302,Lists!$T$1:$T$18,0)),"?")</f>
        <v/>
      </c>
      <c r="AK302">
        <f>IF(LOWER($Q302)="v","Vacant",IF(LOWER($Q302)="pause","Paused",IF(LOWER($Q302)="cxc","Contractor",IF($Q302="Contractor","Contractor","Filled"))))</f>
        <v/>
      </c>
      <c r="AL302">
        <f>IF($M302="NZ","NZ","AU")</f>
        <v/>
      </c>
      <c r="AM302">
        <f>COUNTIF($AJ$2:$AJ302,$AJ302)</f>
        <v/>
      </c>
      <c r="AN302">
        <f>$AJ302&amp;"|"&amp;$AM302</f>
        <v/>
      </c>
      <c r="AO302" t="inlineStr">
        <is>
          <t>(unassigned)</t>
        </is>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
      </c>
      <c r="AJ303">
        <f>IFERROR(INDEX(Lists!$U$1:$U$18,MATCH($I303,Lists!$T$1:$T$18,0)),"?")</f>
        <v/>
      </c>
      <c r="AK303">
        <f>IF(LOWER($Q303)="v","Vacant",IF(LOWER($Q303)="pause","Paused",IF(LOWER($Q303)="cxc","Contractor",IF($Q303="Contractor","Contractor","Filled"))))</f>
        <v/>
      </c>
      <c r="AL303">
        <f>IF($M303="NZ","NZ","AU")</f>
        <v/>
      </c>
      <c r="AM303">
        <f>COUNTIF($AJ$2:$AJ303,$AJ303)</f>
        <v/>
      </c>
      <c r="AN303">
        <f>$AJ303&amp;"|"&amp;$AM303</f>
        <v/>
      </c>
      <c r="AO303" t="inlineStr">
        <is>
          <t>(unassigned)</t>
        </is>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
      </c>
      <c r="AJ304">
        <f>IFERROR(INDEX(Lists!$U$1:$U$18,MATCH($I304,Lists!$T$1:$T$18,0)),"?")</f>
        <v/>
      </c>
      <c r="AK304">
        <f>IF(LOWER($Q304)="v","Vacant",IF(LOWER($Q304)="pause","Paused",IF(LOWER($Q304)="cxc","Contractor",IF($Q304="Contractor","Contractor","Filled"))))</f>
        <v/>
      </c>
      <c r="AL304">
        <f>IF($M304="NZ","NZ","AU")</f>
        <v/>
      </c>
      <c r="AM304">
        <f>COUNTIF($AJ$2:$AJ304,$AJ304)</f>
        <v/>
      </c>
      <c r="AN304">
        <f>$AJ304&amp;"|"&amp;$AM304</f>
        <v/>
      </c>
      <c r="AO304" t="inlineStr">
        <is>
          <t>(unassigned)</t>
        </is>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
      </c>
      <c r="AJ305">
        <f>IFERROR(INDEX(Lists!$U$1:$U$18,MATCH($I305,Lists!$T$1:$T$18,0)),"?")</f>
        <v/>
      </c>
      <c r="AK305">
        <f>IF(LOWER($Q305)="v","Vacant",IF(LOWER($Q305)="pause","Paused",IF(LOWER($Q305)="cxc","Contractor",IF($Q305="Contractor","Contractor","Filled"))))</f>
        <v/>
      </c>
      <c r="AL305">
        <f>IF($M305="NZ","NZ","AU")</f>
        <v/>
      </c>
      <c r="AM305">
        <f>COUNTIF($AJ$2:$AJ305,$AJ305)</f>
        <v/>
      </c>
      <c r="AN305">
        <f>$AJ305&amp;"|"&amp;$AM305</f>
        <v/>
      </c>
      <c r="AO305" t="inlineStr">
        <is>
          <t>(unassigned)</t>
        </is>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
      </c>
      <c r="AJ306">
        <f>IFERROR(INDEX(Lists!$U$1:$U$18,MATCH($I306,Lists!$T$1:$T$18,0)),"?")</f>
        <v/>
      </c>
      <c r="AK306">
        <f>IF(LOWER($Q306)="v","Vacant",IF(LOWER($Q306)="pause","Paused",IF(LOWER($Q306)="cxc","Contractor",IF($Q306="Contractor","Contractor","Filled"))))</f>
        <v/>
      </c>
      <c r="AL306">
        <f>IF($M306="NZ","NZ","AU")</f>
        <v/>
      </c>
      <c r="AM306">
        <f>COUNTIF($AJ$2:$AJ306,$AJ306)</f>
        <v/>
      </c>
      <c r="AN306">
        <f>$AJ306&amp;"|"&amp;$AM306</f>
        <v/>
      </c>
      <c r="AO306" t="inlineStr">
        <is>
          <t>(unassigned)</t>
        </is>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
      </c>
      <c r="AB307" s="754" t="n">
        <v>113607</v>
      </c>
      <c r="AH307" s="920" t="n"/>
      <c r="AJ307">
        <f>IFERROR(INDEX(Lists!$U$1:$U$18,MATCH($I307,Lists!$T$1:$T$18,0)),"?")</f>
        <v/>
      </c>
      <c r="AK307">
        <f>IF(LOWER($Q307)="v","Vacant",IF(LOWER($Q307)="pause","Paused",IF(LOWER($Q307)="cxc","Contractor",IF($Q307="Contractor","Contractor","Filled"))))</f>
        <v/>
      </c>
      <c r="AL307">
        <f>IF($M307="NZ","NZ","AU")</f>
        <v/>
      </c>
      <c r="AM307">
        <f>COUNTIF($AJ$2:$AJ307,$AJ307)</f>
        <v/>
      </c>
      <c r="AN307">
        <f>$AJ307&amp;"|"&amp;$AM307</f>
        <v/>
      </c>
      <c r="AO307" t="inlineStr">
        <is>
          <t>Data Platform</t>
        </is>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
      </c>
      <c r="AJ308">
        <f>IFERROR(INDEX(Lists!$U$1:$U$18,MATCH($I308,Lists!$T$1:$T$18,0)),"?")</f>
        <v/>
      </c>
      <c r="AK308">
        <f>IF(LOWER($Q308)="v","Vacant",IF(LOWER($Q308)="pause","Paused",IF(LOWER($Q308)="cxc","Contractor",IF($Q308="Contractor","Contractor","Filled"))))</f>
        <v/>
      </c>
      <c r="AL308">
        <f>IF($M308="NZ","NZ","AU")</f>
        <v/>
      </c>
      <c r="AM308">
        <f>COUNTIF($AJ$2:$AJ308,$AJ308)</f>
        <v/>
      </c>
      <c r="AN308">
        <f>$AJ308&amp;"|"&amp;$AM308</f>
        <v/>
      </c>
      <c r="AO308" t="inlineStr">
        <is>
          <t>Reporting &amp; Analytics</t>
        </is>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
      </c>
      <c r="AJ309">
        <f>IFERROR(INDEX(Lists!$U$1:$U$18,MATCH($I309,Lists!$T$1:$T$18,0)),"?")</f>
        <v/>
      </c>
      <c r="AK309">
        <f>IF(LOWER($Q309)="v","Vacant",IF(LOWER($Q309)="pause","Paused",IF(LOWER($Q309)="cxc","Contractor",IF($Q309="Contractor","Contractor","Filled"))))</f>
        <v/>
      </c>
      <c r="AL309">
        <f>IF($M309="NZ","NZ","AU")</f>
        <v/>
      </c>
      <c r="AM309">
        <f>COUNTIF($AJ$2:$AJ309,$AJ309)</f>
        <v/>
      </c>
      <c r="AN309">
        <f>$AJ309&amp;"|"&amp;$AM309</f>
        <v/>
      </c>
      <c r="AO309" t="inlineStr">
        <is>
          <t>(unassigned)</t>
        </is>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
      </c>
      <c r="AJ310">
        <f>IFERROR(INDEX(Lists!$U$1:$U$18,MATCH($I310,Lists!$T$1:$T$18,0)),"?")</f>
        <v/>
      </c>
      <c r="AK310">
        <f>IF(LOWER($Q310)="v","Vacant",IF(LOWER($Q310)="pause","Paused",IF(LOWER($Q310)="cxc","Contractor",IF($Q310="Contractor","Contractor","Filled"))))</f>
        <v/>
      </c>
      <c r="AL310">
        <f>IF($M310="NZ","NZ","AU")</f>
        <v/>
      </c>
      <c r="AM310">
        <f>COUNTIF($AJ$2:$AJ310,$AJ310)</f>
        <v/>
      </c>
      <c r="AN310">
        <f>$AJ310&amp;"|"&amp;$AM310</f>
        <v/>
      </c>
      <c r="AO310" t="inlineStr">
        <is>
          <t>Reporting &amp; Analytics</t>
        </is>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
      </c>
      <c r="AJ311">
        <f>IFERROR(INDEX(Lists!$U$1:$U$18,MATCH($I311,Lists!$T$1:$T$18,0)),"?")</f>
        <v/>
      </c>
      <c r="AK311">
        <f>IF(LOWER($Q311)="v","Vacant",IF(LOWER($Q311)="pause","Paused",IF(LOWER($Q311)="cxc","Contractor",IF($Q311="Contractor","Contractor","Filled"))))</f>
        <v/>
      </c>
      <c r="AL311">
        <f>IF($M311="NZ","NZ","AU")</f>
        <v/>
      </c>
      <c r="AM311">
        <f>COUNTIF($AJ$2:$AJ311,$AJ311)</f>
        <v/>
      </c>
      <c r="AN311">
        <f>$AJ311&amp;"|"&amp;$AM311</f>
        <v/>
      </c>
      <c r="AO311" t="inlineStr">
        <is>
          <t>Reporting &amp; Analytics</t>
        </is>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
      </c>
      <c r="AB312" s="754" t="n">
        <v>15175</v>
      </c>
      <c r="AH312" s="920" t="n">
        <v>330</v>
      </c>
      <c r="AJ312">
        <f>IFERROR(INDEX(Lists!$U$1:$U$18,MATCH($I312,Lists!$T$1:$T$18,0)),"?")</f>
        <v/>
      </c>
      <c r="AK312">
        <f>IF(LOWER($Q312)="v","Vacant",IF(LOWER($Q312)="pause","Paused",IF(LOWER($Q312)="cxc","Contractor",IF($Q312="Contractor","Contractor","Filled"))))</f>
        <v/>
      </c>
      <c r="AL312">
        <f>IF($M312="NZ","NZ","AU")</f>
        <v/>
      </c>
      <c r="AM312">
        <f>COUNTIF($AJ$2:$AJ312,$AJ312)</f>
        <v/>
      </c>
      <c r="AN312">
        <f>$AJ312&amp;"|"&amp;$AM312</f>
        <v/>
      </c>
      <c r="AO312" t="inlineStr">
        <is>
          <t>Data Platform</t>
        </is>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
      </c>
      <c r="AJ313">
        <f>IFERROR(INDEX(Lists!$U$1:$U$18,MATCH($I313,Lists!$T$1:$T$18,0)),"?")</f>
        <v/>
      </c>
      <c r="AK313">
        <f>IF(LOWER($Q313)="v","Vacant",IF(LOWER($Q313)="pause","Paused",IF(LOWER($Q313)="cxc","Contractor",IF($Q313="Contractor","Contractor","Filled"))))</f>
        <v/>
      </c>
      <c r="AL313">
        <f>IF($M313="NZ","NZ","AU")</f>
        <v/>
      </c>
      <c r="AM313">
        <f>COUNTIF($AJ$2:$AJ313,$AJ313)</f>
        <v/>
      </c>
      <c r="AN313">
        <f>$AJ313&amp;"|"&amp;$AM313</f>
        <v/>
      </c>
      <c r="AO313" t="inlineStr">
        <is>
          <t>(unassigned)</t>
        </is>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
      </c>
      <c r="AJ314">
        <f>IFERROR(INDEX(Lists!$U$1:$U$18,MATCH($I314,Lists!$T$1:$T$18,0)),"?")</f>
        <v/>
      </c>
      <c r="AK314">
        <f>IF(LOWER($Q314)="v","Vacant",IF(LOWER($Q314)="pause","Paused",IF(LOWER($Q314)="cxc","Contractor",IF($Q314="Contractor","Contractor","Filled"))))</f>
        <v/>
      </c>
      <c r="AL314">
        <f>IF($M314="NZ","NZ","AU")</f>
        <v/>
      </c>
      <c r="AM314">
        <f>COUNTIF($AJ$2:$AJ314,$AJ314)</f>
        <v/>
      </c>
      <c r="AN314">
        <f>$AJ314&amp;"|"&amp;$AM314</f>
        <v/>
      </c>
      <c r="AO314" t="inlineStr">
        <is>
          <t>Data Platform</t>
        </is>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
      </c>
      <c r="AJ315">
        <f>IFERROR(INDEX(Lists!$U$1:$U$18,MATCH($I315,Lists!$T$1:$T$18,0)),"?")</f>
        <v/>
      </c>
      <c r="AK315">
        <f>IF(LOWER($Q315)="v","Vacant",IF(LOWER($Q315)="pause","Paused",IF(LOWER($Q315)="cxc","Contractor",IF($Q315="Contractor","Contractor","Filled"))))</f>
        <v/>
      </c>
      <c r="AL315">
        <f>IF($M315="NZ","NZ","AU")</f>
        <v/>
      </c>
      <c r="AM315">
        <f>COUNTIF($AJ$2:$AJ315,$AJ315)</f>
        <v/>
      </c>
      <c r="AN315">
        <f>$AJ315&amp;"|"&amp;$AM315</f>
        <v/>
      </c>
      <c r="AO315" t="inlineStr">
        <is>
          <t>Data Platform</t>
        </is>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
      </c>
      <c r="AJ316">
        <f>IFERROR(INDEX(Lists!$U$1:$U$18,MATCH($I316,Lists!$T$1:$T$18,0)),"?")</f>
        <v/>
      </c>
      <c r="AK316">
        <f>IF(LOWER($Q316)="v","Vacant",IF(LOWER($Q316)="pause","Paused",IF(LOWER($Q316)="cxc","Contractor",IF($Q316="Contractor","Contractor","Filled"))))</f>
        <v/>
      </c>
      <c r="AL316">
        <f>IF($M316="NZ","NZ","AU")</f>
        <v/>
      </c>
      <c r="AM316">
        <f>COUNTIF($AJ$2:$AJ316,$AJ316)</f>
        <v/>
      </c>
      <c r="AN316">
        <f>$AJ316&amp;"|"&amp;$AM316</f>
        <v/>
      </c>
      <c r="AO316" t="inlineStr">
        <is>
          <t>Data Platform</t>
        </is>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
      </c>
      <c r="AJ317">
        <f>IFERROR(INDEX(Lists!$U$1:$U$18,MATCH($I317,Lists!$T$1:$T$18,0)),"?")</f>
        <v/>
      </c>
      <c r="AK317">
        <f>IF(LOWER($Q317)="v","Vacant",IF(LOWER($Q317)="pause","Paused",IF(LOWER($Q317)="cxc","Contractor",IF($Q317="Contractor","Contractor","Filled"))))</f>
        <v/>
      </c>
      <c r="AL317">
        <f>IF($M317="NZ","NZ","AU")</f>
        <v/>
      </c>
      <c r="AM317">
        <f>COUNTIF($AJ$2:$AJ317,$AJ317)</f>
        <v/>
      </c>
      <c r="AN317">
        <f>$AJ317&amp;"|"&amp;$AM317</f>
        <v/>
      </c>
      <c r="AO317" t="inlineStr">
        <is>
          <t>Data Platform</t>
        </is>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
      </c>
      <c r="AJ318">
        <f>IFERROR(INDEX(Lists!$U$1:$U$18,MATCH($I318,Lists!$T$1:$T$18,0)),"?")</f>
        <v/>
      </c>
      <c r="AK318">
        <f>IF(LOWER($Q318)="v","Vacant",IF(LOWER($Q318)="pause","Paused",IF(LOWER($Q318)="cxc","Contractor",IF($Q318="Contractor","Contractor","Filled"))))</f>
        <v/>
      </c>
      <c r="AL318">
        <f>IF($M318="NZ","NZ","AU")</f>
        <v/>
      </c>
      <c r="AM318">
        <f>COUNTIF($AJ$2:$AJ318,$AJ318)</f>
        <v/>
      </c>
      <c r="AN318">
        <f>$AJ318&amp;"|"&amp;$AM318</f>
        <v/>
      </c>
      <c r="AO318" t="inlineStr">
        <is>
          <t>Reporting &amp; Analytics</t>
        </is>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
      </c>
      <c r="AJ319">
        <f>IFERROR(INDEX(Lists!$U$1:$U$18,MATCH($I319,Lists!$T$1:$T$18,0)),"?")</f>
        <v/>
      </c>
      <c r="AK319">
        <f>IF(LOWER($Q319)="v","Vacant",IF(LOWER($Q319)="pause","Paused",IF(LOWER($Q319)="cxc","Contractor",IF($Q319="Contractor","Contractor","Filled"))))</f>
        <v/>
      </c>
      <c r="AL319">
        <f>IF($M319="NZ","NZ","AU")</f>
        <v/>
      </c>
      <c r="AM319">
        <f>COUNTIF($AJ$2:$AJ319,$AJ319)</f>
        <v/>
      </c>
      <c r="AN319">
        <f>$AJ319&amp;"|"&amp;$AM319</f>
        <v/>
      </c>
      <c r="AO319" t="inlineStr">
        <is>
          <t>Data Platform</t>
        </is>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
      </c>
      <c r="AJ320">
        <f>IFERROR(INDEX(Lists!$U$1:$U$18,MATCH($I320,Lists!$T$1:$T$18,0)),"?")</f>
        <v/>
      </c>
      <c r="AK320">
        <f>IF(LOWER($Q320)="v","Vacant",IF(LOWER($Q320)="pause","Paused",IF(LOWER($Q320)="cxc","Contractor",IF($Q320="Contractor","Contractor","Filled"))))</f>
        <v/>
      </c>
      <c r="AL320">
        <f>IF($M320="NZ","NZ","AU")</f>
        <v/>
      </c>
      <c r="AM320">
        <f>COUNTIF($AJ$2:$AJ320,$AJ320)</f>
        <v/>
      </c>
      <c r="AN320">
        <f>$AJ320&amp;"|"&amp;$AM320</f>
        <v/>
      </c>
      <c r="AO320" t="inlineStr">
        <is>
          <t>Data Platform</t>
        </is>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
      </c>
      <c r="AJ321">
        <f>IFERROR(INDEX(Lists!$U$1:$U$18,MATCH($I321,Lists!$T$1:$T$18,0)),"?")</f>
        <v/>
      </c>
      <c r="AK321">
        <f>IF(LOWER($Q321)="v","Vacant",IF(LOWER($Q321)="pause","Paused",IF(LOWER($Q321)="cxc","Contractor",IF($Q321="Contractor","Contractor","Filled"))))</f>
        <v/>
      </c>
      <c r="AL321">
        <f>IF($M321="NZ","NZ","AU")</f>
        <v/>
      </c>
      <c r="AM321">
        <f>COUNTIF($AJ$2:$AJ321,$AJ321)</f>
        <v/>
      </c>
      <c r="AN321">
        <f>$AJ321&amp;"|"&amp;$AM321</f>
        <v/>
      </c>
      <c r="AO321" t="inlineStr">
        <is>
          <t>(unassigned)</t>
        </is>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
      </c>
      <c r="AJ322">
        <f>IFERROR(INDEX(Lists!$U$1:$U$18,MATCH($I322,Lists!$T$1:$T$18,0)),"?")</f>
        <v/>
      </c>
      <c r="AK322">
        <f>IF(LOWER($Q322)="v","Vacant",IF(LOWER($Q322)="pause","Paused",IF(LOWER($Q322)="cxc","Contractor",IF($Q322="Contractor","Contractor","Filled"))))</f>
        <v/>
      </c>
      <c r="AL322">
        <f>IF($M322="NZ","NZ","AU")</f>
        <v/>
      </c>
      <c r="AM322">
        <f>COUNTIF($AJ$2:$AJ322,$AJ322)</f>
        <v/>
      </c>
      <c r="AN322">
        <f>$AJ322&amp;"|"&amp;$AM322</f>
        <v/>
      </c>
      <c r="AO322" t="inlineStr">
        <is>
          <t>(unassigned)</t>
        </is>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
      </c>
      <c r="AJ323">
        <f>IFERROR(INDEX(Lists!$U$1:$U$18,MATCH($I323,Lists!$T$1:$T$18,0)),"?")</f>
        <v/>
      </c>
      <c r="AK323">
        <f>IF(LOWER($Q323)="v","Vacant",IF(LOWER($Q323)="pause","Paused",IF(LOWER($Q323)="cxc","Contractor",IF($Q323="Contractor","Contractor","Filled"))))</f>
        <v/>
      </c>
      <c r="AL323">
        <f>IF($M323="NZ","NZ","AU")</f>
        <v/>
      </c>
      <c r="AM323">
        <f>COUNTIF($AJ$2:$AJ323,$AJ323)</f>
        <v/>
      </c>
      <c r="AN323">
        <f>$AJ323&amp;"|"&amp;$AM323</f>
        <v/>
      </c>
      <c r="AO323" t="inlineStr">
        <is>
          <t>(unassigned)</t>
        </is>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
      </c>
      <c r="AJ324">
        <f>IFERROR(INDEX(Lists!$U$1:$U$18,MATCH($I324,Lists!$T$1:$T$18,0)),"?")</f>
        <v/>
      </c>
      <c r="AK324">
        <f>IF(LOWER($Q324)="v","Vacant",IF(LOWER($Q324)="pause","Paused",IF(LOWER($Q324)="cxc","Contractor",IF($Q324="Contractor","Contractor","Filled"))))</f>
        <v/>
      </c>
      <c r="AL324">
        <f>IF($M324="NZ","NZ","AU")</f>
        <v/>
      </c>
      <c r="AM324">
        <f>COUNTIF($AJ$2:$AJ324,$AJ324)</f>
        <v/>
      </c>
      <c r="AN324">
        <f>$AJ324&amp;"|"&amp;$AM324</f>
        <v/>
      </c>
      <c r="AO324" t="inlineStr">
        <is>
          <t>(unassigned)</t>
        </is>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
      </c>
      <c r="AJ325">
        <f>IFERROR(INDEX(Lists!$U$1:$U$18,MATCH($I325,Lists!$T$1:$T$18,0)),"?")</f>
        <v/>
      </c>
      <c r="AK325">
        <f>IF(LOWER($Q325)="v","Vacant",IF(LOWER($Q325)="pause","Paused",IF(LOWER($Q325)="cxc","Contractor",IF($Q325="Contractor","Contractor","Filled"))))</f>
        <v/>
      </c>
      <c r="AL325">
        <f>IF($M325="NZ","NZ","AU")</f>
        <v/>
      </c>
      <c r="AM325">
        <f>COUNTIF($AJ$2:$AJ325,$AJ325)</f>
        <v/>
      </c>
      <c r="AN325">
        <f>$AJ325&amp;"|"&amp;$AM325</f>
        <v/>
      </c>
      <c r="AO325" t="inlineStr">
        <is>
          <t>(unassigned)</t>
        </is>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
      </c>
      <c r="AJ326">
        <f>IFERROR(INDEX(Lists!$U$1:$U$18,MATCH($I326,Lists!$T$1:$T$18,0)),"?")</f>
        <v/>
      </c>
      <c r="AK326">
        <f>IF(LOWER($Q326)="v","Vacant",IF(LOWER($Q326)="pause","Paused",IF(LOWER($Q326)="cxc","Contractor",IF($Q326="Contractor","Contractor","Filled"))))</f>
        <v/>
      </c>
      <c r="AL326">
        <f>IF($M326="NZ","NZ","AU")</f>
        <v/>
      </c>
      <c r="AM326">
        <f>COUNTIF($AJ$2:$AJ326,$AJ326)</f>
        <v/>
      </c>
      <c r="AN326">
        <f>$AJ326&amp;"|"&amp;$AM326</f>
        <v/>
      </c>
      <c r="AO326" t="inlineStr">
        <is>
          <t>(unassigned)</t>
        </is>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
      </c>
      <c r="AJ327">
        <f>IFERROR(INDEX(Lists!$U$1:$U$18,MATCH($I327,Lists!$T$1:$T$18,0)),"?")</f>
        <v/>
      </c>
      <c r="AK327">
        <f>IF(LOWER($Q327)="v","Vacant",IF(LOWER($Q327)="pause","Paused",IF(LOWER($Q327)="cxc","Contractor",IF($Q327="Contractor","Contractor","Filled"))))</f>
        <v/>
      </c>
      <c r="AL327">
        <f>IF($M327="NZ","NZ","AU")</f>
        <v/>
      </c>
      <c r="AM327">
        <f>COUNTIF($AJ$2:$AJ327,$AJ327)</f>
        <v/>
      </c>
      <c r="AN327">
        <f>$AJ327&amp;"|"&amp;$AM327</f>
        <v/>
      </c>
      <c r="AO327" t="inlineStr">
        <is>
          <t>(unassigned)</t>
        </is>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
      </c>
      <c r="AJ328">
        <f>IFERROR(INDEX(Lists!$U$1:$U$18,MATCH($I328,Lists!$T$1:$T$18,0)),"?")</f>
        <v/>
      </c>
      <c r="AK328">
        <f>IF(LOWER($Q328)="v","Vacant",IF(LOWER($Q328)="pause","Paused",IF(LOWER($Q328)="cxc","Contractor",IF($Q328="Contractor","Contractor","Filled"))))</f>
        <v/>
      </c>
      <c r="AL328">
        <f>IF($M328="NZ","NZ","AU")</f>
        <v/>
      </c>
      <c r="AM328">
        <f>COUNTIF($AJ$2:$AJ328,$AJ328)</f>
        <v/>
      </c>
      <c r="AN328">
        <f>$AJ328&amp;"|"&amp;$AM328</f>
        <v/>
      </c>
      <c r="AO328" t="inlineStr">
        <is>
          <t>(unassigned)</t>
        </is>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
      </c>
      <c r="AJ329">
        <f>IFERROR(INDEX(Lists!$U$1:$U$18,MATCH($I329,Lists!$T$1:$T$18,0)),"?")</f>
        <v/>
      </c>
      <c r="AK329">
        <f>IF(LOWER($Q329)="v","Vacant",IF(LOWER($Q329)="pause","Paused",IF(LOWER($Q329)="cxc","Contractor",IF($Q329="Contractor","Contractor","Filled"))))</f>
        <v/>
      </c>
      <c r="AL329">
        <f>IF($M329="NZ","NZ","AU")</f>
        <v/>
      </c>
      <c r="AM329">
        <f>COUNTIF($AJ$2:$AJ329,$AJ329)</f>
        <v/>
      </c>
      <c r="AN329">
        <f>$AJ329&amp;"|"&amp;$AM329</f>
        <v/>
      </c>
      <c r="AO329" t="inlineStr">
        <is>
          <t>Reporting &amp; Analytics</t>
        </is>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
      </c>
      <c r="AB330" s="708" t="n"/>
      <c r="AJ330">
        <f>IFERROR(INDEX(Lists!$U$1:$U$18,MATCH($I330,Lists!$T$1:$T$18,0)),"?")</f>
        <v/>
      </c>
      <c r="AK330">
        <f>IF(LOWER($Q330)="v","Vacant",IF(LOWER($Q330)="pause","Paused",IF(LOWER($Q330)="cxc","Contractor",IF($Q330="Contractor","Contractor","Filled"))))</f>
        <v/>
      </c>
      <c r="AL330">
        <f>IF($M330="NZ","NZ","AU")</f>
        <v/>
      </c>
      <c r="AM330">
        <f>COUNTIF($AJ$2:$AJ330,$AJ330)</f>
        <v/>
      </c>
      <c r="AN330">
        <f>$AJ330&amp;"|"&amp;$AM330</f>
        <v/>
      </c>
      <c r="AO330" t="inlineStr">
        <is>
          <t>Reporting &amp; Analytics</t>
        </is>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
      </c>
      <c r="AJ331">
        <f>IFERROR(INDEX(Lists!$U$1:$U$18,MATCH($I331,Lists!$T$1:$T$18,0)),"?")</f>
        <v/>
      </c>
      <c r="AK331">
        <f>IF(LOWER($Q331)="v","Vacant",IF(LOWER($Q331)="pause","Paused",IF(LOWER($Q331)="cxc","Contractor",IF($Q331="Contractor","Contractor","Filled"))))</f>
        <v/>
      </c>
      <c r="AL331">
        <f>IF($M331="NZ","NZ","AU")</f>
        <v/>
      </c>
      <c r="AM331">
        <f>COUNTIF($AJ$2:$AJ331,$AJ331)</f>
        <v/>
      </c>
      <c r="AN331">
        <f>$AJ331&amp;"|"&amp;$AM331</f>
        <v/>
      </c>
      <c r="AO331" t="inlineStr">
        <is>
          <t>Reporting &amp; Analytics</t>
        </is>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
      </c>
      <c r="AJ332">
        <f>IFERROR(INDEX(Lists!$U$1:$U$18,MATCH($I332,Lists!$T$1:$T$18,0)),"?")</f>
        <v/>
      </c>
      <c r="AK332">
        <f>IF(LOWER($Q332)="v","Vacant",IF(LOWER($Q332)="pause","Paused",IF(LOWER($Q332)="cxc","Contractor",IF($Q332="Contractor","Contractor","Filled"))))</f>
        <v/>
      </c>
      <c r="AL332">
        <f>IF($M332="NZ","NZ","AU")</f>
        <v/>
      </c>
      <c r="AM332">
        <f>COUNTIF($AJ$2:$AJ332,$AJ332)</f>
        <v/>
      </c>
      <c r="AN332">
        <f>$AJ332&amp;"|"&amp;$AM332</f>
        <v/>
      </c>
      <c r="AO332" t="inlineStr">
        <is>
          <t>Data Science</t>
        </is>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f>IFERROR(INDEX(Lists!$U$1:$U$18,MATCH($I333,Lists!$T$1:$T$18,0)),"?")</f>
        <v/>
      </c>
      <c r="AK333">
        <f>IF(LOWER($Q333)="v","Vacant",IF(LOWER($Q333)="pause","Paused",IF(LOWER($Q333)="cxc","Contractor",IF($Q333="Contractor","Contractor","Filled"))))</f>
        <v/>
      </c>
      <c r="AL333">
        <f>IF($M333="NZ","NZ","AU")</f>
        <v/>
      </c>
      <c r="AM333">
        <f>COUNTIF($AJ$2:$AJ333,$AJ333)</f>
        <v/>
      </c>
      <c r="AN333">
        <f>$AJ333&amp;"|"&amp;$AM333</f>
        <v/>
      </c>
      <c r="AO333" t="inlineStr">
        <is>
          <t>Manufacturing Group Projects</t>
        </is>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f>IFERROR(INDEX(Lists!$U$1:$U$18,MATCH($I334,Lists!$T$1:$T$18,0)),"?")</f>
        <v/>
      </c>
      <c r="AK334">
        <f>IF(LOWER($Q334)="v","Vacant",IF(LOWER($Q334)="pause","Paused",IF(LOWER($Q334)="cxc","Contractor",IF($Q334="Contractor","Contractor","Filled"))))</f>
        <v/>
      </c>
      <c r="AL334">
        <f>IF($M334="NZ","NZ","AU")</f>
        <v/>
      </c>
      <c r="AM334">
        <f>COUNTIF($AJ$2:$AJ334,$AJ334)</f>
        <v/>
      </c>
      <c r="AN334">
        <f>$AJ334&amp;"|"&amp;$AM334</f>
        <v/>
      </c>
      <c r="AO334" t="inlineStr">
        <is>
          <t>B2B</t>
        </is>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f>IFERROR(INDEX(Lists!$U$1:$U$18,MATCH($I335,Lists!$T$1:$T$18,0)),"?")</f>
        <v/>
      </c>
      <c r="AK335">
        <f>IF(LOWER($Q335)="v","Vacant",IF(LOWER($Q335)="pause","Paused",IF(LOWER($Q335)="cxc","Contractor",IF($Q335="Contractor","Contractor","Filled"))))</f>
        <v/>
      </c>
      <c r="AL335">
        <f>IF($M335="NZ","NZ","AU")</f>
        <v/>
      </c>
      <c r="AM335">
        <f>COUNTIF($AJ$2:$AJ335,$AJ335)</f>
        <v/>
      </c>
      <c r="AN335">
        <f>$AJ335&amp;"|"&amp;$AM335</f>
        <v/>
      </c>
      <c r="AO335" t="inlineStr">
        <is>
          <t>Technology Support</t>
        </is>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f>IFERROR(INDEX(Lists!$U$1:$U$18,MATCH($I336,Lists!$T$1:$T$18,0)),"?")</f>
        <v/>
      </c>
      <c r="AK336">
        <f>IF(LOWER($Q336)="v","Vacant",IF(LOWER($Q336)="pause","Paused",IF(LOWER($Q336)="cxc","Contractor",IF($Q336="Contractor","Contractor","Filled"))))</f>
        <v/>
      </c>
      <c r="AL336">
        <f>IF($M336="NZ","NZ","AU")</f>
        <v/>
      </c>
      <c r="AM336">
        <f>COUNTIF($AJ$2:$AJ336,$AJ336)</f>
        <v/>
      </c>
      <c r="AN336">
        <f>$AJ336&amp;"|"&amp;$AM336</f>
        <v/>
      </c>
      <c r="AO336" t="inlineStr">
        <is>
          <t>Leadership</t>
        </is>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f>IFERROR(INDEX(Lists!$U$1:$U$18,MATCH($I337,Lists!$T$1:$T$18,0)),"?")</f>
        <v/>
      </c>
      <c r="AK337">
        <f>IF(LOWER($Q337)="v","Vacant",IF(LOWER($Q337)="pause","Paused",IF(LOWER($Q337)="cxc","Contractor",IF($Q337="Contractor","Contractor","Filled"))))</f>
        <v/>
      </c>
      <c r="AL337">
        <f>IF($M337="NZ","NZ","AU")</f>
        <v/>
      </c>
      <c r="AM337">
        <f>COUNTIF($AJ$2:$AJ337,$AJ337)</f>
        <v/>
      </c>
      <c r="AN337">
        <f>$AJ337&amp;"|"&amp;$AM337</f>
        <v/>
      </c>
      <c r="AO337" t="inlineStr">
        <is>
          <t>B2B</t>
        </is>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f>IFERROR(INDEX(Lists!$U$1:$U$18,MATCH($I338,Lists!$T$1:$T$18,0)),"?")</f>
        <v/>
      </c>
      <c r="AK338">
        <f>IF(LOWER($Q338)="v","Vacant",IF(LOWER($Q338)="pause","Paused",IF(LOWER($Q338)="cxc","Contractor",IF($Q338="Contractor","Contractor","Filled"))))</f>
        <v/>
      </c>
      <c r="AL338">
        <f>IF($M338="NZ","NZ","AU")</f>
        <v/>
      </c>
      <c r="AM338">
        <f>COUNTIF($AJ$2:$AJ338,$AJ338)</f>
        <v/>
      </c>
      <c r="AN338">
        <f>$AJ338&amp;"|"&amp;$AM338</f>
        <v/>
      </c>
      <c r="AO338" t="inlineStr">
        <is>
          <t>CTRM</t>
        </is>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f>IFERROR(INDEX(Lists!$U$1:$U$18,MATCH($I339,Lists!$T$1:$T$18,0)),"?")</f>
        <v/>
      </c>
      <c r="AK339">
        <f>IF(LOWER($Q339)="v","Vacant",IF(LOWER($Q339)="pause","Paused",IF(LOWER($Q339)="cxc","Contractor",IF($Q339="Contractor","Contractor","Filled"))))</f>
        <v/>
      </c>
      <c r="AL339">
        <f>IF($M339="NZ","NZ","AU")</f>
        <v/>
      </c>
      <c r="AM339">
        <f>COUNTIF($AJ$2:$AJ339,$AJ339)</f>
        <v/>
      </c>
      <c r="AN339">
        <f>$AJ339&amp;"|"&amp;$AM339</f>
        <v/>
      </c>
      <c r="AO339" t="inlineStr">
        <is>
          <t>Leadership</t>
        </is>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f>IFERROR(INDEX(Lists!$U$1:$U$18,MATCH($I340,Lists!$T$1:$T$18,0)),"?")</f>
        <v/>
      </c>
      <c r="AK340">
        <f>IF(LOWER($Q340)="v","Vacant",IF(LOWER($Q340)="pause","Paused",IF(LOWER($Q340)="cxc","Contractor",IF($Q340="Contractor","Contractor","Filled"))))</f>
        <v/>
      </c>
      <c r="AL340">
        <f>IF($M340="NZ","NZ","AU")</f>
        <v/>
      </c>
      <c r="AM340">
        <f>COUNTIF($AJ$2:$AJ340,$AJ340)</f>
        <v/>
      </c>
      <c r="AN340">
        <f>$AJ340&amp;"|"&amp;$AM340</f>
        <v/>
      </c>
      <c r="AO340" t="inlineStr">
        <is>
          <t>EVCI</t>
        </is>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f>IFERROR(INDEX(Lists!$U$1:$U$18,MATCH($I341,Lists!$T$1:$T$18,0)),"?")</f>
        <v/>
      </c>
      <c r="AK341">
        <f>IF(LOWER($Q341)="v","Vacant",IF(LOWER($Q341)="pause","Paused",IF(LOWER($Q341)="cxc","Contractor",IF($Q341="Contractor","Contractor","Filled"))))</f>
        <v/>
      </c>
      <c r="AL341">
        <f>IF($M341="NZ","NZ","AU")</f>
        <v/>
      </c>
      <c r="AM341">
        <f>COUNTIF($AJ$2:$AJ341,$AJ341)</f>
        <v/>
      </c>
      <c r="AN341">
        <f>$AJ341&amp;"|"&amp;$AM341</f>
        <v/>
      </c>
      <c r="AO341" t="inlineStr">
        <is>
          <t>Distribution, Sales &amp; Services</t>
        </is>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f>IFERROR(INDEX(Lists!$U$1:$U$18,MATCH($I342,Lists!$T$1:$T$18,0)),"?")</f>
        <v/>
      </c>
      <c r="AK342">
        <f>IF(LOWER($Q342)="v","Vacant",IF(LOWER($Q342)="pause","Paused",IF(LOWER($Q342)="cxc","Contractor",IF($Q342="Contractor","Contractor","Filled"))))</f>
        <v/>
      </c>
      <c r="AL342">
        <f>IF($M342="NZ","NZ","AU")</f>
        <v/>
      </c>
      <c r="AM342">
        <f>COUNTIF($AJ$2:$AJ342,$AJ342)</f>
        <v/>
      </c>
      <c r="AN342">
        <f>$AJ342&amp;"|"&amp;$AM342</f>
        <v/>
      </c>
      <c r="AO342" t="inlineStr">
        <is>
          <t>EVCI</t>
        </is>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f>IFERROR(INDEX(Lists!$U$1:$U$18,MATCH($I343,Lists!$T$1:$T$18,0)),"?")</f>
        <v/>
      </c>
      <c r="AK343">
        <f>IF(LOWER($Q343)="v","Vacant",IF(LOWER($Q343)="pause","Paused",IF(LOWER($Q343)="cxc","Contractor",IF($Q343="Contractor","Contractor","Filled"))))</f>
        <v/>
      </c>
      <c r="AL343">
        <f>IF($M343="NZ","NZ","AU")</f>
        <v/>
      </c>
      <c r="AM343">
        <f>COUNTIF($AJ$2:$AJ343,$AJ343)</f>
        <v/>
      </c>
      <c r="AN343">
        <f>$AJ343&amp;"|"&amp;$AM343</f>
        <v/>
      </c>
      <c r="AO343" t="inlineStr">
        <is>
          <t>Supply</t>
        </is>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f>IFERROR(INDEX(Lists!$U$1:$U$18,MATCH($I344,Lists!$T$1:$T$18,0)),"?")</f>
        <v/>
      </c>
      <c r="AK344">
        <f>IF(LOWER($Q344)="v","Vacant",IF(LOWER($Q344)="pause","Paused",IF(LOWER($Q344)="cxc","Contractor",IF($Q344="Contractor","Contractor","Filled"))))</f>
        <v/>
      </c>
      <c r="AL344">
        <f>IF($M344="NZ","NZ","AU")</f>
        <v/>
      </c>
      <c r="AM344">
        <f>COUNTIF($AJ$2:$AJ344,$AJ344)</f>
        <v/>
      </c>
      <c r="AN344">
        <f>$AJ344&amp;"|"&amp;$AM344</f>
        <v/>
      </c>
      <c r="AO344" t="inlineStr">
        <is>
          <t>Trading &amp; Shipping Data</t>
        </is>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f>IFERROR(INDEX(Lists!$U$1:$U$18,MATCH($I345,Lists!$T$1:$T$18,0)),"?")</f>
        <v/>
      </c>
      <c r="AK345">
        <f>IF(LOWER($Q345)="v","Vacant",IF(LOWER($Q345)="pause","Paused",IF(LOWER($Q345)="cxc","Contractor",IF($Q345="Contractor","Contractor","Filled"))))</f>
        <v/>
      </c>
      <c r="AL345">
        <f>IF($M345="NZ","NZ","AU")</f>
        <v/>
      </c>
      <c r="AM345">
        <f>COUNTIF($AJ$2:$AJ345,$AJ345)</f>
        <v/>
      </c>
      <c r="AN345">
        <f>$AJ345&amp;"|"&amp;$AM345</f>
        <v/>
      </c>
      <c r="AO345" t="inlineStr">
        <is>
          <t>Distribution, Sales &amp; Services</t>
        </is>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f>IFERROR(INDEX(Lists!$U$1:$U$18,MATCH($I346,Lists!$T$1:$T$18,0)),"?")</f>
        <v/>
      </c>
      <c r="AK346">
        <f>IF(LOWER($Q346)="v","Vacant",IF(LOWER($Q346)="pause","Paused",IF(LOWER($Q346)="cxc","Contractor",IF($Q346="Contractor","Contractor","Filled"))))</f>
        <v/>
      </c>
      <c r="AL346">
        <f>IF($M346="NZ","NZ","AU")</f>
        <v/>
      </c>
      <c r="AM346">
        <f>COUNTIF($AJ$2:$AJ346,$AJ346)</f>
        <v/>
      </c>
      <c r="AN346">
        <f>$AJ346&amp;"|"&amp;$AM346</f>
        <v/>
      </c>
      <c r="AO346" t="inlineStr">
        <is>
          <t>Trading &amp; Shipping Data</t>
        </is>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f>IFERROR(INDEX(Lists!$U$1:$U$18,MATCH($I347,Lists!$T$1:$T$18,0)),"?")</f>
        <v/>
      </c>
      <c r="AK347">
        <f>IF(LOWER($Q347)="v","Vacant",IF(LOWER($Q347)="pause","Paused",IF(LOWER($Q347)="cxc","Contractor",IF($Q347="Contractor","Contractor","Filled"))))</f>
        <v/>
      </c>
      <c r="AL347">
        <f>IF($M347="NZ","NZ","AU")</f>
        <v/>
      </c>
      <c r="AM347">
        <f>COUNTIF($AJ$2:$AJ347,$AJ347)</f>
        <v/>
      </c>
      <c r="AN347">
        <f>$AJ347&amp;"|"&amp;$AM347</f>
        <v/>
      </c>
      <c r="AO347" t="inlineStr">
        <is>
          <t>Trading &amp; Shipping Data</t>
        </is>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f>IFERROR(INDEX(Lists!$U$1:$U$18,MATCH($I348,Lists!$T$1:$T$18,0)),"?")</f>
        <v/>
      </c>
      <c r="AK348">
        <f>IF(LOWER($Q348)="v","Vacant",IF(LOWER($Q348)="pause","Paused",IF(LOWER($Q348)="cxc","Contractor",IF($Q348="Contractor","Contractor","Filled"))))</f>
        <v/>
      </c>
      <c r="AL348">
        <f>IF($M348="NZ","NZ","AU")</f>
        <v/>
      </c>
      <c r="AM348">
        <f>COUNTIF($AJ$2:$AJ348,$AJ348)</f>
        <v/>
      </c>
      <c r="AN348">
        <f>$AJ348&amp;"|"&amp;$AM348</f>
        <v/>
      </c>
      <c r="AO348" t="inlineStr">
        <is>
          <t>B2B</t>
        </is>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f>IFERROR(INDEX(Lists!$U$1:$U$18,MATCH($I349,Lists!$T$1:$T$18,0)),"?")</f>
        <v/>
      </c>
      <c r="AK349">
        <f>IF(LOWER($Q349)="v","Vacant",IF(LOWER($Q349)="pause","Paused",IF(LOWER($Q349)="cxc","Contractor",IF($Q349="Contractor","Contractor","Filled"))))</f>
        <v/>
      </c>
      <c r="AL349">
        <f>IF($M349="NZ","NZ","AU")</f>
        <v/>
      </c>
      <c r="AM349">
        <f>COUNTIF($AJ$2:$AJ349,$AJ349)</f>
        <v/>
      </c>
      <c r="AN349">
        <f>$AJ349&amp;"|"&amp;$AM349</f>
        <v/>
      </c>
      <c r="AO349" t="inlineStr">
        <is>
          <t>Distribution, Sales &amp; Services</t>
        </is>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f>IFERROR(INDEX(Lists!$U$1:$U$18,MATCH($I350,Lists!$T$1:$T$18,0)),"?")</f>
        <v/>
      </c>
      <c r="AK350">
        <f>IF(LOWER($Q350)="v","Vacant",IF(LOWER($Q350)="pause","Paused",IF(LOWER($Q350)="cxc","Contractor",IF($Q350="Contractor","Contractor","Filled"))))</f>
        <v/>
      </c>
      <c r="AL350">
        <f>IF($M350="NZ","NZ","AU")</f>
        <v/>
      </c>
      <c r="AM350">
        <f>COUNTIF($AJ$2:$AJ350,$AJ350)</f>
        <v/>
      </c>
      <c r="AN350">
        <f>$AJ350&amp;"|"&amp;$AM350</f>
        <v/>
      </c>
      <c r="AO350" t="inlineStr">
        <is>
          <t>CTRM</t>
        </is>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f>IFERROR(INDEX(Lists!$U$1:$U$18,MATCH($I351,Lists!$T$1:$T$18,0)),"?")</f>
        <v/>
      </c>
      <c r="AK351">
        <f>IF(LOWER($Q351)="v","Vacant",IF(LOWER($Q351)="pause","Paused",IF(LOWER($Q351)="cxc","Contractor",IF($Q351="Contractor","Contractor","Filled"))))</f>
        <v/>
      </c>
      <c r="AL351">
        <f>IF($M351="NZ","NZ","AU")</f>
        <v/>
      </c>
      <c r="AM351">
        <f>COUNTIF($AJ$2:$AJ351,$AJ351)</f>
        <v/>
      </c>
      <c r="AN351">
        <f>$AJ351&amp;"|"&amp;$AM351</f>
        <v/>
      </c>
      <c r="AO351" t="inlineStr">
        <is>
          <t>EVCI</t>
        </is>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f>IFERROR(INDEX(Lists!$U$1:$U$18,MATCH($I352,Lists!$T$1:$T$18,0)),"?")</f>
        <v/>
      </c>
      <c r="AK352">
        <f>IF(LOWER($Q352)="v","Vacant",IF(LOWER($Q352)="pause","Paused",IF(LOWER($Q352)="cxc","Contractor",IF($Q352="Contractor","Contractor","Filled"))))</f>
        <v/>
      </c>
      <c r="AL352">
        <f>IF($M352="NZ","NZ","AU")</f>
        <v/>
      </c>
      <c r="AM352">
        <f>COUNTIF($AJ$2:$AJ352,$AJ352)</f>
        <v/>
      </c>
      <c r="AN352">
        <f>$AJ352&amp;"|"&amp;$AM352</f>
        <v/>
      </c>
      <c r="AO352" t="inlineStr">
        <is>
          <t>Energy</t>
        </is>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f>IFERROR(INDEX(Lists!$U$1:$U$18,MATCH($I353,Lists!$T$1:$T$18,0)),"?")</f>
        <v/>
      </c>
      <c r="AK353">
        <f>IF(LOWER($Q353)="v","Vacant",IF(LOWER($Q353)="pause","Paused",IF(LOWER($Q353)="cxc","Contractor",IF($Q353="Contractor","Contractor","Filled"))))</f>
        <v/>
      </c>
      <c r="AL353">
        <f>IF($M353="NZ","NZ","AU")</f>
        <v/>
      </c>
      <c r="AM353">
        <f>COUNTIF($AJ$2:$AJ353,$AJ353)</f>
        <v/>
      </c>
      <c r="AN353">
        <f>$AJ353&amp;"|"&amp;$AM353</f>
        <v/>
      </c>
      <c r="AO353" t="inlineStr">
        <is>
          <t>CTRM</t>
        </is>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f>IFERROR(INDEX(Lists!$U$1:$U$18,MATCH($I354,Lists!$T$1:$T$18,0)),"?")</f>
        <v/>
      </c>
      <c r="AK354">
        <f>IF(LOWER($Q354)="v","Vacant",IF(LOWER($Q354)="pause","Paused",IF(LOWER($Q354)="cxc","Contractor",IF($Q354="Contractor","Contractor","Filled"))))</f>
        <v/>
      </c>
      <c r="AL354">
        <f>IF($M354="NZ","NZ","AU")</f>
        <v/>
      </c>
      <c r="AM354">
        <f>COUNTIF($AJ$2:$AJ354,$AJ354)</f>
        <v/>
      </c>
      <c r="AN354">
        <f>$AJ354&amp;"|"&amp;$AM354</f>
        <v/>
      </c>
      <c r="AO354" t="inlineStr">
        <is>
          <t>CTRM</t>
        </is>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f>IFERROR(INDEX(Lists!$U$1:$U$18,MATCH($I355,Lists!$T$1:$T$18,0)),"?")</f>
        <v/>
      </c>
      <c r="AK355">
        <f>IF(LOWER($Q355)="v","Vacant",IF(LOWER($Q355)="pause","Paused",IF(LOWER($Q355)="cxc","Contractor",IF($Q355="Contractor","Contractor","Filled"))))</f>
        <v/>
      </c>
      <c r="AL355">
        <f>IF($M355="NZ","NZ","AU")</f>
        <v/>
      </c>
      <c r="AM355">
        <f>COUNTIF($AJ$2:$AJ355,$AJ355)</f>
        <v/>
      </c>
      <c r="AN355">
        <f>$AJ355&amp;"|"&amp;$AM355</f>
        <v/>
      </c>
      <c r="AO355" t="inlineStr">
        <is>
          <t>Trading &amp; Shipping</t>
        </is>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f>IFERROR(INDEX(Lists!$U$1:$U$18,MATCH($I356,Lists!$T$1:$T$18,0)),"?")</f>
        <v/>
      </c>
      <c r="AK356">
        <f>IF(LOWER($Q356)="v","Vacant",IF(LOWER($Q356)="pause","Paused",IF(LOWER($Q356)="cxc","Contractor",IF($Q356="Contractor","Contractor","Filled"))))</f>
        <v/>
      </c>
      <c r="AL356">
        <f>IF($M356="NZ","NZ","AU")</f>
        <v/>
      </c>
      <c r="AM356">
        <f>COUNTIF($AJ$2:$AJ356,$AJ356)</f>
        <v/>
      </c>
      <c r="AN356">
        <f>$AJ356&amp;"|"&amp;$AM356</f>
        <v/>
      </c>
      <c r="AO356" t="inlineStr">
        <is>
          <t>Manufacturing Group Projects</t>
        </is>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f>IFERROR(INDEX(Lists!$U$1:$U$18,MATCH($I357,Lists!$T$1:$T$18,0)),"?")</f>
        <v/>
      </c>
      <c r="AK357">
        <f>IF(LOWER($Q357)="v","Vacant",IF(LOWER($Q357)="pause","Paused",IF(LOWER($Q357)="cxc","Contractor",IF($Q357="Contractor","Contractor","Filled"))))</f>
        <v/>
      </c>
      <c r="AL357">
        <f>IF($M357="NZ","NZ","AU")</f>
        <v/>
      </c>
      <c r="AM357">
        <f>COUNTIF($AJ$2:$AJ357,$AJ357)</f>
        <v/>
      </c>
      <c r="AN357">
        <f>$AJ357&amp;"|"&amp;$AM357</f>
        <v/>
      </c>
      <c r="AO357" t="inlineStr">
        <is>
          <t>B2B</t>
        </is>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f>IFERROR(INDEX(Lists!$U$1:$U$18,MATCH($I358,Lists!$T$1:$T$18,0)),"?")</f>
        <v/>
      </c>
      <c r="AK358">
        <f>IF(LOWER($Q358)="v","Vacant",IF(LOWER($Q358)="pause","Paused",IF(LOWER($Q358)="cxc","Contractor",IF($Q358="Contractor","Contractor","Filled"))))</f>
        <v/>
      </c>
      <c r="AL358">
        <f>IF($M358="NZ","NZ","AU")</f>
        <v/>
      </c>
      <c r="AM358">
        <f>COUNTIF($AJ$2:$AJ358,$AJ358)</f>
        <v/>
      </c>
      <c r="AN358">
        <f>$AJ358&amp;"|"&amp;$AM358</f>
        <v/>
      </c>
      <c r="AO358" t="inlineStr">
        <is>
          <t>CTRM</t>
        </is>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f>IFERROR(INDEX(Lists!$U$1:$U$18,MATCH($I359,Lists!$T$1:$T$18,0)),"?")</f>
        <v/>
      </c>
      <c r="AK359">
        <f>IF(LOWER($Q359)="v","Vacant",IF(LOWER($Q359)="pause","Paused",IF(LOWER($Q359)="cxc","Contractor",IF($Q359="Contractor","Contractor","Filled"))))</f>
        <v/>
      </c>
      <c r="AL359">
        <f>IF($M359="NZ","NZ","AU")</f>
        <v/>
      </c>
      <c r="AM359">
        <f>COUNTIF($AJ$2:$AJ359,$AJ359)</f>
        <v/>
      </c>
      <c r="AN359">
        <f>$AJ359&amp;"|"&amp;$AM359</f>
        <v/>
      </c>
      <c r="AO359" t="inlineStr">
        <is>
          <t>Leadership</t>
        </is>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f>IFERROR(INDEX(Lists!$U$1:$U$18,MATCH($I360,Lists!$T$1:$T$18,0)),"?")</f>
        <v/>
      </c>
      <c r="AK360">
        <f>IF(LOWER($Q360)="v","Vacant",IF(LOWER($Q360)="pause","Paused",IF(LOWER($Q360)="cxc","Contractor",IF($Q360="Contractor","Contractor","Filled"))))</f>
        <v/>
      </c>
      <c r="AL360">
        <f>IF($M360="NZ","NZ","AU")</f>
        <v/>
      </c>
      <c r="AM360">
        <f>COUNTIF($AJ$2:$AJ360,$AJ360)</f>
        <v/>
      </c>
      <c r="AN360">
        <f>$AJ360&amp;"|"&amp;$AM360</f>
        <v/>
      </c>
      <c r="AO360" t="inlineStr">
        <is>
          <t>Energy</t>
        </is>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f>IFERROR(INDEX(Lists!$U$1:$U$18,MATCH($I361,Lists!$T$1:$T$18,0)),"?")</f>
        <v/>
      </c>
      <c r="AK361">
        <f>IF(LOWER($Q361)="v","Vacant",IF(LOWER($Q361)="pause","Paused",IF(LOWER($Q361)="cxc","Contractor",IF($Q361="Contractor","Contractor","Filled"))))</f>
        <v/>
      </c>
      <c r="AL361">
        <f>IF($M361="NZ","NZ","AU")</f>
        <v/>
      </c>
      <c r="AM361">
        <f>COUNTIF($AJ$2:$AJ361,$AJ361)</f>
        <v/>
      </c>
      <c r="AN361">
        <f>$AJ361&amp;"|"&amp;$AM361</f>
        <v/>
      </c>
      <c r="AO361" t="inlineStr">
        <is>
          <t>Manufacturing Group Projects</t>
        </is>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f>IFERROR(INDEX(Lists!$U$1:$U$18,MATCH($I362,Lists!$T$1:$T$18,0)),"?")</f>
        <v/>
      </c>
      <c r="AK362">
        <f>IF(LOWER($Q362)="v","Vacant",IF(LOWER($Q362)="pause","Paused",IF(LOWER($Q362)="cxc","Contractor",IF($Q362="Contractor","Contractor","Filled"))))</f>
        <v/>
      </c>
      <c r="AL362">
        <f>IF($M362="NZ","NZ","AU")</f>
        <v/>
      </c>
      <c r="AM362">
        <f>COUNTIF($AJ$2:$AJ362,$AJ362)</f>
        <v/>
      </c>
      <c r="AN362">
        <f>$AJ362&amp;"|"&amp;$AM362</f>
        <v/>
      </c>
      <c r="AO362" t="inlineStr">
        <is>
          <t>B2B</t>
        </is>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f>IFERROR(INDEX(Lists!$U$1:$U$18,MATCH($I363,Lists!$T$1:$T$18,0)),"?")</f>
        <v/>
      </c>
      <c r="AK363">
        <f>IF(LOWER($Q363)="v","Vacant",IF(LOWER($Q363)="pause","Paused",IF(LOWER($Q363)="cxc","Contractor",IF($Q363="Contractor","Contractor","Filled"))))</f>
        <v/>
      </c>
      <c r="AL363">
        <f>IF($M363="NZ","NZ","AU")</f>
        <v/>
      </c>
      <c r="AM363">
        <f>COUNTIF($AJ$2:$AJ363,$AJ363)</f>
        <v/>
      </c>
      <c r="AN363">
        <f>$AJ363&amp;"|"&amp;$AM363</f>
        <v/>
      </c>
      <c r="AO363" t="inlineStr">
        <is>
          <t>CTRM</t>
        </is>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f>IFERROR(INDEX(Lists!$U$1:$U$18,MATCH($I364,Lists!$T$1:$T$18,0)),"?")</f>
        <v/>
      </c>
      <c r="AK364">
        <f>IF(LOWER($Q364)="v","Vacant",IF(LOWER($Q364)="pause","Paused",IF(LOWER($Q364)="cxc","Contractor",IF($Q364="Contractor","Contractor","Filled"))))</f>
        <v/>
      </c>
      <c r="AL364">
        <f>IF($M364="NZ","NZ","AU")</f>
        <v/>
      </c>
      <c r="AM364">
        <f>COUNTIF($AJ$2:$AJ364,$AJ364)</f>
        <v/>
      </c>
      <c r="AN364">
        <f>$AJ364&amp;"|"&amp;$AM364</f>
        <v/>
      </c>
      <c r="AO364" t="inlineStr">
        <is>
          <t>Leadership</t>
        </is>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f>IFERROR(INDEX(Lists!$U$1:$U$18,MATCH($I365,Lists!$T$1:$T$18,0)),"?")</f>
        <v/>
      </c>
      <c r="AK365">
        <f>IF(LOWER($Q365)="v","Vacant",IF(LOWER($Q365)="pause","Paused",IF(LOWER($Q365)="cxc","Contractor",IF($Q365="Contractor","Contractor","Filled"))))</f>
        <v/>
      </c>
      <c r="AL365">
        <f>IF($M365="NZ","NZ","AU")</f>
        <v/>
      </c>
      <c r="AM365">
        <f>COUNTIF($AJ$2:$AJ365,$AJ365)</f>
        <v/>
      </c>
      <c r="AN365">
        <f>$AJ365&amp;"|"&amp;$AM365</f>
        <v/>
      </c>
      <c r="AO365" t="inlineStr">
        <is>
          <t>Technology Support</t>
        </is>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f>IFERROR(INDEX(Lists!$U$1:$U$18,MATCH($I366,Lists!$T$1:$T$18,0)),"?")</f>
        <v/>
      </c>
      <c r="AK366">
        <f>IF(LOWER($Q366)="v","Vacant",IF(LOWER($Q366)="pause","Paused",IF(LOWER($Q366)="cxc","Contractor",IF($Q366="Contractor","Contractor","Filled"))))</f>
        <v/>
      </c>
      <c r="AL366">
        <f>IF($M366="NZ","NZ","AU")</f>
        <v/>
      </c>
      <c r="AM366">
        <f>COUNTIF($AJ$2:$AJ366,$AJ366)</f>
        <v/>
      </c>
      <c r="AN366">
        <f>$AJ366&amp;"|"&amp;$AM366</f>
        <v/>
      </c>
      <c r="AO366" t="inlineStr">
        <is>
          <t>EVCI</t>
        </is>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f>IFERROR(INDEX(Lists!$U$1:$U$18,MATCH($I367,Lists!$T$1:$T$18,0)),"?")</f>
        <v/>
      </c>
      <c r="AK367">
        <f>IF(LOWER($Q367)="v","Vacant",IF(LOWER($Q367)="pause","Paused",IF(LOWER($Q367)="cxc","Contractor",IF($Q367="Contractor","Contractor","Filled"))))</f>
        <v/>
      </c>
      <c r="AL367">
        <f>IF($M367="NZ","NZ","AU")</f>
        <v/>
      </c>
      <c r="AM367">
        <f>COUNTIF($AJ$2:$AJ367,$AJ367)</f>
        <v/>
      </c>
      <c r="AN367">
        <f>$AJ367&amp;"|"&amp;$AM367</f>
        <v/>
      </c>
      <c r="AO367" t="inlineStr">
        <is>
          <t>Energy</t>
        </is>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f>IFERROR(INDEX(Lists!$U$1:$U$18,MATCH($I368,Lists!$T$1:$T$18,0)),"?")</f>
        <v/>
      </c>
      <c r="AK368">
        <f>IF(LOWER($Q368)="v","Vacant",IF(LOWER($Q368)="pause","Paused",IF(LOWER($Q368)="cxc","Contractor",IF($Q368="Contractor","Contractor","Filled"))))</f>
        <v/>
      </c>
      <c r="AL368">
        <f>IF($M368="NZ","NZ","AU")</f>
        <v/>
      </c>
      <c r="AM368">
        <f>COUNTIF($AJ$2:$AJ368,$AJ368)</f>
        <v/>
      </c>
      <c r="AN368">
        <f>$AJ368&amp;"|"&amp;$AM368</f>
        <v/>
      </c>
      <c r="AO368" t="inlineStr">
        <is>
          <t>Trading &amp; Shipping</t>
        </is>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f>IFERROR(INDEX(Lists!$U$1:$U$18,MATCH($I369,Lists!$T$1:$T$18,0)),"?")</f>
        <v/>
      </c>
      <c r="AK369">
        <f>IF(LOWER($Q369)="v","Vacant",IF(LOWER($Q369)="pause","Paused",IF(LOWER($Q369)="cxc","Contractor",IF($Q369="Contractor","Contractor","Filled"))))</f>
        <v/>
      </c>
      <c r="AL369">
        <f>IF($M369="NZ","NZ","AU")</f>
        <v/>
      </c>
      <c r="AM369">
        <f>COUNTIF($AJ$2:$AJ369,$AJ369)</f>
        <v/>
      </c>
      <c r="AN369">
        <f>$AJ369&amp;"|"&amp;$AM369</f>
        <v/>
      </c>
      <c r="AO369" t="inlineStr">
        <is>
          <t>CTRM</t>
        </is>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f>IFERROR(INDEX(Lists!$U$1:$U$18,MATCH($I370,Lists!$T$1:$T$18,0)),"?")</f>
        <v/>
      </c>
      <c r="AK370">
        <f>IF(LOWER($Q370)="v","Vacant",IF(LOWER($Q370)="pause","Paused",IF(LOWER($Q370)="cxc","Contractor",IF($Q370="Contractor","Contractor","Filled"))))</f>
        <v/>
      </c>
      <c r="AL370">
        <f>IF($M370="NZ","NZ","AU")</f>
        <v/>
      </c>
      <c r="AM370">
        <f>COUNTIF($AJ$2:$AJ370,$AJ370)</f>
        <v/>
      </c>
      <c r="AN370">
        <f>$AJ370&amp;"|"&amp;$AM370</f>
        <v/>
      </c>
      <c r="AO370" t="inlineStr">
        <is>
          <t>Trading &amp; Shipping</t>
        </is>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f>IFERROR(INDEX(Lists!$U$1:$U$18,MATCH($I371,Lists!$T$1:$T$18,0)),"?")</f>
        <v/>
      </c>
      <c r="AK371">
        <f>IF(LOWER($Q371)="v","Vacant",IF(LOWER($Q371)="pause","Paused",IF(LOWER($Q371)="cxc","Contractor",IF($Q371="Contractor","Contractor","Filled"))))</f>
        <v/>
      </c>
      <c r="AL371">
        <f>IF($M371="NZ","NZ","AU")</f>
        <v/>
      </c>
      <c r="AM371">
        <f>COUNTIF($AJ$2:$AJ371,$AJ371)</f>
        <v/>
      </c>
      <c r="AN371">
        <f>$AJ371&amp;"|"&amp;$AM371</f>
        <v/>
      </c>
      <c r="AO371" t="inlineStr">
        <is>
          <t>Energy</t>
        </is>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f>IFERROR(INDEX(Lists!$U$1:$U$18,MATCH($I372,Lists!$T$1:$T$18,0)),"?")</f>
        <v/>
      </c>
      <c r="AK372">
        <f>IF(LOWER($Q372)="v","Vacant",IF(LOWER($Q372)="pause","Paused",IF(LOWER($Q372)="cxc","Contractor",IF($Q372="Contractor","Contractor","Filled"))))</f>
        <v/>
      </c>
      <c r="AL372">
        <f>IF($M372="NZ","NZ","AU")</f>
        <v/>
      </c>
      <c r="AM372">
        <f>COUNTIF($AJ$2:$AJ372,$AJ372)</f>
        <v/>
      </c>
      <c r="AN372">
        <f>$AJ372&amp;"|"&amp;$AM372</f>
        <v/>
      </c>
      <c r="AO372" t="inlineStr">
        <is>
          <t>Manufacturing Group Projects</t>
        </is>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f>IFERROR(INDEX(Lists!$U$1:$U$18,MATCH($I373,Lists!$T$1:$T$18,0)),"?")</f>
        <v/>
      </c>
      <c r="AK373">
        <f>IF(LOWER($Q373)="v","Vacant",IF(LOWER($Q373)="pause","Paused",IF(LOWER($Q373)="cxc","Contractor",IF($Q373="Contractor","Contractor","Filled"))))</f>
        <v/>
      </c>
      <c r="AL373">
        <f>IF($M373="NZ","NZ","AU")</f>
        <v/>
      </c>
      <c r="AM373">
        <f>COUNTIF($AJ$2:$AJ373,$AJ373)</f>
        <v/>
      </c>
      <c r="AN373">
        <f>$AJ373&amp;"|"&amp;$AM373</f>
        <v/>
      </c>
      <c r="AO373" t="inlineStr">
        <is>
          <t>Trading &amp; Shipping</t>
        </is>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f>IFERROR(INDEX(Lists!$U$1:$U$18,MATCH($I374,Lists!$T$1:$T$18,0)),"?")</f>
        <v/>
      </c>
      <c r="AK374">
        <f>IF(LOWER($Q374)="v","Vacant",IF(LOWER($Q374)="pause","Paused",IF(LOWER($Q374)="cxc","Contractor",IF($Q374="Contractor","Contractor","Filled"))))</f>
        <v/>
      </c>
      <c r="AL374">
        <f>IF($M374="NZ","NZ","AU")</f>
        <v/>
      </c>
      <c r="AM374">
        <f>COUNTIF($AJ$2:$AJ374,$AJ374)</f>
        <v/>
      </c>
      <c r="AN374">
        <f>$AJ374&amp;"|"&amp;$AM374</f>
        <v/>
      </c>
      <c r="AO374" t="inlineStr">
        <is>
          <t>B2B</t>
        </is>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f>IFERROR(INDEX(Lists!$U$1:$U$18,MATCH($I375,Lists!$T$1:$T$18,0)),"?")</f>
        <v/>
      </c>
      <c r="AK375">
        <f>IF(LOWER($Q375)="v","Vacant",IF(LOWER($Q375)="pause","Paused",IF(LOWER($Q375)="cxc","Contractor",IF($Q375="Contractor","Contractor","Filled"))))</f>
        <v/>
      </c>
      <c r="AL375">
        <f>IF($M375="NZ","NZ","AU")</f>
        <v/>
      </c>
      <c r="AM375">
        <f>COUNTIF($AJ$2:$AJ375,$AJ375)</f>
        <v/>
      </c>
      <c r="AN375">
        <f>$AJ375&amp;"|"&amp;$AM375</f>
        <v/>
      </c>
      <c r="AO375" t="inlineStr">
        <is>
          <t>Distribution, Sales &amp; Services</t>
        </is>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f>IFERROR(INDEX(Lists!$U$1:$U$18,MATCH($I376,Lists!$T$1:$T$18,0)),"?")</f>
        <v/>
      </c>
      <c r="AK376">
        <f>IF(LOWER($Q376)="v","Vacant",IF(LOWER($Q376)="pause","Paused",IF(LOWER($Q376)="cxc","Contractor",IF($Q376="Contractor","Contractor","Filled"))))</f>
        <v/>
      </c>
      <c r="AL376">
        <f>IF($M376="NZ","NZ","AU")</f>
        <v/>
      </c>
      <c r="AM376">
        <f>COUNTIF($AJ$2:$AJ376,$AJ376)</f>
        <v/>
      </c>
      <c r="AN376">
        <f>$AJ376&amp;"|"&amp;$AM376</f>
        <v/>
      </c>
      <c r="AO376" t="inlineStr">
        <is>
          <t>Trading &amp; Shipping Data</t>
        </is>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f>IFERROR(INDEX(Lists!$U$1:$U$18,MATCH($I377,Lists!$T$1:$T$18,0)),"?")</f>
        <v/>
      </c>
      <c r="AK377">
        <f>IF(LOWER($Q377)="v","Vacant",IF(LOWER($Q377)="pause","Paused",IF(LOWER($Q377)="cxc","Contractor",IF($Q377="Contractor","Contractor","Filled"))))</f>
        <v/>
      </c>
      <c r="AL377">
        <f>IF($M377="NZ","NZ","AU")</f>
        <v/>
      </c>
      <c r="AM377">
        <f>COUNTIF($AJ$2:$AJ377,$AJ377)</f>
        <v/>
      </c>
      <c r="AN377">
        <f>$AJ377&amp;"|"&amp;$AM377</f>
        <v/>
      </c>
      <c r="AO377" t="inlineStr">
        <is>
          <t>EVCI</t>
        </is>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f>IFERROR(INDEX(Lists!$U$1:$U$18,MATCH($I378,Lists!$T$1:$T$18,0)),"?")</f>
        <v/>
      </c>
      <c r="AK378">
        <f>IF(LOWER($Q378)="v","Vacant",IF(LOWER($Q378)="pause","Paused",IF(LOWER($Q378)="cxc","Contractor",IF($Q378="Contractor","Contractor","Filled"))))</f>
        <v/>
      </c>
      <c r="AL378">
        <f>IF($M378="NZ","NZ","AU")</f>
        <v/>
      </c>
      <c r="AM378">
        <f>COUNTIF($AJ$2:$AJ378,$AJ378)</f>
        <v/>
      </c>
      <c r="AN378">
        <f>$AJ378&amp;"|"&amp;$AM378</f>
        <v/>
      </c>
      <c r="AO378" t="inlineStr">
        <is>
          <t>Trading &amp; Shipping</t>
        </is>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f>IFERROR(INDEX(Lists!$U$1:$U$18,MATCH($I379,Lists!$T$1:$T$18,0)),"?")</f>
        <v/>
      </c>
      <c r="AK379">
        <f>IF(LOWER($Q379)="v","Vacant",IF(LOWER($Q379)="pause","Paused",IF(LOWER($Q379)="cxc","Contractor",IF($Q379="Contractor","Contractor","Filled"))))</f>
        <v/>
      </c>
      <c r="AL379">
        <f>IF($M379="NZ","NZ","AU")</f>
        <v/>
      </c>
      <c r="AM379">
        <f>COUNTIF($AJ$2:$AJ379,$AJ379)</f>
        <v/>
      </c>
      <c r="AN379">
        <f>$AJ379&amp;"|"&amp;$AM379</f>
        <v/>
      </c>
      <c r="AO379" t="inlineStr">
        <is>
          <t>Trading &amp; Shipping</t>
        </is>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f>IFERROR(INDEX(Lists!$U$1:$U$18,MATCH($I380,Lists!$T$1:$T$18,0)),"?")</f>
        <v/>
      </c>
      <c r="AK380">
        <f>IF(LOWER($Q380)="v","Vacant",IF(LOWER($Q380)="pause","Paused",IF(LOWER($Q380)="cxc","Contractor",IF($Q380="Contractor","Contractor","Filled"))))</f>
        <v/>
      </c>
      <c r="AL380">
        <f>IF($M380="NZ","NZ","AU")</f>
        <v/>
      </c>
      <c r="AM380">
        <f>COUNTIF($AJ$2:$AJ380,$AJ380)</f>
        <v/>
      </c>
      <c r="AN380">
        <f>$AJ380&amp;"|"&amp;$AM380</f>
        <v/>
      </c>
      <c r="AO380" t="inlineStr">
        <is>
          <t>AmPOS</t>
        </is>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f>IFERROR(INDEX(Lists!$U$1:$U$18,MATCH($I381,Lists!$T$1:$T$18,0)),"?")</f>
        <v/>
      </c>
      <c r="AK381">
        <f>IF(LOWER($Q381)="v","Vacant",IF(LOWER($Q381)="pause","Paused",IF(LOWER($Q381)="cxc","Contractor",IF($Q381="Contractor","Contractor","Filled"))))</f>
        <v/>
      </c>
      <c r="AL381">
        <f>IF($M381="NZ","NZ","AU")</f>
        <v/>
      </c>
      <c r="AM381">
        <f>COUNTIF($AJ$2:$AJ381,$AJ381)</f>
        <v/>
      </c>
      <c r="AN381">
        <f>$AJ381&amp;"|"&amp;$AM381</f>
        <v/>
      </c>
      <c r="AO381" t="inlineStr">
        <is>
          <t>Trading &amp; Shipping Data</t>
        </is>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f>IFERROR(INDEX(Lists!$U$1:$U$18,MATCH($I382,Lists!$T$1:$T$18,0)),"?")</f>
        <v/>
      </c>
      <c r="AK382">
        <f>IF(LOWER($Q382)="v","Vacant",IF(LOWER($Q382)="pause","Paused",IF(LOWER($Q382)="cxc","Contractor",IF($Q382="Contractor","Contractor","Filled"))))</f>
        <v/>
      </c>
      <c r="AL382">
        <f>IF($M382="NZ","NZ","AU")</f>
        <v/>
      </c>
      <c r="AM382">
        <f>COUNTIF($AJ$2:$AJ382,$AJ382)</f>
        <v/>
      </c>
      <c r="AN382">
        <f>$AJ382&amp;"|"&amp;$AM382</f>
        <v/>
      </c>
      <c r="AO382" t="inlineStr">
        <is>
          <t>EVCI</t>
        </is>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f>IFERROR(INDEX(Lists!$U$1:$U$18,MATCH($I383,Lists!$T$1:$T$18,0)),"?")</f>
        <v/>
      </c>
      <c r="AK383">
        <f>IF(LOWER($Q383)="v","Vacant",IF(LOWER($Q383)="pause","Paused",IF(LOWER($Q383)="cxc","Contractor",IF($Q383="Contractor","Contractor","Filled"))))</f>
        <v/>
      </c>
      <c r="AL383">
        <f>IF($M383="NZ","NZ","AU")</f>
        <v/>
      </c>
      <c r="AM383">
        <f>COUNTIF($AJ$2:$AJ383,$AJ383)</f>
        <v/>
      </c>
      <c r="AN383">
        <f>$AJ383&amp;"|"&amp;$AM383</f>
        <v/>
      </c>
      <c r="AO383" t="inlineStr">
        <is>
          <t>CTRM</t>
        </is>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f>IFERROR(INDEX(Lists!$U$1:$U$18,MATCH($I384,Lists!$T$1:$T$18,0)),"?")</f>
        <v/>
      </c>
      <c r="AK384">
        <f>IF(LOWER($Q384)="v","Vacant",IF(LOWER($Q384)="pause","Paused",IF(LOWER($Q384)="cxc","Contractor",IF($Q384="Contractor","Contractor","Filled"))))</f>
        <v/>
      </c>
      <c r="AL384">
        <f>IF($M384="NZ","NZ","AU")</f>
        <v/>
      </c>
      <c r="AM384">
        <f>COUNTIF($AJ$2:$AJ384,$AJ384)</f>
        <v/>
      </c>
      <c r="AN384">
        <f>$AJ384&amp;"|"&amp;$AM384</f>
        <v/>
      </c>
      <c r="AO384" t="inlineStr">
        <is>
          <t>Trading &amp; Shipping</t>
        </is>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f>IFERROR(INDEX(Lists!$U$1:$U$18,MATCH($I385,Lists!$T$1:$T$18,0)),"?")</f>
        <v/>
      </c>
      <c r="AK385">
        <f>IF(LOWER($Q385)="v","Vacant",IF(LOWER($Q385)="pause","Paused",IF(LOWER($Q385)="cxc","Contractor",IF($Q385="Contractor","Contractor","Filled"))))</f>
        <v/>
      </c>
      <c r="AL385">
        <f>IF($M385="NZ","NZ","AU")</f>
        <v/>
      </c>
      <c r="AM385">
        <f>COUNTIF($AJ$2:$AJ385,$AJ385)</f>
        <v/>
      </c>
      <c r="AN385">
        <f>$AJ385&amp;"|"&amp;$AM385</f>
        <v/>
      </c>
      <c r="AO385" t="inlineStr">
        <is>
          <t>Leadership</t>
        </is>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f>IFERROR(INDEX(Lists!$U$1:$U$18,MATCH($I386,Lists!$T$1:$T$18,0)),"?")</f>
        <v/>
      </c>
      <c r="AK386">
        <f>IF(LOWER($Q386)="v","Vacant",IF(LOWER($Q386)="pause","Paused",IF(LOWER($Q386)="cxc","Contractor",IF($Q386="Contractor","Contractor","Filled"))))</f>
        <v/>
      </c>
      <c r="AL386">
        <f>IF($M386="NZ","NZ","AU")</f>
        <v/>
      </c>
      <c r="AM386">
        <f>COUNTIF($AJ$2:$AJ386,$AJ386)</f>
        <v/>
      </c>
      <c r="AN386">
        <f>$AJ386&amp;"|"&amp;$AM386</f>
        <v/>
      </c>
      <c r="AO386" t="inlineStr">
        <is>
          <t>B2B</t>
        </is>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f>IFERROR(INDEX(Lists!$U$1:$U$18,MATCH($I387,Lists!$T$1:$T$18,0)),"?")</f>
        <v/>
      </c>
      <c r="AK387">
        <f>IF(LOWER($Q387)="v","Vacant",IF(LOWER($Q387)="pause","Paused",IF(LOWER($Q387)="cxc","Contractor",IF($Q387="Contractor","Contractor","Filled"))))</f>
        <v/>
      </c>
      <c r="AL387">
        <f>IF($M387="NZ","NZ","AU")</f>
        <v/>
      </c>
      <c r="AM387">
        <f>COUNTIF($AJ$2:$AJ387,$AJ387)</f>
        <v/>
      </c>
      <c r="AN387">
        <f>$AJ387&amp;"|"&amp;$AM387</f>
        <v/>
      </c>
      <c r="AO387" t="inlineStr">
        <is>
          <t>Manufacturing Group Projects</t>
        </is>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f>IFERROR(INDEX(Lists!$U$1:$U$18,MATCH($I388,Lists!$T$1:$T$18,0)),"?")</f>
        <v/>
      </c>
      <c r="AK388">
        <f>IF(LOWER($Q388)="v","Vacant",IF(LOWER($Q388)="pause","Paused",IF(LOWER($Q388)="cxc","Contractor",IF($Q388="Contractor","Contractor","Filled"))))</f>
        <v/>
      </c>
      <c r="AL388">
        <f>IF($M388="NZ","NZ","AU")</f>
        <v/>
      </c>
      <c r="AM388">
        <f>COUNTIF($AJ$2:$AJ388,$AJ388)</f>
        <v/>
      </c>
      <c r="AN388">
        <f>$AJ388&amp;"|"&amp;$AM388</f>
        <v/>
      </c>
      <c r="AO388" t="inlineStr">
        <is>
          <t>Energy</t>
        </is>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f>IFERROR(INDEX(Lists!$U$1:$U$18,MATCH($I389,Lists!$T$1:$T$18,0)),"?")</f>
        <v/>
      </c>
      <c r="AK389">
        <f>IF(LOWER($Q389)="v","Vacant",IF(LOWER($Q389)="pause","Paused",IF(LOWER($Q389)="cxc","Contractor",IF($Q389="Contractor","Contractor","Filled"))))</f>
        <v/>
      </c>
      <c r="AL389">
        <f>IF($M389="NZ","NZ","AU")</f>
        <v/>
      </c>
      <c r="AM389">
        <f>COUNTIF($AJ$2:$AJ389,$AJ389)</f>
        <v/>
      </c>
      <c r="AN389">
        <f>$AJ389&amp;"|"&amp;$AM389</f>
        <v/>
      </c>
      <c r="AO389" t="inlineStr">
        <is>
          <t>B2B</t>
        </is>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f>IFERROR(INDEX(Lists!$U$1:$U$18,MATCH($I390,Lists!$T$1:$T$18,0)),"?")</f>
        <v/>
      </c>
      <c r="AK390">
        <f>IF(LOWER($Q390)="v","Vacant",IF(LOWER($Q390)="pause","Paused",IF(LOWER($Q390)="cxc","Contractor",IF($Q390="Contractor","Contractor","Filled"))))</f>
        <v/>
      </c>
      <c r="AL390">
        <f>IF($M390="NZ","NZ","AU")</f>
        <v/>
      </c>
      <c r="AM390">
        <f>COUNTIF($AJ$2:$AJ390,$AJ390)</f>
        <v/>
      </c>
      <c r="AN390">
        <f>$AJ390&amp;"|"&amp;$AM390</f>
        <v/>
      </c>
      <c r="AO390" t="inlineStr">
        <is>
          <t>B2B</t>
        </is>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f>IFERROR(INDEX(Lists!$U$1:$U$18,MATCH($I391,Lists!$T$1:$T$18,0)),"?")</f>
        <v/>
      </c>
      <c r="AK391">
        <f>IF(LOWER($Q391)="v","Vacant",IF(LOWER($Q391)="pause","Paused",IF(LOWER($Q391)="cxc","Contractor",IF($Q391="Contractor","Contractor","Filled"))))</f>
        <v/>
      </c>
      <c r="AL391">
        <f>IF($M391="NZ","NZ","AU")</f>
        <v/>
      </c>
      <c r="AM391">
        <f>COUNTIF($AJ$2:$AJ391,$AJ391)</f>
        <v/>
      </c>
      <c r="AN391">
        <f>$AJ391&amp;"|"&amp;$AM391</f>
        <v/>
      </c>
      <c r="AO391" t="inlineStr">
        <is>
          <t>B2B</t>
        </is>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f>IFERROR(INDEX(Lists!$U$1:$U$18,MATCH($I392,Lists!$T$1:$T$18,0)),"?")</f>
        <v/>
      </c>
      <c r="AK392">
        <f>IF(LOWER($Q392)="v","Vacant",IF(LOWER($Q392)="pause","Paused",IF(LOWER($Q392)="cxc","Contractor",IF($Q392="Contractor","Contractor","Filled"))))</f>
        <v/>
      </c>
      <c r="AL392">
        <f>IF($M392="NZ","NZ","AU")</f>
        <v/>
      </c>
      <c r="AM392">
        <f>COUNTIF($AJ$2:$AJ392,$AJ392)</f>
        <v/>
      </c>
      <c r="AN392">
        <f>$AJ392&amp;"|"&amp;$AM392</f>
        <v/>
      </c>
      <c r="AO392" t="inlineStr">
        <is>
          <t>Leadership</t>
        </is>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f>IFERROR(INDEX(Lists!$U$1:$U$18,MATCH($I393,Lists!$T$1:$T$18,0)),"?")</f>
        <v/>
      </c>
      <c r="AK393">
        <f>IF(LOWER($Q393)="v","Vacant",IF(LOWER($Q393)="pause","Paused",IF(LOWER($Q393)="cxc","Contractor",IF($Q393="Contractor","Contractor","Filled"))))</f>
        <v/>
      </c>
      <c r="AL393">
        <f>IF($M393="NZ","NZ","AU")</f>
        <v/>
      </c>
      <c r="AM393">
        <f>COUNTIF($AJ$2:$AJ393,$AJ393)</f>
        <v/>
      </c>
      <c r="AN393">
        <f>$AJ393&amp;"|"&amp;$AM393</f>
        <v/>
      </c>
      <c r="AO393" t="inlineStr">
        <is>
          <t>CTRM</t>
        </is>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f>IFERROR(INDEX(Lists!$U$1:$U$18,MATCH($I394,Lists!$T$1:$T$18,0)),"?")</f>
        <v/>
      </c>
      <c r="AK394">
        <f>IF(LOWER($Q394)="v","Vacant",IF(LOWER($Q394)="pause","Paused",IF(LOWER($Q394)="cxc","Contractor",IF($Q394="Contractor","Contractor","Filled"))))</f>
        <v/>
      </c>
      <c r="AL394">
        <f>IF($M394="NZ","NZ","AU")</f>
        <v/>
      </c>
      <c r="AM394">
        <f>COUNTIF($AJ$2:$AJ394,$AJ394)</f>
        <v/>
      </c>
      <c r="AN394">
        <f>$AJ394&amp;"|"&amp;$AM394</f>
        <v/>
      </c>
      <c r="AO394" t="inlineStr">
        <is>
          <t>CTRM</t>
        </is>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f>IFERROR(INDEX(Lists!$U$1:$U$18,MATCH($I395,Lists!$T$1:$T$18,0)),"?")</f>
        <v/>
      </c>
      <c r="AK395">
        <f>IF(LOWER($Q395)="v","Vacant",IF(LOWER($Q395)="pause","Paused",IF(LOWER($Q395)="cxc","Contractor",IF($Q395="Contractor","Contractor","Filled"))))</f>
        <v/>
      </c>
      <c r="AL395">
        <f>IF($M395="NZ","NZ","AU")</f>
        <v/>
      </c>
      <c r="AM395">
        <f>COUNTIF($AJ$2:$AJ395,$AJ395)</f>
        <v/>
      </c>
      <c r="AN395">
        <f>$AJ395&amp;"|"&amp;$AM395</f>
        <v/>
      </c>
      <c r="AO395" t="inlineStr">
        <is>
          <t>Trading &amp; Shipping</t>
        </is>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f>IFERROR(INDEX(Lists!$U$1:$U$18,MATCH($I396,Lists!$T$1:$T$18,0)),"?")</f>
        <v/>
      </c>
      <c r="AK396">
        <f>IF(LOWER($Q396)="v","Vacant",IF(LOWER($Q396)="pause","Paused",IF(LOWER($Q396)="cxc","Contractor",IF($Q396="Contractor","Contractor","Filled"))))</f>
        <v/>
      </c>
      <c r="AL396">
        <f>IF($M396="NZ","NZ","AU")</f>
        <v/>
      </c>
      <c r="AM396">
        <f>COUNTIF($AJ$2:$AJ396,$AJ396)</f>
        <v/>
      </c>
      <c r="AN396">
        <f>$AJ396&amp;"|"&amp;$AM396</f>
        <v/>
      </c>
      <c r="AO396" t="inlineStr">
        <is>
          <t>Technology Support</t>
        </is>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f>IFERROR(INDEX(Lists!$U$1:$U$18,MATCH($I397,Lists!$T$1:$T$18,0)),"?")</f>
        <v/>
      </c>
      <c r="AK397">
        <f>IF(LOWER($Q397)="v","Vacant",IF(LOWER($Q397)="pause","Paused",IF(LOWER($Q397)="cxc","Contractor",IF($Q397="Contractor","Contractor","Filled"))))</f>
        <v/>
      </c>
      <c r="AL397">
        <f>IF($M397="NZ","NZ","AU")</f>
        <v/>
      </c>
      <c r="AM397">
        <f>COUNTIF($AJ$2:$AJ397,$AJ397)</f>
        <v/>
      </c>
      <c r="AN397">
        <f>$AJ397&amp;"|"&amp;$AM397</f>
        <v/>
      </c>
      <c r="AO397" t="inlineStr">
        <is>
          <t>Distribution, Sales &amp; Services</t>
        </is>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f>IFERROR(INDEX(Lists!$U$1:$U$18,MATCH($I398,Lists!$T$1:$T$18,0)),"?")</f>
        <v/>
      </c>
      <c r="AK398">
        <f>IF(LOWER($Q398)="v","Vacant",IF(LOWER($Q398)="pause","Paused",IF(LOWER($Q398)="cxc","Contractor",IF($Q398="Contractor","Contractor","Filled"))))</f>
        <v/>
      </c>
      <c r="AL398">
        <f>IF($M398="NZ","NZ","AU")</f>
        <v/>
      </c>
      <c r="AM398">
        <f>COUNTIF($AJ$2:$AJ398,$AJ398)</f>
        <v/>
      </c>
      <c r="AN398">
        <f>$AJ398&amp;"|"&amp;$AM398</f>
        <v/>
      </c>
      <c r="AO398" t="inlineStr">
        <is>
          <t>CTRM</t>
        </is>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f>IFERROR(INDEX(Lists!$U$1:$U$18,MATCH($I399,Lists!$T$1:$T$18,0)),"?")</f>
        <v/>
      </c>
      <c r="AK399">
        <f>IF(LOWER($Q399)="v","Vacant",IF(LOWER($Q399)="pause","Paused",IF(LOWER($Q399)="cxc","Contractor",IF($Q399="Contractor","Contractor","Filled"))))</f>
        <v/>
      </c>
      <c r="AL399">
        <f>IF($M399="NZ","NZ","AU")</f>
        <v/>
      </c>
      <c r="AM399">
        <f>COUNTIF($AJ$2:$AJ399,$AJ399)</f>
        <v/>
      </c>
      <c r="AN399">
        <f>$AJ399&amp;"|"&amp;$AM399</f>
        <v/>
      </c>
      <c r="AO399" t="inlineStr">
        <is>
          <t>B2B</t>
        </is>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f>IFERROR(INDEX(Lists!$U$1:$U$18,MATCH($I400,Lists!$T$1:$T$18,0)),"?")</f>
        <v/>
      </c>
      <c r="AK400">
        <f>IF(LOWER($Q400)="v","Vacant",IF(LOWER($Q400)="pause","Paused",IF(LOWER($Q400)="cxc","Contractor",IF($Q400="Contractor","Contractor","Filled"))))</f>
        <v/>
      </c>
      <c r="AL400">
        <f>IF($M400="NZ","NZ","AU")</f>
        <v/>
      </c>
      <c r="AM400">
        <f>COUNTIF($AJ$2:$AJ400,$AJ400)</f>
        <v/>
      </c>
      <c r="AN400">
        <f>$AJ400&amp;"|"&amp;$AM400</f>
        <v/>
      </c>
      <c r="AO400" t="inlineStr">
        <is>
          <t>Distribution, Sales &amp; Services</t>
        </is>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f>IFERROR(INDEX(Lists!$U$1:$U$18,MATCH($I401,Lists!$T$1:$T$18,0)),"?")</f>
        <v/>
      </c>
      <c r="AK401">
        <f>IF(LOWER($Q401)="v","Vacant",IF(LOWER($Q401)="pause","Paused",IF(LOWER($Q401)="cxc","Contractor",IF($Q401="Contractor","Contractor","Filled"))))</f>
        <v/>
      </c>
      <c r="AL401">
        <f>IF($M401="NZ","NZ","AU")</f>
        <v/>
      </c>
      <c r="AM401">
        <f>COUNTIF($AJ$2:$AJ401,$AJ401)</f>
        <v/>
      </c>
      <c r="AN401">
        <f>$AJ401&amp;"|"&amp;$AM401</f>
        <v/>
      </c>
      <c r="AO401" t="inlineStr">
        <is>
          <t>Technology Support</t>
        </is>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f>IFERROR(INDEX(Lists!$U$1:$U$18,MATCH($I402,Lists!$T$1:$T$18,0)),"?")</f>
        <v/>
      </c>
      <c r="AK402">
        <f>IF(LOWER($Q402)="v","Vacant",IF(LOWER($Q402)="pause","Paused",IF(LOWER($Q402)="cxc","Contractor",IF($Q402="Contractor","Contractor","Filled"))))</f>
        <v/>
      </c>
      <c r="AL402">
        <f>IF($M402="NZ","NZ","AU")</f>
        <v/>
      </c>
      <c r="AM402">
        <f>COUNTIF($AJ$2:$AJ402,$AJ402)</f>
        <v/>
      </c>
      <c r="AN402">
        <f>$AJ402&amp;"|"&amp;$AM402</f>
        <v/>
      </c>
      <c r="AO402" t="inlineStr">
        <is>
          <t>CTRM</t>
        </is>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f>IFERROR(INDEX(Lists!$U$1:$U$18,MATCH($I403,Lists!$T$1:$T$18,0)),"?")</f>
        <v/>
      </c>
      <c r="AK403">
        <f>IF(LOWER($Q403)="v","Vacant",IF(LOWER($Q403)="pause","Paused",IF(LOWER($Q403)="cxc","Contractor",IF($Q403="Contractor","Contractor","Filled"))))</f>
        <v/>
      </c>
      <c r="AL403">
        <f>IF($M403="NZ","NZ","AU")</f>
        <v/>
      </c>
      <c r="AM403">
        <f>COUNTIF($AJ$2:$AJ403,$AJ403)</f>
        <v/>
      </c>
      <c r="AN403">
        <f>$AJ403&amp;"|"&amp;$AM403</f>
        <v/>
      </c>
      <c r="AO403" t="inlineStr">
        <is>
          <t>Data &amp; Insights</t>
        </is>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f>IFERROR(INDEX(Lists!$U$1:$U$18,MATCH($I404,Lists!$T$1:$T$18,0)),"?")</f>
        <v/>
      </c>
      <c r="AK404">
        <f>IF(LOWER($Q404)="v","Vacant",IF(LOWER($Q404)="pause","Paused",IF(LOWER($Q404)="cxc","Contractor",IF($Q404="Contractor","Contractor","Filled"))))</f>
        <v/>
      </c>
      <c r="AL404">
        <f>IF($M404="NZ","NZ","AU")</f>
        <v/>
      </c>
      <c r="AM404">
        <f>COUNTIF($AJ$2:$AJ404,$AJ404)</f>
        <v/>
      </c>
      <c r="AN404">
        <f>$AJ404&amp;"|"&amp;$AM404</f>
        <v/>
      </c>
      <c r="AO404" t="inlineStr">
        <is>
          <t>Distribution, Sales &amp; Services</t>
        </is>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f>IFERROR(INDEX(Lists!$U$1:$U$18,MATCH($I405,Lists!$T$1:$T$18,0)),"?")</f>
        <v/>
      </c>
      <c r="AK405">
        <f>IF(LOWER($Q405)="v","Vacant",IF(LOWER($Q405)="pause","Paused",IF(LOWER($Q405)="cxc","Contractor",IF($Q405="Contractor","Contractor","Filled"))))</f>
        <v/>
      </c>
      <c r="AL405">
        <f>IF($M405="NZ","NZ","AU")</f>
        <v/>
      </c>
      <c r="AM405">
        <f>COUNTIF($AJ$2:$AJ405,$AJ405)</f>
        <v/>
      </c>
      <c r="AN405">
        <f>$AJ405&amp;"|"&amp;$AM405</f>
        <v/>
      </c>
      <c r="AO405" t="inlineStr">
        <is>
          <t>Trading &amp; Shipping Data</t>
        </is>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f>IFERROR(INDEX(Lists!$U$1:$U$18,MATCH($I406,Lists!$T$1:$T$18,0)),"?")</f>
        <v/>
      </c>
      <c r="AK406">
        <f>IF(LOWER($Q406)="v","Vacant",IF(LOWER($Q406)="pause","Paused",IF(LOWER($Q406)="cxc","Contractor",IF($Q406="Contractor","Contractor","Filled"))))</f>
        <v/>
      </c>
      <c r="AL406">
        <f>IF($M406="NZ","NZ","AU")</f>
        <v/>
      </c>
      <c r="AM406">
        <f>COUNTIF($AJ$2:$AJ406,$AJ406)</f>
        <v/>
      </c>
      <c r="AN406">
        <f>$AJ406&amp;"|"&amp;$AM406</f>
        <v/>
      </c>
      <c r="AO406" t="inlineStr">
        <is>
          <t>Distribution, Sales &amp; Services</t>
        </is>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f>IFERROR(INDEX(Lists!$U$1:$U$18,MATCH($I407,Lists!$T$1:$T$18,0)),"?")</f>
        <v/>
      </c>
      <c r="AK407">
        <f>IF(LOWER($Q407)="v","Vacant",IF(LOWER($Q407)="pause","Paused",IF(LOWER($Q407)="cxc","Contractor",IF($Q407="Contractor","Contractor","Filled"))))</f>
        <v/>
      </c>
      <c r="AL407">
        <f>IF($M407="NZ","NZ","AU")</f>
        <v/>
      </c>
      <c r="AM407">
        <f>COUNTIF($AJ$2:$AJ407,$AJ407)</f>
        <v/>
      </c>
      <c r="AN407">
        <f>$AJ407&amp;"|"&amp;$AM407</f>
        <v/>
      </c>
      <c r="AO407" t="inlineStr">
        <is>
          <t>Data &amp; Insights</t>
        </is>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f>IFERROR(INDEX(Lists!$U$1:$U$18,MATCH($I408,Lists!$T$1:$T$18,0)),"?")</f>
        <v/>
      </c>
      <c r="AK408">
        <f>IF(LOWER($Q408)="v","Vacant",IF(LOWER($Q408)="pause","Paused",IF(LOWER($Q408)="cxc","Contractor",IF($Q408="Contractor","Contractor","Filled"))))</f>
        <v/>
      </c>
      <c r="AL408">
        <f>IF($M408="NZ","NZ","AU")</f>
        <v/>
      </c>
      <c r="AM408">
        <f>COUNTIF($AJ$2:$AJ408,$AJ408)</f>
        <v/>
      </c>
      <c r="AN408">
        <f>$AJ408&amp;"|"&amp;$AM408</f>
        <v/>
      </c>
      <c r="AO408" t="inlineStr">
        <is>
          <t>Trading &amp; Shipping</t>
        </is>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f>IFERROR(INDEX(Lists!$U$1:$U$18,MATCH($I409,Lists!$T$1:$T$18,0)),"?")</f>
        <v/>
      </c>
      <c r="AK409">
        <f>IF(LOWER($Q409)="v","Vacant",IF(LOWER($Q409)="pause","Paused",IF(LOWER($Q409)="cxc","Contractor",IF($Q409="Contractor","Contractor","Filled"))))</f>
        <v/>
      </c>
      <c r="AL409">
        <f>IF($M409="NZ","NZ","AU")</f>
        <v/>
      </c>
      <c r="AM409">
        <f>COUNTIF($AJ$2:$AJ409,$AJ409)</f>
        <v/>
      </c>
      <c r="AN409">
        <f>$AJ409&amp;"|"&amp;$AM409</f>
        <v/>
      </c>
      <c r="AO409" t="inlineStr">
        <is>
          <t>Technology Support</t>
        </is>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f>IFERROR(INDEX(Lists!$U$1:$U$18,MATCH($I410,Lists!$T$1:$T$18,0)),"?")</f>
        <v/>
      </c>
      <c r="AK410">
        <f>IF(LOWER($Q410)="v","Vacant",IF(LOWER($Q410)="pause","Paused",IF(LOWER($Q410)="cxc","Contractor",IF($Q410="Contractor","Contractor","Filled"))))</f>
        <v/>
      </c>
      <c r="AL410">
        <f>IF($M410="NZ","NZ","AU")</f>
        <v/>
      </c>
      <c r="AM410">
        <f>COUNTIF($AJ$2:$AJ410,$AJ410)</f>
        <v/>
      </c>
      <c r="AN410">
        <f>$AJ410&amp;"|"&amp;$AM410</f>
        <v/>
      </c>
      <c r="AO410" t="inlineStr">
        <is>
          <t>CTRM</t>
        </is>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f>IFERROR(INDEX(Lists!$U$1:$U$18,MATCH($I411,Lists!$T$1:$T$18,0)),"?")</f>
        <v/>
      </c>
      <c r="AK411">
        <f>IF(LOWER($Q411)="v","Vacant",IF(LOWER($Q411)="pause","Paused",IF(LOWER($Q411)="cxc","Contractor",IF($Q411="Contractor","Contractor","Filled"))))</f>
        <v/>
      </c>
      <c r="AL411">
        <f>IF($M411="NZ","NZ","AU")</f>
        <v/>
      </c>
      <c r="AM411">
        <f>COUNTIF($AJ$2:$AJ411,$AJ411)</f>
        <v/>
      </c>
      <c r="AN411">
        <f>$AJ411&amp;"|"&amp;$AM411</f>
        <v/>
      </c>
      <c r="AO411" t="inlineStr">
        <is>
          <t>Manufacturing Group Projects</t>
        </is>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f>IFERROR(INDEX(Lists!$U$1:$U$18,MATCH($I412,Lists!$T$1:$T$18,0)),"?")</f>
        <v/>
      </c>
      <c r="AK412">
        <f>IF(LOWER($Q412)="v","Vacant",IF(LOWER($Q412)="pause","Paused",IF(LOWER($Q412)="cxc","Contractor",IF($Q412="Contractor","Contractor","Filled"))))</f>
        <v/>
      </c>
      <c r="AL412">
        <f>IF($M412="NZ","NZ","AU")</f>
        <v/>
      </c>
      <c r="AM412">
        <f>COUNTIF($AJ$2:$AJ412,$AJ412)</f>
        <v/>
      </c>
      <c r="AN412">
        <f>$AJ412&amp;"|"&amp;$AM412</f>
        <v/>
      </c>
      <c r="AO412" t="inlineStr">
        <is>
          <t>B2B</t>
        </is>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f>IFERROR(INDEX(Lists!$U$1:$U$18,MATCH($I413,Lists!$T$1:$T$18,0)),"?")</f>
        <v/>
      </c>
      <c r="AK413">
        <f>IF(LOWER($Q413)="v","Vacant",IF(LOWER($Q413)="pause","Paused",IF(LOWER($Q413)="cxc","Contractor",IF($Q413="Contractor","Contractor","Filled"))))</f>
        <v/>
      </c>
      <c r="AL413">
        <f>IF($M413="NZ","NZ","AU")</f>
        <v/>
      </c>
      <c r="AM413">
        <f>COUNTIF($AJ$2:$AJ413,$AJ413)</f>
        <v/>
      </c>
      <c r="AN413">
        <f>$AJ413&amp;"|"&amp;$AM413</f>
        <v/>
      </c>
      <c r="AO413" t="inlineStr">
        <is>
          <t>B2B</t>
        </is>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f>IFERROR(INDEX(Lists!$U$1:$U$18,MATCH($I414,Lists!$T$1:$T$18,0)),"?")</f>
        <v/>
      </c>
      <c r="AK414">
        <f>IF(LOWER($Q414)="v","Vacant",IF(LOWER($Q414)="pause","Paused",IF(LOWER($Q414)="cxc","Contractor",IF($Q414="Contractor","Contractor","Filled"))))</f>
        <v/>
      </c>
      <c r="AL414">
        <f>IF($M414="NZ","NZ","AU")</f>
        <v/>
      </c>
      <c r="AM414">
        <f>COUNTIF($AJ$2:$AJ414,$AJ414)</f>
        <v/>
      </c>
      <c r="AN414">
        <f>$AJ414&amp;"|"&amp;$AM414</f>
        <v/>
      </c>
      <c r="AO414" t="inlineStr">
        <is>
          <t>Leadership</t>
        </is>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f>IFERROR(INDEX(Lists!$U$1:$U$18,MATCH($I415,Lists!$T$1:$T$18,0)),"?")</f>
        <v/>
      </c>
      <c r="AK415">
        <f>IF(LOWER($Q415)="v","Vacant",IF(LOWER($Q415)="pause","Paused",IF(LOWER($Q415)="cxc","Contractor",IF($Q415="Contractor","Contractor","Filled"))))</f>
        <v/>
      </c>
      <c r="AL415">
        <f>IF($M415="NZ","NZ","AU")</f>
        <v/>
      </c>
      <c r="AM415">
        <f>COUNTIF($AJ$2:$AJ415,$AJ415)</f>
        <v/>
      </c>
      <c r="AN415">
        <f>$AJ415&amp;"|"&amp;$AM415</f>
        <v/>
      </c>
      <c r="AO415" t="inlineStr">
        <is>
          <t>Leadership</t>
        </is>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f>IFERROR(INDEX(Lists!$U$1:$U$18,MATCH($I416,Lists!$T$1:$T$18,0)),"?")</f>
        <v/>
      </c>
      <c r="AK416">
        <f>IF(LOWER($Q416)="v","Vacant",IF(LOWER($Q416)="pause","Paused",IF(LOWER($Q416)="cxc","Contractor",IF($Q416="Contractor","Contractor","Filled"))))</f>
        <v/>
      </c>
      <c r="AL416">
        <f>IF($M416="NZ","NZ","AU")</f>
        <v/>
      </c>
      <c r="AM416">
        <f>COUNTIF($AJ$2:$AJ416,$AJ416)</f>
        <v/>
      </c>
      <c r="AN416">
        <f>$AJ416&amp;"|"&amp;$AM416</f>
        <v/>
      </c>
      <c r="AO416" t="inlineStr">
        <is>
          <t>Energy</t>
        </is>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f>IFERROR(INDEX(Lists!$U$1:$U$18,MATCH($I417,Lists!$T$1:$T$18,0)),"?")</f>
        <v/>
      </c>
      <c r="AK417">
        <f>IF(LOWER($Q417)="v","Vacant",IF(LOWER($Q417)="pause","Paused",IF(LOWER($Q417)="cxc","Contractor",IF($Q417="Contractor","Contractor","Filled"))))</f>
        <v/>
      </c>
      <c r="AL417">
        <f>IF($M417="NZ","NZ","AU")</f>
        <v/>
      </c>
      <c r="AM417">
        <f>COUNTIF($AJ$2:$AJ417,$AJ417)</f>
        <v/>
      </c>
      <c r="AN417">
        <f>$AJ417&amp;"|"&amp;$AM417</f>
        <v/>
      </c>
      <c r="AO417" t="inlineStr">
        <is>
          <t>Energy</t>
        </is>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f>IFERROR(INDEX(Lists!$U$1:$U$18,MATCH($I418,Lists!$T$1:$T$18,0)),"?")</f>
        <v/>
      </c>
      <c r="AK418">
        <f>IF(LOWER($Q418)="v","Vacant",IF(LOWER($Q418)="pause","Paused",IF(LOWER($Q418)="cxc","Contractor",IF($Q418="Contractor","Contractor","Filled"))))</f>
        <v/>
      </c>
      <c r="AL418">
        <f>IF($M418="NZ","NZ","AU")</f>
        <v/>
      </c>
      <c r="AM418">
        <f>COUNTIF($AJ$2:$AJ418,$AJ418)</f>
        <v/>
      </c>
      <c r="AN418">
        <f>$AJ418&amp;"|"&amp;$AM418</f>
        <v/>
      </c>
      <c r="AO418" t="inlineStr">
        <is>
          <t>Energy</t>
        </is>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f>IFERROR(INDEX(Lists!$U$1:$U$18,MATCH($I419,Lists!$T$1:$T$18,0)),"?")</f>
        <v/>
      </c>
      <c r="AK419">
        <f>IF(LOWER($Q419)="v","Vacant",IF(LOWER($Q419)="pause","Paused",IF(LOWER($Q419)="cxc","Contractor",IF($Q419="Contractor","Contractor","Filled"))))</f>
        <v/>
      </c>
      <c r="AL419">
        <f>IF($M419="NZ","NZ","AU")</f>
        <v/>
      </c>
      <c r="AM419">
        <f>COUNTIF($AJ$2:$AJ419,$AJ419)</f>
        <v/>
      </c>
      <c r="AN419">
        <f>$AJ419&amp;"|"&amp;$AM419</f>
        <v/>
      </c>
      <c r="AO419" t="inlineStr">
        <is>
          <t>Supply</t>
        </is>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f>IFERROR(INDEX(Lists!$U$1:$U$18,MATCH($I420,Lists!$T$1:$T$18,0)),"?")</f>
        <v/>
      </c>
      <c r="AK420">
        <f>IF(LOWER($Q420)="v","Vacant",IF(LOWER($Q420)="pause","Paused",IF(LOWER($Q420)="cxc","Contractor",IF($Q420="Contractor","Contractor","Filled"))))</f>
        <v/>
      </c>
      <c r="AL420">
        <f>IF($M420="NZ","NZ","AU")</f>
        <v/>
      </c>
      <c r="AM420">
        <f>COUNTIF($AJ$2:$AJ420,$AJ420)</f>
        <v/>
      </c>
      <c r="AN420">
        <f>$AJ420&amp;"|"&amp;$AM420</f>
        <v/>
      </c>
      <c r="AO420" t="inlineStr">
        <is>
          <t>Trading &amp; Shipping</t>
        </is>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f>IFERROR(INDEX(Lists!$U$1:$U$18,MATCH($I421,Lists!$T$1:$T$18,0)),"?")</f>
        <v/>
      </c>
      <c r="AK421">
        <f>IF(LOWER($Q421)="v","Vacant",IF(LOWER($Q421)="pause","Paused",IF(LOWER($Q421)="cxc","Contractor",IF($Q421="Contractor","Contractor","Filled"))))</f>
        <v/>
      </c>
      <c r="AL421">
        <f>IF($M421="NZ","NZ","AU")</f>
        <v/>
      </c>
      <c r="AM421">
        <f>COUNTIF($AJ$2:$AJ421,$AJ421)</f>
        <v/>
      </c>
      <c r="AN421">
        <f>$AJ421&amp;"|"&amp;$AM421</f>
        <v/>
      </c>
      <c r="AO421" t="inlineStr">
        <is>
          <t>Leadership</t>
        </is>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f>IFERROR(INDEX(Lists!$U$1:$U$18,MATCH($I422,Lists!$T$1:$T$18,0)),"?")</f>
        <v/>
      </c>
      <c r="AK422">
        <f>IF(LOWER($Q422)="v","Vacant",IF(LOWER($Q422)="pause","Paused",IF(LOWER($Q422)="cxc","Contractor",IF($Q422="Contractor","Contractor","Filled"))))</f>
        <v/>
      </c>
      <c r="AL422">
        <f>IF($M422="NZ","NZ","AU")</f>
        <v/>
      </c>
      <c r="AM422">
        <f>COUNTIF($AJ$2:$AJ422,$AJ422)</f>
        <v/>
      </c>
      <c r="AN422">
        <f>$AJ422&amp;"|"&amp;$AM422</f>
        <v/>
      </c>
      <c r="AO422" t="inlineStr">
        <is>
          <t>Leadership</t>
        </is>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f>IFERROR(INDEX(Lists!$U$1:$U$18,MATCH($I423,Lists!$T$1:$T$18,0)),"?")</f>
        <v/>
      </c>
      <c r="AK423">
        <f>IF(LOWER($Q423)="v","Vacant",IF(LOWER($Q423)="pause","Paused",IF(LOWER($Q423)="cxc","Contractor",IF($Q423="Contractor","Contractor","Filled"))))</f>
        <v/>
      </c>
      <c r="AL423">
        <f>IF($M423="NZ","NZ","AU")</f>
        <v/>
      </c>
      <c r="AM423">
        <f>COUNTIF($AJ$2:$AJ423,$AJ423)</f>
        <v/>
      </c>
      <c r="AN423">
        <f>$AJ423&amp;"|"&amp;$AM423</f>
        <v/>
      </c>
      <c r="AO423" t="inlineStr">
        <is>
          <t>Supply</t>
        </is>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f>IFERROR(INDEX(Lists!$U$1:$U$18,MATCH($I424,Lists!$T$1:$T$18,0)),"?")</f>
        <v/>
      </c>
      <c r="AK424">
        <f>IF(LOWER($Q424)="v","Vacant",IF(LOWER($Q424)="pause","Paused",IF(LOWER($Q424)="cxc","Contractor",IF($Q424="Contractor","Contractor","Filled"))))</f>
        <v/>
      </c>
      <c r="AL424">
        <f>IF($M424="NZ","NZ","AU")</f>
        <v/>
      </c>
      <c r="AM424">
        <f>COUNTIF($AJ$2:$AJ424,$AJ424)</f>
        <v/>
      </c>
      <c r="AN424">
        <f>$AJ424&amp;"|"&amp;$AM424</f>
        <v/>
      </c>
      <c r="AO424" t="inlineStr">
        <is>
          <t>Trading &amp; Shipping</t>
        </is>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f>IFERROR(INDEX(Lists!$U$1:$U$18,MATCH($I425,Lists!$T$1:$T$18,0)),"?")</f>
        <v/>
      </c>
      <c r="AK425">
        <f>IF(LOWER($Q425)="v","Vacant",IF(LOWER($Q425)="pause","Paused",IF(LOWER($Q425)="cxc","Contractor",IF($Q425="Contractor","Contractor","Filled"))))</f>
        <v/>
      </c>
      <c r="AL425">
        <f>IF($M425="NZ","NZ","AU")</f>
        <v/>
      </c>
      <c r="AM425">
        <f>COUNTIF($AJ$2:$AJ425,$AJ425)</f>
        <v/>
      </c>
      <c r="AN425">
        <f>$AJ425&amp;"|"&amp;$AM425</f>
        <v/>
      </c>
      <c r="AO425" t="inlineStr">
        <is>
          <t>Trading &amp; Shipping</t>
        </is>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f>IFERROR(INDEX(Lists!$U$1:$U$18,MATCH($I426,Lists!$T$1:$T$18,0)),"?")</f>
        <v/>
      </c>
      <c r="AK426">
        <f>IF(LOWER($Q426)="v","Vacant",IF(LOWER($Q426)="pause","Paused",IF(LOWER($Q426)="cxc","Contractor",IF($Q426="Contractor","Contractor","Filled"))))</f>
        <v/>
      </c>
      <c r="AL426">
        <f>IF($M426="NZ","NZ","AU")</f>
        <v/>
      </c>
      <c r="AM426">
        <f>COUNTIF($AJ$2:$AJ426,$AJ426)</f>
        <v/>
      </c>
      <c r="AN426">
        <f>$AJ426&amp;"|"&amp;$AM426</f>
        <v/>
      </c>
      <c r="AO426" t="inlineStr">
        <is>
          <t>Leadership</t>
        </is>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f>IFERROR(INDEX(Lists!$U$1:$U$18,MATCH($I427,Lists!$T$1:$T$18,0)),"?")</f>
        <v/>
      </c>
      <c r="AK427">
        <f>IF(LOWER($Q427)="v","Vacant",IF(LOWER($Q427)="pause","Paused",IF(LOWER($Q427)="cxc","Contractor",IF($Q427="Contractor","Contractor","Filled"))))</f>
        <v/>
      </c>
      <c r="AL427">
        <f>IF($M427="NZ","NZ","AU")</f>
        <v/>
      </c>
      <c r="AM427">
        <f>COUNTIF($AJ$2:$AJ427,$AJ427)</f>
        <v/>
      </c>
      <c r="AN427">
        <f>$AJ427&amp;"|"&amp;$AM427</f>
        <v/>
      </c>
      <c r="AO427" t="inlineStr">
        <is>
          <t>Leadership</t>
        </is>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f>IFERROR(INDEX(Lists!$U$1:$U$18,MATCH($I428,Lists!$T$1:$T$18,0)),"?")</f>
        <v/>
      </c>
      <c r="AK428">
        <f>IF(LOWER($Q428)="v","Vacant",IF(LOWER($Q428)="pause","Paused",IF(LOWER($Q428)="cxc","Contractor",IF($Q428="Contractor","Contractor","Filled"))))</f>
        <v/>
      </c>
      <c r="AL428">
        <f>IF($M428="NZ","NZ","AU")</f>
        <v/>
      </c>
      <c r="AM428">
        <f>COUNTIF($AJ$2:$AJ428,$AJ428)</f>
        <v/>
      </c>
      <c r="AN428">
        <f>$AJ428&amp;"|"&amp;$AM428</f>
        <v/>
      </c>
      <c r="AO428" t="inlineStr">
        <is>
          <t>Leadership</t>
        </is>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f>IFERROR(INDEX(Lists!$U$1:$U$18,MATCH($I429,Lists!$T$1:$T$18,0)),"?")</f>
        <v/>
      </c>
      <c r="AK429">
        <f>IF(LOWER($Q429)="v","Vacant",IF(LOWER($Q429)="pause","Paused",IF(LOWER($Q429)="cxc","Contractor",IF($Q429="Contractor","Contractor","Filled"))))</f>
        <v/>
      </c>
      <c r="AL429">
        <f>IF($M429="NZ","NZ","AU")</f>
        <v/>
      </c>
      <c r="AM429">
        <f>COUNTIF($AJ$2:$AJ429,$AJ429)</f>
        <v/>
      </c>
      <c r="AN429">
        <f>$AJ429&amp;"|"&amp;$AM429</f>
        <v/>
      </c>
      <c r="AO429" t="inlineStr">
        <is>
          <t>Manufacturing Group Projects</t>
        </is>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f>IFERROR(INDEX(Lists!$U$1:$U$18,MATCH($I430,Lists!$T$1:$T$18,0)),"?")</f>
        <v/>
      </c>
      <c r="AK430">
        <f>IF(LOWER($Q430)="v","Vacant",IF(LOWER($Q430)="pause","Paused",IF(LOWER($Q430)="cxc","Contractor",IF($Q430="Contractor","Contractor","Filled"))))</f>
        <v/>
      </c>
      <c r="AL430">
        <f>IF($M430="NZ","NZ","AU")</f>
        <v/>
      </c>
      <c r="AM430">
        <f>COUNTIF($AJ$2:$AJ430,$AJ430)</f>
        <v/>
      </c>
      <c r="AN430">
        <f>$AJ430&amp;"|"&amp;$AM430</f>
        <v/>
      </c>
      <c r="AO430" t="inlineStr">
        <is>
          <t>Manufacturing Group Projects</t>
        </is>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f>IFERROR(INDEX(Lists!$U$1:$U$18,MATCH($I431,Lists!$T$1:$T$18,0)),"?")</f>
        <v/>
      </c>
      <c r="AK431">
        <f>IF(LOWER($Q431)="v","Vacant",IF(LOWER($Q431)="pause","Paused",IF(LOWER($Q431)="cxc","Contractor",IF($Q431="Contractor","Contractor","Filled"))))</f>
        <v/>
      </c>
      <c r="AL431">
        <f>IF($M431="NZ","NZ","AU")</f>
        <v/>
      </c>
      <c r="AM431">
        <f>COUNTIF($AJ$2:$AJ431,$AJ431)</f>
        <v/>
      </c>
      <c r="AN431">
        <f>$AJ431&amp;"|"&amp;$AM431</f>
        <v/>
      </c>
      <c r="AO431" t="inlineStr">
        <is>
          <t>Distribution, Sales &amp; Services</t>
        </is>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f>IFERROR(INDEX(Lists!$U$1:$U$18,MATCH($I432,Lists!$T$1:$T$18,0)),"?")</f>
        <v/>
      </c>
      <c r="AK432">
        <f>IF(LOWER($Q432)="v","Vacant",IF(LOWER($Q432)="pause","Paused",IF(LOWER($Q432)="cxc","Contractor",IF($Q432="Contractor","Contractor","Filled"))))</f>
        <v/>
      </c>
      <c r="AL432">
        <f>IF($M432="NZ","NZ","AU")</f>
        <v/>
      </c>
      <c r="AM432">
        <f>COUNTIF($AJ$2:$AJ432,$AJ432)</f>
        <v/>
      </c>
      <c r="AN432">
        <f>$AJ432&amp;"|"&amp;$AM432</f>
        <v/>
      </c>
      <c r="AO432" t="inlineStr">
        <is>
          <t>Distribution, Sales &amp; Services</t>
        </is>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f>IFERROR(INDEX(Lists!$U$1:$U$18,MATCH($I433,Lists!$T$1:$T$18,0)),"?")</f>
        <v/>
      </c>
      <c r="AK433">
        <f>IF(LOWER($Q433)="v","Vacant",IF(LOWER($Q433)="pause","Paused",IF(LOWER($Q433)="cxc","Contractor",IF($Q433="Contractor","Contractor","Filled"))))</f>
        <v/>
      </c>
      <c r="AL433">
        <f>IF($M433="NZ","NZ","AU")</f>
        <v/>
      </c>
      <c r="AM433">
        <f>COUNTIF($AJ$2:$AJ433,$AJ433)</f>
        <v/>
      </c>
      <c r="AN433">
        <f>$AJ433&amp;"|"&amp;$AM433</f>
        <v/>
      </c>
      <c r="AO433" t="inlineStr">
        <is>
          <t>Data &amp; Insights</t>
        </is>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f>IFERROR(INDEX(Lists!$U$1:$U$18,MATCH($I434,Lists!$T$1:$T$18,0)),"?")</f>
        <v/>
      </c>
      <c r="AK434">
        <f>IF(LOWER($Q434)="v","Vacant",IF(LOWER($Q434)="pause","Paused",IF(LOWER($Q434)="cxc","Contractor",IF($Q434="Contractor","Contractor","Filled"))))</f>
        <v/>
      </c>
      <c r="AL434">
        <f>IF($M434="NZ","NZ","AU")</f>
        <v/>
      </c>
      <c r="AM434">
        <f>COUNTIF($AJ$2:$AJ434,$AJ434)</f>
        <v/>
      </c>
      <c r="AN434">
        <f>$AJ434&amp;"|"&amp;$AM434</f>
        <v/>
      </c>
      <c r="AO434" t="inlineStr">
        <is>
          <t>Data &amp; Insights</t>
        </is>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f>IFERROR(INDEX(Lists!$U$1:$U$18,MATCH($I435,Lists!$T$1:$T$18,0)),"?")</f>
        <v/>
      </c>
      <c r="AK435">
        <f>IF(LOWER($Q435)="v","Vacant",IF(LOWER($Q435)="pause","Paused",IF(LOWER($Q435)="cxc","Contractor",IF($Q435="Contractor","Contractor","Filled"))))</f>
        <v/>
      </c>
      <c r="AL435">
        <f>IF($M435="NZ","NZ","AU")</f>
        <v/>
      </c>
      <c r="AM435">
        <f>COUNTIF($AJ$2:$AJ435,$AJ435)</f>
        <v/>
      </c>
      <c r="AN435">
        <f>$AJ435&amp;"|"&amp;$AM435</f>
        <v/>
      </c>
      <c r="AO435" t="inlineStr">
        <is>
          <t>Data &amp; Insights</t>
        </is>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f>IFERROR(INDEX(Lists!$U$1:$U$18,MATCH($I436,Lists!$T$1:$T$18,0)),"?")</f>
        <v/>
      </c>
      <c r="AK436">
        <f>IF(LOWER($Q436)="v","Vacant",IF(LOWER($Q436)="pause","Paused",IF(LOWER($Q436)="cxc","Contractor",IF($Q436="Contractor","Contractor","Filled"))))</f>
        <v/>
      </c>
      <c r="AL436">
        <f>IF($M436="NZ","NZ","AU")</f>
        <v/>
      </c>
      <c r="AM436">
        <f>COUNTIF($AJ$2:$AJ436,$AJ436)</f>
        <v/>
      </c>
      <c r="AN436">
        <f>$AJ436&amp;"|"&amp;$AM436</f>
        <v/>
      </c>
      <c r="AO436" t="inlineStr">
        <is>
          <t>Data &amp; Insights</t>
        </is>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f>IFERROR(INDEX(Lists!$U$1:$U$18,MATCH($I437,Lists!$T$1:$T$18,0)),"?")</f>
        <v/>
      </c>
      <c r="AK437">
        <f>IF(LOWER($Q437)="v","Vacant",IF(LOWER($Q437)="pause","Paused",IF(LOWER($Q437)="cxc","Contractor",IF($Q437="Contractor","Contractor","Filled"))))</f>
        <v/>
      </c>
      <c r="AL437">
        <f>IF($M437="NZ","NZ","AU")</f>
        <v/>
      </c>
      <c r="AM437">
        <f>COUNTIF($AJ$2:$AJ437,$AJ437)</f>
        <v/>
      </c>
      <c r="AN437">
        <f>$AJ437&amp;"|"&amp;$AM437</f>
        <v/>
      </c>
      <c r="AO437" t="inlineStr">
        <is>
          <t>Data &amp; Insights</t>
        </is>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f>IFERROR(INDEX(Lists!$U$1:$U$18,MATCH($I438,Lists!$T$1:$T$18,0)),"?")</f>
        <v/>
      </c>
      <c r="AK438">
        <f>IF(LOWER($Q438)="v","Vacant",IF(LOWER($Q438)="pause","Paused",IF(LOWER($Q438)="cxc","Contractor",IF($Q438="Contractor","Contractor","Filled"))))</f>
        <v/>
      </c>
      <c r="AL438">
        <f>IF($M438="NZ","NZ","AU")</f>
        <v/>
      </c>
      <c r="AM438">
        <f>COUNTIF($AJ$2:$AJ438,$AJ438)</f>
        <v/>
      </c>
      <c r="AN438">
        <f>$AJ438&amp;"|"&amp;$AM438</f>
        <v/>
      </c>
      <c r="AO438" t="inlineStr">
        <is>
          <t>B2B</t>
        </is>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f>IFERROR(INDEX(Lists!$U$1:$U$18,MATCH($I439,Lists!$T$1:$T$18,0)),"?")</f>
        <v/>
      </c>
      <c r="AK439">
        <f>IF(LOWER($Q439)="v","Vacant",IF(LOWER($Q439)="pause","Paused",IF(LOWER($Q439)="cxc","Contractor",IF($Q439="Contractor","Contractor","Filled"))))</f>
        <v/>
      </c>
      <c r="AL439">
        <f>IF($M439="NZ","NZ","AU")</f>
        <v/>
      </c>
      <c r="AM439">
        <f>COUNTIF($AJ$2:$AJ439,$AJ439)</f>
        <v/>
      </c>
      <c r="AN439">
        <f>$AJ439&amp;"|"&amp;$AM439</f>
        <v/>
      </c>
      <c r="AO439" t="inlineStr">
        <is>
          <t>Energy</t>
        </is>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f>IFERROR(INDEX(Lists!$U$1:$U$18,MATCH($I440,Lists!$T$1:$T$18,0)),"?")</f>
        <v/>
      </c>
      <c r="AK440">
        <f>IF(LOWER($Q440)="v","Vacant",IF(LOWER($Q440)="pause","Paused",IF(LOWER($Q440)="cxc","Contractor",IF($Q440="Contractor","Contractor","Filled"))))</f>
        <v/>
      </c>
      <c r="AL440">
        <f>IF($M440="NZ","NZ","AU")</f>
        <v/>
      </c>
      <c r="AM440">
        <f>COUNTIF($AJ$2:$AJ440,$AJ440)</f>
        <v/>
      </c>
      <c r="AN440">
        <f>$AJ440&amp;"|"&amp;$AM440</f>
        <v/>
      </c>
      <c r="AO440" t="inlineStr">
        <is>
          <t>Supply</t>
        </is>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f>IFERROR(INDEX(Lists!$U$1:$U$18,MATCH($I441,Lists!$T$1:$T$18,0)),"?")</f>
        <v/>
      </c>
      <c r="AK441">
        <f>IF(LOWER($Q441)="v","Vacant",IF(LOWER($Q441)="pause","Paused",IF(LOWER($Q441)="cxc","Contractor",IF($Q441="Contractor","Contractor","Filled"))))</f>
        <v/>
      </c>
      <c r="AL441">
        <f>IF($M441="NZ","NZ","AU")</f>
        <v/>
      </c>
      <c r="AM441">
        <f>COUNTIF($AJ$2:$AJ441,$AJ441)</f>
        <v/>
      </c>
      <c r="AN441">
        <f>$AJ441&amp;"|"&amp;$AM441</f>
        <v/>
      </c>
      <c r="AO441" t="inlineStr">
        <is>
          <t>Supply</t>
        </is>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f>IFERROR(INDEX(Lists!$U$1:$U$18,MATCH($I442,Lists!$T$1:$T$18,0)),"?")</f>
        <v/>
      </c>
      <c r="AK442">
        <f>IF(LOWER($Q442)="v","Vacant",IF(LOWER($Q442)="pause","Paused",IF(LOWER($Q442)="cxc","Contractor",IF($Q442="Contractor","Contractor","Filled"))))</f>
        <v/>
      </c>
      <c r="AL442">
        <f>IF($M442="NZ","NZ","AU")</f>
        <v/>
      </c>
      <c r="AM442">
        <f>COUNTIF($AJ$2:$AJ442,$AJ442)</f>
        <v/>
      </c>
      <c r="AN442">
        <f>$AJ442&amp;"|"&amp;$AM442</f>
        <v/>
      </c>
      <c r="AO442" t="inlineStr">
        <is>
          <t>AmPOS</t>
        </is>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f>IFERROR(INDEX(Lists!$U$1:$U$18,MATCH($I443,Lists!$T$1:$T$18,0)),"?")</f>
        <v/>
      </c>
      <c r="AK443">
        <f>IF(LOWER($Q443)="v","Vacant",IF(LOWER($Q443)="pause","Paused",IF(LOWER($Q443)="cxc","Contractor",IF($Q443="Contractor","Contractor","Filled"))))</f>
        <v/>
      </c>
      <c r="AL443">
        <f>IF($M443="NZ","NZ","AU")</f>
        <v/>
      </c>
      <c r="AM443">
        <f>COUNTIF($AJ$2:$AJ443,$AJ443)</f>
        <v/>
      </c>
      <c r="AN443">
        <f>$AJ443&amp;"|"&amp;$AM443</f>
        <v/>
      </c>
      <c r="AO443" t="inlineStr">
        <is>
          <t>Manufacturing Group Projects</t>
        </is>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f>IFERROR(INDEX(Lists!$U$1:$U$18,MATCH($I444,Lists!$T$1:$T$18,0)),"?")</f>
        <v/>
      </c>
      <c r="AK444">
        <f>IF(LOWER($Q444)="v","Vacant",IF(LOWER($Q444)="pause","Paused",IF(LOWER($Q444)="cxc","Contractor",IF($Q444="Contractor","Contractor","Filled"))))</f>
        <v/>
      </c>
      <c r="AL444">
        <f>IF($M444="NZ","NZ","AU")</f>
        <v/>
      </c>
      <c r="AM444">
        <f>COUNTIF($AJ$2:$AJ444,$AJ444)</f>
        <v/>
      </c>
      <c r="AN444">
        <f>$AJ444&amp;"|"&amp;$AM444</f>
        <v/>
      </c>
      <c r="AO444" t="inlineStr">
        <is>
          <t>CTRM</t>
        </is>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n"/>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f>IFERROR(INDEX(Lists!$U$1:$U$18,MATCH($I445,Lists!$T$1:$T$18,0)),"?")</f>
        <v/>
      </c>
      <c r="AK445">
        <f>IF(LOWER($Q445)="v","Vacant",IF(LOWER($Q445)="pause","Paused",IF(LOWER($Q445)="cxc","Contractor",IF($Q445="Contractor","Contractor","Filled"))))</f>
        <v/>
      </c>
      <c r="AL445">
        <f>IF($M445="NZ","NZ","AU")</f>
        <v/>
      </c>
      <c r="AM445">
        <f>COUNTIF($AJ$2:$AJ445,$AJ445)</f>
        <v/>
      </c>
      <c r="AN445">
        <f>$AJ445&amp;"|"&amp;$AM445</f>
        <v/>
      </c>
      <c r="AO445" t="inlineStr">
        <is>
          <t>Trading &amp; Shipping Data</t>
        </is>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
      </c>
      <c r="AB446" s="742" t="n"/>
      <c r="AC446" s="744" t="n"/>
      <c r="AD446" s="744" t="n"/>
      <c r="AE446" s="744" t="n"/>
      <c r="AF446" s="744" t="n"/>
      <c r="AG446" s="744" t="n"/>
      <c r="AH446" s="744" t="n"/>
      <c r="AJ446">
        <f>IFERROR(INDEX(Lists!$U$1:$U$18,MATCH($I446,Lists!$T$1:$T$18,0)),"?")</f>
        <v/>
      </c>
      <c r="AK446">
        <f>IF(LOWER($Q446)="v","Vacant",IF(LOWER($Q446)="pause","Paused",IF(LOWER($Q446)="cxc","Contractor",IF($Q446="Contractor","Contractor","Filled"))))</f>
        <v/>
      </c>
      <c r="AL446">
        <f>IF($M446="NZ","NZ","AU")</f>
        <v/>
      </c>
      <c r="AM446">
        <f>COUNTIF($AJ$2:$AJ446,$AJ446)</f>
        <v/>
      </c>
      <c r="AN446">
        <f>$AJ446&amp;"|"&amp;$AM446</f>
        <v/>
      </c>
      <c r="AO446" t="inlineStr">
        <is>
          <t>EGI</t>
        </is>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f>IFERROR(INDEX(Lists!$U$1:$U$18,MATCH($I447,Lists!$T$1:$T$18,0)),"?")</f>
        <v/>
      </c>
      <c r="AK447">
        <f>IF(LOWER($Q447)="v","Vacant",IF(LOWER($Q447)="pause","Paused",IF(LOWER($Q447)="cxc","Contractor",IF($Q447="Contractor","Contractor","Filled"))))</f>
        <v/>
      </c>
      <c r="AL447">
        <f>IF($M447="NZ","NZ","AU")</f>
        <v/>
      </c>
      <c r="AM447">
        <f>COUNTIF($AJ$2:$AJ447,$AJ447)</f>
        <v/>
      </c>
      <c r="AN447">
        <f>$AJ447&amp;"|"&amp;$AM447</f>
        <v/>
      </c>
      <c r="AO447" t="inlineStr">
        <is>
          <t>EGI Finance</t>
        </is>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f>IFERROR(INDEX(Lists!$U$1:$U$18,MATCH($I448,Lists!$T$1:$T$18,0)),"?")</f>
        <v/>
      </c>
      <c r="AK448">
        <f>IF(LOWER($Q448)="v","Vacant",IF(LOWER($Q448)="pause","Paused",IF(LOWER($Q448)="cxc","Contractor",IF($Q448="Contractor","Contractor","Filled"))))</f>
        <v/>
      </c>
      <c r="AL448">
        <f>IF($M448="NZ","NZ","AU")</f>
        <v/>
      </c>
      <c r="AM448">
        <f>COUNTIF($AJ$2:$AJ448,$AJ448)</f>
        <v/>
      </c>
      <c r="AN448">
        <f>$AJ448&amp;"|"&amp;$AM448</f>
        <v/>
      </c>
      <c r="AO448" t="inlineStr">
        <is>
          <t>EGI P&amp;C</t>
        </is>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f>IFERROR(INDEX(Lists!$U$1:$U$18,MATCH($I449,Lists!$T$1:$T$18,0)),"?")</f>
        <v/>
      </c>
      <c r="AK449">
        <f>IF(LOWER($Q449)="v","Vacant",IF(LOWER($Q449)="pause","Paused",IF(LOWER($Q449)="cxc","Contractor",IF($Q449="Contractor","Contractor","Filled"))))</f>
        <v/>
      </c>
      <c r="AL449">
        <f>IF($M449="NZ","NZ","AU")</f>
        <v/>
      </c>
      <c r="AM449">
        <f>COUNTIF($AJ$2:$AJ449,$AJ449)</f>
        <v/>
      </c>
      <c r="AN449">
        <f>$AJ449&amp;"|"&amp;$AM449</f>
        <v/>
      </c>
      <c r="AO449" t="inlineStr">
        <is>
          <t>EGI TDD</t>
        </is>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f>IFERROR(INDEX(Lists!$U$1:$U$18,MATCH($I450,Lists!$T$1:$T$18,0)),"?")</f>
        <v/>
      </c>
      <c r="AK450">
        <f>IF(LOWER($Q450)="v","Vacant",IF(LOWER($Q450)="pause","Paused",IF(LOWER($Q450)="cxc","Contractor",IF($Q450="Contractor","Contractor","Filled"))))</f>
        <v/>
      </c>
      <c r="AL450">
        <f>IF($M450="NZ","NZ","AU")</f>
        <v/>
      </c>
      <c r="AM450">
        <f>COUNTIF($AJ$2:$AJ450,$AJ450)</f>
        <v/>
      </c>
      <c r="AN450">
        <f>$AJ450&amp;"|"&amp;$AM450</f>
        <v/>
      </c>
      <c r="AO450" t="inlineStr">
        <is>
          <t>EGI TDD</t>
        </is>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f>IFERROR(INDEX(Lists!$U$1:$U$18,MATCH($I451,Lists!$T$1:$T$18,0)),"?")</f>
        <v/>
      </c>
      <c r="AK451">
        <f>IF(LOWER($Q451)="v","Vacant",IF(LOWER($Q451)="pause","Paused",IF(LOWER($Q451)="cxc","Contractor",IF($Q451="Contractor","Contractor","Filled"))))</f>
        <v/>
      </c>
      <c r="AL451">
        <f>IF($M451="NZ","NZ","AU")</f>
        <v/>
      </c>
      <c r="AM451">
        <f>COUNTIF($AJ$2:$AJ451,$AJ451)</f>
        <v/>
      </c>
      <c r="AN451">
        <f>$AJ451&amp;"|"&amp;$AM451</f>
        <v/>
      </c>
      <c r="AO451" t="inlineStr">
        <is>
          <t>EGI TDD</t>
        </is>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f>IFERROR(INDEX(Lists!$U$1:$U$18,MATCH($I452,Lists!$T$1:$T$18,0)),"?")</f>
        <v/>
      </c>
      <c r="AK452">
        <f>IF(LOWER($Q452)="v","Vacant",IF(LOWER($Q452)="pause","Paused",IF(LOWER($Q452)="cxc","Contractor",IF($Q452="Contractor","Contractor","Filled"))))</f>
        <v/>
      </c>
      <c r="AL452">
        <f>IF($M452="NZ","NZ","AU")</f>
        <v/>
      </c>
      <c r="AM452">
        <f>COUNTIF($AJ$2:$AJ452,$AJ452)</f>
        <v/>
      </c>
      <c r="AN452">
        <f>$AJ452&amp;"|"&amp;$AM452</f>
        <v/>
      </c>
      <c r="AO452" t="inlineStr">
        <is>
          <t>EGI TDD</t>
        </is>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f>IFERROR(INDEX(Lists!$U$1:$U$18,MATCH($I453,Lists!$T$1:$T$18,0)),"?")</f>
        <v/>
      </c>
      <c r="AK453">
        <f>IF(LOWER($Q453)="v","Vacant",IF(LOWER($Q453)="pause","Paused",IF(LOWER($Q453)="cxc","Contractor",IF($Q453="Contractor","Contractor","Filled"))))</f>
        <v/>
      </c>
      <c r="AL453">
        <f>IF($M453="NZ","NZ","AU")</f>
        <v/>
      </c>
      <c r="AM453">
        <f>COUNTIF($AJ$2:$AJ453,$AJ453)</f>
        <v/>
      </c>
      <c r="AN453">
        <f>$AJ453&amp;"|"&amp;$AM453</f>
        <v/>
      </c>
      <c r="AO453" t="inlineStr">
        <is>
          <t>SAP ERP</t>
        </is>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f>IFERROR(INDEX(Lists!$U$1:$U$18,MATCH($I454,Lists!$T$1:$T$18,0)),"?")</f>
        <v/>
      </c>
      <c r="AK454">
        <f>IF(LOWER($Q454)="v","Vacant",IF(LOWER($Q454)="pause","Paused",IF(LOWER($Q454)="cxc","Contractor",IF($Q454="Contractor","Contractor","Filled"))))</f>
        <v/>
      </c>
      <c r="AL454">
        <f>IF($M454="NZ","NZ","AU")</f>
        <v/>
      </c>
      <c r="AM454">
        <f>COUNTIF($AJ$2:$AJ454,$AJ454)</f>
        <v/>
      </c>
      <c r="AN454">
        <f>$AJ454&amp;"|"&amp;$AM454</f>
        <v/>
      </c>
      <c r="AO454" t="inlineStr">
        <is>
          <t>SAP ERP</t>
        </is>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f>IFERROR(INDEX(Lists!$U$1:$U$18,MATCH($I455,Lists!$T$1:$T$18,0)),"?")</f>
        <v/>
      </c>
      <c r="AK455">
        <f>IF(LOWER($Q455)="v","Vacant",IF(LOWER($Q455)="pause","Paused",IF(LOWER($Q455)="cxc","Contractor",IF($Q455="Contractor","Contractor","Filled"))))</f>
        <v/>
      </c>
      <c r="AL455">
        <f>IF($M455="NZ","NZ","AU")</f>
        <v/>
      </c>
      <c r="AM455">
        <f>COUNTIF($AJ$2:$AJ455,$AJ455)</f>
        <v/>
      </c>
      <c r="AN455">
        <f>$AJ455&amp;"|"&amp;$AM455</f>
        <v/>
      </c>
      <c r="AO455" t="inlineStr">
        <is>
          <t>Leadership</t>
        </is>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f>IFERROR(INDEX(Lists!$U$1:$U$18,MATCH($I456,Lists!$T$1:$T$18,0)),"?")</f>
        <v/>
      </c>
      <c r="AK456">
        <f>IF(LOWER($Q456)="v","Vacant",IF(LOWER($Q456)="pause","Paused",IF(LOWER($Q456)="cxc","Contractor",IF($Q456="Contractor","Contractor","Filled"))))</f>
        <v/>
      </c>
      <c r="AL456">
        <f>IF($M456="NZ","NZ","AU")</f>
        <v/>
      </c>
      <c r="AM456">
        <f>COUNTIF($AJ$2:$AJ456,$AJ456)</f>
        <v/>
      </c>
      <c r="AN456">
        <f>$AJ456&amp;"|"&amp;$AM456</f>
        <v/>
      </c>
      <c r="AO456" t="inlineStr">
        <is>
          <t>NZ Finance</t>
        </is>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f>IFERROR(INDEX(Lists!$U$1:$U$18,MATCH($I457,Lists!$T$1:$T$18,0)),"?")</f>
        <v/>
      </c>
      <c r="AK457">
        <f>IF(LOWER($Q457)="v","Vacant",IF(LOWER($Q457)="pause","Paused",IF(LOWER($Q457)="cxc","Contractor",IF($Q457="Contractor","Contractor","Filled"))))</f>
        <v/>
      </c>
      <c r="AL457">
        <f>IF($M457="NZ","NZ","AU")</f>
        <v/>
      </c>
      <c r="AM457">
        <f>COUNTIF($AJ$2:$AJ457,$AJ457)</f>
        <v/>
      </c>
      <c r="AN457">
        <f>$AJ457&amp;"|"&amp;$AM457</f>
        <v/>
      </c>
      <c r="AO457" t="inlineStr">
        <is>
          <t>NZ Finance</t>
        </is>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f>IFERROR(INDEX(Lists!$U$1:$U$18,MATCH($I458,Lists!$T$1:$T$18,0)),"?")</f>
        <v/>
      </c>
      <c r="AK458">
        <f>IF(LOWER($Q458)="v","Vacant",IF(LOWER($Q458)="pause","Paused",IF(LOWER($Q458)="cxc","Contractor",IF($Q458="Contractor","Contractor","Filled"))))</f>
        <v/>
      </c>
      <c r="AL458">
        <f>IF($M458="NZ","NZ","AU")</f>
        <v/>
      </c>
      <c r="AM458">
        <f>COUNTIF($AJ$2:$AJ458,$AJ458)</f>
        <v/>
      </c>
      <c r="AN458">
        <f>$AJ458&amp;"|"&amp;$AM458</f>
        <v/>
      </c>
      <c r="AO458" t="inlineStr">
        <is>
          <t>NZ Finance</t>
        </is>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f>IFERROR(INDEX(Lists!$U$1:$U$18,MATCH($I459,Lists!$T$1:$T$18,0)),"?")</f>
        <v/>
      </c>
      <c r="AK459">
        <f>IF(LOWER($Q459)="v","Vacant",IF(LOWER($Q459)="pause","Paused",IF(LOWER($Q459)="cxc","Contractor",IF($Q459="Contractor","Contractor","Filled"))))</f>
        <v/>
      </c>
      <c r="AL459">
        <f>IF($M459="NZ","NZ","AU")</f>
        <v/>
      </c>
      <c r="AM459">
        <f>COUNTIF($AJ$2:$AJ459,$AJ459)</f>
        <v/>
      </c>
      <c r="AN459">
        <f>$AJ459&amp;"|"&amp;$AM459</f>
        <v/>
      </c>
      <c r="AO459" t="inlineStr">
        <is>
          <t>NZ Finance</t>
        </is>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f>IFERROR(INDEX(Lists!$U$1:$U$18,MATCH($I460,Lists!$T$1:$T$18,0)),"?")</f>
        <v/>
      </c>
      <c r="AK460">
        <f>IF(LOWER($Q460)="v","Vacant",IF(LOWER($Q460)="pause","Paused",IF(LOWER($Q460)="cxc","Contractor",IF($Q460="Contractor","Contractor","Filled"))))</f>
        <v/>
      </c>
      <c r="AL460">
        <f>IF($M460="NZ","NZ","AU")</f>
        <v/>
      </c>
      <c r="AM460">
        <f>COUNTIF($AJ$2:$AJ460,$AJ460)</f>
        <v/>
      </c>
      <c r="AN460">
        <f>$AJ460&amp;"|"&amp;$AM460</f>
        <v/>
      </c>
      <c r="AO460" t="inlineStr">
        <is>
          <t>P&amp;C</t>
        </is>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f>IFERROR(INDEX(Lists!$U$1:$U$18,MATCH($I461,Lists!$T$1:$T$18,0)),"?")</f>
        <v/>
      </c>
      <c r="AK461">
        <f>IF(LOWER($Q461)="v","Vacant",IF(LOWER($Q461)="pause","Paused",IF(LOWER($Q461)="cxc","Contractor",IF($Q461="Contractor","Contractor","Filled"))))</f>
        <v/>
      </c>
      <c r="AL461">
        <f>IF($M461="NZ","NZ","AU")</f>
        <v/>
      </c>
      <c r="AM461">
        <f>COUNTIF($AJ$2:$AJ461,$AJ461)</f>
        <v/>
      </c>
      <c r="AN461">
        <f>$AJ461&amp;"|"&amp;$AM461</f>
        <v/>
      </c>
      <c r="AO461" t="inlineStr">
        <is>
          <t>P&amp;C</t>
        </is>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f>IFERROR(INDEX(Lists!$U$1:$U$18,MATCH($I462,Lists!$T$1:$T$18,0)),"?")</f>
        <v/>
      </c>
      <c r="AK462">
        <f>IF(LOWER($Q462)="v","Vacant",IF(LOWER($Q462)="pause","Paused",IF(LOWER($Q462)="cxc","Contractor",IF($Q462="Contractor","Contractor","Filled"))))</f>
        <v/>
      </c>
      <c r="AL462">
        <f>IF($M462="NZ","NZ","AU")</f>
        <v/>
      </c>
      <c r="AM462">
        <f>COUNTIF($AJ$2:$AJ462,$AJ462)</f>
        <v/>
      </c>
      <c r="AN462">
        <f>$AJ462&amp;"|"&amp;$AM462</f>
        <v/>
      </c>
      <c r="AO462" t="inlineStr">
        <is>
          <t>P&amp;C</t>
        </is>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f>IFERROR(INDEX(Lists!$U$1:$U$18,MATCH($I463,Lists!$T$1:$T$18,0)),"?")</f>
        <v/>
      </c>
      <c r="AK463">
        <f>IF(LOWER($Q463)="v","Vacant",IF(LOWER($Q463)="pause","Paused",IF(LOWER($Q463)="cxc","Contractor",IF($Q463="Contractor","Contractor","Filled"))))</f>
        <v/>
      </c>
      <c r="AL463">
        <f>IF($M463="NZ","NZ","AU")</f>
        <v/>
      </c>
      <c r="AM463">
        <f>COUNTIF($AJ$2:$AJ463,$AJ463)</f>
        <v/>
      </c>
      <c r="AN463">
        <f>$AJ463&amp;"|"&amp;$AM463</f>
        <v/>
      </c>
      <c r="AO463" t="inlineStr">
        <is>
          <t>P&amp;C</t>
        </is>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f>IFERROR(INDEX(Lists!$U$1:$U$18,MATCH($I464,Lists!$T$1:$T$18,0)),"?")</f>
        <v/>
      </c>
      <c r="AK464">
        <f>IF(LOWER($Q464)="v","Vacant",IF(LOWER($Q464)="pause","Paused",IF(LOWER($Q464)="cxc","Contractor",IF($Q464="Contractor","Contractor","Filled"))))</f>
        <v/>
      </c>
      <c r="AL464">
        <f>IF($M464="NZ","NZ","AU")</f>
        <v/>
      </c>
      <c r="AM464">
        <f>COUNTIF($AJ$2:$AJ464,$AJ464)</f>
        <v/>
      </c>
      <c r="AN464">
        <f>$AJ464&amp;"|"&amp;$AM464</f>
        <v/>
      </c>
      <c r="AO464" t="inlineStr">
        <is>
          <t>P&amp;C</t>
        </is>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f>IFERROR(INDEX(Lists!$U$1:$U$18,MATCH($I465,Lists!$T$1:$T$18,0)),"?")</f>
        <v/>
      </c>
      <c r="AK465">
        <f>IF(LOWER($Q465)="v","Vacant",IF(LOWER($Q465)="pause","Paused",IF(LOWER($Q465)="cxc","Contractor",IF($Q465="Contractor","Contractor","Filled"))))</f>
        <v/>
      </c>
      <c r="AL465">
        <f>IF($M465="NZ","NZ","AU")</f>
        <v/>
      </c>
      <c r="AM465">
        <f>COUNTIF($AJ$2:$AJ465,$AJ465)</f>
        <v/>
      </c>
      <c r="AN465">
        <f>$AJ465&amp;"|"&amp;$AM465</f>
        <v/>
      </c>
      <c r="AO465" t="inlineStr">
        <is>
          <t>P&amp;C RTA</t>
        </is>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f>IFERROR(INDEX(Lists!$U$1:$U$18,MATCH($I466,Lists!$T$1:$T$18,0)),"?")</f>
        <v/>
      </c>
      <c r="AK466">
        <f>IF(LOWER($Q466)="v","Vacant",IF(LOWER($Q466)="pause","Paused",IF(LOWER($Q466)="cxc","Contractor",IF($Q466="Contractor","Contractor","Filled"))))</f>
        <v/>
      </c>
      <c r="AL466">
        <f>IF($M466="NZ","NZ","AU")</f>
        <v/>
      </c>
      <c r="AM466">
        <f>COUNTIF($AJ$2:$AJ466,$AJ466)</f>
        <v/>
      </c>
      <c r="AN466">
        <f>$AJ466&amp;"|"&amp;$AM466</f>
        <v/>
      </c>
      <c r="AO466" t="inlineStr">
        <is>
          <t>Leadership</t>
        </is>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f>IFERROR(INDEX(Lists!$U$1:$U$18,MATCH($I467,Lists!$T$1:$T$18,0)),"?")</f>
        <v/>
      </c>
      <c r="AK467">
        <f>IF(LOWER($Q467)="v","Vacant",IF(LOWER($Q467)="pause","Paused",IF(LOWER($Q467)="cxc","Contractor",IF($Q467="Contractor","Contractor","Filled"))))</f>
        <v/>
      </c>
      <c r="AL467">
        <f>IF($M467="NZ","NZ","AU")</f>
        <v/>
      </c>
      <c r="AM467">
        <f>COUNTIF($AJ$2:$AJ467,$AJ467)</f>
        <v/>
      </c>
      <c r="AN467">
        <f>$AJ467&amp;"|"&amp;$AM467</f>
        <v/>
      </c>
      <c r="AO467" t="inlineStr">
        <is>
          <t>AmPOS</t>
        </is>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f>IFERROR(INDEX(Lists!$U$1:$U$18,MATCH($I468,Lists!$T$1:$T$18,0)),"?")</f>
        <v/>
      </c>
      <c r="AK468">
        <f>IF(LOWER($Q468)="v","Vacant",IF(LOWER($Q468)="pause","Paused",IF(LOWER($Q468)="cxc","Contractor",IF($Q468="Contractor","Contractor","Filled"))))</f>
        <v/>
      </c>
      <c r="AL468">
        <f>IF($M468="NZ","NZ","AU")</f>
        <v/>
      </c>
      <c r="AM468">
        <f>COUNTIF($AJ$2:$AJ468,$AJ468)</f>
        <v/>
      </c>
      <c r="AN468">
        <f>$AJ468&amp;"|"&amp;$AM468</f>
        <v/>
      </c>
      <c r="AO468" t="inlineStr">
        <is>
          <t>Cloud, Network &amp; Infra Ops</t>
        </is>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f>IFERROR(INDEX(Lists!$U$1:$U$18,MATCH($I469,Lists!$T$1:$T$18,0)),"?")</f>
        <v/>
      </c>
      <c r="AK469">
        <f>IF(LOWER($Q469)="v","Vacant",IF(LOWER($Q469)="pause","Paused",IF(LOWER($Q469)="cxc","Contractor",IF($Q469="Contractor","Contractor","Filled"))))</f>
        <v/>
      </c>
      <c r="AL469">
        <f>IF($M469="NZ","NZ","AU")</f>
        <v/>
      </c>
      <c r="AM469">
        <f>COUNTIF($AJ$2:$AJ469,$AJ469)</f>
        <v/>
      </c>
      <c r="AN469">
        <f>$AJ469&amp;"|"&amp;$AM469</f>
        <v/>
      </c>
      <c r="AO469" t="inlineStr">
        <is>
          <t>Cloud, Network &amp; Infra Ops</t>
        </is>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f>IFERROR(INDEX(Lists!$U$1:$U$18,MATCH($I470,Lists!$T$1:$T$18,0)),"?")</f>
        <v/>
      </c>
      <c r="AK470">
        <f>IF(LOWER($Q470)="v","Vacant",IF(LOWER($Q470)="pause","Paused",IF(LOWER($Q470)="cxc","Contractor",IF($Q470="Contractor","Contractor","Filled"))))</f>
        <v/>
      </c>
      <c r="AL470">
        <f>IF($M470="NZ","NZ","AU")</f>
        <v/>
      </c>
      <c r="AM470">
        <f>COUNTIF($AJ$2:$AJ470,$AJ470)</f>
        <v/>
      </c>
      <c r="AN470">
        <f>$AJ470&amp;"|"&amp;$AM470</f>
        <v/>
      </c>
      <c r="AO470" t="inlineStr">
        <is>
          <t>Cloud, Network &amp; Infra Ops</t>
        </is>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f>IFERROR(INDEX(Lists!$U$1:$U$18,MATCH($I471,Lists!$T$1:$T$18,0)),"?")</f>
        <v/>
      </c>
      <c r="AK471">
        <f>IF(LOWER($Q471)="v","Vacant",IF(LOWER($Q471)="pause","Paused",IF(LOWER($Q471)="cxc","Contractor",IF($Q471="Contractor","Contractor","Filled"))))</f>
        <v/>
      </c>
      <c r="AL471">
        <f>IF($M471="NZ","NZ","AU")</f>
        <v/>
      </c>
      <c r="AM471">
        <f>COUNTIF($AJ$2:$AJ471,$AJ471)</f>
        <v/>
      </c>
      <c r="AN471">
        <f>$AJ471&amp;"|"&amp;$AM471</f>
        <v/>
      </c>
      <c r="AO471" t="inlineStr">
        <is>
          <t>Cloud, Network &amp; Infra Ops</t>
        </is>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f>IFERROR(INDEX(Lists!$U$1:$U$18,MATCH($I472,Lists!$T$1:$T$18,0)),"?")</f>
        <v/>
      </c>
      <c r="AK472">
        <f>IF(LOWER($Q472)="v","Vacant",IF(LOWER($Q472)="pause","Paused",IF(LOWER($Q472)="cxc","Contractor",IF($Q472="Contractor","Contractor","Filled"))))</f>
        <v/>
      </c>
      <c r="AL472">
        <f>IF($M472="NZ","NZ","AU")</f>
        <v/>
      </c>
      <c r="AM472">
        <f>COUNTIF($AJ$2:$AJ472,$AJ472)</f>
        <v/>
      </c>
      <c r="AN472">
        <f>$AJ472&amp;"|"&amp;$AM472</f>
        <v/>
      </c>
      <c r="AO472" t="inlineStr">
        <is>
          <t>Cloud, Network &amp; Infra Ops</t>
        </is>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f>IFERROR(INDEX(Lists!$U$1:$U$18,MATCH($I473,Lists!$T$1:$T$18,0)),"?")</f>
        <v/>
      </c>
      <c r="AK473">
        <f>IF(LOWER($Q473)="v","Vacant",IF(LOWER($Q473)="pause","Paused",IF(LOWER($Q473)="cxc","Contractor",IF($Q473="Contractor","Contractor","Filled"))))</f>
        <v/>
      </c>
      <c r="AL473">
        <f>IF($M473="NZ","NZ","AU")</f>
        <v/>
      </c>
      <c r="AM473">
        <f>COUNTIF($AJ$2:$AJ473,$AJ473)</f>
        <v/>
      </c>
      <c r="AN473">
        <f>$AJ473&amp;"|"&amp;$AM473</f>
        <v/>
      </c>
      <c r="AO473" t="inlineStr">
        <is>
          <t>Cloud, Network &amp; Infra Ops</t>
        </is>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f>IFERROR(INDEX(Lists!$U$1:$U$18,MATCH($I474,Lists!$T$1:$T$18,0)),"?")</f>
        <v/>
      </c>
      <c r="AK474">
        <f>IF(LOWER($Q474)="v","Vacant",IF(LOWER($Q474)="pause","Paused",IF(LOWER($Q474)="cxc","Contractor",IF($Q474="Contractor","Contractor","Filled"))))</f>
        <v/>
      </c>
      <c r="AL474">
        <f>IF($M474="NZ","NZ","AU")</f>
        <v/>
      </c>
      <c r="AM474">
        <f>COUNTIF($AJ$2:$AJ474,$AJ474)</f>
        <v/>
      </c>
      <c r="AN474">
        <f>$AJ474&amp;"|"&amp;$AM474</f>
        <v/>
      </c>
      <c r="AO474" t="inlineStr">
        <is>
          <t>Cloud, Network &amp; Infra Ops</t>
        </is>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f>IFERROR(INDEX(Lists!$U$1:$U$18,MATCH($I475,Lists!$T$1:$T$18,0)),"?")</f>
        <v/>
      </c>
      <c r="AK475">
        <f>IF(LOWER($Q475)="v","Vacant",IF(LOWER($Q475)="pause","Paused",IF(LOWER($Q475)="cxc","Contractor",IF($Q475="Contractor","Contractor","Filled"))))</f>
        <v/>
      </c>
      <c r="AL475">
        <f>IF($M475="NZ","NZ","AU")</f>
        <v/>
      </c>
      <c r="AM475">
        <f>COUNTIF($AJ$2:$AJ475,$AJ475)</f>
        <v/>
      </c>
      <c r="AN475">
        <f>$AJ475&amp;"|"&amp;$AM475</f>
        <v/>
      </c>
      <c r="AO475" t="inlineStr">
        <is>
          <t>Cloud, Network &amp; Infra Ops</t>
        </is>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f>IFERROR(INDEX(Lists!$U$1:$U$18,MATCH($I476,Lists!$T$1:$T$18,0)),"?")</f>
        <v/>
      </c>
      <c r="AK476">
        <f>IF(LOWER($Q476)="v","Vacant",IF(LOWER($Q476)="pause","Paused",IF(LOWER($Q476)="cxc","Contractor",IF($Q476="Contractor","Contractor","Filled"))))</f>
        <v/>
      </c>
      <c r="AL476">
        <f>IF($M476="NZ","NZ","AU")</f>
        <v/>
      </c>
      <c r="AM476">
        <f>COUNTIF($AJ$2:$AJ476,$AJ476)</f>
        <v/>
      </c>
      <c r="AN476">
        <f>$AJ476&amp;"|"&amp;$AM476</f>
        <v/>
      </c>
      <c r="AO476" t="inlineStr">
        <is>
          <t>Cloud, Network &amp; Infra Ops</t>
        </is>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f>IFERROR(INDEX(Lists!$U$1:$U$18,MATCH($I477,Lists!$T$1:$T$18,0)),"?")</f>
        <v/>
      </c>
      <c r="AK477">
        <f>IF(LOWER($Q477)="v","Vacant",IF(LOWER($Q477)="pause","Paused",IF(LOWER($Q477)="cxc","Contractor",IF($Q477="Contractor","Contractor","Filled"))))</f>
        <v/>
      </c>
      <c r="AL477">
        <f>IF($M477="NZ","NZ","AU")</f>
        <v/>
      </c>
      <c r="AM477">
        <f>COUNTIF($AJ$2:$AJ477,$AJ477)</f>
        <v/>
      </c>
      <c r="AN477">
        <f>$AJ477&amp;"|"&amp;$AM477</f>
        <v/>
      </c>
      <c r="AO477" t="inlineStr">
        <is>
          <t>Cloud, Network &amp; Infra Ops</t>
        </is>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f>IFERROR(INDEX(Lists!$U$1:$U$18,MATCH($I478,Lists!$T$1:$T$18,0)),"?")</f>
        <v/>
      </c>
      <c r="AK478">
        <f>IF(LOWER($Q478)="v","Vacant",IF(LOWER($Q478)="pause","Paused",IF(LOWER($Q478)="cxc","Contractor",IF($Q478="Contractor","Contractor","Filled"))))</f>
        <v/>
      </c>
      <c r="AL478">
        <f>IF($M478="NZ","NZ","AU")</f>
        <v/>
      </c>
      <c r="AM478">
        <f>COUNTIF($AJ$2:$AJ478,$AJ478)</f>
        <v/>
      </c>
      <c r="AN478">
        <f>$AJ478&amp;"|"&amp;$AM478</f>
        <v/>
      </c>
      <c r="AO478" t="inlineStr">
        <is>
          <t>Cloud, Network &amp; Infra Ops</t>
        </is>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f>IFERROR(INDEX(Lists!$U$1:$U$18,MATCH($I479,Lists!$T$1:$T$18,0)),"?")</f>
        <v/>
      </c>
      <c r="AK479">
        <f>IF(LOWER($Q479)="v","Vacant",IF(LOWER($Q479)="pause","Paused",IF(LOWER($Q479)="cxc","Contractor",IF($Q479="Contractor","Contractor","Filled"))))</f>
        <v/>
      </c>
      <c r="AL479">
        <f>IF($M479="NZ","NZ","AU")</f>
        <v/>
      </c>
      <c r="AM479">
        <f>COUNTIF($AJ$2:$AJ479,$AJ479)</f>
        <v/>
      </c>
      <c r="AN479">
        <f>$AJ479&amp;"|"&amp;$AM479</f>
        <v/>
      </c>
      <c r="AO479" t="inlineStr">
        <is>
          <t>DevOps &amp; QE</t>
        </is>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f>IFERROR(INDEX(Lists!$U$1:$U$18,MATCH($I480,Lists!$T$1:$T$18,0)),"?")</f>
        <v/>
      </c>
      <c r="AK480">
        <f>IF(LOWER($Q480)="v","Vacant",IF(LOWER($Q480)="pause","Paused",IF(LOWER($Q480)="cxc","Contractor",IF($Q480="Contractor","Contractor","Filled"))))</f>
        <v/>
      </c>
      <c r="AL480">
        <f>IF($M480="NZ","NZ","AU")</f>
        <v/>
      </c>
      <c r="AM480">
        <f>COUNTIF($AJ$2:$AJ480,$AJ480)</f>
        <v/>
      </c>
      <c r="AN480">
        <f>$AJ480&amp;"|"&amp;$AM480</f>
        <v/>
      </c>
      <c r="AO480" t="inlineStr">
        <is>
          <t>DevOps &amp; QE</t>
        </is>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f>IFERROR(INDEX(Lists!$U$1:$U$18,MATCH($I481,Lists!$T$1:$T$18,0)),"?")</f>
        <v/>
      </c>
      <c r="AK481">
        <f>IF(LOWER($Q481)="v","Vacant",IF(LOWER($Q481)="pause","Paused",IF(LOWER($Q481)="cxc","Contractor",IF($Q481="Contractor","Contractor","Filled"))))</f>
        <v/>
      </c>
      <c r="AL481">
        <f>IF($M481="NZ","NZ","AU")</f>
        <v/>
      </c>
      <c r="AM481">
        <f>COUNTIF($AJ$2:$AJ481,$AJ481)</f>
        <v/>
      </c>
      <c r="AN481">
        <f>$AJ481&amp;"|"&amp;$AM481</f>
        <v/>
      </c>
      <c r="AO481" t="inlineStr">
        <is>
          <t>DevOps &amp; QE</t>
        </is>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f>IFERROR(INDEX(Lists!$U$1:$U$18,MATCH($I482,Lists!$T$1:$T$18,0)),"?")</f>
        <v/>
      </c>
      <c r="AK482">
        <f>IF(LOWER($Q482)="v","Vacant",IF(LOWER($Q482)="pause","Paused",IF(LOWER($Q482)="cxc","Contractor",IF($Q482="Contractor","Contractor","Filled"))))</f>
        <v/>
      </c>
      <c r="AL482">
        <f>IF($M482="NZ","NZ","AU")</f>
        <v/>
      </c>
      <c r="AM482">
        <f>COUNTIF($AJ$2:$AJ482,$AJ482)</f>
        <v/>
      </c>
      <c r="AN482">
        <f>$AJ482&amp;"|"&amp;$AM482</f>
        <v/>
      </c>
      <c r="AO482" t="inlineStr">
        <is>
          <t>DevOps &amp; QE</t>
        </is>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f>IFERROR(INDEX(Lists!$U$1:$U$18,MATCH($I483,Lists!$T$1:$T$18,0)),"?")</f>
        <v/>
      </c>
      <c r="AK483">
        <f>IF(LOWER($Q483)="v","Vacant",IF(LOWER($Q483)="pause","Paused",IF(LOWER($Q483)="cxc","Contractor",IF($Q483="Contractor","Contractor","Filled"))))</f>
        <v/>
      </c>
      <c r="AL483">
        <f>IF($M483="NZ","NZ","AU")</f>
        <v/>
      </c>
      <c r="AM483">
        <f>COUNTIF($AJ$2:$AJ483,$AJ483)</f>
        <v/>
      </c>
      <c r="AN483">
        <f>$AJ483&amp;"|"&amp;$AM483</f>
        <v/>
      </c>
      <c r="AO483" t="inlineStr">
        <is>
          <t>Integration &amp; Process Automation</t>
        </is>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f>IFERROR(INDEX(Lists!$U$1:$U$18,MATCH($I484,Lists!$T$1:$T$18,0)),"?")</f>
        <v/>
      </c>
      <c r="AK484">
        <f>IF(LOWER($Q484)="v","Vacant",IF(LOWER($Q484)="pause","Paused",IF(LOWER($Q484)="cxc","Contractor",IF($Q484="Contractor","Contractor","Filled"))))</f>
        <v/>
      </c>
      <c r="AL484">
        <f>IF($M484="NZ","NZ","AU")</f>
        <v/>
      </c>
      <c r="AM484">
        <f>COUNTIF($AJ$2:$AJ484,$AJ484)</f>
        <v/>
      </c>
      <c r="AN484">
        <f>$AJ484&amp;"|"&amp;$AM484</f>
        <v/>
      </c>
      <c r="AO484" t="inlineStr">
        <is>
          <t>Integration &amp; Process Automation</t>
        </is>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f>IFERROR(INDEX(Lists!$U$1:$U$18,MATCH($I485,Lists!$T$1:$T$18,0)),"?")</f>
        <v/>
      </c>
      <c r="AK485">
        <f>IF(LOWER($Q485)="v","Vacant",IF(LOWER($Q485)="pause","Paused",IF(LOWER($Q485)="cxc","Contractor",IF($Q485="Contractor","Contractor","Filled"))))</f>
        <v/>
      </c>
      <c r="AL485">
        <f>IF($M485="NZ","NZ","AU")</f>
        <v/>
      </c>
      <c r="AM485">
        <f>COUNTIF($AJ$2:$AJ485,$AJ485)</f>
        <v/>
      </c>
      <c r="AN485">
        <f>$AJ485&amp;"|"&amp;$AM485</f>
        <v/>
      </c>
      <c r="AO485" t="inlineStr">
        <is>
          <t>Integration &amp; Process Automation</t>
        </is>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f>IFERROR(INDEX(Lists!$U$1:$U$18,MATCH($I486,Lists!$T$1:$T$18,0)),"?")</f>
        <v/>
      </c>
      <c r="AK486">
        <f>IF(LOWER($Q486)="v","Vacant",IF(LOWER($Q486)="pause","Paused",IF(LOWER($Q486)="cxc","Contractor",IF($Q486="Contractor","Contractor","Filled"))))</f>
        <v/>
      </c>
      <c r="AL486">
        <f>IF($M486="NZ","NZ","AU")</f>
        <v/>
      </c>
      <c r="AM486">
        <f>COUNTIF($AJ$2:$AJ486,$AJ486)</f>
        <v/>
      </c>
      <c r="AN486">
        <f>$AJ486&amp;"|"&amp;$AM486</f>
        <v/>
      </c>
      <c r="AO486" t="inlineStr">
        <is>
          <t>Integration &amp; Process Automation</t>
        </is>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f>IFERROR(INDEX(Lists!$U$1:$U$18,MATCH($I487,Lists!$T$1:$T$18,0)),"?")</f>
        <v/>
      </c>
      <c r="AK487">
        <f>IF(LOWER($Q487)="v","Vacant",IF(LOWER($Q487)="pause","Paused",IF(LOWER($Q487)="cxc","Contractor",IF($Q487="Contractor","Contractor","Filled"))))</f>
        <v/>
      </c>
      <c r="AL487">
        <f>IF($M487="NZ","NZ","AU")</f>
        <v/>
      </c>
      <c r="AM487">
        <f>COUNTIF($AJ$2:$AJ487,$AJ487)</f>
        <v/>
      </c>
      <c r="AN487">
        <f>$AJ487&amp;"|"&amp;$AM487</f>
        <v/>
      </c>
      <c r="AO487" t="inlineStr">
        <is>
          <t>Integration &amp; Process Automation</t>
        </is>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f>IFERROR(INDEX(Lists!$U$1:$U$18,MATCH($I488,Lists!$T$1:$T$18,0)),"?")</f>
        <v/>
      </c>
      <c r="AK488">
        <f>IF(LOWER($Q488)="v","Vacant",IF(LOWER($Q488)="pause","Paused",IF(LOWER($Q488)="cxc","Contractor",IF($Q488="Contractor","Contractor","Filled"))))</f>
        <v/>
      </c>
      <c r="AL488">
        <f>IF($M488="NZ","NZ","AU")</f>
        <v/>
      </c>
      <c r="AM488">
        <f>COUNTIF($AJ$2:$AJ488,$AJ488)</f>
        <v/>
      </c>
      <c r="AN488">
        <f>$AJ488&amp;"|"&amp;$AM488</f>
        <v/>
      </c>
      <c r="AO488" t="inlineStr">
        <is>
          <t>Integration &amp; Process Automation</t>
        </is>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f>IFERROR(INDEX(Lists!$U$1:$U$18,MATCH($I489,Lists!$T$1:$T$18,0)),"?")</f>
        <v/>
      </c>
      <c r="AK489">
        <f>IF(LOWER($Q489)="v","Vacant",IF(LOWER($Q489)="pause","Paused",IF(LOWER($Q489)="cxc","Contractor",IF($Q489="Contractor","Contractor","Filled"))))</f>
        <v/>
      </c>
      <c r="AL489">
        <f>IF($M489="NZ","NZ","AU")</f>
        <v/>
      </c>
      <c r="AM489">
        <f>COUNTIF($AJ$2:$AJ489,$AJ489)</f>
        <v/>
      </c>
      <c r="AN489">
        <f>$AJ489&amp;"|"&amp;$AM489</f>
        <v/>
      </c>
      <c r="AO489" t="inlineStr">
        <is>
          <t>Integration &amp; Process Automation</t>
        </is>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f>IFERROR(INDEX(Lists!$U$1:$U$18,MATCH($I490,Lists!$T$1:$T$18,0)),"?")</f>
        <v/>
      </c>
      <c r="AK490">
        <f>IF(LOWER($Q490)="v","Vacant",IF(LOWER($Q490)="pause","Paused",IF(LOWER($Q490)="cxc","Contractor",IF($Q490="Contractor","Contractor","Filled"))))</f>
        <v/>
      </c>
      <c r="AL490">
        <f>IF($M490="NZ","NZ","AU")</f>
        <v/>
      </c>
      <c r="AM490">
        <f>COUNTIF($AJ$2:$AJ490,$AJ490)</f>
        <v/>
      </c>
      <c r="AN490">
        <f>$AJ490&amp;"|"&amp;$AM490</f>
        <v/>
      </c>
      <c r="AO490" t="inlineStr">
        <is>
          <t>Integration &amp; Process Automation</t>
        </is>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f>IFERROR(INDEX(Lists!$U$1:$U$18,MATCH($I491,Lists!$T$1:$T$18,0)),"?")</f>
        <v/>
      </c>
      <c r="AK491">
        <f>IF(LOWER($Q491)="v","Vacant",IF(LOWER($Q491)="pause","Paused",IF(LOWER($Q491)="cxc","Contractor",IF($Q491="Contractor","Contractor","Filled"))))</f>
        <v/>
      </c>
      <c r="AL491">
        <f>IF($M491="NZ","NZ","AU")</f>
        <v/>
      </c>
      <c r="AM491">
        <f>COUNTIF($AJ$2:$AJ491,$AJ491)</f>
        <v/>
      </c>
      <c r="AN491">
        <f>$AJ491&amp;"|"&amp;$AM491</f>
        <v/>
      </c>
      <c r="AO491" t="inlineStr">
        <is>
          <t>Integration &amp; Process Automation</t>
        </is>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f>IFERROR(INDEX(Lists!$U$1:$U$18,MATCH($I492,Lists!$T$1:$T$18,0)),"?")</f>
        <v/>
      </c>
      <c r="AK492">
        <f>IF(LOWER($Q492)="v","Vacant",IF(LOWER($Q492)="pause","Paused",IF(LOWER($Q492)="cxc","Contractor",IF($Q492="Contractor","Contractor","Filled"))))</f>
        <v/>
      </c>
      <c r="AL492">
        <f>IF($M492="NZ","NZ","AU")</f>
        <v/>
      </c>
      <c r="AM492">
        <f>COUNTIF($AJ$2:$AJ492,$AJ492)</f>
        <v/>
      </c>
      <c r="AN492">
        <f>$AJ492&amp;"|"&amp;$AM492</f>
        <v/>
      </c>
      <c r="AO492" t="inlineStr">
        <is>
          <t>Workplace &amp; Enterprise Tooling</t>
        </is>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f>IFERROR(INDEX(Lists!$U$1:$U$18,MATCH($I493,Lists!$T$1:$T$18,0)),"?")</f>
        <v/>
      </c>
      <c r="AK493">
        <f>IF(LOWER($Q493)="v","Vacant",IF(LOWER($Q493)="pause","Paused",IF(LOWER($Q493)="cxc","Contractor",IF($Q493="Contractor","Contractor","Filled"))))</f>
        <v/>
      </c>
      <c r="AL493">
        <f>IF($M493="NZ","NZ","AU")</f>
        <v/>
      </c>
      <c r="AM493">
        <f>COUNTIF($AJ$2:$AJ493,$AJ493)</f>
        <v/>
      </c>
      <c r="AN493">
        <f>$AJ493&amp;"|"&amp;$AM493</f>
        <v/>
      </c>
      <c r="AO493" t="inlineStr">
        <is>
          <t>Workplace &amp; Enterprise Tooling</t>
        </is>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f>IFERROR(INDEX(Lists!$U$1:$U$18,MATCH($I494,Lists!$T$1:$T$18,0)),"?")</f>
        <v/>
      </c>
      <c r="AK494">
        <f>IF(LOWER($Q494)="v","Vacant",IF(LOWER($Q494)="pause","Paused",IF(LOWER($Q494)="cxc","Contractor",IF($Q494="Contractor","Contractor","Filled"))))</f>
        <v/>
      </c>
      <c r="AL494">
        <f>IF($M494="NZ","NZ","AU")</f>
        <v/>
      </c>
      <c r="AM494">
        <f>COUNTIF($AJ$2:$AJ494,$AJ494)</f>
        <v/>
      </c>
      <c r="AN494">
        <f>$AJ494&amp;"|"&amp;$AM494</f>
        <v/>
      </c>
      <c r="AO494" t="inlineStr">
        <is>
          <t>Workplace &amp; Enterprise Tooling</t>
        </is>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f>IFERROR(INDEX(Lists!$U$1:$U$18,MATCH($I495,Lists!$T$1:$T$18,0)),"?")</f>
        <v/>
      </c>
      <c r="AK495">
        <f>IF(LOWER($Q495)="v","Vacant",IF(LOWER($Q495)="pause","Paused",IF(LOWER($Q495)="cxc","Contractor",IF($Q495="Contractor","Contractor","Filled"))))</f>
        <v/>
      </c>
      <c r="AL495">
        <f>IF($M495="NZ","NZ","AU")</f>
        <v/>
      </c>
      <c r="AM495">
        <f>COUNTIF($AJ$2:$AJ495,$AJ495)</f>
        <v/>
      </c>
      <c r="AN495">
        <f>$AJ495&amp;"|"&amp;$AM495</f>
        <v/>
      </c>
      <c r="AO495" t="inlineStr">
        <is>
          <t>SAP ERP</t>
        </is>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f>IFERROR(INDEX(Lists!$U$1:$U$18,MATCH($I496,Lists!$T$1:$T$18,0)),"?")</f>
        <v/>
      </c>
      <c r="AK496">
        <f>IF(LOWER($Q496)="v","Vacant",IF(LOWER($Q496)="pause","Paused",IF(LOWER($Q496)="cxc","Contractor",IF($Q496="Contractor","Contractor","Filled"))))</f>
        <v/>
      </c>
      <c r="AL496">
        <f>IF($M496="NZ","NZ","AU")</f>
        <v/>
      </c>
      <c r="AM496">
        <f>COUNTIF($AJ$2:$AJ496,$AJ496)</f>
        <v/>
      </c>
      <c r="AN496">
        <f>$AJ496&amp;"|"&amp;$AM496</f>
        <v/>
      </c>
      <c r="AO496" t="inlineStr">
        <is>
          <t>SAP ERP</t>
        </is>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f>IFERROR(INDEX(Lists!$U$1:$U$18,MATCH($I497,Lists!$T$1:$T$18,0)),"?")</f>
        <v/>
      </c>
      <c r="AK497">
        <f>IF(LOWER($Q497)="v","Vacant",IF(LOWER($Q497)="pause","Paused",IF(LOWER($Q497)="cxc","Contractor",IF($Q497="Contractor","Contractor","Filled"))))</f>
        <v/>
      </c>
      <c r="AL497">
        <f>IF($M497="NZ","NZ","AU")</f>
        <v/>
      </c>
      <c r="AM497">
        <f>COUNTIF($AJ$2:$AJ497,$AJ497)</f>
        <v/>
      </c>
      <c r="AN497">
        <f>$AJ497&amp;"|"&amp;$AM497</f>
        <v/>
      </c>
      <c r="AO497" t="inlineStr">
        <is>
          <t>SAP ERP</t>
        </is>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f>IFERROR(INDEX(Lists!$U$1:$U$18,MATCH($I498,Lists!$T$1:$T$18,0)),"?")</f>
        <v/>
      </c>
      <c r="AK498">
        <f>IF(LOWER($Q498)="v","Vacant",IF(LOWER($Q498)="pause","Paused",IF(LOWER($Q498)="cxc","Contractor",IF($Q498="Contractor","Contractor","Filled"))))</f>
        <v/>
      </c>
      <c r="AL498">
        <f>IF($M498="NZ","NZ","AU")</f>
        <v/>
      </c>
      <c r="AM498">
        <f>COUNTIF($AJ$2:$AJ498,$AJ498)</f>
        <v/>
      </c>
      <c r="AN498">
        <f>$AJ498&amp;"|"&amp;$AM498</f>
        <v/>
      </c>
      <c r="AO498" t="inlineStr">
        <is>
          <t>SAP ERP</t>
        </is>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f>IFERROR(INDEX(Lists!$U$1:$U$18,MATCH($I499,Lists!$T$1:$T$18,0)),"?")</f>
        <v/>
      </c>
      <c r="AK499">
        <f>IF(LOWER($Q499)="v","Vacant",IF(LOWER($Q499)="pause","Paused",IF(LOWER($Q499)="cxc","Contractor",IF($Q499="Contractor","Contractor","Filled"))))</f>
        <v/>
      </c>
      <c r="AL499">
        <f>IF($M499="NZ","NZ","AU")</f>
        <v/>
      </c>
      <c r="AM499">
        <f>COUNTIF($AJ$2:$AJ499,$AJ499)</f>
        <v/>
      </c>
      <c r="AN499">
        <f>$AJ499&amp;"|"&amp;$AM499</f>
        <v/>
      </c>
      <c r="AO499" t="inlineStr">
        <is>
          <t>SAP ERP</t>
        </is>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f>IFERROR(INDEX(Lists!$U$1:$U$18,MATCH($I500,Lists!$T$1:$T$18,0)),"?")</f>
        <v/>
      </c>
      <c r="AK500">
        <f>IF(LOWER($Q500)="v","Vacant",IF(LOWER($Q500)="pause","Paused",IF(LOWER($Q500)="cxc","Contractor",IF($Q500="Contractor","Contractor","Filled"))))</f>
        <v/>
      </c>
      <c r="AL500">
        <f>IF($M500="NZ","NZ","AU")</f>
        <v/>
      </c>
      <c r="AM500">
        <f>COUNTIF($AJ$2:$AJ500,$AJ500)</f>
        <v/>
      </c>
      <c r="AN500">
        <f>$AJ500&amp;"|"&amp;$AM500</f>
        <v/>
      </c>
      <c r="AO500" t="inlineStr">
        <is>
          <t>NZ Finance</t>
        </is>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f>IFERROR(INDEX(Lists!$U$1:$U$18,MATCH($I501,Lists!$T$1:$T$18,0)),"?")</f>
        <v/>
      </c>
      <c r="AK501">
        <f>IF(LOWER($Q501)="v","Vacant",IF(LOWER($Q501)="pause","Paused",IF(LOWER($Q501)="cxc","Contractor",IF($Q501="Contractor","Contractor","Filled"))))</f>
        <v/>
      </c>
      <c r="AL501">
        <f>IF($M501="NZ","NZ","AU")</f>
        <v/>
      </c>
      <c r="AM501">
        <f>COUNTIF($AJ$2:$AJ501,$AJ501)</f>
        <v/>
      </c>
      <c r="AN501">
        <f>$AJ501&amp;"|"&amp;$AM501</f>
        <v/>
      </c>
      <c r="AO501" t="inlineStr">
        <is>
          <t>SAP ERP</t>
        </is>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f>IFERROR(INDEX(Lists!$U$1:$U$18,MATCH($I502,Lists!$T$1:$T$18,0)),"?")</f>
        <v/>
      </c>
      <c r="AK502">
        <f>IF(LOWER($Q502)="v","Vacant",IF(LOWER($Q502)="pause","Paused",IF(LOWER($Q502)="cxc","Contractor",IF($Q502="Contractor","Contractor","Filled"))))</f>
        <v/>
      </c>
      <c r="AL502">
        <f>IF($M502="NZ","NZ","AU")</f>
        <v/>
      </c>
      <c r="AM502">
        <f>COUNTIF($AJ$2:$AJ502,$AJ502)</f>
        <v/>
      </c>
      <c r="AN502">
        <f>$AJ502&amp;"|"&amp;$AM502</f>
        <v/>
      </c>
      <c r="AO502" t="inlineStr">
        <is>
          <t>P&amp;C RTA</t>
        </is>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f>IFERROR(INDEX(Lists!$U$1:$U$18,MATCH($I503,Lists!$T$1:$T$18,0)),"?")</f>
        <v/>
      </c>
      <c r="AK503">
        <f>IF(LOWER($Q503)="v","Vacant",IF(LOWER($Q503)="pause","Paused",IF(LOWER($Q503)="cxc","Contractor",IF($Q503="Contractor","Contractor","Filled"))))</f>
        <v/>
      </c>
      <c r="AL503">
        <f>IF($M503="NZ","NZ","AU")</f>
        <v/>
      </c>
      <c r="AM503">
        <f>COUNTIF($AJ$2:$AJ503,$AJ503)</f>
        <v/>
      </c>
      <c r="AN503">
        <f>$AJ503&amp;"|"&amp;$AM503</f>
        <v/>
      </c>
      <c r="AO503" t="inlineStr">
        <is>
          <t>P&amp;C RTA</t>
        </is>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f>IFERROR(INDEX(Lists!$U$1:$U$18,MATCH($I504,Lists!$T$1:$T$18,0)),"?")</f>
        <v/>
      </c>
      <c r="AK504">
        <f>IF(LOWER($Q504)="v","Vacant",IF(LOWER($Q504)="pause","Paused",IF(LOWER($Q504)="cxc","Contractor",IF($Q504="Contractor","Contractor","Filled"))))</f>
        <v/>
      </c>
      <c r="AL504">
        <f>IF($M504="NZ","NZ","AU")</f>
        <v/>
      </c>
      <c r="AM504">
        <f>COUNTIF($AJ$2:$AJ504,$AJ504)</f>
        <v/>
      </c>
      <c r="AN504">
        <f>$AJ504&amp;"|"&amp;$AM504</f>
        <v/>
      </c>
      <c r="AO504" t="inlineStr">
        <is>
          <t>P&amp;C</t>
        </is>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f>IFERROR(INDEX(Lists!$U$1:$U$18,MATCH($I505,Lists!$T$1:$T$18,0)),"?")</f>
        <v/>
      </c>
      <c r="AK505">
        <f>IF(LOWER($Q505)="v","Vacant",IF(LOWER($Q505)="pause","Paused",IF(LOWER($Q505)="cxc","Contractor",IF($Q505="Contractor","Contractor","Filled"))))</f>
        <v/>
      </c>
      <c r="AL505">
        <f>IF($M505="NZ","NZ","AU")</f>
        <v/>
      </c>
      <c r="AM505">
        <f>COUNTIF($AJ$2:$AJ505,$AJ505)</f>
        <v/>
      </c>
      <c r="AN505">
        <f>$AJ505&amp;"|"&amp;$AM505</f>
        <v/>
      </c>
      <c r="AO505" t="inlineStr">
        <is>
          <t>P&amp;C</t>
        </is>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f>IFERROR(INDEX(Lists!$U$1:$U$18,MATCH($I506,Lists!$T$1:$T$18,0)),"?")</f>
        <v/>
      </c>
      <c r="AK506">
        <f>IF(LOWER($Q506)="v","Vacant",IF(LOWER($Q506)="pause","Paused",IF(LOWER($Q506)="cxc","Contractor",IF($Q506="Contractor","Contractor","Filled"))))</f>
        <v/>
      </c>
      <c r="AL506">
        <f>IF($M506="NZ","NZ","AU")</f>
        <v/>
      </c>
      <c r="AM506">
        <f>COUNTIF($AJ$2:$AJ506,$AJ506)</f>
        <v/>
      </c>
      <c r="AN506">
        <f>$AJ506&amp;"|"&amp;$AM506</f>
        <v/>
      </c>
      <c r="AO506" t="inlineStr">
        <is>
          <t>P&amp;C RTA</t>
        </is>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f>IFERROR(INDEX(Lists!$U$1:$U$18,MATCH($I507,Lists!$T$1:$T$18,0)),"?")</f>
        <v/>
      </c>
      <c r="AK507">
        <f>IF(LOWER($Q507)="v","Vacant",IF(LOWER($Q507)="pause","Paused",IF(LOWER($Q507)="cxc","Contractor",IF($Q507="Contractor","Contractor","Filled"))))</f>
        <v/>
      </c>
      <c r="AL507">
        <f>IF($M507="NZ","NZ","AU")</f>
        <v/>
      </c>
      <c r="AM507">
        <f>COUNTIF($AJ$2:$AJ507,$AJ507)</f>
        <v/>
      </c>
      <c r="AN507">
        <f>$AJ507&amp;"|"&amp;$AM507</f>
        <v/>
      </c>
      <c r="AO507" t="inlineStr">
        <is>
          <t>P&amp;C</t>
        </is>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f>IFERROR(INDEX(Lists!$U$1:$U$18,MATCH($I508,Lists!$T$1:$T$18,0)),"?")</f>
        <v/>
      </c>
      <c r="AK508">
        <f>IF(LOWER($Q508)="v","Vacant",IF(LOWER($Q508)="pause","Paused",IF(LOWER($Q508)="cxc","Contractor",IF($Q508="Contractor","Contractor","Filled"))))</f>
        <v/>
      </c>
      <c r="AL508">
        <f>IF($M508="NZ","NZ","AU")</f>
        <v/>
      </c>
      <c r="AM508">
        <f>COUNTIF($AJ$2:$AJ508,$AJ508)</f>
        <v/>
      </c>
      <c r="AN508">
        <f>$AJ508&amp;"|"&amp;$AM508</f>
        <v/>
      </c>
      <c r="AO508" t="inlineStr">
        <is>
          <t>P&amp;C RTA</t>
        </is>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f>IFERROR(INDEX(Lists!$U$1:$U$18,MATCH($I509,Lists!$T$1:$T$18,0)),"?")</f>
        <v/>
      </c>
      <c r="AK509">
        <f>IF(LOWER($Q509)="v","Vacant",IF(LOWER($Q509)="pause","Paused",IF(LOWER($Q509)="cxc","Contractor",IF($Q509="Contractor","Contractor","Filled"))))</f>
        <v/>
      </c>
      <c r="AL509">
        <f>IF($M509="NZ","NZ","AU")</f>
        <v/>
      </c>
      <c r="AM509">
        <f>COUNTIF($AJ$2:$AJ509,$AJ509)</f>
        <v/>
      </c>
      <c r="AN509">
        <f>$AJ509&amp;"|"&amp;$AM509</f>
        <v/>
      </c>
      <c r="AO509" t="inlineStr">
        <is>
          <t>P&amp;C RTA</t>
        </is>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f>IFERROR(INDEX(Lists!$U$1:$U$18,MATCH($I510,Lists!$T$1:$T$18,0)),"?")</f>
        <v/>
      </c>
      <c r="AK510">
        <f>IF(LOWER($Q510)="v","Vacant",IF(LOWER($Q510)="pause","Paused",IF(LOWER($Q510)="cxc","Contractor",IF($Q510="Contractor","Contractor","Filled"))))</f>
        <v/>
      </c>
      <c r="AL510">
        <f>IF($M510="NZ","NZ","AU")</f>
        <v/>
      </c>
      <c r="AM510">
        <f>COUNTIF($AJ$2:$AJ510,$AJ510)</f>
        <v/>
      </c>
      <c r="AN510">
        <f>$AJ510&amp;"|"&amp;$AM510</f>
        <v/>
      </c>
      <c r="AO510" t="inlineStr">
        <is>
          <t>Leadership</t>
        </is>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f>IFERROR(INDEX(Lists!$U$1:$U$18,MATCH($I511,Lists!$T$1:$T$18,0)),"?")</f>
        <v/>
      </c>
      <c r="AK511">
        <f>IF(LOWER($Q511)="v","Vacant",IF(LOWER($Q511)="pause","Paused",IF(LOWER($Q511)="cxc","Contractor",IF($Q511="Contractor","Contractor","Filled"))))</f>
        <v/>
      </c>
      <c r="AL511">
        <f>IF($M511="NZ","NZ","AU")</f>
        <v/>
      </c>
      <c r="AM511">
        <f>COUNTIF($AJ$2:$AJ511,$AJ511)</f>
        <v/>
      </c>
      <c r="AN511">
        <f>$AJ511&amp;"|"&amp;$AM511</f>
        <v/>
      </c>
      <c r="AO511" t="inlineStr">
        <is>
          <t>Leadership</t>
        </is>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f>IFERROR(INDEX(Lists!$U$1:$U$18,MATCH($I512,Lists!$T$1:$T$18,0)),"?")</f>
        <v/>
      </c>
      <c r="AK512">
        <f>IF(LOWER($Q512)="v","Vacant",IF(LOWER($Q512)="pause","Paused",IF(LOWER($Q512)="cxc","Contractor",IF($Q512="Contractor","Contractor","Filled"))))</f>
        <v/>
      </c>
      <c r="AL512">
        <f>IF($M512="NZ","NZ","AU")</f>
        <v/>
      </c>
      <c r="AM512">
        <f>COUNTIF($AJ$2:$AJ512,$AJ512)</f>
        <v/>
      </c>
      <c r="AN512">
        <f>$AJ512&amp;"|"&amp;$AM512</f>
        <v/>
      </c>
      <c r="AO512" t="inlineStr">
        <is>
          <t>Leadership</t>
        </is>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f>IFERROR(INDEX(Lists!$U$1:$U$18,MATCH($I513,Lists!$T$1:$T$18,0)),"?")</f>
        <v/>
      </c>
      <c r="AK513">
        <f>IF(LOWER($Q513)="v","Vacant",IF(LOWER($Q513)="pause","Paused",IF(LOWER($Q513)="cxc","Contractor",IF($Q513="Contractor","Contractor","Filled"))))</f>
        <v/>
      </c>
      <c r="AL513">
        <f>IF($M513="NZ","NZ","AU")</f>
        <v/>
      </c>
      <c r="AM513">
        <f>COUNTIF($AJ$2:$AJ513,$AJ513)</f>
        <v/>
      </c>
      <c r="AN513">
        <f>$AJ513&amp;"|"&amp;$AM513</f>
        <v/>
      </c>
      <c r="AO513" t="inlineStr">
        <is>
          <t>Cloud, Network &amp; Infra Ops</t>
        </is>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f>IFERROR(INDEX(Lists!$U$1:$U$18,MATCH($I514,Lists!$T$1:$T$18,0)),"?")</f>
        <v/>
      </c>
      <c r="AK514">
        <f>IF(LOWER($Q514)="v","Vacant",IF(LOWER($Q514)="pause","Paused",IF(LOWER($Q514)="cxc","Contractor",IF($Q514="Contractor","Contractor","Filled"))))</f>
        <v/>
      </c>
      <c r="AL514">
        <f>IF($M514="NZ","NZ","AU")</f>
        <v/>
      </c>
      <c r="AM514">
        <f>COUNTIF($AJ$2:$AJ514,$AJ514)</f>
        <v/>
      </c>
      <c r="AN514">
        <f>$AJ514&amp;"|"&amp;$AM514</f>
        <v/>
      </c>
      <c r="AO514" t="inlineStr">
        <is>
          <t>Integration &amp; Process Automation</t>
        </is>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f>IFERROR(INDEX(Lists!$U$1:$U$18,MATCH($I515,Lists!$T$1:$T$18,0)),"?")</f>
        <v/>
      </c>
      <c r="AK515">
        <f>IF(LOWER($Q515)="v","Vacant",IF(LOWER($Q515)="pause","Paused",IF(LOWER($Q515)="cxc","Contractor",IF($Q515="Contractor","Contractor","Filled"))))</f>
        <v/>
      </c>
      <c r="AL515">
        <f>IF($M515="NZ","NZ","AU")</f>
        <v/>
      </c>
      <c r="AM515">
        <f>COUNTIF($AJ$2:$AJ515,$AJ515)</f>
        <v/>
      </c>
      <c r="AN515">
        <f>$AJ515&amp;"|"&amp;$AM515</f>
        <v/>
      </c>
      <c r="AO515" t="inlineStr">
        <is>
          <t>DevOps &amp; QE</t>
        </is>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f>IFERROR(INDEX(Lists!$U$1:$U$18,MATCH($I516,Lists!$T$1:$T$18,0)),"?")</f>
        <v/>
      </c>
      <c r="AK516">
        <f>IF(LOWER($Q516)="v","Vacant",IF(LOWER($Q516)="pause","Paused",IF(LOWER($Q516)="cxc","Contractor",IF($Q516="Contractor","Contractor","Filled"))))</f>
        <v/>
      </c>
      <c r="AL516">
        <f>IF($M516="NZ","NZ","AU")</f>
        <v/>
      </c>
      <c r="AM516">
        <f>COUNTIF($AJ$2:$AJ516,$AJ516)</f>
        <v/>
      </c>
      <c r="AN516">
        <f>$AJ516&amp;"|"&amp;$AM516</f>
        <v/>
      </c>
      <c r="AO516" t="inlineStr">
        <is>
          <t>Integration &amp; Process Automation</t>
        </is>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f>IFERROR(INDEX(Lists!$U$1:$U$18,MATCH($I517,Lists!$T$1:$T$18,0)),"?")</f>
        <v/>
      </c>
      <c r="AK517">
        <f>IF(LOWER($Q517)="v","Vacant",IF(LOWER($Q517)="pause","Paused",IF(LOWER($Q517)="cxc","Contractor",IF($Q517="Contractor","Contractor","Filled"))))</f>
        <v/>
      </c>
      <c r="AL517">
        <f>IF($M517="NZ","NZ","AU")</f>
        <v/>
      </c>
      <c r="AM517">
        <f>COUNTIF($AJ$2:$AJ517,$AJ517)</f>
        <v/>
      </c>
      <c r="AN517">
        <f>$AJ517&amp;"|"&amp;$AM517</f>
        <v/>
      </c>
      <c r="AO517" t="inlineStr">
        <is>
          <t>Workplace &amp; Enterprise Tooling</t>
        </is>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f>IFERROR(INDEX(Lists!$U$1:$U$18,MATCH($I518,Lists!$T$1:$T$18,0)),"?")</f>
        <v/>
      </c>
      <c r="AK518">
        <f>IF(LOWER($Q518)="v","Vacant",IF(LOWER($Q518)="pause","Paused",IF(LOWER($Q518)="cxc","Contractor",IF($Q518="Contractor","Contractor","Filled"))))</f>
        <v/>
      </c>
      <c r="AL518">
        <f>IF($M518="NZ","NZ","AU")</f>
        <v/>
      </c>
      <c r="AM518">
        <f>COUNTIF($AJ$2:$AJ518,$AJ518)</f>
        <v/>
      </c>
      <c r="AN518">
        <f>$AJ518&amp;"|"&amp;$AM518</f>
        <v/>
      </c>
      <c r="AO518" t="inlineStr">
        <is>
          <t>Leadership</t>
        </is>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f>IFERROR(INDEX(Lists!$U$1:$U$18,MATCH($I519,Lists!$T$1:$T$18,0)),"?")</f>
        <v/>
      </c>
      <c r="AK519">
        <f>IF(LOWER($Q519)="v","Vacant",IF(LOWER($Q519)="pause","Paused",IF(LOWER($Q519)="cxc","Contractor",IF($Q519="Contractor","Contractor","Filled"))))</f>
        <v/>
      </c>
      <c r="AL519">
        <f>IF($M519="NZ","NZ","AU")</f>
        <v/>
      </c>
      <c r="AM519">
        <f>COUNTIF($AJ$2:$AJ519,$AJ519)</f>
        <v/>
      </c>
      <c r="AN519">
        <f>$AJ519&amp;"|"&amp;$AM519</f>
        <v/>
      </c>
      <c r="AO519" t="inlineStr">
        <is>
          <t>Workplace &amp; Enterprise Tooling</t>
        </is>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f>IFERROR(INDEX(Lists!$U$1:$U$18,MATCH($I520,Lists!$T$1:$T$18,0)),"?")</f>
        <v/>
      </c>
      <c r="AK520">
        <f>IF(LOWER($Q520)="v","Vacant",IF(LOWER($Q520)="pause","Paused",IF(LOWER($Q520)="cxc","Contractor",IF($Q520="Contractor","Contractor","Filled"))))</f>
        <v/>
      </c>
      <c r="AL520">
        <f>IF($M520="NZ","NZ","AU")</f>
        <v/>
      </c>
      <c r="AM520">
        <f>COUNTIF($AJ$2:$AJ520,$AJ520)</f>
        <v/>
      </c>
      <c r="AN520">
        <f>$AJ520&amp;"|"&amp;$AM520</f>
        <v/>
      </c>
      <c r="AO520" t="inlineStr">
        <is>
          <t>DevOps &amp; QE</t>
        </is>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f>IFERROR(INDEX(Lists!$U$1:$U$18,MATCH($I521,Lists!$T$1:$T$18,0)),"?")</f>
        <v/>
      </c>
      <c r="AK521">
        <f>IF(LOWER($Q521)="v","Vacant",IF(LOWER($Q521)="pause","Paused",IF(LOWER($Q521)="cxc","Contractor",IF($Q521="Contractor","Contractor","Filled"))))</f>
        <v/>
      </c>
      <c r="AL521">
        <f>IF($M521="NZ","NZ","AU")</f>
        <v/>
      </c>
      <c r="AM521">
        <f>COUNTIF($AJ$2:$AJ521,$AJ521)</f>
        <v/>
      </c>
      <c r="AN521">
        <f>$AJ521&amp;"|"&amp;$AM521</f>
        <v/>
      </c>
      <c r="AO521" t="inlineStr">
        <is>
          <t>DevOps &amp; QE</t>
        </is>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f>IFERROR(INDEX(Lists!$U$1:$U$18,MATCH($I522,Lists!$T$1:$T$18,0)),"?")</f>
        <v/>
      </c>
      <c r="AK522">
        <f>IF(LOWER($Q522)="v","Vacant",IF(LOWER($Q522)="pause","Paused",IF(LOWER($Q522)="cxc","Contractor",IF($Q522="Contractor","Contractor","Filled"))))</f>
        <v/>
      </c>
      <c r="AL522">
        <f>IF($M522="NZ","NZ","AU")</f>
        <v/>
      </c>
      <c r="AM522">
        <f>COUNTIF($AJ$2:$AJ522,$AJ522)</f>
        <v/>
      </c>
      <c r="AN522">
        <f>$AJ522&amp;"|"&amp;$AM522</f>
        <v/>
      </c>
      <c r="AO522" t="inlineStr">
        <is>
          <t>DevOps &amp; QE</t>
        </is>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f>IFERROR(INDEX(Lists!$U$1:$U$18,MATCH($I523,Lists!$T$1:$T$18,0)),"?")</f>
        <v/>
      </c>
      <c r="AK523">
        <f>IF(LOWER($Q523)="v","Vacant",IF(LOWER($Q523)="pause","Paused",IF(LOWER($Q523)="cxc","Contractor",IF($Q523="Contractor","Contractor","Filled"))))</f>
        <v/>
      </c>
      <c r="AL523">
        <f>IF($M523="NZ","NZ","AU")</f>
        <v/>
      </c>
      <c r="AM523">
        <f>COUNTIF($AJ$2:$AJ523,$AJ523)</f>
        <v/>
      </c>
      <c r="AN523">
        <f>$AJ523&amp;"|"&amp;$AM523</f>
        <v/>
      </c>
      <c r="AO523" t="inlineStr">
        <is>
          <t>Leadership</t>
        </is>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f>IFERROR(INDEX(Lists!$U$1:$U$18,MATCH($I524,Lists!$T$1:$T$18,0)),"?")</f>
        <v/>
      </c>
      <c r="AK524">
        <f>IF(LOWER($Q524)="v","Vacant",IF(LOWER($Q524)="pause","Paused",IF(LOWER($Q524)="cxc","Contractor",IF($Q524="Contractor","Contractor","Filled"))))</f>
        <v/>
      </c>
      <c r="AL524">
        <f>IF($M524="NZ","NZ","AU")</f>
        <v/>
      </c>
      <c r="AM524">
        <f>COUNTIF($AJ$2:$AJ524,$AJ524)</f>
        <v/>
      </c>
      <c r="AN524">
        <f>$AJ524&amp;"|"&amp;$AM524</f>
        <v/>
      </c>
      <c r="AO524" t="inlineStr">
        <is>
          <t>Leadership</t>
        </is>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f>IFERROR(INDEX(Lists!$U$1:$U$18,MATCH($I525,Lists!$T$1:$T$18,0)),"?")</f>
        <v/>
      </c>
      <c r="AK525">
        <f>IF(LOWER($Q525)="v","Vacant",IF(LOWER($Q525)="pause","Paused",IF(LOWER($Q525)="cxc","Contractor",IF($Q525="Contractor","Contractor","Filled"))))</f>
        <v/>
      </c>
      <c r="AL525">
        <f>IF($M525="NZ","NZ","AU")</f>
        <v/>
      </c>
      <c r="AM525">
        <f>COUNTIF($AJ$2:$AJ525,$AJ525)</f>
        <v/>
      </c>
      <c r="AN525">
        <f>$AJ525&amp;"|"&amp;$AM525</f>
        <v/>
      </c>
      <c r="AO525" t="inlineStr">
        <is>
          <t>Leadership</t>
        </is>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f>IFERROR(INDEX(Lists!$U$1:$U$18,MATCH($I526,Lists!$T$1:$T$18,0)),"?")</f>
        <v/>
      </c>
      <c r="AK526">
        <f>IF(LOWER($Q526)="v","Vacant",IF(LOWER($Q526)="pause","Paused",IF(LOWER($Q526)="cxc","Contractor",IF($Q526="Contractor","Contractor","Filled"))))</f>
        <v/>
      </c>
      <c r="AL526">
        <f>IF($M526="NZ","NZ","AU")</f>
        <v/>
      </c>
      <c r="AM526">
        <f>COUNTIF($AJ$2:$AJ526,$AJ526)</f>
        <v/>
      </c>
      <c r="AN526">
        <f>$AJ526&amp;"|"&amp;$AM526</f>
        <v/>
      </c>
      <c r="AO526" t="inlineStr">
        <is>
          <t>SAP ERP</t>
        </is>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f>IFERROR(INDEX(Lists!$U$1:$U$18,MATCH($I527,Lists!$T$1:$T$18,0)),"?")</f>
        <v/>
      </c>
      <c r="AK527">
        <f>IF(LOWER($Q527)="v","Vacant",IF(LOWER($Q527)="pause","Paused",IF(LOWER($Q527)="cxc","Contractor",IF($Q527="Contractor","Contractor","Filled"))))</f>
        <v/>
      </c>
      <c r="AL527">
        <f>IF($M527="NZ","NZ","AU")</f>
        <v/>
      </c>
      <c r="AM527">
        <f>COUNTIF($AJ$2:$AJ527,$AJ527)</f>
        <v/>
      </c>
      <c r="AN527">
        <f>$AJ527&amp;"|"&amp;$AM527</f>
        <v/>
      </c>
      <c r="AO527" t="inlineStr">
        <is>
          <t>Workplace &amp; Enterprise Tooling</t>
        </is>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f>IFERROR(INDEX(Lists!$U$1:$U$18,MATCH($I528,Lists!$T$1:$T$18,0)),"?")</f>
        <v/>
      </c>
      <c r="AK528">
        <f>IF(LOWER($Q528)="v","Vacant",IF(LOWER($Q528)="pause","Paused",IF(LOWER($Q528)="cxc","Contractor",IF($Q528="Contractor","Contractor","Filled"))))</f>
        <v/>
      </c>
      <c r="AL528">
        <f>IF($M528="NZ","NZ","AU")</f>
        <v/>
      </c>
      <c r="AM528">
        <f>COUNTIF($AJ$2:$AJ528,$AJ528)</f>
        <v/>
      </c>
      <c r="AN528">
        <f>$AJ528&amp;"|"&amp;$AM528</f>
        <v/>
      </c>
      <c r="AO528" t="inlineStr">
        <is>
          <t>(unassigned)</t>
        </is>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45.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
      </c>
      <c r="V266" s="313" t="n">
        <v>0.2</v>
      </c>
      <c r="W266" s="953" t="n">
        <v>0.055</v>
      </c>
      <c r="X266" s="953" t="n">
        <v>0.12</v>
      </c>
      <c r="Y266" s="954" t="n"/>
      <c r="Z266" s="953" t="n">
        <v>0.04</v>
      </c>
      <c r="AA266" s="952">
        <f>U266*(1+V266+W266+X266+Y266+Z266)</f>
        <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
      </c>
      <c r="V65" s="511" t="n">
        <v>0.2</v>
      </c>
      <c r="W65" s="973" t="n">
        <v>0.055</v>
      </c>
      <c r="X65" s="973" t="n">
        <v>0.12</v>
      </c>
      <c r="Y65" s="974" t="n"/>
      <c r="Z65" s="973" t="n">
        <v>0.04</v>
      </c>
      <c r="AA65" s="972">
        <f>U65*(1+V65+W65+X65+Y65+Z65)</f>
        <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
      </c>
      <c r="AB153" s="516" t="n"/>
    </row>
  </sheetData>
  <autoFilter ref="A1:AB153"/>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
      </c>
      <c r="E15" s="21">
        <f>SUM(E6:E14)</f>
        <v/>
      </c>
      <c r="F15" s="21">
        <f>SUM(F6:F14)</f>
        <v/>
      </c>
      <c r="G15" s="21">
        <f>SUM(G6:G14)</f>
        <v/>
      </c>
      <c r="H15" s="21">
        <f>SUM(H6:H14)</f>
        <v/>
      </c>
      <c r="I15" s="21">
        <f>SUM(I6:I14)</f>
        <v/>
      </c>
    </row>
  </sheetData>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
      </c>
      <c r="T4" t="inlineStr">
        <is>
          <t>Z</t>
        </is>
      </c>
      <c r="U4" t="inlineStr">
        <is>
          <t>Z Retail</t>
        </is>
      </c>
    </row>
    <row r="5">
      <c r="A5" t="inlineStr">
        <is>
          <t>Operations</t>
        </is>
      </c>
      <c r="B5" t="inlineStr">
        <is>
          <t>L</t>
        </is>
      </c>
      <c r="D5" t="n">
        <v>0.4</v>
      </c>
      <c r="J5" t="inlineStr">
        <is>
          <t>TDD Group Functions</t>
        </is>
      </c>
      <c r="K5">
        <f>'3.3 FTE View'!$G$51</f>
        <v/>
      </c>
      <c r="T5" t="inlineStr">
        <is>
          <t>Customer</t>
        </is>
      </c>
      <c r="U5" t="inlineStr">
        <is>
          <t>Customer</t>
        </is>
      </c>
    </row>
    <row r="6">
      <c r="A6" t="inlineStr">
        <is>
          <t>Enterprise Data and Insights</t>
        </is>
      </c>
      <c r="D6" t="n">
        <v>0.5</v>
      </c>
      <c r="J6" t="inlineStr">
        <is>
          <t>P&amp;C</t>
        </is>
      </c>
      <c r="K6">
        <f>'3.3 FTE View'!$G$57</f>
        <v/>
      </c>
      <c r="T6" t="inlineStr">
        <is>
          <t>Ampol Customer</t>
        </is>
      </c>
      <c r="U6" t="inlineStr">
        <is>
          <t>Customer</t>
        </is>
      </c>
    </row>
    <row r="7">
      <c r="A7" t="inlineStr">
        <is>
          <t>Build and Run</t>
        </is>
      </c>
      <c r="D7" t="n">
        <v>0.7</v>
      </c>
      <c r="J7" t="inlineStr">
        <is>
          <t>Finance</t>
        </is>
      </c>
      <c r="K7">
        <f>'3.3 FTE View'!$G$63</f>
        <v/>
      </c>
      <c r="T7" t="inlineStr">
        <is>
          <t>Enterprise Data</t>
        </is>
      </c>
      <c r="U7" t="inlineStr">
        <is>
          <t>Enterprise Data</t>
        </is>
      </c>
    </row>
    <row r="8">
      <c r="A8" t="inlineStr">
        <is>
          <t>Strategic Programs</t>
        </is>
      </c>
      <c r="D8" t="n">
        <v>0.8</v>
      </c>
      <c r="J8" t="inlineStr">
        <is>
          <t>Infrastructure</t>
        </is>
      </c>
      <c r="K8">
        <f>'3.3 FTE View'!$G$71</f>
        <v/>
      </c>
      <c r="T8" t="inlineStr">
        <is>
          <t>TDD</t>
        </is>
      </c>
      <c r="U8" t="inlineStr">
        <is>
          <t>TDD Group Functions</t>
        </is>
      </c>
    </row>
    <row r="9">
      <c r="D9" t="n">
        <v>0.9</v>
      </c>
      <c r="J9" t="inlineStr">
        <is>
          <t>Energy Solutions &amp; B2B</t>
        </is>
      </c>
      <c r="K9">
        <f>'3.3 FTE View'!$G$77</f>
        <v/>
      </c>
      <c r="T9" t="inlineStr">
        <is>
          <t>Infrastructure</t>
        </is>
      </c>
      <c r="U9" t="inlineStr">
        <is>
          <t>Infrastructure</t>
        </is>
      </c>
    </row>
    <row r="10">
      <c r="D10" t="n">
        <v>1</v>
      </c>
      <c r="J10" t="inlineStr">
        <is>
          <t>Commercial Fuels</t>
        </is>
      </c>
      <c r="K10">
        <f>'3.3 FTE View'!$G$85</f>
        <v/>
      </c>
      <c r="T10" t="inlineStr">
        <is>
          <t>B2B &amp; Energy Solutions</t>
        </is>
      </c>
      <c r="U10" t="inlineStr">
        <is>
          <t>Energy Solutions &amp; B2B</t>
        </is>
      </c>
    </row>
    <row r="11">
      <c r="J11" t="inlineStr">
        <is>
          <t>Z Retail</t>
        </is>
      </c>
      <c r="K11">
        <f>'3.3 FTE View'!$G$91</f>
        <v/>
      </c>
      <c r="T11" t="inlineStr">
        <is>
          <t>Commercial Fuels</t>
        </is>
      </c>
      <c r="U11" t="inlineStr">
        <is>
          <t>Commercial Fuels</t>
        </is>
      </c>
    </row>
    <row r="12">
      <c r="J12" t="inlineStr">
        <is>
          <t>TDD Cyber</t>
        </is>
      </c>
      <c r="K12">
        <f>'3.3 FTE View'!$G$94</f>
        <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2026-07-23T03:49:33Z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